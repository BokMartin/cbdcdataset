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b2ec0823444fcb" /></Relationships>
</file>

<file path=xl/workbook.xml><?xml version="1.0" encoding="utf-8"?>
<x:workbook xmlns:x="http://schemas.openxmlformats.org/spreadsheetml/2006/main">
  <x:sheets>
    <x:sheet xmlns:r="http://schemas.openxmlformats.org/officeDocument/2006/relationships" name="Instructions" sheetId="1" r:id="R7ddeaaf1b7a44300"/>
    <x:sheet xmlns:r="http://schemas.openxmlformats.org/officeDocument/2006/relationships" name="Review" sheetId="2" r:id="R28abef46955e4d20"/>
    <x:sheet xmlns:r="http://schemas.openxmlformats.org/officeDocument/2006/relationships" name="Context" sheetId="3" r:id="R91e5647b41ae42bd"/>
    <x:sheet xmlns:r="http://schemas.openxmlformats.org/officeDocument/2006/relationships" name="Codes" sheetId="4" r:id="R3d1d8a7edeef4553"/>
    <x:sheet xmlns:r="http://schemas.openxmlformats.org/officeDocument/2006/relationships" name="QC" sheetId="5" r:id="Rdad362bd86e7450c"/>
    <x:sheet xmlns:r="http://schemas.openxmlformats.org/officeDocument/2006/relationships" name="Final checks" sheetId="6" r:id="R504207b07fde47c4"/>
  </x:sheets>
</x:workbook>
</file>

<file path=xl/sharedStrings.xml><?xml version="1.0" encoding="utf-8"?>
<x:sst xmlns:x="http://schemas.openxmlformats.org/spreadsheetml/2006/main">
  <x:si>
    <x:t xml:space="preserve">CBDC v10.1 — blind scope re-adjudication</x:t>
  </x:si>
  <x:si>
    <x:t xml:space="preserve">Purpose</x:t>
  </x:si>
  <x:si>
    <x:t xml:space="preserve">Resolve reference/protocol scope conflicts before the single permitted v10.2 revision. This is development calibration, not reserve evaluation.</x:t>
  </x:si>
  <x:si>
    <x:t xml:space="preserve">Blinding</x:t>
  </x:si>
  <x:si>
    <x:t xml:space="preserve">The workbook hides the current reference direction, model identity, model labels and model text. Do not inspect those artifacts before completing this sheet.</x:t>
  </x:si>
  <x:si>
    <x:t xml:space="preserve">Keep only if</x:t>
  </x:si>
  <x:si>
    <x:t xml:space="preserve">The paragraph contains a complete, source-supported statement about the issuing authority's own CBDC project and at least one eligible claim type.</x:t>
  </x:si>
  <x:si>
    <x:t xml:space="preserve">Eligible types</x:t>
  </x:si>
  <x:si>
    <x:t xml:space="preserve">Decision/commitment; explicit proposal/preference; concrete own-system feature; executed own-pilot finding; supported CBDC-specific risk/trade-off/requirement.</x:t>
  </x:si>
  <x:si>
    <x:t xml:space="preserve">Exclude</x:t>
  </x:si>
  <x:si>
    <x:t xml:space="preserve">Foreign or cited research; generic context; future research/open question; unadopted stakeholder/consultant material; glossary/heading/list; incomplete fragment/OCR; non-CBDC/off-scope.</x:t>
  </x:si>
  <x:si>
    <x:t xml:space="preserve">Context</x:t>
  </x:si>
  <x:si>
    <x:t xml:space="preserve">Use the Context sheet when the paragraph is fragmented. Mark needs_context only if the full supplied source unit still does not permit a decision.</x:t>
  </x:si>
  <x:si>
    <x:t xml:space="preserve">Coding</x:t>
  </x:si>
  <x:si>
    <x:t xml:space="preserve">If final_decision=keep, select exactly one primary code. If exclude, select a non-none exclusion trigger.</x:t>
  </x:si>
  <x:si>
    <x:t xml:space="preserve">Initials</x:t>
  </x:si>
  <x:si>
    <x:t xml:space="preserve">Enter reviewer initials for every completed row. Notes are optional unless uncertainty or a boundary decision should be documented.</x:t>
  </x:si>
  <x:si>
    <x:t xml:space="preserve">Do not change</x:t>
  </x:si>
  <x:si>
    <x:t xml:space="preserve">Do not open or alter the sealed 40-page reserve. Do not rewrite model outputs or source quotations.</x:t>
  </x:si>
  <x:si>
    <x:t xml:space="preserve">Completion</x:t>
  </x:si>
  <x:si>
    <x:t xml:space="preserve">QC status must be COMPLETE for all 69 rows. A second independent reviewer is strongly preferred; otherwise disclose single-coder re-adjudication.</x:t>
  </x:si>
  <x:si>
    <x:t xml:space="preserve">Selection</x:t>
  </x:si>
  <x:si>
    <x:t xml:space="preserve">All 69 rows are model/reference disagreements, deterministically shuffled. The direction of disagreement is intentionally hidden.</x:t>
  </x:si>
  <x:si>
    <x:t xml:space="preserve">Protocol</x:t>
  </x:si>
  <x:si>
    <x:t xml:space="preserve">Shared v10.1 scope in PROMPT_CORE.md; paragraph match threshold 0.80; reserve remains sealed.</x:t>
  </x:si>
  <x:si>
    <x:t xml:space="preserve">Blind review — complete columns D:L only</x:t>
  </x:si>
  <x:si>
    <x:t xml:space="preserve">Decision rule: complete own-project claim + eligible claim type = keep; otherwise exclude. Use needs_context sparingly.</x:t>
  </x:si>
  <x:si>
    <x:t xml:space="preserve">review_case_id</x:t>
  </x:si>
  <x:si>
    <x:t xml:space="preserve">paragraph_text</x:t>
  </x:si>
  <x:si>
    <x:t xml:space="preserve">context_unit_id</x:t>
  </x:si>
  <x:si>
    <x:t xml:space="preserve">own_project</x:t>
  </x:si>
  <x:si>
    <x:t xml:space="preserve">complete_claim</x:t>
  </x:si>
  <x:si>
    <x:t xml:space="preserve">eligible_claim_type</x:t>
  </x:si>
  <x:si>
    <x:t xml:space="preserve">exclusion_trigger</x:t>
  </x:si>
  <x:si>
    <x:t xml:space="preserve">final_decision</x:t>
  </x:si>
  <x:si>
    <x:t xml:space="preserve">code_if_keep</x:t>
  </x:si>
  <x:si>
    <x:t xml:space="preserve">confidence</x:t>
  </x:si>
  <x:si>
    <x:t xml:space="preserve">adjudicator</x:t>
  </x:si>
  <x:si>
    <x:t xml:space="preserve">notes</x:t>
  </x:si>
  <x:si>
    <x:t xml:space="preserve">qc_status</x:t>
  </x:si>
  <x:si>
    <x:t xml:space="preserve">gold_id</x:t>
  </x:si>
  <x:si>
    <x:t xml:space="preserve">paragraph_id</x:t>
  </x:si>
  <x:si>
    <x:t xml:space="preserve">doc_id</x:t>
  </x:si>
  <x:si>
    <x:t xml:space="preserve">page</x:t>
  </x:si>
  <x:si>
    <x:t xml:space="preserve">stratum</x:t>
  </x:si>
  <x:si>
    <x:t xml:space="preserve">language</x:t>
  </x:si>
  <x:si>
    <x:t xml:space="preserve">RA-001</x:t>
  </x:si>
  <x:si>
    <x:t xml:space="preserve">products were tested in the Sandbox environment before the launch. The system provides a central mobile App, so bank-issued wallets may not be vital.  ¶ Despite this the CBN was careful to ensure early collaboration with other financial institutions. A financial ID (a bank verification number) was organized before the launch, with the collaboration of the banks. This emphasizes the tight connection that exists between CBDC and digital ID. Public use of CBDC will always require some kind of secure digital identity.</x:t>
  </x:si>
  <x:si>
    <x:t xml:space="preserve">CAL-046-U01</x:t>
  </x:si>
  <x:si>
    <x:t xml:space="preserve">yes</x:t>
  </x:si>
  <x:si>
    <x:t xml:space="preserve">explicit_proposal_or_preference</x:t>
  </x:si>
  <x:si>
    <x:t xml:space="preserve">none</x:t>
  </x:si>
  <x:si>
    <x:t xml:space="preserve">keep</x:t>
  </x:si>
  <x:si>
    <x:t xml:space="preserve">KYC.INTERMED</x:t>
  </x:si>
  <x:si>
    <x:t xml:space="preserve">high</x:t>
  </x:si>
  <x:si>
    <x:t xml:space="preserve">MB</x:t>
  </x:si>
  <x:si>
    <x:t xml:space="preserve">G046</x:t>
  </x:si>
  <x:si>
    <x:t xml:space="preserve">P01</x:t>
  </x:si>
  <x:si>
    <x:t xml:space="preserve">UN_ESCAP_4e8e7145_2023</x:t>
  </x:si>
  <x:si>
    <x:t xml:space="preserve">probability</x:t>
  </x:si>
  <x:si>
    <x:t xml:space="preserve">en</x:t>
  </x:si>
  <x:si>
    <x:t xml:space="preserve">RA-002</x:t>
  </x:si>
  <x:si>
    <x:t xml:space="preserve">BankAxept for mobile payments will increase cost efficiency  ¶ BankAxept has announced a number of initiatives to enable its use for mobile payments. Vipps will probably enable payments with BankAxept in its coming NFC solution. 42 There are also plans for the use of BankAxept in terminal-based solutions such as Apple Pay and Google Pay. 28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22</x:t>
  </x:si>
  <x:si>
    <x:t xml:space="preserve">CAL-018-U01</x:t>
  </x:si>
  <x:si>
    <x:t xml:space="preserve">INTEROP.crossborder</x:t>
  </x:si>
  <x:si>
    <x:t xml:space="preserve">G018</x:t>
  </x:si>
  <x:si>
    <x:t xml:space="preserve">NO_NB_FI2024_CBDC</x:t>
  </x:si>
  <x:si>
    <x:t xml:space="preserve">RA-003</x:t>
  </x:si>
  <x:si>
    <x:t xml:space="preserve">We should use the following options  ¶ . * Proxy identities to protect user  ¶ 5 Miesnaingerioes”” —Plationm sntiecy Soiimeee °°" Piva whit ensuring that users wallets etc. for ts? T i ’ can verify payment recipients  ¶ - for payments? ransactions * User consent frameworks to ensure that consent is obtained when sharing IDs</x:t>
  </x:si>
  <x:si>
    <x:t xml:space="preserve">CAL-040-U01</x:t>
  </x:si>
  <x:si>
    <x:t xml:space="preserve">unclear</x:t>
  </x:si>
  <x:si>
    <x:t xml:space="preserve">needs_context</x:t>
  </x:si>
  <x:si>
    <x:t xml:space="preserve">G040</x:t>
  </x:si>
  <x:si>
    <x:t xml:space="preserve">P05</x:t>
  </x:si>
  <x:si>
    <x:t xml:space="preserve">NZ_RBNZ_cbdc-insights-dossier-for-public-1</x:t>
  </x:si>
  <x:si>
    <x:t xml:space="preserve">RA-004</x:t>
  </x:si>
  <x:si>
    <x:t xml:space="preserve">Experiments under real conditions atthe Banque de France  ¶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ecosystem.The tests conducted under real conditions focused on delivery versus payment (DvP), payment versus payment (PvP) transactions, and cross-border payments involving, in most cases, tokenised financial assets.</x:t>
  </x:si>
  <x:si>
    <x:t xml:space="preserve">CAL-061-U01</x:t>
  </x:si>
  <x:si>
    <x:t xml:space="preserve">generic_context</x:t>
  </x:si>
  <x:si>
    <x:t xml:space="preserve">exclude</x:t>
  </x:si>
  <x:si>
    <x:t xml:space="preserve">G061</x:t>
  </x:si>
  <x:si>
    <x:t xml:space="preserve">P07</x:t>
  </x:si>
  <x:si>
    <x:t xml:space="preserve">FR_BdF_2022</x:t>
  </x:si>
  <x:si>
    <x:t xml:space="preserve">stress_nonEN</x:t>
  </x:si>
  <x:si>
    <x:t xml:space="preserve">fr</x:t>
  </x:si>
  <x:si>
    <x:t xml:space="preserve">RA-005</x:t>
  </x:si>
  <x:si>
    <x:t xml:space="preserve">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x:t>
  </x:si>
  <x:si>
    <x:t xml:space="preserve">CAL-047-U01</x:t>
  </x:si>
  <x:si>
    <x:t xml:space="preserve">ADOPT.experience</x:t>
  </x:si>
  <x:si>
    <x:t xml:space="preserve">G047</x:t>
  </x:si>
  <x:si>
    <x:t xml:space="preserve">RU_Russia_consultation_paper_201013</x:t>
  </x:si>
  <x:si>
    <x:t xml:space="preserve">RA-006</x:t>
  </x:si>
  <x:si>
    <x:t xml:space="preserve">A key assumption of the previous analysis is that banks have market power on the deposit side and the CBDC interest rate is low enough to make deposits profitable for the commercial bank. But, what if deposit markets are more competitive or deposits and transactions are costlier than assumed? In this case, the CBDC could crowd out some current accounts or households’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x:t>
  </x:si>
  <x:si>
    <x:t xml:space="preserve">CAL-001-U01</x:t>
  </x:si>
  <x:si>
    <x:t xml:space="preserve">no</x:t>
  </x:si>
  <x:si>
    <x:t xml:space="preserve">G001</x:t>
  </x:si>
  <x:si>
    <x:t xml:space="preserve">P02</x:t>
  </x:si>
  <x:si>
    <x:t xml:space="preserve">CN_China_BIS_2022</x:t>
  </x:si>
  <x:si>
    <x:t xml:space="preserve">RA-007</x:t>
  </x:si>
  <x:si>
    <x:t xml:space="preserve">It is an aim of this project to ensure that Maldivian FinTech companies are involved in the development of the CBDC and stablecoin / asset tokenization initiatives. A list of current FinTechs is provided as Annex 8.  ¶ The main opportunity for FinTechs is in the provision of end-customer products such as mobile Apps and products that exploit the opportunities for Open Banking or DeFi. A centralised mobile App for CBDC use which includes the ability to have multiple wallets</x:t>
  </x:si>
  <x:si>
    <x:t xml:space="preserve">CAL-043-U01</x:t>
  </x:si>
  <x:si>
    <x:t xml:space="preserve">INTEROP.domestic</x:t>
  </x:si>
  <x:si>
    <x:t xml:space="preserve">G043</x:t>
  </x:si>
  <x:si>
    <x:t xml:space="preserve">P06</x:t>
  </x:si>
  <x:si>
    <x:t xml:space="preserve">UN_ESCAP_ESCAP-2022-RP-National-study-central-bank-digital-currency-stablecoin-Maldives</x:t>
  </x:si>
  <x:si>
    <x:t xml:space="preserve">RA-008</x:t>
  </x:si>
  <x:si>
    <x:t xml:space="preserve">of stakeholders and investigate a greater set of capabilities. Future research areas include the integration of acommon QR code system, the fungibility of digital currencies amongst different issuers, transactional privacy, offline payments, digital wallet integration, and future trials where individuals could have options to define conditions for transfers and be PBM Creators in effect.</x:t>
  </x:si>
  <x:si>
    <x:t xml:space="preserve">CAL-007-U01</x:t>
  </x:si>
  <x:si>
    <x:t xml:space="preserve">future_research_or_open_question</x:t>
  </x:si>
  <x:si>
    <x:t xml:space="preserve">medium</x:t>
  </x:si>
  <x:si>
    <x:t xml:space="preserve">G007</x:t>
  </x:si>
  <x:si>
    <x:t xml:space="preserve">SG_MAS_mas-project-orchid-report</x:t>
  </x:si>
  <x:si>
    <x:t xml:space="preserve">RA-009</x:t>
  </x:si>
  <x:si>
    <x:t xml:space="preserve">Initial Key Question/Area in |Workshop in wi Valsicia eet aeiiece Accenture’s Initial Answers  ¶ Token based or account Strategic Workshop 3 - ANZ CBDC should be token-based. based? Asset Focus on Innovative Se Payments Strategic Workshop 3 - q 2 Programmable money or Asset Focus on Innovative pes! rammable money will not bea Payments</x:t>
  </x:si>
  <x:si>
    <x:t xml:space="preserve">RA-010</x:t>
  </x:si>
  <x:si>
    <x:t xml:space="preserve">to manipulate the market, leading to a loss of confidence. Aside from reviewing the code itself, a thorough review of the information security process would need to include the full development and deployment lifecycle as well.  ¶ Aside from guarding against the initial exploit, incident management is important as well.</x:t>
  </x:si>
  <x:si>
    <x:t xml:space="preserve">CAL-076-U01</x:t>
  </x:si>
  <x:si>
    <x:t xml:space="preserve">supported_risk_tradeoff_requirement</x:t>
  </x:si>
  <x:si>
    <x:t xml:space="preserve">G076</x:t>
  </x:si>
  <x:si>
    <x:t xml:space="preserve">P08</x:t>
  </x:si>
  <x:si>
    <x:t xml:space="preserve">stress_long</x:t>
  </x:si>
  <x:si>
    <x:t xml:space="preserve">RA-011</x:t>
  </x:si>
  <x:si>
    <x:t xml:space="preserve">as a basis for cross-platform payments and settlements as well as</x:t>
  </x:si>
  <x:si>
    <x:t xml:space="preserve">CAL-052-U01</x:t>
  </x:si>
  <x:si>
    <x:t xml:space="preserve">incomplete_fragment_or_ocr</x:t>
  </x:si>
  <x:si>
    <x:t xml:space="preserve">G052</x:t>
  </x:si>
  <x:si>
    <x:t xml:space="preserve">P04</x:t>
  </x:si>
  <x:si>
    <x:t xml:space="preserve">MO_AMCM_eMOP_WP</x:t>
  </x:si>
  <x:si>
    <x:t xml:space="preserve">RA-012</x:t>
  </x:si>
  <x:si>
    <x:t xml:space="preserve">research focuses exclusively on the wholesale market.  ¶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x:t>
  </x:si>
  <x:si>
    <x:t xml:space="preserve">CAL-032-U01</x:t>
  </x:si>
  <x:si>
    <x:t xml:space="preserve">G032</x:t>
  </x:si>
  <x:si>
    <x:t xml:space="preserve">US_NYFed_CedarPhaseOne_2022</x:t>
  </x:si>
  <x:si>
    <x:t xml:space="preserve">RA-013</x:t>
  </x:si>
  <x:si>
    <x:t xml:space="preserve">Based on recent consultation papers issued by Central Banks, the consensus is not to have anything more strict or more lenient than what is currently in place. This ‘equivalence’ may help to support overall adoption and perceived fears on how data could be used.</x:t>
  </x:si>
  <x:si>
    <x:t xml:space="preserve">CAL-030-U01</x:t>
  </x:si>
  <x:si>
    <x:t xml:space="preserve">G030</x:t>
  </x:si>
  <x:si>
    <x:t xml:space="preserve">RA-014</x:t>
  </x:si>
  <x:si>
    <x:t xml:space="preserve">To encourage adoption, monetary incentives might be necessary to persuade users to switch from existing offline payment solutions. This makes cost recovery from retail users challenging for intermediaries which facilitate offline e- HKD payment. An alternative cost-recovering strategy would be to levy service fees on merchants for the settlement and crediting of an e-HKD into their accounts, similar to the merchant fee that is applied by existing offline payment providers.</x:t>
  </x:si>
  <x:si>
    <x:t xml:space="preserve">CAL-005-U01</x:t>
  </x:si>
  <x:si>
    <x:t xml:space="preserve">CASH.relation</x:t>
  </x:si>
  <x:si>
    <x:t xml:space="preserve">G005</x:t>
  </x:si>
  <x:si>
    <x:t xml:space="preserve">P03</x:t>
  </x:si>
  <x:si>
    <x:t xml:space="preserve">HK_HKMA_eHKD_Phase2_2025</x:t>
  </x:si>
  <x:si>
    <x:t xml:space="preserve">RA-015</x:t>
  </x:si>
  <x:si>
    <x:t xml:space="preserve">16. USER Users sharing Build our own Reliance on Users cannot INFORMATION AND data with bespoke data CDR share their DATA SHARING existing data sharing guidelines for information with WITH OTHER sharing guidelines data sharing other users. USERS guidelines</x:t>
  </x:si>
  <x:si>
    <x:t xml:space="preserve">RA-016</x:t>
  </x:si>
  <x:si>
    <x:t xml:space="preserve">Access to Banking/Financial Institution  ¶ Respondents indicated a higher rate of usage of basic deposit facilities than the national average. Some 93% indicated that they operate a deposit account within a local bank, compared to the national average in the 80% range. Some 2% indicated that they held a deposit account with the local post office, while 4% stated that they have a deposit account with a credit union, and 4% informed that they did not own a deposit account.</x:t>
  </x:si>
  <x:si>
    <x:t xml:space="preserve">CAL-023-U01</x:t>
  </x:si>
  <x:si>
    <x:t xml:space="preserve">non_cbdc_or_off_scope</x:t>
  </x:si>
  <x:si>
    <x:t xml:space="preserve">G023</x:t>
  </x:si>
  <x:si>
    <x:t xml:space="preserve">BS_Bahamas_SandDollar_2019</x:t>
  </x:si>
  <x:si>
    <x:t xml:space="preserve">RA-017</x:t>
  </x:si>
  <x:si>
    <x:t xml:space="preserve">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CSDR, the European Market Infrastructure Regulation (EMIR)S or the</x:t>
  </x:si>
  <x:si>
    <x:t xml:space="preserve">CAL-077-U01</x:t>
  </x:si>
  <x:si>
    <x:t xml:space="preserve">decision_or_commitment</x:t>
  </x:si>
  <x:si>
    <x:t xml:space="preserve">LEGAL.basis</x:t>
  </x:si>
  <x:si>
    <x:t xml:space="preserve">how does this family help us separate the 6 types? Feels very redundant</x:t>
  </x:si>
  <x:si>
    <x:t xml:space="preserve">G077</x:t>
  </x:si>
  <x:si>
    <x:t xml:space="preserve">RA-018</x:t>
  </x:si>
  <x:si>
    <x:t xml:space="preserve">(see Box B). These models differ in their data storage and synchronisation requirements, with implications for their suitability in offline retail payment systems.  ¶ The pilots showed that the account-based model requires recording only essential transaction details, including the payer, payee, transaction amount, transaction identifier and digital signature. This streamlined approach results</x:t>
  </x:si>
  <x:si>
    <x:t xml:space="preserve">executed_own_pilot_finding</x:t>
  </x:si>
  <x:si>
    <x:t xml:space="preserve">TECH.TOKEN.considered</x:t>
  </x:si>
  <x:si>
    <x:t xml:space="preserve">RA-019</x:t>
  </x:si>
  <x:si>
    <x:t xml:space="preserve">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x:t>
  </x:si>
  <x:si>
    <x:t xml:space="preserve">RA-020</x:t>
  </x:si>
  <x:si>
    <x:t xml:space="preserve">Using consent frameworks and tiered cane) CEDe platform Strategic Workshop 2 - Focususage, a CBDC can achieve the protect privacy while also Fi A i"  ¶ 4 being innovative in using Platform on Privacy, Holdings &amp; balance between privacy and data. Transactions innovation (as demonstrated in open</x:t>
  </x:si>
  <x:si>
    <x:t xml:space="preserve">PRIV.BAL</x:t>
  </x:si>
  <x:si>
    <x:t xml:space="preserve">RA-021</x:t>
  </x:si>
  <x:si>
    <x:t xml:space="preserve">The architecture proposed in this whitepaper is not a blueprint for the infrastructure of e-HKD, nor does it approach a decision on the CBDC distribution model chosen for implementing e-HKD. Rather, it should be seen as the outcome of initial research as well as a basis for initiating dialogues with central banks, the academia, and the wider fintech community to collaboratively explore practical and robust solutions for rCBDC.</x:t>
  </x:si>
  <x:si>
    <x:t xml:space="preserve">CAL-017-U01</x:t>
  </x:si>
  <x:si>
    <x:t xml:space="preserve">G017</x:t>
  </x:si>
  <x:si>
    <x:t xml:space="preserve">HK_HKMA_2021</x:t>
  </x:si>
  <x:si>
    <x:t xml:space="preserve">RA-022</x:t>
  </x:si>
  <x:si>
    <x:t xml:space="preserve">reuse an equivalent amount to the user. This will, however, require coordination with the issuer of the underlying digital currency.  ¶ Smart contracts, which are self-executing code that contains the business logic for digital currency-based solutions, might be targeted by malicious actors who seek to exploit vulnerabilities in the smart contract code to drain funds or</x:t>
  </x:si>
  <x:si>
    <x:t xml:space="preserve">RA-023</x:t>
  </x:si>
  <x:si>
    <x:t xml:space="preserve">In the first quarter of 2024 the digital euro scheme’s Rulebook Development Group (RDG)?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x:t>
  </x:si>
  <x:si>
    <x:t xml:space="preserve">CAL-033-U01</x:t>
  </x:si>
  <x:si>
    <x:t xml:space="preserve">G033</x:t>
  </x:si>
  <x:si>
    <x:t xml:space="preserve">EU_ECB_2024</x:t>
  </x:si>
  <x:si>
    <x:t xml:space="preserve">RA-024</x:t>
  </x:si>
  <x:si>
    <x:t xml:space="preserve">It is important for co-badged cards with BankAxept to be made available for mobile payments. Interms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x:t>
  </x:si>
  <x:si>
    <x:t xml:space="preserve">concrete_own_system_feature</x:t>
  </x:si>
  <x:si>
    <x:t xml:space="preserve">Visa intergration / Mastercard shoulůd be crossborder interop even though adopt experience fits too</x:t>
  </x:si>
  <x:si>
    <x:t xml:space="preserve">RA-025</x:t>
  </x:si>
  <x:si>
    <x:t xml:space="preserve">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utilisation to sustain monetary, macroprudential and payment system policy in the digital era. CBDC has the potential to support the fulfillment of central bank objectives and, to some extent, could potentially be an essential tool for central banks in the future to enhance monetary and</x:t>
  </x:si>
  <x:si>
    <x:t xml:space="preserve">CAL-036-U01</x:t>
  </x:si>
  <x:si>
    <x:t xml:space="preserve">G036</x:t>
  </x:si>
  <x:si>
    <x:t xml:space="preserve">RA-026</x:t>
  </x:si>
  <x:si>
    <x:t xml:space="preserve">7.6.2 AML responsibilities could be handled entirely by the Payment Interface Providers (commercial banks). Under the intermediate model, commercial banks may be best placed AML/CFT the responsibility for compliance with AML/CFT  ¶ to conduct checks and guidelines should rest with them. Opening and CBDC with</x:t>
  </x:si>
  <x:si>
    <x:t xml:space="preserve">CAL-019-U01</x:t>
  </x:si>
  <x:si>
    <x:t xml:space="preserve">G019</x:t>
  </x:si>
  <x:si>
    <x:t xml:space="preserve">IN_RBI_ConceptNote_2022</x:t>
  </x:si>
  <x:si>
    <x:t xml:space="preserve">RA-027</x:t>
  </x:si>
  <x:si>
    <x:t xml:space="preserve">Figure 12 - A possible process for supporting the system in the conversion of cash to digital shekels and vice  ¶ 2. Unique PIN + CBDC account itt reer ee  ¶ 1. Request for CBDC and cash exchange  ¶ psp heen eee eee ete inte ee escent ete en ieee iere teense enieinee =</x:t>
  </x:si>
  <x:si>
    <x:t xml:space="preserve">CAL-012-U01</x:t>
  </x:si>
  <x:si>
    <x:t xml:space="preserve">G012</x:t>
  </x:si>
  <x:si>
    <x:t xml:space="preserve">IL_Israel_#U05d0#U05e8#U05db#U05d9#U05d8#U05e7#U05d8#U05d5#U05e8#U05d4-#U05dc#U05d5#U05d2#U05d9#U05ea-#U05d0#U05e0#U05d2#U05dc#U05d9#U05ea.pdf</x:t>
  </x:si>
  <x:si>
    <x:t xml:space="preserve">RA-028</x:t>
  </x:si>
  <x:si>
    <x:t xml:space="preserve">Measures for Anti Money Laundering and Countering the Financing of Terrorism  ¶ Application Programming Interface — a connection between systems that allows one system to communicate with another via request-response dialogues  ¶ The Association of South East Asian Nations — an economic community of 10 countries in South East Asia</x:t>
  </x:si>
  <x:si>
    <x:t xml:space="preserve">CAL-055-U01</x:t>
  </x:si>
  <x:si>
    <x:t xml:space="preserve">AML.MON</x:t>
  </x:si>
  <x:si>
    <x:t xml:space="preserve">G055</x:t>
  </x:si>
  <x:si>
    <x:t xml:space="preserve">RA-029</x:t>
  </x:si>
  <x:si>
    <x:t xml:space="preserve">Future research may include studying options for offline payment for low-value payments to reduce network reliance and support financial inclusion within the country.  ¶ If users lose their private keys to their digital wallets, there is no feasible way to get back access to the contents of their digital wallets. This also means that any digital asset or PBM that is stored within that digital wallet will be inaccessible to</x:t>
  </x:si>
  <x:si>
    <x:t xml:space="preserve">ACCESS.universal</x:t>
  </x:si>
  <x:si>
    <x:t xml:space="preserve">RA-030</x:t>
  </x:si>
  <x:si>
    <x:t xml:space="preserve">In a hybrid architecture, the creation, issuance, and redemption of CBDC is performed by the central bank, while distribution is carried out jointly with private financial institutions. A distributed ledger is used by a number of participating institutions (including the central bank) that confirm changes in CBDC-related information through a predefined consensus algorithm, and then distribute them to the ledgers owned by each institution to record and manage.</x:t>
  </x:si>
  <x:si>
    <x:t xml:space="preserve">CAL-029-U01</x:t>
  </x:si>
  <x:si>
    <x:t xml:space="preserve">G029</x:t>
  </x:si>
  <x:si>
    <x:t xml:space="preserve">RA-031</x:t>
  </x:si>
  <x:si>
    <x:t xml:space="preserve">Caribbean Community — an economic co-operation arrangement between the Caribbean countries  ¶ Central Bank Digital Currency — a digital currency issued and redeemed by a Central Bank, which may or may not use blockchain infrastructure  ¶ Central Bank of the Bahamas</x:t>
  </x:si>
  <x:si>
    <x:t xml:space="preserve">RA-032</x:t>
  </x:si>
  <x:si>
    <x:t xml:space="preserve">THE ROLE AND CONTRIBUTION OF INNOVATION  ¶ FOR PAYMENT INSTRUMENTS AND MARKET INFRASTRUCTURES  ¶ context where the experiments have shown that the interoperability of CBDCs with each other could contribute to simplifying and improving the performance and accessibility of such transactions and payments.</x:t>
  </x:si>
  <x:si>
    <x:t xml:space="preserve">RA-033</x:t>
  </x:si>
  <x:si>
    <x:t xml:space="preserve">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x:t>
  </x:si>
  <x:si>
    <x:t xml:space="preserve">RA-034</x:t>
  </x:si>
  <x:si>
    <x:t xml:space="preserve">Using consent frameworks and tiered Whatare the design usage, a CBDC can achieve the options for data Strategic Workshop 2 - Focusbalance between privacy and commercialisation whilst on Privacy, Holdings &amp; innovation (as demonstrated in open  ¶ 9 main 9 privacy/ Ecos: stem Lansactions banking). inclusion? e.g. would Opt- y' Strategic Workshop 1 - CBDC Users should also have the option to In promote privacy goals Use Cases &amp; Focus on Wide opt-in/opt-out to cater for their and Opt-Out promote Adoption &amp; Inclusion choice.</x:t>
  </x:si>
  <x:si>
    <x:t xml:space="preserve">PRIV.MIN</x:t>
  </x:si>
  <x:si>
    <x:t xml:space="preserve">P09</x:t>
  </x:si>
  <x:si>
    <x:t xml:space="preserve">RA-035</x:t>
  </x:si>
  <x:si>
    <x:t xml:space="preserve">8 — Summary and Next Steps  ¶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x:t>
  </x:si>
  <x:si>
    <x:t xml:space="preserve">RA-036</x:t>
  </x:si>
  <x:si>
    <x:t xml:space="preserve">A3. Market Research on Exuma  ¶ Following the March 1, 2019 selection of the preferred technology solutions provider for the digital currency project, the Central Bank started the groundwork for the launch of the Exuma Pilot, undertaking a baseline financial inclusion survey on the island. The survey attempted to assess the level of financial services available to residents relative to their needs;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linked mostly to the convenience of access or security concerns of using digital financial services.</x:t>
  </x:si>
  <x:si>
    <x:t xml:space="preserve">RA-037</x:t>
  </x:si>
  <x:si>
    <x:t xml:space="preserve">This experiment adopts and examines: (i) hybrid architecture; and (ii) DLT- method ledger management as a basic model, following recommendations of international organisations such as the BIS and cases of central banks of major countries. '® However, the experiment is not determinative of the CBDC design, and the BOK plans to continue researching and reviewing other alternative designs.</x:t>
  </x:si>
  <x:si>
    <x:t xml:space="preserve">foreign_or_cited_research</x:t>
  </x:si>
  <x:si>
    <x:t xml:space="preserve">RA-038</x:t>
  </x:si>
  <x:si>
    <x:t xml:space="preserve">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Based on the main goal, three main objectives of CBDC issuance are being developed and will be discussed further below.</x:t>
  </x:si>
  <x:si>
    <x:t xml:space="preserve">RA-039</x:t>
  </x:si>
  <x:si>
    <x:t xml:space="preserve">payments has potential benefits.  ¶ Respondents generally considered that the private sector could contribute on areas such as: (i) offering services in the areas of compliance and prevention of illicit activities (e.g. AML/CFT), (ii) promoting merchant acceptance and interoperability with existing payment systems, (iii) advising on e-HKD opportunities functionalities, (iv) boosting innovation and competition, (v) sharing customer experience and expertise to enhance e-HKD features, and (vi) providing</x:t>
  </x:si>
  <x:si>
    <x:t xml:space="preserve">CAL-042-U01</x:t>
  </x:si>
  <x:si>
    <x:t xml:space="preserve">G042</x:t>
  </x:si>
  <x:si>
    <x:t xml:space="preserve">HK_HKMA_2022</x:t>
  </x:si>
  <x:si>
    <x:t xml:space="preserve">RA-040</x:t>
  </x:si>
  <x:si>
    <x:t xml:space="preserve">In Argentina, recent regulatory initiatives, such as Transferencias 3.0,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x:t>
  </x:si>
  <x:si>
    <x:t xml:space="preserve">CAL-037-U01</x:t>
  </x:si>
  <x:si>
    <x:t xml:space="preserve">G037</x:t>
  </x:si>
  <x:si>
    <x:t xml:space="preserve">RA-041</x:t>
  </x:si>
  <x:si>
    <x:t xml:space="preserve">© 22. Bytechnical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x:t>
  </x:si>
  <x:si>
    <x:t xml:space="preserve">CAL-027-U01</x:t>
  </x:si>
  <x:si>
    <x:t xml:space="preserve">G027</x:t>
  </x:si>
  <x:si>
    <x:t xml:space="preserve">TR_Turkey_Digital_Turkish_Lira_First_Phase_Evaluation_Report</x:t>
  </x:si>
  <x:si>
    <x:t xml:space="preserve">RA-042</x:t>
  </x:si>
  <x:si>
    <x:t xml:space="preserve">Systemically Important Payment Systems (SIPS) Regulation.’  ¶ Beyond ensuring neutrality towards the technology and the actors, the most advanced initiatives applying blockchain to back-office operations£ raise two more specific implementation issues: compliance With the principle of delivery versus payment {DvP) (see Chapters 5 and 18) and the use of central bank money as a settlement asset (see Chapter 5).</x:t>
  </x:si>
  <x:si>
    <x:t xml:space="preserve">RA-043</x:t>
  </x:si>
  <x:si>
    <x:t xml:space="preserve">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x:t>
  </x:si>
  <x:si>
    <x:t xml:space="preserve">CAL-078-U01</x:t>
  </x:si>
  <x:si>
    <x:t xml:space="preserve">TECH.DLT</x:t>
  </x:si>
  <x:si>
    <x:t xml:space="preserve">G078</x:t>
  </x:si>
  <x:si>
    <x:t xml:space="preserve">P10</x:t>
  </x:si>
  <x:si>
    <x:t xml:space="preserve">UA_NBU_E-hryvnia_2019</x:t>
  </x:si>
  <x:si>
    <x:t xml:space="preserve">RA-044</x:t>
  </x:si>
  <x:si>
    <x:t xml:space="preserve">Wide adoption with Niche innovation 83 15, UBIQUITY &amp; many existing  ¶ MASS ADOPTION Pavers entrocs  ¶ | A! WORKSHOPPED PREFERENCE  ¶ RBNZ’s initial preference is to ensure wide adoption of CBDC without inhibiting organic innovation opportunities. Users will be able to spend/transfer/receive CBDC using a payment method at the point of interaction that meets their needs</x:t>
  </x:si>
  <x:si>
    <x:t xml:space="preserve">RA-045</x:t>
  </x:si>
  <x:si>
    <x:t xml:space="preserve">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x:t>
  </x:si>
  <x:si>
    <x:t xml:space="preserve">CAL-013-U01</x:t>
  </x:si>
  <x:si>
    <x:t xml:space="preserve">G013</x:t>
  </x:si>
  <x:si>
    <x:t xml:space="preserve">ID_Indonesia_2023a</x:t>
  </x:si>
  <x:si>
    <x:t xml:space="preserve">RA-046</x:t>
  </x:si>
  <x:si>
    <x:t xml:space="preserve">flourishing in the existing financial system. 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x:t>
  </x:si>
  <x:si>
    <x:t xml:space="preserve">TECH.TOKEN.decided_no</x:t>
  </x:si>
  <x:si>
    <x:t xml:space="preserve">RA-047</x:t>
  </x:si>
  <x:si>
    <x:t xml:space="preserve">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x:t>
  </x:si>
  <x:si>
    <x:t xml:space="preserve">RA-048</x:t>
  </x:si>
  <x:si>
    <x:t xml:space="preserve">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t>
  </x:si>
  <x:si>
    <x:t xml:space="preserve">RA-049</x:t>
  </x:si>
  <x:si>
    <x:t xml:space="preserve">We decided to increase our efforts to experiment with the limits of technologies by utilising technologies such as blockchain, which are emerging fast with potential to play a role in payments. We define our basic strategy as managing the change in our favour to catch up with the most efficient and effective strategies for digitalisation of payment services.</x:t>
  </x:si>
  <x:si>
    <x:t xml:space="preserve">CAL-028-U01</x:t>
  </x:si>
  <x:si>
    <x:t xml:space="preserve">G028</x:t>
  </x:si>
  <x:si>
    <x:t xml:space="preserve">RA-050</x:t>
  </x:si>
  <x:si>
    <x:t xml:space="preserve">This risk makes it virtually unacceptable to apply at a national scale the solution used in the Pilot Project. The risk has to be taken into consideration in further development and reengineering of the Platform.  ¶ 4.3. Assessment of Technical Results and Specifics of Creating Platform and Its</x:t>
  </x:si>
  <x:si>
    <x:t xml:space="preserve">RA-051</x:t>
  </x:si>
  <x:si>
    <x:t xml:space="preserve">Figure 11: Conceptual Feasibility - Fraud Handling  ¶ Potential of Retail CBDC Solution:  ¶ As initiated by Siam Commercial Bank Public Company Limited, a token-based CBDC, equipped with a unique serial number (like token identifier) has the potential to significantly aid in addressing fraud-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x:t>
  </x:si>
  <x:si>
    <x:t xml:space="preserve">CAL-054-U01</x:t>
  </x:si>
  <x:si>
    <x:t xml:space="preserve">G054</x:t>
  </x:si>
  <x:si>
    <x:t xml:space="preserve">TH_Thailand_rCBDC_Conclusion_Report</x:t>
  </x:si>
  <x:si>
    <x:t xml:space="preserve">RA-052</x:t>
  </x:si>
  <x:si>
    <x:t xml:space="preserve">arbitrary information requests or use are prohibited. 7</x:t>
  </x:si>
  <x:si>
    <x:t xml:space="preserve">CAL-051-U01</x:t>
  </x:si>
  <x:si>
    <x:t xml:space="preserve">G051</x:t>
  </x:si>
  <x:si>
    <x:t xml:space="preserve">CN_China_2021</x:t>
  </x:si>
  <x:si>
    <x:t xml:space="preserve">RA-053</x:t>
  </x:si>
  <x:si>
    <x:t xml:space="preserve">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full-fledged CBDC must enable new functionalities, beyond those brought by an instant payment arrangement. Therefore, the innovation tool for which the BCB envisions the greatest potential is the development of a platform for smart payments.</x:t>
  </x:si>
  <x:si>
    <x:t xml:space="preserve">CAL-050-U01</x:t>
  </x:si>
  <x:si>
    <x:t xml:space="preserve">G050</x:t>
  </x:si>
  <x:si>
    <x:t xml:space="preserve">RA-054</x:t>
  </x:si>
  <x:si>
    <x:t xml:space="preserve">Nonetheless, a mature governance is a fundamental aspect of stable financial and payment systems.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x:t>
  </x:si>
  <x:si>
    <x:t xml:space="preserve">RA-055</x:t>
  </x:si>
  <x:si>
    <x:t xml:space="preserve">improvement of the commercial paper processing chain, back-office solution for listed and unlisted SME securities, solution for monitoring fund liabili- ties, etc.  ¶ Payments and market infrastructures in the digital era -9</x:t>
  </x:si>
  <x:si>
    <x:t xml:space="preserve">P11</x:t>
  </x:si>
  <x:si>
    <x:t xml:space="preserve">RA-056</x:t>
  </x:si>
  <x:si>
    <x:t xml:space="preserve">Electronic payments and the adoption of digital technology in Singapore has accelerated in recent years. However, the introduction of any new forms of payment instrument in the form of a digital SCD would likely require some adjustment to the user experience and might be viewed as disruptive by some.</x:t>
  </x:si>
  <x:si>
    <x:t xml:space="preserve">RA-057</x:t>
  </x:si>
  <x:si>
    <x:t xml:space="preserve">7.7.1 It will be essential to consider the way the privacy is respected, and the data is protected in a CBDC system. Privacy and data protection is an issue that is of concern to policymakers in government and other authorities and should be  ¶ considered carefully when designing CBDCs.</x:t>
  </x:si>
  <x:si>
    <x:t xml:space="preserve">RA-058</x:t>
  </x:si>
  <x:si>
    <x:t xml:space="preserve">underlying digital currency backing the PBM  ¶ in accordance to the terms and conditions  ¶ prescribed by the PBM Creator. The PBM</x:t>
  </x:si>
  <x:si>
    <x:t xml:space="preserve">P13</x:t>
  </x:si>
  <x:si>
    <x:t xml:space="preserve">RA-059</x:t>
  </x:si>
  <x:si>
    <x:t xml:space="preserve">The conclusions of this first experimental programme conducted in 2020 and 2021, which were the subject of a report? and a press release?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x:t>
  </x:si>
  <x:si>
    <x:t xml:space="preserve">RA-060</x:t>
  </x:si>
  <x:si>
    <x:t xml:space="preserve">with written feedback] and a outcome session each“.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x:t>
  </x:si>
  <x:si>
    <x:t xml:space="preserve">CAL-014-U01</x:t>
  </x:si>
  <x:si>
    <x:t xml:space="preserve">G014</x:t>
  </x:si>
  <x:si>
    <x:t xml:space="preserve">EU_ECB_ThirdProgress_2025</x:t>
  </x:si>
  <x:si>
    <x:t xml:space="preserve">RA-061</x:t>
  </x:si>
  <x:si>
    <x:t xml:space="preserve">The first objective is to provide sovereign public goods. The core responsibility of central banks is providing currency to the public. The constitution, central bank act and currency law, mandates Bank Indonesia as the sole institution with the role to manage currency as a sovereign public good in Indonesia, represented by the rupiah in various forms, to support economic activities. As the rapid innovation of technology has enabled the digital economy to flourish in Indonesia, the rupiah needs to evolve into the form of sovereign digital money to support transactions in the digital era. Unlike private or foreign digital currency, sovereign CBDC would provide the public with a direct claim on the central bank, which would ensure trust and improve the functioning of the monetary system.</x:t>
  </x:si>
  <x:si>
    <x:t xml:space="preserve">RA-062</x:t>
  </x:si>
  <x:si>
    <x:t xml:space="preserve">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x:t>
  </x:si>
  <x:si>
    <x:t xml:space="preserve">CAL-056-U01</x:t>
  </x:si>
  <x:si>
    <x:t xml:space="preserve">G056</x:t>
  </x:si>
  <x:si>
    <x:t xml:space="preserve">RA-063</x:t>
  </x:si>
  <x:si>
    <x:t xml:space="preserve">The first stage of the experiment, completed in December 2021, reviewed the technological feasibility of basic issuance, distribution, and redemption in a distributed ledger-based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x:t>
  </x:si>
  <x:si>
    <x:t xml:space="preserve">RA-064</x:t>
  </x:si>
  <x:si>
    <x:t xml:space="preserve">Unique identifiers should be used for Use of unique identifiers Strategic Workshop 2 - Focususers and their wallets within the  ¶ 6 ornot? Platform on Privacy, Holdings &amp; CBDC system. Users should also have  ¶ * Transactions the choice of using proxy identities to protect their privacy. How feasible is 4 Interoperability with existing payment interoperability with eee Workshop Bs systems and participants is feasible ‘ocus on Reliability, Safety &amp; &gt;” .</x:t>
  </x:si>
  <x:si>
    <x:t xml:space="preserve">RA-065</x:t>
  </x:si>
  <x:si>
    <x:t xml:space="preserve">information security and privacy protocols, such as designating special personnel to manage information, separating e-CNY from other businesses, applying a tiered authorization system, putting in place checks and balances, and conducting internal audits. Any</x:t>
  </x:si>
  <x:si>
    <x:t xml:space="preserve">KYC.TIER</x:t>
  </x:si>
  <x:si>
    <x:t xml:space="preserve">RA-066</x:t>
  </x:si>
  <x:si>
    <x:t xml:space="preserve">HKMA’s response for ways to address these issues accordingly. We will also initiate discussions with various stakeholders to further understand their concerns.  ¶ The HKMA recognises the importance of the involvement and contribution of the private sector in the e-HKD project. We welcome the suggestions and comments proposed by respondents, which will help enhance the e- HKD development.</x:t>
  </x:si>
  <x:si>
    <x:t xml:space="preserve">RA-067</x:t>
  </x:si>
  <x:si>
    <x:t xml:space="preserve">The US Commodities and Futures Trading Commission — the US Regulator for the commodities trading industry  ¶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x:t>
  </x:si>
  <x:si>
    <x:t xml:space="preserve">RA-068</x:t>
  </x:si>
  <x:si>
    <x:t xml:space="preserve">the broader socioeconomic development.  ¶ 3.2. Hence, the institutional design of e-MOP aims to address the demand for payment services from both public and private entities. In addition, the introduction of e-MOP is intended to boost regional competitiveness in trade and finance, aligning with Macao's vision of</x:t>
  </x:si>
  <x:si>
    <x:t xml:space="preserve">low</x:t>
  </x:si>
  <x:si>
    <x:t xml:space="preserve">RA-069</x:t>
  </x:si>
  <x:si>
    <x:t xml:space="preserve">central bank losses must be absorbed in the government's budget, as in Colombia.  ¶ However, setting the CBDC features appropriately could avoid the need for a significant substitution of central bank funding for bank deposits. In particular, the return on the CBDC could be set so that it does not exceed the marginal (average) net benefit of a deposit for an efficient price-taking bank. As an illustration of this calculation for Colombia, consider that, with a 3% inflation target, a long term natural real interest rate around 2% and an 8% reserve requirement on sight deposits, the gross marginal (average) benefit from a COP 1 deposit would be (3% + 2%)x(1-0.08) = 4.6%. Hence, a zero-nominal return, central bank balance sheet preserving CBDC would be feasible if an efficient bank's deposit and transaction marginal (average)</x:t>
  </x:si>
  <x:si>
    <x:t xml:space="preserve">Source context — use only when paragraph text is insufficient</x:t>
  </x:si>
  <x:si>
    <x:t xml:space="preserve">source_mode</x:t>
  </x:si>
  <x:si>
    <x:t xml:space="preserve">source_text</x:t>
  </x:si>
  <x:si>
    <x:t xml:space="preserve">render_file</x:t>
  </x:si>
  <x:si>
    <x:t xml:space="preserve">text</x:t>
  </x:si>
  <x:si>
    <x:t xml:space="preserve">BIS Papers No 123 53 
Importantly, loan supply would be only slightly affected, since the CBDC interest rate 
is lower than the policy rate, which is the opportunity cost for bank loans.3  
This would be a desirable outcome from the point of view of payments in the 
country, but could have an impact on bank profitability. The latter might  be an issue 
in the short run if banks faced substantial risks to their solvency. However, despite the 
challenge posed by the Covid -19 shock, Colombian banks have remained solid and 
profitability has recovered (Graph 8). In the long run, lower profitability would reflect 
reduced market power of banks, which is convenient from an efficiency standpoint .
4  
A key assumption of the previous analysis is that banks have market power on 
the deposit side and the CBDC interest rate is low enough to make deposits profitable 
for the commercial bank. But, what if deposit markets are more competitive or 
deposits and tr ansactions are costlier than assumed? In this case, the CBDC could 
crowd out some current accounts or households ’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  
Although sustaining financial intermediation through a permanent expansion of 
central bank financing of banks is possible ( see eg Brunnermeier and Niepelt ( 2019) 
and Fernandez-Villaverde et al (2020)), it might not be desirable. It implies that the 
central bank mus t permanently get involved in the selection of maturity 
transformation for the economy (which is different from setting regulatory limits to 
privately chosen maturity transformation). As stated by Fernandez -Villaverde et al 
(2020), enlarged central bank po wer in the deposit market may reduce the central 
bank’s incentives to deliver the socially optimal deposit contract (one that supports 
efficient maturity transformation) and exposes it to political pressure. Also, increased 
exposure to credit risk may imply greater reputational risk and interference with 
central bank autonomy, especially in an institutional framework in which central bank 
losses must be absorbed in the government’s budget, as in Colombia. 
However, setting the CBDC features appropriately cou ld avoid the need for a 
significant substitution of central bank funding for bank deposits. In particular, the 
return on the CBDC could be set so that it does not exceed the marginal (average) 
net benefit of a deposit for an efficient price -taking bank. As  an illustration of this 
calculation for Colombia, consider that, with a 3% inflation target, a long term natural 
real interest rate around 2% and an 8% reserve requirement on sight deposits, the 
gross marginal (average) benefit from a COP 1 deposit would be (3% + 2%)x(1 –0.08) 
= 4.6%. Hence, a zero -nominal return, central bank balance sheet preserving CBDC 
would be feasible if an efficient bank’s deposit and transaction marginal (average) 
3  In fact, Andolfatto (2020) argues that if banks match a higher return on the CBDC, total deposits 
would increase (at the expense of cash holdings). This could end up raising loan supply if the 
additional deposits relax binding liquidity regulation constraints. 
4  Torres and Casta ño (2020) report an increasingly non -competitive market structure for financial 
intermediation after the 1998 –99 financial crisis in Colombia using the Lerner index and Boone 
indicator. They also show increasing Herfindahl-Hirschman (HH) concentration indices for loans and 
deposits in the same period. Likewise, Rodríguez and Cabrera (2020) claim that loan markets exhibit 
a non-competitive structure based on the Panzar-Rosse measure, and show an increasing (although 
still moderate) concentration in the loan, savings deposit and current account deposit markets since 
2008, according to HH indices.</x:t>
  </x:si>
  <x:si>
    <x:t xml:space="preserve">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x:t>
  </x:si>
  <x:si>
    <x:t xml:space="preserve">
  Summary and Next Steps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
The project sought to achieve the right balance between tapping the 
possibility of emerging technologies while ensuring that the initiative 
remains pragmatic and grounded in addressing today’s problems and 
context. The diversity of the industry group, from the public and private 
sector, added to the richness of the learnings from the project.
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 
be tested through live trials by the public and the private sector in 2022, 
and others will be conducted in 2023. The ongoing pilots are expected to 
yield valuable insights and advanced the learning even further. 
In subsequent phases, Project Orchid will engage with a broader set 
of stakeholders and investigate a greater set of capabilities. Future 
research areas include the integration of a common QR code system, the 
fungibility of digital currencies amongst different issuers, transactional 
privacy, offline payments, digital wallet integration, and future trials where 
individuals could have options to define conditions for transfers and be 
PBM Creators in effect.
Developments in digital currency are rapidly evolving, consequently there 
may be further enhancements and innovations that might not have been 
identified. Nevertheless, MAS envisions that the efforts from the initial 
phase of Project Orchid would serve as the foundation for developing a 
financial infrastructure capable of meeting the current and future needs  
of corporates, merchants, financial institutions, FinTechs and the public 
at large.</x:t>
  </x:si>
  <x:si>
    <x:t xml:space="preserve">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x:t>
  </x:si>
  <x:si>
    <x:t xml:space="preserve">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This CP is part of Bank Indonesia's efforts to
initiate public engagement on the Digital Rupiah
design. Stakeholder inputs and views are
expected, as they would become crucial elements
for reinforcing the design of Digital Rupiah in the
next sequence of its development.
BACKGROUND
1
5
CONSULTATIVE PAPER
 POLICY STANCE REVIEW
CP publication and FGDs to establish ownership
and stakeholders’ engagement
PoC: Concept validation
before the development stage.
Prototyping: Development of
prototypes with a specific
scope.
Policy stance review on Digital Rupiah
development based on sandboxing evaluation
results
Testing the applicability
of the prototype with a
sandbox mechanism
(using dummy data).
Option for piloting is
open.
 Iterative
Process
Figure 1 Digital Rupiah 
Sequences</x:t>
  </x:si>
  <x:si>
    <x:t xml:space="preserve">preliminary methodology being developed[ ] and gathered structured stakeholder feedback from ERPB
members on key design considerations.[ ]
In parallel, the ECB has continued to engage with the market regarding how a digital euro
would fit into the European payments ecosystem.[ ] This is a key topic for policymakers,
legislators and market stakeholders alike, in view of which the ECB held extensive, dedicated
discussions with market stakeholders as part of the ERPB technical sessions on digital euro. These
discussions were tailored to each group of ERPB stakeholders: (i) bank and non-bank PSPs, (ii)
merchants, and (iii) consumers. PSP-focused discussions began in the October 2024 ERPB technical
session. Based on three core themes of “competition”[ ], “synergies”[ ], and “business model”[ ], the
ECB and digital euro stakeholders assessed a total of sixteen potential value drivers. These sessions
took place in November 2024, December 2024 and February 2025 respectively and were followed up
with written feedback[ ] and a outcome session each[ ].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
5.2 Technical input provided in the context of the legislative
discussions
The ECB engaged in discussions within EU fora regarding the strategic significance of the
digital euro, which was also acknowledged by the euro area heads of state and government.
After the Euro Summit meeting on 20 March 2025, its members issued the following statement : “In a
more fragmented and digital world, accelerating progress on a digital euro is key to support a
competitive and resilient European payment system, contribute to Europe’s economic security and
strengthen the international role of the euro. We invite the President of the Eurogroup to report
regularly on progress with these initiatives.”[ ]
8
9
10
11 12 13
14 15

The ECB regularly engages with EU institutions and provides technical input to support the
digital euro legislative process in areas such as privacy, data sharing and the use of data
outside the euro area.
16</x:t>
  </x:si>
  <x:si>
    <x:t xml:space="preserve">9 
appropriate design of e-HKD and an evaluation of whether the benefits of e -HKD, and rCBDC in 
general, outweigh its risks.   
Based on an initia l, preliminary analysis of the proposed architecture, the HKMA has identified a 
number of areas for further discussion, which are summarised as seven problem statements (Table 
1). We would like to invite the academia and industry to comment on our proposed architecture 
by making reference to the seven problem statements;  as well as  solicit new ideas and project 
proposals from them. 
1.3. Structure of this technical whitepaper 
The organisation of this whitepaper is structured with reference to the design thinking 
process, and inputs and suggestions for subsequent iterations of the whitepaper are invited.   
Chapter 2 presents the background of CBDC research, empathizing with known concerns on rCBDC 
and setting the backdrop for problem formulation.  Chapter 3 defines the problem and design issues 
to be explored in this technology study.  Chapter 4 sets out the design principles for technology 
solution ideation and Chapter 5 suggests the possible architectural designs.  Chapter 6 presents a 
preliminary evaluation and direction for further testing.   Chapter 7 outlines the areas for further 
research.      
1.4. The HKMA’s stance 
This technical whitepaper mainly pertains to the technology for the infrastructure of 
rCBDC.  It will not address whether or why a central bank should issue a n rCBDC.  Instead, it 
focuses on how a central bank can issue a n rCBDC practically if it considers that such issuance is 
desirable in the local context.  Specifically, it covers some feasible technological architectures and 
design options of the rCBDC infrastructure that could address some of the known operational 
concerns. 
The architecture proposed in this whitepaper is not a blueprint for the infrastructure of e-HKD, 
nor does it approach a decision on the CBDC distribution model chosen for implementing e -HKD.  
Rather, it should be seen as the outcome of initial research as well as a basis for initiating dialogues 
with central banks, the academia, and the wide r fintech community to collaboratively explore 
practical and robust solutions for rCBDC.</x:t>
  </x:si>
  <x:si>
    <x:t xml:space="preserve">BankAxept for mobile payments will increase cost efficiency
BankAxept has announced a number of initiatives to enable its use for
mobile payments. Vipps will probably enable payments with BankAxept in its
coming NFC solution.  There are also plans for the use of BankAxept in
terminal-based solutions such as Apple Pay and Google Pay.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It is important for co-badged cards with BankAxept to be made available for
mobile payments. In 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
3.2 Billing fees are too high
A number of cases of billing fees that are considered unreasonably high
have been highlighted in the media in recent years. These have included
billing fees for visits to a doctor, parking, road tolls and telephony. From 1
January 2023, a clause was added to the Financial Contracts Act that limits
the fee for issuing a bill to the actual cost of issuing and sending the bill. A
similar rule has applied since 2015 to bills for seeing a doctor. Despite these
rules, billing fees of up to NOK 100 have been seen.
Based on data from Norges Bank’s most recent cost survey, the cost of
issuing a bill in 2020 was between NOK 3.1 and NOK 6.4, depending on
whether it was sent electronically or by post.  This large gap between fees
and costs has two effects. One is a transfer of income from the recipient to
the issuer. The other is a loss of efficiency when the relative prices of
25
26
27
28</x:t>
  </x:si>
  <x:si>
    <x:t xml:space="preserve">Concept Note on CBDC 
45 
7.6  Central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x:t>
  </x:si>
  <x:si>
    <x:t xml:space="preserve">27 
A3. Market Research on Exuma 
Introduction 
Following the March 1, 2019 selection of the preferred te chnology solutions provider for  the 
digital currency project , the Central Bank started the groundwork for the launch of the Exuma  
Pilot, undertaking a baseline f inancial inclusion survey on the island . The survey attempted to  
assess the level of financial services available to residents relative to their needs ;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 linked mostly to the convenience of access or security 
concerns of using digital financial services. 
Methodology 
The Exuma survey was administered randomly to 519 residents, via telephone and door-to-door 
interviews in July 2019. The sample results were then weighted to reflect the demographic 
distribution of the latest population census. Persons were polled on thei r access to 
banking/financial instruments, whether they have used a mobile device or internet service to 
perform transactions with a bank or credit union, as well as the likelihood of them using a mobile 
device to conduct various electronic transactions.  
Access to Banking/Financial Institution  
Respondents indicated a higher rate of usage of basic deposit facilities than the national average. 
Some 93% indicated that they operate a deposit account within a local bank , compared to the 
national average in the 80% range. Some 2% indicated that they held a deposit account with the 
local post office, while 4% stated that they have a deposit account with a credit union, and 4% 
informed that they did not own a deposit account.</x:t>
  </x:si>
  <x:si>
    <x:t xml:space="preserve">34
3.5 Wallet Application
12. By 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
13. Regulation on the Generation and the Use of the TR QR Code in Payment Services:
https://www.tcmb.gov.tr/wps/wcm/connect/a3dd886f-ac9b-4e1e-b225-58821ccea36e/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t>
  </x:si>
  <x:si>
    <x:t xml:space="preserve">BIS Papers No 123 193 
View on CBDCs − Central Bank of the Republic of 
Türkiye 
This paper provides an overivew of the latest developments in payment ecosystems, 
and specifically central bank digital currencies (CBDCs). 
Payment ecosystems are the fastest -changing area relevant to the societal 
functions of central banks. A resilient and competitive payment ecosystem has 
become another important pillar among central banks’ main responsibilities. This 
trend has been supported by rapid development in information systems and mobile 
technologies which provide lower costs and scale economies enhancing the efficiency 
and reach of financial services. 
Compared to advanced economies (AEs), many emerging market economies 
(EMEs) have a relatively less developed financia l sector and a larger percentage of 
financially excluded population. If properly utilised, innovative technologies can 
provide EMEs a chance to leapfrog in financial services digitalisation. Thus, it is 
important for central banks and the regulatory commun ity to keep track of current 
developments and to keep regulatory frameworks up to date and adaptive to 
leapfrog potential. 
With the digitalisation of economic activity continuing to accelerate faster than 
non-adaptive payment methods can evolve, instant pa yment systems (IPS) and 
central bank digital currencies (CBDCs) have risen up the agenda of central banks. As 
societies demand safe, efficient and 24/7 instant payments, central banks cannot 
ignore new technologies. In our case, we responded to the urgent need to design, 
develop and operate an IPS by launching an in-house system, called FAST, in January 
2021. FAST has become so popular that 15.6 million customers had used it to initiate 
instant payments via a national ID number, phone number or email address within 12 
months of its launch. 
In recent years we have also noticed that although quantitative and digital data 
collection has become the new norm in central banking, the technical capacity to 
mine the data has not caught up with the expectations. Analy tical tools have not 
matched the speed of data accumulation. It has looked like there was a bottleneck in 
human resource capabilities.  
This encouraged us to make a change to turn challenges from technological 
developments into opportunities. We felt that the gap between the massive data pile 
and limited data processing capacity could be closed with a renewed approach to 
human resource management. Therefore, we established a new department that is 
totally dedicated to innovation. Then  we moved beyond the tr aditional central 
banking human resource strategies and hired from an area that is not typical for 
central banks: engineers.  
We decided to increase our efforts to experiment with the limits of technologies 
by utilising technologies such as blockchain, whi ch are emerging fast with potential 
to play a role in payments. We define our basic strategy as managing the change in 
our favour to catch up with the most efficient and effective strategies for digitalisation 
of payment services.  
Enabling cheaper cross -border payments is one area where desperation for 
innovation is so high. Higher global trade and investment with lower costs is critical</x:t>
  </x:si>
  <x:si>
    <x:t xml:space="preserve">BIS Papers No 123 113 
to respond to new payment and settlement needs in the future , such as 
programmable payments, with current technology, for example using APIs. It must 
also be noted that DLT is still in the early development stage and has shown few cases 
of real-world application beyond cryptoasset trading.  
Currently, the inefficiency of the cross -border remittance networks that rely on 
correspondent banks has been placing an additional economic burden on EMEs and 
vulnerable groups such as immigrant workers. Among various ideas for improving 
cross-border payments that are being discussed, using CBDC, in particular, has its 
perks, in that a new system could be built from scratch on a clean slate. However, in 
order to use CBDCs in cross -border payments and settlements, we should have 
sufficient discussions and coordination at the global level, not only on techn ological 
aspects, such as interoperability among related systems but also on regulator y 
framework, including sharing of identity information among jurisdictions. 
3. The BOK’s CBDC experiment study 
The BOK has been continuously expanding its professional workforce since 2017 and 
launched a dedicated CBDC unit in early 2020. It has  researched on CBDC-related 
systems and run a proof of concept (PoC) test on the feasibility of DLT to serve as the 
technological foundation of CBDC. 
Currently, the BOK is working on a CBDC experiment, which will be conducted in 
two phases from August 2021 to June 2022.15 In the experiment, virtual CBDC systems 
will be set up in a cloud environment, where the techn ological feasibility of CBDC ’s 
basic (issuance, d istribution, redemption, etc) and advanced (offline payments, etc) 
functions will be examined. 
This experiment adopts and examines : (i) hybrid architecture ; and (ii) DLT -
method ledger management as a basic model, following recommendations of 
international organis ations such as the BIS and cases of central banks of major 
countries.
16 However, the experiment is not determinative of the CBDC design, and 
the BOK plans to continue researching and reviewing other alternative designs. 
15  The first stage of the experiment, completed in December 2021, reviewed the technological feasibility 
of basic issuance, distribution, and redemption in a distributed ledger -based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 
16  In a hybrid architecture, the creation, issuance, and redemption of CBDC is performed by the central 
bank, while distribution is carried out jointly with private financial institutions. A distributed ledger is 
used by a number of part icipating institutions (including the central bank) that  confirm changes in 
CBDC-related information through a predefined consensus algorithm, and then distribute them to 
the ledgers owned by each institution to record and manage.</x:t>
  </x:si>
  <x:si>
    <x:t xml:space="preserve">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t>
  </x:si>
  <x:si>
    <x:t xml:space="preserve">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t>
  </x:si>
  <x:si>
    <x:t xml:space="preserve">Progress on the preparation phase of a digital euro 2 
Figure 1 
Timeline of the digital euro project 
This report outlines the progress of the digital euro project over the six-month period 
from May to October 20241. 
In the first quarter of 2024 the digital euro scheme’s Rulebook Development 
Group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Building on work carried out in the investigation phase, further 
experimentation and user research activities have now started, with the aim of 
1  All previous progress reports on the digital euro can be accessed on the ECB’s website. 
2  The RDG was established in January 2023 and consists of representatives from the Eurosystem 
central banks and the European retail payments market, including consumers, retailers and 
intermediary associations.</x:t>
  </x:si>
  <x:si>
    <x:t xml:space="preserve">BIS Papers No 123 97 
flourishing in the existing financial system. Additionally, the implementation of 
wCBDC might be hindered by a lack of proper infrastructure and potential 
incompatibility with other financial infrastructure. The adoption of distributed ledger 
technology (DLT) for w CBDC may raise  several issues, namely privacy, settlement 
finality, scalability, performance , and resiliency. On  the rCBDC side, the 
implementation of r 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 s 
include disintermediation and bank run  since CBDC would play a substantial role in 
facilitating the conversion of assets from commercial  bank money to central bank 
money. 
The challenges faced by Bank Indonesia in achieving its policy objectives are 
influenced by global and domestic issues that arise due to the dynamics in its 
strategic environment. Digital disruptions have compelled Bank Indonesia to adapt 
to the changing situation quickly and precisely. Bank Indonesia plans to issue CBDC 
as a response to three key drivers: first, “to emphasise BI’s role as the country’s sole 
authority for currency issuance, including in digital form, to maintain monetary 
sovereignty”; second, to take part in international initiatives among central banks or 
international organisations related to the issuance of CBDCs; and third, to spur on the 
integration of the national digital economy and financial system. 
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 Based on the main goal, three main 
objectives of CBDC issuance are being developed and will be discussed further below. 
The first objective is to provide s overeign public goods. The core 
responsibility of central banks is providing currency to the public. The constitution , 
central bank act and currency law, mandates Bank Indonesia as the sole institution 
with the role to manage currency as a sovereign public good in Indonesia , 
represented by the rupiah in various forms , to support economic activities. As the 
rapid innovation of technology has enabled  the digital economy to flourish in 
Indonesia, the rupiah needs to evolve in to the form of sovereign digital money to 
support transac tions in the digital era. Unlike private or foreign digital currency, 
sovereign CBDC would provide  the public with a direct claim on the central bank , 
which would ensure trust and improve the functioning of the monetary system. 
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 ation to sustain  monetary, 
macroprudential and payment system policy in the digital era. CBDC has the potential 
to support the fulfillment  of central bank objectives and , to some extent , could 
potentially be an essential tool for central banks in the future to enhance monetary 
and financial stability through leveraging new technologies.</x:t>
  </x:si>
  <x:si>
    <x:t xml:space="preserve">BIS Papers No 123 29 
There are many other related relevant characteristics that should be 
contemplated in the design of a CBDC, like the following: 
• Degree of anonymity – a key feature of any CBDC akin to cash: Depending on 
the objectives of the issuer, this can range from absolute anonymity to its 
absence. 
• Availability: 24x7 versus limited hours (another crucial aspect for any cash-like 
CBDC): possibility of using the system 24 hours a day, seven days a week or 
establishing a specific time of use to operate.  
• Possibility of accruing interest: depending on the issuer's objective, the CBDC 
may accrue interest (positive or even negative, in the latter case to increase the 
effectiveness of monetary policy). 
• Holding limits: in accordance with the objectives of the issuer and/or 
administrator of the CBDC, limits to the holding of the CBDC can be established. 
These could be related to different aims, such as: consumer protection, anti -
money laundering/combating the financing of terrorism, foreign exchange 
regulation.  
A large majority of CBs seem to favour a hybrid type of scheme, recognising the 
comparative advantages that the private sector has in terms of innovation and in the 
commercial relationship with the public. There seems to be a general consensus to 
promote a not fully decentralised transaction recording infrastructure and an 
account-based design.  
Several economies in Latin America and the Caribbean have launched CBDC 
schemes or pilot tests. The Bahamas was the first country to officially launch a CBDC 
(the sand dollar), in October 2020; together with Nigeria, they are the two cases of 
CBDCs fully open to the public  (Central Bank of The Bahamas (2020 )). These 
experiences shou ld be closely monitored, as well as the results of the pilot tests 
implemented by several countries, including Uruguay (with a pilot completed in 
2017–18) and the countries of the Eastern Caribbean Currency Union. Finally, looking 
at the experience of coun tries that issued CBDCs that did not become widely used, 
such as Ecuador (2014–18), can shed light on the challenges ahead.
Concluding remarks  
New technologies have changed the payment ecosystem at the global level. CBDCs, 
among other initiatives, have to  be considered one of the many tools that central 
banks may use in order to improve means of payment and monetary policy 
implementation. In EMEs, these innovations must be carefully weighed against their 
impact on financial development and on currency substitution. Since this is a systemic 
and global issue, international cooperation is of the essence. 
In Argentina, recent regulatory initiatives, such as Transferencias 3.0 ,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x:t>
  </x:si>
  <x:si>
    <x:t xml:space="preserve">08 – Considered Questions &amp; AnswersIDInitial Key Question/Area of ConcernDesign AreaWorkshop in which it will be addressedAccenture’s Initial Answers1Token based or account based?AssetStrategic Workshop 3 - Focus on Innovative PaymentsA NZ CBDC should be token-based.
2Programmable money or not?AssetStrategic Workshop 3 - Focus on Innovative PaymentsProgrammable money will not be a feature of an NZ CBDC.
3What are the options for data collection, storing and retaining on CBDC platform itself?PlatformStrategic Workshop 2 - Focus on Privacy, Holdings &amp; Transactions
Whilst the specific options for data collection and storing have not been finalised, it is recommended to proceed with the principle of minimal user information being used on the CBDC platform.
4Can a CBDC platform protect privacy while also being innovative in using data.PlatformStrategic Workshop 2 - Focus on Privacy, Holdings &amp; Transactions
Using consent frameworks and tiered usage, a CBDC can achieve the balance between privacy and innovation (as demonstrated in open banking).
5How can we ensure the safe sharing of IDs &amp; wallets etc. for payments?PlatformStrategic Workshop 2 - Focus on Privacy, Holdings &amp; Transactions
We should use the following options for secure ID sharing:•Proxy identities to protect user privacy whilst ensuring that users can verify payment recipients•User consent frameworks to ensure that consent is obtained when sharing IDs
6Use of unique identifiers or not?PlatformStrategic Workshop 2 - Focus on Privacy, Holdings &amp; Transactions
Unique identifiers should be used for users and their wallets within the CBDC system. Users should also have the choice of using proxy identities to protect their privacy.
7How feasible is interoperability with CBDC Platform and incumbents, new 3rd parties? What are the implementation barriers?PlatformStrategic Workshop 4 - Focus on Reliability, Safety &amp; Scalability and the implication on RBNZ Technology &amp; Operations
Interoperability with existing payment systems and participants is feasible using APIs. This would require standardised integration models and API documentation that new participants will need to adhere to.
8Offline - what are the financial &amp; other risksPlatformStrategic Workshop 1 - CBDC Use Cases &amp; Focus on Wide Adoption &amp; Inclusion
The risks of offline capabilities for a CBDC are as follows:•Double spending•Loss of device•Fraudulent transactions•Increased operational risk
9
What are the design options for data commercialisation whilst maintaining privacy/ inclusion? e.g. would Opt-In promote privacy goals and Opt-Out promote innovation goals?
EcosystemStrategic Workshop 2 - Focus on Privacy, Holdings &amp; TransactionsStrategic Workshop 1 - CBDC Use Cases &amp; Focus on Wide Adoption &amp; Inclusion
Using consent frameworks and tiered usage, a CBDC can achieve the balance between privacy and innovation (as demonstrated in open banking).Users should also have the option to opt-in/opt-out to cater for their choice.
The following non-exhaustive list of preliminary questions that have been considered throughout the project. Exploring the answers to these questions may be necessary in subsequent phases of the CDBC programme.</x:t>
  </x:si>
  <x:si>
    <x:t xml:space="preserve">35 
Question Feedback received HKMA’s response 
you be able to identify some trade -offs 
around such considerations? 
it is important for e -HKD to be 
interoperable with existing payment  
systems. 
(ii) A few respondents suggested that it 
would be desirable for e-HKD to be made 
convertible to e -CNY , while many  
respondents considered that using e -HKD 
to settle cross-border payments has 
potential benefits. 
for ways to address these issues accordingly.  
We will also initiate discuss ions with various 
stakeholders to further understand their 
concerns. 
10. How could the private sector contribute to 
the e-HKD journey? 
Respondents generally considered that the 
private sector could contribute on areas such 
as: (i) offering services in the are as of 
compliance and prevention of illicit activities 
(e.g. AML/CFT), (ii) promoting merchant 
acceptance and interoperability with existing 
payment systems, (iii) advising on e -HKD 
opportunities and functionalities, (iv) 
boosting innovation and competition , (v) 
sharing customer experience and expertise to 
enhance e -HKD features, and (vi) providing 
The HKMA recognises the importance of the 
involvement and contribution of the private 
sector in the e-HKD project.  We welcome the 
suggestions and comments proposed by 
respondents, which will help enhance the e -
HKD development.</x:t>
  </x:si>
  <x:si>
    <x:t xml:space="preserve">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t>
  </x:si>
  <x:si>
    <x:t xml:space="preserve">19 
products were tested in the Sandbox environment before the launch. The system provides a 
central mobile App, so bank-issued wallets may not be vital. 
Despite this the CBN was careful to ensure early collaboration with other financial 
institutions. A financial ID  (a bank verification number)  was organized before the launch , 
with the collaboration of the banks. This emphasizes the tight connection that exists between 
CBDC and digital ID. Public use of CBDC will always require some kind of secure digital 
identity. 
iv. Norges Bank, Norway 
Norway is already a country with sharply declining cash usage because of ubiquitous instant 
payment systems. The share of cash payments in Norway is probably, according to Norges 
Bank (the Central Bank), the lowest of any country in the world.  
After a period of desk research, Norges Bank launched a programme of testing for a potential 
CBDC around mid-2021, saying that it planned to examine various technical solutions for a 
potential digital Norwegian krone over a two-year period. A Norwegian blockchain company, 
Nahmii, was commissioned to create a ‘Sandbox environment’ to support CBDC 
experimentation.  
Norges Bank elected to use open -source software as a good starting -point for learning as 
much as possible in collaboration with developers and alliance partners. It has also been 
reported as having incorporated software from US Project Hamilton
9 into some of its test 
streams. As an Open-Source project, the technical Sandbox allows developers to engage either 
independently or in collaboration with Norges Bank. 
The focus of the Sandbox phase is on testing possible technical solutions combined with 
analysis of the need for a CBDC and consequences if a CBDC is introduced. Nahmii will build, 
maintain and train Norges Bank users and partners in the Sandbox environmen t. The 
expectation is that all major Norwegian banks will take part. The Sandbox, according to 
Nahmii, ‘allows for the testing of basic token management Use Cases, including minting, 
burning and transferring ERC-20 tokens.’10  
v. Lessons learned from CBDC Sandbox experiences. 
Results of experiments so far show that  Central Bank cont rol of CBDC/digital  currency 
Sandbox regimes has been successful in confirming the capabilities of blockchain systems in 
the CBDC context and especially the potential for use of smart contracts and programmable 
money. The Norwegian experiences suggests that  the open-source approach can add some  
flexibility and, as in all the cases, shows that early collaboration with the banking and FinTech 
industries is likely to deliver the richest streams of innovations that can add value to CBDCs. 
9 A project to design a  High-Performance Transaction Processor for Central Bank Digital Currencies, 
by the Federal Reserve Bank of Boston  and the ‘Digital Currency Initiative’ - a research community at 
the MIT Media Lab focused on cryptocurrency and blockchain technology  
10 ERC20 is the technical standard normally used for Ethereum-based fungible digital currency tokens.</x:t>
  </x:si>
  <x:si>
    <x:t xml:space="preserve">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
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must be ensured, including:
•  specifying information on payment in digital rubles in documents confirming the purchase of / 
payment for goods, work or services;
•  establishing a procedure (specifics) for returning money to consumers when they cancel 
transactions or return goods previously paid for using digital rubles;</x:t>
  </x:si>
  <x:si>
    <x:t xml:space="preserve">32 BIS Papers No 123 
institutions, as they are known in Brazil –  has been operational for almost a decade. 
And, finally, an instant payment system –  Pix – went live in November 2020 and has 
been very well received by the public, with more than 330 million individual keys 
(aliases) in operation.3 In a period of 12 months, Pix was the channel for the first ever 
digital money  transfer for 45 million people, an important step towards financial 
inclusion. 
These modernising initiatives are part of a broader process of digital 
transformation in our society.  Financial markets are getting reorganised to better 
deal with the flow of information generated by our daily routines. In this convergence 
of technologies and services, the use of payment information brings up potential for 
financial innovation, for the provision of new services, and for increasing the efficiency 
of currently available services. 
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 -fledged CBDC must enable new functionalities, beyond 
those brought by an instant payment arrangement. Therefore, the innovation tool for 
which the BCB envisions the greatest potential is the development of a platform for 
smart payments. 
Technologies available for smart payments, as seen in the cryptoassets 
ecosystem, open up space for new business models and are better suited to 
meeting the population's demand for natively digital means of settlement. Asset 
tokenisation and the issuance of digital assets is a reality. It is up to regulators to 
provide a safe environment so that entrepreneurs can propose innovations and a 
larger base of citizens can benefit from thes e technologies, without exposure to the 
uncertainties of an unregulated financial environment (as stated in BCB (2021c)).  
The potential for financial inclusion of these technologies is clear when 
associated with other actions promoted by central banks. As discussed in Schär 
(2021), technological features available in the cryptoassets ecosystem, such as 
standardisation and interoperability, reusability of protocols, and composability of 
financial services, may result in new products that reach their target a udience in a 
shorter period, are better suited to people’s needs, and are able to operate at lower 
average tickets than currently possible. At the same time, such features allow for a 
high degree of auditability, traceability, and transparency, providing t he necessary 
tools for supervision. 
Nonetheless, a mature governance is a fundamental aspect of stable 
financial and payment system 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 
3  The current arrangement in the Brazilian e- money market provides a synthetic CBDC (sCBDC) as 
defined in Soderberg (2022), and the instant payments system, Pix, can be seen as  the final step in 
providing such an instrument to the general population.</x:t>
  </x:si>
  <x:si>
    <x:t xml:space="preserve">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t>
  </x:si>
  <x:si>
    <x:t xml:space="preserve">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t>
  </x:si>
  <x:si>
    <x:t xml:space="preserve">Conceptual Feasibility 
Problem Statement:
In Thailand, tracing the financial pathways of financial 
crimes is time-consuming due to redundant processes 
and inefficiencies, as well as a lack of data 
connectivity in the current financial system. This delay 
causes drawbacks to the public and consumes 
extensive government resources. Even when financial 
trails are detected, entire bank accounts must be 
frozen, as it is challenging to distinguish between 
legitimate funds and illicit money within the same 
account.
Fraud Handling
Potential of Retail CBDC Solution : 
As initiated by Siam Commercial Bank Public 
Company Limited, a token -based CBDC, equipped 
with a unique serial number (like token identifier) has 
the potential to significantly aid in addressing fraud -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 
flows. 
However, it is crucial to note that while this use case is 
technically feasible, it has not yet been tested in a 
real-world scenario. Further exploration into 
governance, operations, legal implications, and the 
roles of relevant parties is essential to fully realize this 
concept.
Pilot Program - Retail CBDC Conclusion Report 33
Figure 11: Conceptual Feasibility – Fraud Handling
Source: Bank of Thailand</x:t>
  </x:si>
  <x:si>
    <x:t xml:space="preserve">5 
Glossary of Terms 
Term Definition 
AML/CFT or AMLT Measures for Anti Money Laundering and Countering the Financing of 
Terrorism 
API Application Programming Interface – a connection between systems that 
allows one system to communicate with another via request -response 
dialogues 
ASEAN The Association of South East Asian Nations – an economic community of 
10 countries in South East Asia 
BIS Bank for International Settlements, located in Basel, Switzerland is the 
forum used by Central Banks for agreeing standards. The payment 
standards body in BIS is known as CPMI – Committee on Payments and 
Market Infrastructures 
Blockchain Term used to describe a particular type of Distributed Ledger Technology 
(DLT), in which the transaction ledger for a system is created step by step 
as a series of “blocks” by a cryptographic process, so that the ledger is 
shared and validated by participants rather than one central authority . 
Blockchains used for CBDCs, however are usually under Central Bank 
governance, with access limited by permissions granted to specific 
financial organizations 
Caricom Caribbean Community – an economic co-operation arrangement between 
the Caribbean countries 
CBDC Central Bank Digital Currency – a digital currency issued and redeemed by 
a Central Bank, which may or may not use blockchain infrastructure 
CBoB Central Bank of the Bahamas 
CFTC The US Commodities and Futures Trading Commission – the US Regulator 
for the commodities trading industry 
crypto-asset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x:t>
  </x:si>
  <x:si>
    <x:t xml:space="preserve">18 
Problem statement Feedback received HKMA’s response 
(iii) Many respondents saw the need for a rigorous threat model for 
assessing the security of the technology architecture, which is 
critical to any robust and resilient design. 
(iv) Some respondents suggested that the development of a 
framework of cybersecurity controls should take a phased 
approach to test defence measures in a proof -of-concept 
environment before actual deployment.  They also highlighted 
that an infra structure for continuous monitoring of threats and 
incidents should be in place when deployed. 
5. Compliance (i) 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 
certain degree. 
(ii) There was general agreement among respondents to use the e -
HKD project as a valuable opportunity to introduce regulation-by-
design.  Many saw that CBDC would offer potential to improve the 
AML/CFT process. 
The HKMA concurs that managing competing 
design principles, with due regard to 
regulatory and compliance standards, would 
be one of the critical aspects in the design 
architecture of CBDC.  It also welc omes the 
involvement of stakeholders to understand 
their perspectives on various aspects of the 
CBDC system, such as use cases and AML/CFT 
issues.</x:t>
  </x:si>
  <x:si>
    <x:t xml:space="preserve">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t>
  </x:si>
  <x:si>
    <x:t xml:space="preserve">PROJECT ORCHID -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 
6.5 Digital Readiness 
Electronic payments and the adoption of digital 
technology in Singapore has accelerated in recent 
years. However, the introduction of any new forms 
of payment instrument in the form of a digital SGD 
would likely require some adjustment to the user 
experience and might be viewed as disruptive by 
some. 
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SGD 
and PBM. 
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 
Future research may include studying options for 
offline payment for low-value payments to reduce 
network reliance and support financial inclusion 
within the country. 
6.6 Security
If users lose their private keys to their digital 
wallets, there is no feasible way to get back access 
to the contents of their digital wallets. This also 
means that any digital asset or PBM that is stored 
within that digital wallet will be inaccessible to 
any party. One way to mitigate this risk is the 
creation of a credentials management module by 
an accountable party to preserve the private keys 
of digital wallets on behalf of users. Therefore, if 
users lose their private keys, they would be able 
to retrieve their keys via a login ID and password 
from the party. Another approach is to invalidate 
the underlying backing digital currency and 
reuse an equivalent amount to the user. This will, 
however, require coordination with the issuer of the 
underlying digital currency.
Smart contracts, which are self-executing code 
that contains the business logic for digital 
currency-based solutions, might be targeted by 
malicious actors who seek to exploit vulnerabilities 
in the smart contract code to drain funds or 
to manipulate the market, leading to a loss of 
confidence. Aside from reviewing the code itself, a 
thorough review of the information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t>
  </x:si>
  <x:si>
    <x:t xml:space="preserve">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t>
  </x:si>
  <x:si>
    <x:t xml:space="preserve">National Bank of Ukraine   
        Assessment of Pilot Project’s Outcomes 31 
so that official updates of software from external 
producers can be installed in a regular mode.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Platform, some technical issues arose, which were difficult to 
resolve given the cur 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 other developers.  
Such projects usually have the system of automated control 
over “dependency” of the software being developed on the 
source code by other developers that is used in the project, 
as well as the software version control system. Thus, creating 
a local supervised repository with al 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emergency was identified. 
It may arise if validation of transactions (closing of blocks)</x:t>
  </x:si>
  <x:si>
    <x:t xml:space="preserve">Frozen v10.1 codebook</x:t>
  </x:si>
  <x:si>
    <x:t xml:space="preserve">code</x:t>
  </x:si>
  <x:si>
    <x:t xml:space="preserve">family</x:t>
  </x:si>
  <x:si>
    <x:t xml:space="preserve">label</x:t>
  </x:si>
  <x:si>
    <x:t xml:space="preserve">definition</x:t>
  </x:si>
  <x:si>
    <x:t xml:space="preserve">code_when</x:t>
  </x:si>
  <x:si>
    <x:t xml:space="preserve">dont_code_when</x:t>
  </x:si>
  <x:si>
    <x:t xml:space="preserve">Column1</x:t>
  </x:si>
  <x:si>
    <x:t xml:space="preserve">PRIV.ANON</x:t>
  </x:si>
  <x:si>
    <x:t xml:space="preserve">PRIV</x:t>
  </x:si>
  <x:si>
    <x:t xml:space="preserve">Anonymita / pseudonymita</x:t>
  </x:si>
  <x:si>
    <x:t xml:space="preserve">Stupeň identifikovatelnosti uživatele v CBDC — od cash-like anonymity přes pseudonymitu (stable wallet ID re-identifiable by authorities) po plnou traceability. Strength 1 = okrajová zmínka, 2 = explicitní deklarace stupně, 3 = normativní/design rozhodnutí.</x:t>
  </x:si>
  <x:si>
    <x:t xml:space="preserve">Pasáž explicitně diskutuje, do jaké míry je transakce / uživatel (ne)identifikovatelný — full anonymity, threshold-based, tiered, controllable anonymity, pseudonymity, traceability, identification.</x:t>
  </x:si>
  <x:si>
    <x:t xml:space="preserve">Obecné technické zmínky o šifrování bez vazby na identitu uživatele.</x:t>
  </x:si>
  <x:si>
    <x:t xml:space="preserve">PRIV.OFF</x:t>
  </x:si>
  <x:si>
    <x:t xml:space="preserve">Offline platby (privacy)</x:t>
  </x:si>
  <x:si>
    <x:t xml:space="preserve">Privacy vlastnosti offline plateb — typicky vyšší míra anonymity, nepřítomnost online ověření.</x:t>
  </x:si>
  <x:si>
    <x:t xml:space="preserve">Pasáž zmiňuje offline payment funkcionalitu jako privacy-relevant feature (peer-to-peer, cash-like, no connectivity needed).</x:t>
  </x:si>
  <x:si>
    <x:t xml:space="preserve">Offline jako pouze resilience/connectivity argument bez privacy aspektu.</x:t>
  </x:si>
  <x:si>
    <x:t xml:space="preserve">Data minimisation / GDPR</x:t>
  </x:si>
  <x:si>
    <x:t xml:space="preserve">Princip sběru jen nezbytných dat a explicitní vazba na GDPR / data-protection právní rámec (lawful basis, data subject rights, DPIA).</x:t>
  </x:si>
  <x:si>
    <x:t xml:space="preserve">Pasáž zmiňuje data minimisation principle, GDPR alignment, právní základ zpracování, ochrana osobních údajů jako design constraint.</x:t>
  </x:si>
  <x:si>
    <x:t xml:space="preserve">Obecná zmínka 'privacy' bez vazby na minimalizaci dat nebo právní rámec.</x:t>
  </x:si>
  <x:si>
    <x:t xml:space="preserve">PRIV.PET</x:t>
  </x:si>
  <x:si>
    <x:t xml:space="preserve">Privacy-enhancing technologies</x:t>
  </x:si>
  <x:si>
    <x:t xml:space="preserve">Konkrétní PET: ZKP/zk-SNARK, homomorphic encryption, secure multi-party computation, federated learning, differential privacy, blind signatures.</x:t>
  </x:si>
  <x:si>
    <x:t xml:space="preserve">Pasáž jmenuje konkrétní kryptografickou techniku zachování privacy, nebo používá pojem PET / privacy-enhancing technology.</x:t>
  </x:si>
  <x:si>
    <x:t xml:space="preserve">Obecná zmínka 'cryptography' bez konkrétní techniky.</x:t>
  </x:si>
  <x:si>
    <x:t xml:space="preserve">Privacy ↔ AML/policy trade-off</x:t>
  </x:si>
  <x:si>
    <x:t xml:space="preserve">Diskuze napětí mezi privacy a AML/CFT/surveillance, nebo mezi privacy a jinými policy cíli (monetary policy, consumer protection, data sovereignty).</x:t>
  </x:si>
  <x:si>
    <x:t xml:space="preserve">Pasáž explicitně tematizuje trade-off mezi privacy a kontrolou/regulací (balance, tension, versus, trade-off).</x:t>
  </x:si>
  <x:si>
    <x:t xml:space="preserve">Pouhá zmínka jednoho z pólů bez explicitního trade-off.</x:t>
  </x:si>
  <x:si>
    <x:t xml:space="preserve">PRIV.CB.visibility.opaque</x:t>
  </x:si>
  <x:si>
    <x:t xml:space="preserve">CB visibility — opaque (CB nevidi)</x:t>
  </x:si>
  <x:si>
    <x:t xml:space="preserve">Centralni banka NEVIDI jednotlive transakce ani identitu uzivatelu; vidi pouze agregaty nebo zustatky zprostredkovatelu. Narrow bank model, off-ledger data, intermediary-held customer data.</x:t>
  </x:si>
  <x:si>
    <x:t xml:space="preserve">Pasaz popisuje, ze CB ma omezenou nebo zadnou viditelnost na urovni uzivatele (limited visibility, off-ledger, intermediary holds data, CB sees only aggregates).</x:t>
  </x:si>
  <x:si>
    <x:t xml:space="preserve">Obecna zminka privacy bez explicitniho vztahu k tomu, co CB vidi.</x:t>
  </x:si>
  <x:si>
    <x:t xml:space="preserve">PRIV.CB.visibility.transparent</x:t>
  </x:si>
  <x:si>
    <x:t xml:space="preserve">CB visibility — transparent (CB vidi)</x:t>
  </x:si>
  <x:si>
    <x:t xml:space="preserve">Centralni banka VIDI transakce, balance, nebo identitu uzivatelu. Bud primo (CB-operated ledger), nebo pres pristup k datum z intermediaru.</x:t>
  </x:si>
  <x:si>
    <x:t xml:space="preserve">Pasaz popisuje, ze CB vidi transakce, ma pristup k datum uzivatelu, full visibility, all transactions logged on CB ledger.</x:t>
  </x:si>
  <x:si>
    <x:t xml:space="preserve">Obecna zminka transaction monitoring bez upresneni, kdo monitoruje.</x:t>
  </x:si>
  <x:si>
    <x:t xml:space="preserve">AML.LIMIT</x:t>
  </x:si>
  <x:si>
    <x:t xml:space="preserve">AML</x:t>
  </x:si>
  <x:si>
    <x:t xml:space="preserve">Holding / transaction limits</x:t>
  </x:si>
  <x:si>
    <x:t xml:space="preserve">Wallet caps, daily/monthly limits, reverse waterfall jako AML nebo financial-stability nástroj.</x:t>
  </x:si>
  <x:si>
    <x:t xml:space="preserve">Pasáž stanovuje nebo diskutuje kvantitativní limity (CZK/EUR/USD částka, počet transakcí, holding cap).</x:t>
  </x:si>
  <x:si>
    <x:t xml:space="preserve">Limity v jiném kontextu (např. technical scalability).</x:t>
  </x:si>
  <x:si>
    <x:t xml:space="preserve">Transaction monitoring</x:t>
  </x:si>
  <x:si>
    <x:t xml:space="preserve">Systémy detekce podezřelých transakcí — real-time monitoring, ML-based detection, behavioural analytics.</x:t>
  </x:si>
  <x:si>
    <x:t xml:space="preserve">Pasáž popisuje systém monitorování CBDC transakcí pro AML účely.</x:t>
  </x:si>
  <x:si>
    <x:t xml:space="preserve">Obecné statistical reporting bez AML zaměření.</x:t>
  </x:si>
  <x:si>
    <x:t xml:space="preserve">AML.FATF</x:t>
  </x:si>
  <x:si>
    <x:t xml:space="preserve">AML regulační rámec (FATF, Travel Rule, SAR, sanctions)</x:t>
  </x:si>
  <x:si>
    <x:t xml:space="preserve">Explicitní vazba na AML/CFT regulační machinery: FATF Recommendations, Travel Rule (R.16), suspicious activity reporting (SAR/STR), sanctions/PEP screening.</x:t>
  </x:si>
  <x:si>
    <x:t xml:space="preserve">Pasáž zmiňuje FATF, Travel Rule, SAR/STR, sanctions screening, OFAC, EU/UN sanctions lists, mutual evaluation.</x:t>
  </x:si>
  <x:si>
    <x:t xml:space="preserve">Obecná zmínka 'AML compliance' bez vazby na konkrétní regulační nástroj.</x:t>
  </x:si>
  <x:si>
    <x:t xml:space="preserve">AML.RISK</x:t>
  </x:si>
  <x:si>
    <x:t xml:space="preserve">Risk-based approach</x:t>
  </x:si>
  <x:si>
    <x:t xml:space="preserve">Diferenciovaná AML/CFT opatření podle rizika (high/low risk customers, geographies, products).</x:t>
  </x:si>
  <x:si>
    <x:t xml:space="preserve">Pasáž zmiňuje risk-based approach (RBA), diferenciaci opatření podle rizikového profilu.</x:t>
  </x:si>
  <x:si>
    <x:t xml:space="preserve">Obecné risk management bez vazby na AML.</x:t>
  </x:si>
  <x:si>
    <x:t xml:space="preserve">KYC</x:t>
  </x:si>
  <x:si>
    <x:t xml:space="preserve">Tiered KYC (SDD, EDD, exemptions)</x:t>
  </x:si>
  <x:si>
    <x:t xml:space="preserve">Vícestupňový KYC — různé úrovně due diligence podle typu wallet/limitů; simplified DD pro low-value, enhanced DD pro high-risk, exemption pro offline/cash-like.</x:t>
  </x:si>
  <x:si>
    <x:t xml:space="preserve">Pasáž popisuje různé úrovně KYC podle wallet typu, limitu nebo rizika.</x:t>
  </x:si>
  <x:si>
    <x:t xml:space="preserve">Pouze jednoúrovňový KYC bez diferenciace.</x:t>
  </x:si>
  <x:si>
    <x:t xml:space="preserve">KYC.IDV</x:t>
  </x:si>
  <x:si>
    <x:t xml:space="preserve">Identity verification (onboarding)</x:t>
  </x:si>
  <x:si>
    <x:t xml:space="preserve">Mechanismy ověření totožnosti při onboardingu — eKYC, video ID, biometrie, government ID.</x:t>
  </x:si>
  <x:si>
    <x:t xml:space="preserve">Pasáž popisuje, jak se uživatel identifikuje při založení CBDC wallet/účtu.</x:t>
  </x:si>
  <x:si>
    <x:t xml:space="preserve">Authentication během transakcí bez vazby na onboarding.</x:t>
  </x:si>
  <x:si>
    <x:t xml:space="preserve">Role intermediářů (PSPs, banky)</x:t>
  </x:si>
  <x:si>
    <x:t xml:space="preserve">Role autorizovaných zprostředkovatelů (banky, PSPs) při KYC vs. role centrální banky — typicky two-tier / indirect distribution model.</x:t>
  </x:si>
  <x:si>
    <x:t xml:space="preserve">Pasáž popisuje, kdo provádí KYC (intermediář vs. centrální banka), distribution model.</x:t>
  </x:si>
  <x:si>
    <x:t xml:space="preserve">Obecná zmínka 'banks' bez vazby na KYC roli.</x:t>
  </x:si>
  <x:si>
    <x:t xml:space="preserve">TECH</x:t>
  </x:si>
  <x:si>
    <x:t xml:space="preserve">DLT vs. centralizovaný ledger</x:t>
  </x:si>
  <x:si>
    <x:t xml:space="preserve">Volba mezi distributed ledger technology (blockchain, DLT) a centralizovaným systémem.</x:t>
  </x:si>
  <x:si>
    <x:t xml:space="preserve">Pasáž explicitně diskutuje volbu DLT/blockchain vs. centrální databáze nebo uvádí zvolenou ledger architekturu pro vlastní CBDC.</x:t>
  </x:si>
  <x:si>
    <x:t xml:space="preserve">Token/account reprezentace bez explicitního tvrzení o distribuci ledgeru nebo DLT/blockchain architektuře.</x:t>
  </x:si>
  <x:si>
    <x:t xml:space="preserve">TECH.TOKEN.decided_yes</x:t>
  </x:si>
  <x:si>
    <x:t xml:space="preserve">Token architektura — rozhodnuto ANO</x:t>
  </x:si>
  <x:si>
    <x:t xml:space="preserve">Dokument ROZHODUJE pro token-based (bearer) architekturu; nikoli pouhé zvažování.</x:t>
  </x:si>
  <x:si>
    <x:t xml:space="preserve">Emitent explicitně volí token-based, bearer nebo value-based reprezentaci.</x:t>
  </x:si>
  <x:si>
    <x:t xml:space="preserve">Zmínka o DLT, blockchainu nebo kryptografických tokenech bez rozhodnutí token-versus-account.</x:t>
  </x:si>
  <x:si>
    <x:t xml:space="preserve">Token architektura — rozhodnuto NE</x:t>
  </x:si>
  <x:si>
    <x:t xml:space="preserve">Dokument ROZHODUJE proti token-based (tj. account-based); nikoli pouhé zvažování.</x:t>
  </x:si>
  <x:si>
    <x:t xml:space="preserve">Emitent explicitně odmítá token-based reprezentaci nebo volí account-based reprezentaci.</x:t>
  </x:si>
  <x:si>
    <x:t xml:space="preserve">Zmínka o centralizovaném ledgeru bez explicitního rozhodnutí token-versus-account.</x:t>
  </x:si>
  <x:si>
    <x:t xml:space="preserve">Token vs. account — zvažováno</x:t>
  </x:si>
  <x:si>
    <x:t xml:space="preserve">Architektura token/account diskutována či testována bez rozhodnutí.</x:t>
  </x:si>
  <x:si>
    <x:t xml:space="preserve">Token-versus-account reprezentace je porovnávána, diskutována nebo testována bez konečného rozhodnutí.</x:t>
  </x:si>
  <x:si>
    <x:t xml:space="preserve">DLT/blockchain je diskutován bez vazby na token-versus-account reprezentaci.</x:t>
  </x:si>
  <x:si>
    <x:t xml:space="preserve">PROG.remuneration_yes</x:t>
  </x:si>
  <x:si>
    <x:t xml:space="preserve">PROG</x:t>
  </x:si>
  <x:si>
    <x:t xml:space="preserve">Úročení — závazek ano</x:t>
  </x:si>
  <x:si>
    <x:t xml:space="preserve">Explicitní závazek CBDC úročit.</x:t>
  </x:si>
  <x:si>
    <x:t xml:space="preserve">PROG.remuneration_no</x:t>
  </x:si>
  <x:si>
    <x:t xml:space="preserve">Úročení — odmítnuto</x:t>
  </x:si>
  <x:si>
    <x:t xml:space="preserve">Explicitní rozhodnutí neúročit (zero remuneration).</x:t>
  </x:si>
  <x:si>
    <x:t xml:space="preserve">PROG.remuneration_considered</x:t>
  </x:si>
  <x:si>
    <x:t xml:space="preserve">Úročení — zvažováno</x:t>
  </x:si>
  <x:si>
    <x:t xml:space="preserve">Úročení diskutováno jako možnost, bez závazku.</x:t>
  </x:si>
  <x:si>
    <x:t xml:space="preserve">PROG.restriction</x:t>
  </x:si>
  <x:si>
    <x:t xml:space="preserve">Programová omezení použití</x:t>
  </x:si>
  <x:si>
    <x:t xml:space="preserve">Programovatelnost jako OMEZENÍ užití prostředků (účel, čas, místo, příjemce) — signál state control.</x:t>
  </x:si>
  <x:si>
    <x:t xml:space="preserve">PROG.generic</x:t>
  </x:si>
  <x:si>
    <x:t xml:space="preserve">Programovatelnost — obecně</x:t>
  </x:si>
  <x:si>
    <x:t xml:space="preserve">Obecná programovatelnost a pravidla chování CBDC platby bez restrikční povahy; zahrnuje smart contracts, podmíněné platby a autorem zahrnuté consumer-protection flows.</x:t>
  </x:si>
  <x:si>
    <x:t xml:space="preserve">Pasáž popisuje programovatelné nebo podmíněné payment logic; v této studii také explicitní CBDC pravidla pro potvrzení, storno nebo vrácení platby.</x:t>
  </x:si>
  <x:si>
    <x:t xml:space="preserve">Pouhá obecná procedura nebo právní ochrana bez vazby na chování CBDC platby.</x:t>
  </x:si>
  <x:si>
    <x:t xml:space="preserve">PROC.pilot_learning</x:t>
  </x:si>
  <x:si>
    <x:t xml:space="preserve">PROC</x:t>
  </x:si>
  <x:si>
    <x:t xml:space="preserve">Procesní poznatky z pilotů</x:t>
  </x:si>
  <x:si>
    <x:t xml:space="preserve">Provozní/testovací poznatky; nevstupuje do měr.</x:t>
  </x:si>
  <x:si>
    <x:t xml:space="preserve">Empirický provozní nebo technický poznatek z uskutečněného CBDC pilotu či testu.</x:t>
  </x:si>
  <x:si>
    <x:t xml:space="preserve">Budoucí proces, právní procedura nebo designové pravidlo bez výsledku pilotu.</x:t>
  </x:si>
  <x:si>
    <x:t xml:space="preserve">LEGAL</x:t>
  </x:si>
  <x:si>
    <x:t xml:space="preserve">Právní základ</x:t>
  </x:si>
  <x:si>
    <x:t xml:space="preserve">Legislativní rámec a mandát; nevstupuje do měr.</x:t>
  </x:si>
  <x:si>
    <x:t xml:space="preserve">INST.mandate</x:t>
  </x:si>
  <x:si>
    <x:t xml:space="preserve">INST</x:t>
  </x:si>
  <x:si>
    <x:t xml:space="preserve">Institucionální mandát</x:t>
  </x:si>
  <x:si>
    <x:t xml:space="preserve">Role institucí, governance; nevstupuje do měr.</x:t>
  </x:si>
  <x:si>
    <x:t xml:space="preserve">OTHER.keep</x:t>
  </x:si>
  <x:si>
    <x:t xml:space="preserve">OTHER</x:t>
  </x:si>
  <x:si>
    <x:t xml:space="preserve">Validní výrok mimo rodiny</x:t>
  </x:si>
  <x:si>
    <x:t xml:space="preserve">Design-relevantní výrok mimo rodiny; nevstupuje do měr.</x:t>
  </x:si>
  <x:si>
    <x:t xml:space="preserve">INTEROP</x:t>
  </x:si>
  <x:si>
    <x:t xml:space="preserve">Domestic convertibility &amp; integration</x:t>
  </x:si>
  <x:si>
    <x:t xml:space="preserve">Domestic convertibility &amp; integration: par with bank money, fund/defund, settlement, wholesale/interbank</x:t>
  </x:si>
  <x:si>
    <x:t xml:space="preserve">Cross-border</x:t>
  </x:si>
  <x:si>
    <x:t xml:space="preserve">Cross-border: mCBDC, corridors, remittances, FX</x:t>
  </x:si>
  <x:si>
    <x:t xml:space="preserve">CASH</x:t>
  </x:si>
  <x:si>
    <x:t xml:space="preserve">Relationship to cash</x:t>
  </x:si>
  <x:si>
    <x:t xml:space="preserve">Relationship to cash: complement/substitute, coexistence, conversion, legal tender</x:t>
  </x:si>
  <x:si>
    <x:t xml:space="preserve">ACCESS</x:t>
  </x:si>
  <x:si>
    <x:t xml:space="preserve">Universal access</x:t>
  </x:si>
  <x:si>
    <x:t xml:space="preserve">Universal access: no-account users, disabilities, rural, offline as reach</x:t>
  </x:si>
  <x:si>
    <x:t xml:space="preserve">STAB.disintermediation</x:t>
  </x:si>
  <x:si>
    <x:t xml:space="preserve">STAB</x:t>
  </x:si>
  <x:si>
    <x:t xml:space="preserve">Financial stability</x:t>
  </x:si>
  <x:si>
    <x:t xml:space="preserve">Financial stability: deposits, balance sheets, lending</x:t>
  </x:si>
  <x:si>
    <x:t xml:space="preserve">remove this one</x:t>
  </x:si>
  <x:si>
    <x:t xml:space="preserve">OPS.resilience</x:t>
  </x:si>
  <x:si>
    <x:t xml:space="preserve">OPS</x:t>
  </x:si>
  <x:si>
    <x:t xml:space="preserve">Operational resilience</x:t>
  </x:si>
  <x:si>
    <x:t xml:space="preserve">Operational resilience: cyber, continuity, fraud, availability</x:t>
  </x:si>
  <x:si>
    <x:t xml:space="preserve">ADOPT</x:t>
  </x:si>
  <x:si>
    <x:t xml:space="preserve">Adoption &amp; UX</x:t>
  </x:si>
  <x:si>
    <x:t xml:space="preserve">Adoption &amp; UX: convenience, merchants, fees, incentives, use cases</x:t>
  </x:si>
  <x:si>
    <x:t xml:space="preserve">merge adoption and interop domestic</x:t>
  </x:si>
  <x:si>
    <x:t xml:space="preserve">SYS.design</x:t>
  </x:si>
  <x:si>
    <x:t xml:space="preserve">SYS</x:t>
  </x:si>
  <x:si>
    <x:t xml:space="preserve">Core system design &amp; operating model</x:t>
  </x:si>
  <x:si>
    <x:t xml:space="preserve">Core system design &amp; operating model: issuance, operator roles, components, wallet parameters</x:t>
  </x:si>
  <x:si>
    <x:t xml:space="preserve">Completion control</x:t>
  </x:si>
  <x:si>
    <x:t xml:space="preserve">Metric</x:t>
  </x:si>
  <x:si>
    <x:t xml:space="preserve">Value</x:t>
  </x:si>
  <x:si>
    <x:t xml:space="preserve">Total cases</x:t>
  </x:si>
  <x:si>
    <x:t xml:space="preserve">Complete</x:t>
  </x:si>
  <x:si>
    <x:t xml:space="preserve">Incomplete</x:t>
  </x:si>
  <x:si>
    <x:t xml:space="preserve">Keep</x:t>
  </x:si>
  <x:si>
    <x:t xml:space="preserve">Needs context</x:t>
  </x:si>
  <x:si>
    <x:t xml:space="preserve">Code required</x:t>
  </x:si>
  <x:si>
    <x:t xml:space="preserve">Reason required</x:t>
  </x:si>
</x:sst>
</file>

<file path=xl/styles.xml><?xml version="1.0" encoding="utf-8"?>
<x:styleSheet xmlns:x="http://schemas.openxmlformats.org/spreadsheetml/2006/main">
  <x:fonts count="6">
    <x:font>
      <x:sz val="11"/>
      <x:name val="Carlito"/>
    </x:font>
    <x:font>
      <x:b/>
      <x:sz val="16"/>
      <x:color rgb="FFFFFFFF"/>
      <x:name val="Carlito"/>
    </x:font>
    <x:font>
      <x:b/>
      <x:sz val="11"/>
      <x:color rgb="FF17324D"/>
      <x:name val="Carlito"/>
    </x:font>
    <x:font>
      <x:b/>
      <x:sz val="15"/>
      <x:color rgb="FFFFFFFF"/>
      <x:name val="Carlito"/>
    </x:font>
    <x:font>
      <x:sz val="11"/>
      <x:color rgb="FF6B4E00"/>
      <x:name val="Carlito"/>
    </x:font>
    <x:font>
      <x:b/>
      <x:sz val="11"/>
      <x:color rgb="FFFFFFFF"/>
      <x:name val="Carlito"/>
    </x:font>
  </x:fonts>
  <x:fills count="10">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FFF1CC"/>
      </x:patternFill>
    </x:fill>
    <x:fill>
      <x:patternFill patternType="solid">
        <x:fgColor rgb="FF0F766E"/>
      </x:patternFill>
    </x:fill>
    <x:fill>
      <x:patternFill patternType="solid">
        <x:fgColor rgb="FFFFFDF3"/>
      </x:patternFill>
    </x:fill>
    <x:fill>
      <x:patternFill patternType="solid">
        <x:fgColor rgb="FFFFFF00"/>
      </x:patternFill>
    </x:fill>
    <x:fill>
      <x:patternFill patternType="solid">
        <x:fgColor rgb="FF193651"/>
      </x:patternFill>
    </x:fill>
    <x:fill>
      <x:patternFill patternType="solid">
        <x:fgColor rgb="FF0F766E"/>
      </x:patternFill>
    </x:fill>
  </x:fills>
  <x:borders count="11">
    <x:border/>
    <x:border>
      <x:right style="thin">
        <x:color rgb="FFD8E0E6"/>
      </x:right>
      <x:bottom style="thin">
        <x:color rgb="FFD8E0E6"/>
      </x:bottom>
    </x:border>
    <x:border>
      <x:left style="thin">
        <x:color rgb="FFD8E0E6"/>
      </x:left>
      <x:bottom style="thin">
        <x:color rgb="FFD8E0E6"/>
      </x:bottom>
    </x:border>
    <x:border>
      <x:right style="thin">
        <x:color rgb="FFD8E0E6"/>
      </x:right>
      <x:top style="thin">
        <x:color rgb="FFD8E0E6"/>
      </x:top>
      <x:bottom style="thin">
        <x:color rgb="FFD8E0E6"/>
      </x:bottom>
    </x:border>
    <x:border>
      <x:left style="thin">
        <x:color rgb="FFD8E0E6"/>
      </x:left>
      <x:top style="thin">
        <x:color rgb="FFD8E0E6"/>
      </x:top>
      <x:bottom style="thin">
        <x:color rgb="FFD8E0E6"/>
      </x:bottom>
    </x:border>
    <x:border>
      <x:right style="thin">
        <x:color rgb="FFD8E0E6"/>
      </x:right>
      <x:top style="thin">
        <x:color rgb="FFD8E0E6"/>
      </x:top>
    </x:border>
    <x:border>
      <x:left style="thin">
        <x:color rgb="FFD8E0E6"/>
      </x:left>
      <x:top style="thin">
        <x:color rgb="FFD8E0E6"/>
      </x:top>
    </x:border>
    <x:border>
      <x:left style="thin">
        <x:color rgb="FFD8E0E6"/>
      </x:left>
      <x:right style="thin">
        <x:color rgb="FFD8E0E6"/>
      </x:right>
      <x:bottom style="thin">
        <x:color rgb="FFD8E0E6"/>
      </x:bottom>
    </x:border>
    <x:border>
      <x:left style="thin">
        <x:color rgb="FFD8E0E6"/>
      </x:left>
      <x:right style="thin">
        <x:color rgb="FFD8E0E6"/>
      </x:right>
      <x:top style="thin">
        <x:color rgb="FFD8E0E6"/>
      </x:top>
      <x:bottom style="thin">
        <x:color rgb="FFD8E0E6"/>
      </x:bottom>
    </x:border>
    <x:border>
      <x:left style="thin">
        <x:color rgb="FFD8E0E6"/>
      </x:left>
      <x:right style="thin">
        <x:color rgb="FFD8E0E6"/>
      </x:right>
      <x:top style="thin">
        <x:color rgb="FFD8E0E6"/>
      </x:top>
    </x:border>
    <x:border>
      <x:left style="thin">
        <x:color rgb="FFD6E0E8"/>
      </x:left>
      <x:right style="thin">
        <x:color rgb="FFD6E0E8"/>
      </x:right>
      <x:top style="thin">
        <x:color rgb="FFD6E0E8"/>
      </x:top>
      <x:bottom style="thin">
        <x:color rgb="FFD6E0E8"/>
      </x:bottom>
    </x:border>
  </x:borders>
  <x:cellStyleXfs count="1">
    <x:xf numFmtId="0" fontId="0" fillId="0" borderId="0"/>
  </x:cellStyleXfs>
  <x:cellXfs count="50">
    <x:xf numFmtId="0" fontId="0" fillId="0" borderId="0" xfId="0"/>
    <x:xf numFmtId="0" fontId="2" fillId="3" borderId="1" xfId="0" applyFont="1" applyFill="1" applyBorder="1" applyAlignment="1">
      <x:alignment vertical="top"/>
    </x:xf>
    <x:xf numFmtId="0" fontId="0" fillId="0" borderId="2" xfId="0" applyBorder="1" applyAlignment="1">
      <x:alignment vertical="top" wrapText="1"/>
    </x:xf>
    <x:xf numFmtId="0" fontId="2" fillId="3" borderId="3" xfId="0" applyFont="1" applyFill="1" applyBorder="1" applyAlignment="1">
      <x:alignment vertical="top"/>
    </x:xf>
    <x:xf numFmtId="0" fontId="0" fillId="0" borderId="4" xfId="0" applyBorder="1" applyAlignment="1">
      <x:alignment vertical="top" wrapText="1"/>
    </x:xf>
    <x:xf numFmtId="0" fontId="2" fillId="3" borderId="5" xfId="0" applyFont="1" applyFill="1" applyBorder="1" applyAlignment="1">
      <x:alignment vertical="top"/>
    </x:xf>
    <x:xf numFmtId="0" fontId="0" fillId="0" borderId="6" xfId="0" applyBorder="1" applyAlignment="1">
      <x:alignment vertical="top" wrapText="1"/>
    </x:xf>
    <x:xf numFmtId="0" fontId="5" fillId="5" borderId="1" xfId="0" applyFont="1" applyFill="1" applyBorder="1" applyAlignment="1">
      <x:alignment wrapText="1"/>
    </x:xf>
    <x:xf numFmtId="0" fontId="5" fillId="5" borderId="7" xfId="0" applyFont="1" applyFill="1" applyBorder="1" applyAlignment="1">
      <x:alignment wrapText="1"/>
    </x:xf>
    <x:xf numFmtId="0" fontId="5" fillId="5" borderId="2" xfId="0" applyFont="1" applyFill="1" applyBorder="1" applyAlignment="1">
      <x:alignment wrapText="1"/>
    </x:xf>
    <x:xf numFmtId="0" fontId="0" fillId="0" borderId="3" xfId="0" applyBorder="1" applyAlignment="1">
      <x:alignment vertical="top"/>
    </x:xf>
    <x:xf numFmtId="0" fontId="0" fillId="0" borderId="8" xfId="0" applyBorder="1" applyAlignment="1">
      <x:alignment vertical="top" wrapText="1"/>
    </x:xf>
    <x:xf numFmtId="0" fontId="0" fillId="0" borderId="8" xfId="0" applyBorder="1" applyAlignment="1">
      <x:alignment vertical="top"/>
    </x:xf>
    <x:xf numFmtId="0" fontId="0" fillId="6" borderId="8" xfId="0" applyFill="1" applyBorder="1" applyAlignment="1">
      <x:alignment vertical="top"/>
    </x:xf>
    <x:xf numFmtId="0" fontId="0" fillId="6" borderId="8" xfId="0" applyFill="1" applyBorder="1" applyAlignment="1">
      <x:alignment vertical="top" wrapText="1"/>
    </x:xf>
    <x:xf numFmtId="0" fontId="0" fillId="0" borderId="4" xfId="0" applyBorder="1" applyAlignment="1">
      <x:alignment vertical="top"/>
    </x:xf>
    <x:xf numFmtId="0" fontId="0" fillId="0" borderId="5" xfId="0" applyBorder="1" applyAlignment="1">
      <x:alignment vertical="top"/>
    </x:xf>
    <x:xf numFmtId="0" fontId="0" fillId="0" borderId="9" xfId="0" applyBorder="1" applyAlignment="1">
      <x:alignment vertical="top" wrapText="1"/>
    </x:xf>
    <x:xf numFmtId="0" fontId="0" fillId="0" borderId="9" xfId="0" applyBorder="1" applyAlignment="1">
      <x:alignment vertical="top"/>
    </x:xf>
    <x:xf numFmtId="0" fontId="0" fillId="6" borderId="9" xfId="0" applyFill="1" applyBorder="1" applyAlignment="1">
      <x:alignment vertical="top" wrapText="1"/>
    </x:xf>
    <x:xf numFmtId="0" fontId="0" fillId="0" borderId="6" xfId="0" applyBorder="1" applyAlignment="1">
      <x:alignment vertical="top"/>
    </x:xf>
    <x:xf numFmtId="0" fontId="5" fillId="5" borderId="1" xfId="0" applyFont="1" applyFill="1" applyBorder="1"/>
    <x:xf numFmtId="0" fontId="5" fillId="5" borderId="7" xfId="0" applyFont="1" applyFill="1" applyBorder="1"/>
    <x:xf numFmtId="0" fontId="5" fillId="5" borderId="2" xfId="0" applyFont="1" applyFill="1" applyBorder="1"/>
    <x:xf numFmtId="0" fontId="0" fillId="0" borderId="3" xfId="0" applyBorder="1" applyAlignment="1">
      <x:alignment wrapText="1"/>
    </x:xf>
    <x:xf numFmtId="0" fontId="0" fillId="0" borderId="8" xfId="0" applyBorder="1" applyAlignment="1">
      <x:alignment wrapText="1"/>
    </x:xf>
    <x:xf numFmtId="0" fontId="0" fillId="0" borderId="4" xfId="0" applyBorder="1" applyAlignment="1">
      <x:alignment wrapText="1"/>
    </x:xf>
    <x:xf numFmtId="0" fontId="0" fillId="0" borderId="5" xfId="0" applyBorder="1" applyAlignment="1">
      <x:alignment wrapText="1"/>
    </x:xf>
    <x:xf numFmtId="0" fontId="0" fillId="0" borderId="9" xfId="0" applyBorder="1" applyAlignment="1">
      <x:alignment wrapText="1"/>
    </x:xf>
    <x:xf numFmtId="0" fontId="0" fillId="0" borderId="6" xfId="0" applyBorder="1" applyAlignment="1">
      <x:alignment wrapText="1"/>
    </x:xf>
    <x:xf numFmtId="0" fontId="2" fillId="3" borderId="3" xfId="0" applyFont="1" applyFill="1" applyBorder="1"/>
    <x:xf numFmtId="0" fontId="2" fillId="3" borderId="5" xfId="0" applyFont="1" applyFill="1" applyBorder="1"/>
    <x:xf numFmtId="3" fontId="0" fillId="0" borderId="4" xfId="0" applyNumberFormat="1" applyBorder="1"/>
    <x:xf numFmtId="3" fontId="0" fillId="0" borderId="6" xfId="0" applyNumberFormat="1" applyBorder="1"/>
    <x:xf numFmtId="0" fontId="0" fillId="7" borderId="0" xfId="0" applyFill="1"/>
    <x:xf numFmtId="0" fontId="3" fillId="2" borderId="0" xfId="0" applyFont="1" applyFill="1"/>
    <x:xf numFmtId="0" fontId="4" fillId="4" borderId="0" xfId="0" applyFont="1" applyFill="1" applyAlignment="1">
      <x:alignment wrapText="1"/>
    </x:xf>
    <x:xf numFmtId="0" fontId="1" fillId="2" borderId="0" xfId="0" applyFont="1" applyFill="1"/>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9" borderId="1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5" fillId="9" borderId="10" xfId="0" applyNumberFormat="1" applyFont="1" applyFill="1" applyBorder="1"/>
    <x:xf numFmtId="0" fontId="0" fillId="0" borderId="10" xfId="0" applyNumberFormat="1" applyFont="1" applyFill="1" applyBorder="1"/>
  </x:cellXfs>
  <x:cellStyles count="1">
    <x:cellStyle name="Normal" xfId="0"/>
  </x:cellStyles>
  <x:dxfs count="8">
    <x:dxf>
      <x:font>
        <x:b/>
        <x:color rgb="FF8A1C1C"/>
      </x:font>
      <x:fill>
        <x:patternFill>
          <x:bgColor rgb="FFFDE8E7"/>
        </x:patternFill>
      </x:fill>
    </x:dxf>
    <x:dxf>
      <x:font>
        <x:b/>
        <x:color rgb="FF14532D"/>
      </x:font>
      <x:fill>
        <x:patternFill>
          <x:bgColor rgb="FFDDF4EF"/>
        </x:patternFill>
      </x:fill>
    </x:dxf>
    <x:dxf>
      <x:font>
        <x:color rgb="FF8A1C1C"/>
      </x:font>
      <x:fill>
        <x:patternFill>
          <x:bgColor rgb="FFFDE8E7"/>
        </x:patternFill>
      </x:fill>
    </x:dxf>
    <x:dxf>
      <x:font>
        <x:b/>
        <x:color rgb="FF14532D"/>
      </x:font>
      <x:fill>
        <x:patternFill>
          <x:bgColor rgb="FFDDF4EF"/>
        </x:patternFill>
      </x:fill>
    </x:dxf>
    <x:dxf>
      <x:fill>
        <x:patternFill>
          <x:bgColor indexed="64"/>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572d3c39154e81" /><Relationship Type="http://schemas.openxmlformats.org/officeDocument/2006/relationships/theme" Target="/xl/theme/theme1.xml" Id="R120fbd7a16dd45ef" /><Relationship Type="http://schemas.openxmlformats.org/officeDocument/2006/relationships/sharedStrings" Target="/xl/sharedStrings.xml" Id="Rc68854c82d6b47ee" /><Relationship Type="http://schemas.openxmlformats.org/officeDocument/2006/relationships/worksheet" Target="/xl/worksheets/sheet1.xml" Id="R7ddeaaf1b7a44300" /><Relationship Type="http://schemas.openxmlformats.org/officeDocument/2006/relationships/worksheet" Target="/xl/worksheets/sheet2.xml" Id="R28abef46955e4d20" /><Relationship Type="http://schemas.openxmlformats.org/officeDocument/2006/relationships/worksheet" Target="/xl/worksheets/sheet3.xml" Id="R91e5647b41ae42bd" /><Relationship Type="http://schemas.openxmlformats.org/officeDocument/2006/relationships/worksheet" Target="/xl/worksheets/sheet4.xml" Id="R3d1d8a7edeef4553" /><Relationship Type="http://schemas.openxmlformats.org/officeDocument/2006/relationships/worksheet" Target="/xl/worksheets/sheet5.xml" Id="Rdad362bd86e7450c" /><Relationship Type="http://schemas.openxmlformats.org/officeDocument/2006/relationships/worksheet" Target="/xl/worksheets/sheet6.xml" Id="R504207b07fde47c4" /></Relationships>
</file>

<file path=xl/tables/table1.xml><?xml version="1.0" encoding="utf-8"?>
<x:table xmlns:x="http://schemas.openxmlformats.org/spreadsheetml/2006/main" id="1" name="BlindReviewTable" displayName="BlindReviewTable" ref="A4:S73" totalsRowShown="0">
  <x:tableColumns count="19">
    <x:tableColumn id="1" name="review_case_id"/>
    <x:tableColumn id="2" name="paragraph_text"/>
    <x:tableColumn id="3" name="context_unit_id"/>
    <x:tableColumn id="4" name="own_project"/>
    <x:tableColumn id="5" name="complete_claim"/>
    <x:tableColumn id="6" name="eligible_claim_type"/>
    <x:tableColumn id="7" name="exclusion_trigger"/>
    <x:tableColumn id="8" name="final_decision"/>
    <x:tableColumn id="9" name="code_if_keep"/>
    <x:tableColumn id="10" name="confidence"/>
    <x:tableColumn id="11" name="adjudicator"/>
    <x:tableColumn id="12" name="notes"/>
    <x:tableColumn id="13" name="qc_status"/>
    <x:tableColumn id="14" name="gold_id"/>
    <x:tableColumn id="15" name="paragraph_id"/>
    <x:tableColumn id="16" name="doc_id"/>
    <x:tableColumn id="17" name="page"/>
    <x:tableColumn id="18" name="stratum"/>
    <x:tableColumn id="19" name="language"/>
  </x:tableColumns>
  <x:tableStyleInfo name="TableStyleMedium2" showFirstColumn="0" showLastColumn="0" showRowStripes="1" showColumnStripes="0"/>
</x:table>
</file>

<file path=xl/tables/table2.xml><?xml version="1.0" encoding="utf-8"?>
<x:table xmlns:x="http://schemas.openxmlformats.org/spreadsheetml/2006/main" id="2" name="ContextTable" displayName="ContextTable" ref="A3:G36" totalsRowShown="0">
  <x:tableColumns count="7">
    <x:tableColumn id="1" name="context_unit_id"/>
    <x:tableColumn id="2" name="doc_id"/>
    <x:tableColumn id="3" name="page"/>
    <x:tableColumn id="4" name="language"/>
    <x:tableColumn id="5" name="source_mode"/>
    <x:tableColumn id="6" name="source_text"/>
    <x:tableColumn id="7" name="render_file"/>
  </x:tableColumns>
  <x:tableStyleInfo name="TableStyleMedium2" showFirstColumn="0" showLastColumn="0" showRowStripes="1" showColumnStripes="0"/>
</x:table>
</file>

<file path=xl/tables/table3.xml><?xml version="1.0" encoding="utf-8"?>
<x:table xmlns:x="http://schemas.openxmlformats.org/spreadsheetml/2006/main" id="3" name="CodebookTable" displayName="CodebookTable" ref="A3:G38" totalsRowShown="0">
  <x:tableColumns count="7">
    <x:tableColumn id="1" name="code"/>
    <x:tableColumn id="2" name="family"/>
    <x:tableColumn id="3" name="label"/>
    <x:tableColumn id="4" name="definition"/>
    <x:tableColumn id="5" name="code_when"/>
    <x:tableColumn id="6" name="dont_code_when"/>
    <x:tableColumn id="7" name="Column1" dataDxfId="4"/>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4ff608b9e042af" /></Relationships>
</file>

<file path=xl/worksheets/_rels/sheet3.xml.rels>&#65279;<?xml version="1.0" encoding="utf-8"?><Relationships xmlns="http://schemas.openxmlformats.org/package/2006/relationships"><Relationship Type="http://schemas.openxmlformats.org/officeDocument/2006/relationships/table" Target="/xl/tables/table2.xml" Id="R7afca28140b3402c" /></Relationships>
</file>

<file path=xl/worksheets/_rels/sheet4.xml.rels>&#65279;<?xml version="1.0" encoding="utf-8"?><Relationships xmlns="http://schemas.openxmlformats.org/package/2006/relationships"><Relationship Type="http://schemas.openxmlformats.org/officeDocument/2006/relationships/table" Target="/xl/tables/table3.xml" Id="Rbdccb590a8ff496a" /></Relationships>
</file>

<file path=xl/worksheets/sheet1.xml><?xml version="1.0" encoding="utf-8"?>
<x:worksheet xmlns:x="http://schemas.openxmlformats.org/spreadsheetml/2006/main">
  <x:sheetViews>
    <x:sheetView showGridLines="0" workbookViewId="0"/>
  </x:sheetViews>
  <x:sheetFormatPr defaultRowHeight="14"/>
  <x:cols>
    <x:col min="1" max="1" width="22" customWidth="1"/>
    <x:col min="2" max="2" width="105" customWidth="1"/>
  </x:cols>
  <x:sheetData>
    <x:row r="1" ht="30" customHeight="1">
      <x:c r="A1" s="37" t="s">
        <x:v>0</x:v>
      </x:c>
      <x:c r="B1" s="37"/>
      <x:c r="C1" s="37"/>
      <x:c r="D1" s="37"/>
      <x:c r="E1" s="37"/>
      <x:c r="F1" s="37"/>
      <x:c r="G1" s="37"/>
      <x:c r="H1" s="37"/>
    </x:row>
    <x:row r="3" ht="42" customHeight="1">
      <x:c r="A3" s="1" t="s">
        <x:v>1</x:v>
      </x:c>
      <x:c r="B3" s="2" t="s">
        <x:v>2</x:v>
      </x:c>
    </x:row>
    <x:row r="4" ht="42" customHeight="1">
      <x:c r="A4" s="3" t="s">
        <x:v>3</x:v>
      </x:c>
      <x:c r="B4" s="4" t="s">
        <x:v>4</x:v>
      </x:c>
    </x:row>
    <x:row r="5" ht="42" customHeight="1">
      <x:c r="A5" s="3" t="s">
        <x:v>5</x:v>
      </x:c>
      <x:c r="B5" s="4" t="s">
        <x:v>6</x:v>
      </x:c>
    </x:row>
    <x:row r="6" ht="42" customHeight="1">
      <x:c r="A6" s="3" t="s">
        <x:v>7</x:v>
      </x:c>
      <x:c r="B6" s="4" t="s">
        <x:v>8</x:v>
      </x:c>
    </x:row>
    <x:row r="7" ht="42" customHeight="1">
      <x:c r="A7" s="3" t="s">
        <x:v>9</x:v>
      </x:c>
      <x:c r="B7" s="4" t="s">
        <x:v>10</x:v>
      </x:c>
    </x:row>
    <x:row r="8" ht="42" customHeight="1">
      <x:c r="A8" s="3" t="s">
        <x:v>11</x:v>
      </x:c>
      <x:c r="B8" s="4" t="s">
        <x:v>12</x:v>
      </x:c>
    </x:row>
    <x:row r="9" ht="42" customHeight="1">
      <x:c r="A9" s="3" t="s">
        <x:v>13</x:v>
      </x:c>
      <x:c r="B9" s="4" t="s">
        <x:v>14</x:v>
      </x:c>
    </x:row>
    <x:row r="10" ht="42" customHeight="1">
      <x:c r="A10" s="3" t="s">
        <x:v>15</x:v>
      </x:c>
      <x:c r="B10" s="4" t="s">
        <x:v>16</x:v>
      </x:c>
    </x:row>
    <x:row r="11" ht="42" customHeight="1">
      <x:c r="A11" s="3" t="s">
        <x:v>17</x:v>
      </x:c>
      <x:c r="B11" s="4" t="s">
        <x:v>18</x:v>
      </x:c>
    </x:row>
    <x:row r="12" ht="42" customHeight="1">
      <x:c r="A12" s="3" t="s">
        <x:v>19</x:v>
      </x:c>
      <x:c r="B12" s="4" t="s">
        <x:v>20</x:v>
      </x:c>
    </x:row>
    <x:row r="13" ht="42" customHeight="1">
      <x:c r="A13" s="3" t="s">
        <x:v>21</x:v>
      </x:c>
      <x:c r="B13" s="4" t="s">
        <x:v>22</x:v>
      </x:c>
    </x:row>
    <x:row r="14" ht="42" customHeight="1">
      <x:c r="A14" s="5" t="s">
        <x:v>23</x:v>
      </x:c>
      <x:c r="B14" s="6" t="s">
        <x:v>24</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
  <x:cols>
    <x:col min="1" max="1" width="14" customWidth="1"/>
    <x:col min="2" max="2" width="129.4140625" customWidth="1"/>
    <x:col min="3" max="3" width="54.83203125" customWidth="1"/>
    <x:col min="4" max="4" width="13" customWidth="1"/>
    <x:col min="5" max="5" width="15" customWidth="1"/>
    <x:col min="6" max="6" width="28" customWidth="1"/>
    <x:col min="7" max="7" width="31" customWidth="1"/>
    <x:col min="8" max="8" width="17" customWidth="1"/>
    <x:col min="9" max="9" width="28" customWidth="1"/>
    <x:col min="10" max="10" width="12" customWidth="1"/>
    <x:col min="11" max="11" width="13" customWidth="1"/>
    <x:col min="12" max="12" width="38" customWidth="1"/>
    <x:col min="13" max="13" width="18" customWidth="1"/>
    <x:col min="14" max="14" width="10" customWidth="1"/>
    <x:col min="15" max="15" width="12" customWidth="1"/>
    <x:col min="16" max="16" width="36" customWidth="1"/>
    <x:col min="17" max="17" width="8" customWidth="1"/>
    <x:col min="18" max="18" width="18" customWidth="1"/>
    <x:col min="19" max="19" width="12" customWidth="1"/>
  </x:cols>
  <x:sheetData>
    <x:row r="1" ht="28" customHeight="1">
      <x:c r="A1" s="35" t="s">
        <x:v>25</x:v>
      </x:c>
      <x:c r="B1" s="35"/>
      <x:c r="C1" s="35"/>
      <x:c r="D1" s="35"/>
      <x:c r="E1" s="35"/>
      <x:c r="F1" s="35"/>
      <x:c r="G1" s="35"/>
      <x:c r="H1" s="35"/>
      <x:c r="I1" s="35"/>
      <x:c r="J1" s="35"/>
      <x:c r="K1" s="35"/>
      <x:c r="L1" s="35"/>
      <x:c r="M1" s="35"/>
      <x:c r="N1" s="35"/>
      <x:c r="O1" s="35"/>
      <x:c r="P1" s="35"/>
      <x:c r="Q1" s="35"/>
      <x:c r="R1" s="35"/>
      <x:c r="S1" s="35"/>
    </x:row>
    <x:row r="2" ht="28" customHeight="1">
      <x:c r="A2" s="36" t="s">
        <x:v>26</x:v>
      </x:c>
      <x:c r="B2" s="36"/>
      <x:c r="C2" s="36"/>
      <x:c r="D2" s="36"/>
      <x:c r="E2" s="36"/>
      <x:c r="F2" s="36"/>
      <x:c r="G2" s="36"/>
      <x:c r="H2" s="36"/>
      <x:c r="I2" s="36"/>
      <x:c r="J2" s="36"/>
      <x:c r="K2" s="36"/>
      <x:c r="L2" s="36"/>
      <x:c r="M2" s="36"/>
      <x:c r="N2" s="36"/>
      <x:c r="O2" s="36"/>
      <x:c r="P2" s="36"/>
      <x:c r="Q2" s="36"/>
      <x:c r="R2" s="36"/>
      <x:c r="S2" s="36"/>
    </x:row>
    <x:row r="4" ht="34" customHeight="1">
      <x:c r="A4" s="7" t="s">
        <x:v>27</x:v>
      </x:c>
      <x:c r="B4" s="8" t="s">
        <x:v>28</x:v>
      </x:c>
      <x:c r="C4" s="8" t="s">
        <x:v>29</x:v>
      </x:c>
      <x:c r="D4" s="8" t="s">
        <x:v>30</x:v>
      </x:c>
      <x:c r="E4" s="8" t="s">
        <x:v>31</x:v>
      </x:c>
      <x:c r="F4" s="8" t="s">
        <x:v>32</x:v>
      </x:c>
      <x:c r="G4" s="8" t="s">
        <x:v>33</x:v>
      </x:c>
      <x:c r="H4" s="8" t="s">
        <x:v>34</x:v>
      </x:c>
      <x:c r="I4" s="8" t="s">
        <x:v>35</x:v>
      </x:c>
      <x:c r="J4" s="8" t="s">
        <x:v>36</x:v>
      </x:c>
      <x:c r="K4" s="8" t="s">
        <x:v>37</x:v>
      </x:c>
      <x:c r="L4" s="8" t="s">
        <x:v>38</x:v>
      </x:c>
      <x:c r="M4" s="8" t="s">
        <x:v>39</x:v>
      </x:c>
      <x:c r="N4" s="8" t="s">
        <x:v>40</x:v>
      </x:c>
      <x:c r="O4" s="8" t="s">
        <x:v>41</x:v>
      </x:c>
      <x:c r="P4" s="8" t="s">
        <x:v>42</x:v>
      </x:c>
      <x:c r="Q4" s="8" t="s">
        <x:v>43</x:v>
      </x:c>
      <x:c r="R4" s="8" t="s">
        <x:v>44</x:v>
      </x:c>
      <x:c r="S4" s="9" t="s">
        <x:v>45</x:v>
      </x:c>
    </x:row>
    <x:row r="5" ht="78" customHeight="1">
      <x:c r="A5" s="10" t="s">
        <x:v>46</x:v>
      </x:c>
      <x:c r="B5" s="11" t="s">
        <x:v>47</x:v>
      </x:c>
      <x:c r="C5" s="12" t="s">
        <x:v>48</x:v>
      </x:c>
      <x:c r="D5" s="13" t="s">
        <x:v>49</x:v>
      </x:c>
      <x:c r="E5" s="13" t="s">
        <x:v>49</x:v>
      </x:c>
      <x:c r="F5" s="13" t="s">
        <x:v>50</x:v>
      </x:c>
      <x:c r="G5" s="13" t="s">
        <x:v>51</x:v>
      </x:c>
      <x:c r="H5" s="13" t="s">
        <x:v>52</x:v>
      </x:c>
      <x:c r="I5" s="13" t="s">
        <x:v>53</x:v>
      </x:c>
      <x:c r="J5" s="13" t="s">
        <x:v>54</x:v>
      </x:c>
      <x:c r="K5" s="13" t="s">
        <x:v>55</x:v>
      </x:c>
      <x:c r="L5" s="14"/>
      <x:c r="M5" s="12" t="str">
        <x:f t="shared" ref="M5:M36" si="0">IF(H5="","PENDING",IF(AND(H5="keep",I5=""),"CODE REQUIRED",IF(AND(H5="exclude",OR(G5="",G5="none")),"REASON REQUIRED",IF(K5="","INITIALS REQUIRED","COMPLETE"))))</x:f>
        <x:v>COMPLETE</x:v>
      </x:c>
      <x:c r="N5" s="12" t="s">
        <x:v>56</x:v>
      </x:c>
      <x:c r="O5" s="12" t="s">
        <x:v>57</x:v>
      </x:c>
      <x:c r="P5" s="12" t="s">
        <x:v>58</x:v>
      </x:c>
      <x:c r="Q5" s="12">
        <x:v>19</x:v>
      </x:c>
      <x:c r="R5" s="12" t="s">
        <x:v>59</x:v>
      </x:c>
      <x:c r="S5" s="15" t="s">
        <x:v>60</x:v>
      </x:c>
    </x:row>
    <x:row r="6" ht="78" customHeight="1">
      <x:c r="A6" s="10" t="s">
        <x:v>61</x:v>
      </x:c>
      <x:c r="B6" s="11" t="s">
        <x:v>62</x:v>
      </x:c>
      <x:c r="C6" s="12" t="s">
        <x:v>63</x:v>
      </x:c>
      <x:c r="D6" s="13" t="s">
        <x:v>49</x:v>
      </x:c>
      <x:c r="E6" s="13" t="s">
        <x:v>49</x:v>
      </x:c>
      <x:c r="F6" s="13" t="s">
        <x:v>50</x:v>
      </x:c>
      <x:c r="G6" s="13" t="s">
        <x:v>51</x:v>
      </x:c>
      <x:c r="H6" s="13" t="s">
        <x:v>52</x:v>
      </x:c>
      <x:c r="I6" s="13" t="s">
        <x:v>64</x:v>
      </x:c>
      <x:c r="J6" s="13" t="s">
        <x:v>54</x:v>
      </x:c>
      <x:c r="K6" s="13" t="s">
        <x:v>55</x:v>
      </x:c>
      <x:c r="L6" s="14"/>
      <x:c r="M6" s="12" t="str">
        <x:f t="shared" si="0"/>
        <x:v>COMPLETE</x:v>
      </x:c>
      <x:c r="N6" s="12" t="s">
        <x:v>65</x:v>
      </x:c>
      <x:c r="O6" s="12" t="s">
        <x:v>57</x:v>
      </x:c>
      <x:c r="P6" s="12" t="s">
        <x:v>66</x:v>
      </x:c>
      <x:c r="Q6" s="12">
        <x:v>51</x:v>
      </x:c>
      <x:c r="R6" s="12" t="s">
        <x:v>59</x:v>
      </x:c>
      <x:c r="S6" s="15" t="s">
        <x:v>60</x:v>
      </x:c>
    </x:row>
    <x:row r="7" ht="78" customHeight="1">
      <x:c r="A7" s="10" t="s">
        <x:v>67</x:v>
      </x:c>
      <x:c r="B7" s="11" t="s">
        <x:v>68</x:v>
      </x:c>
      <x:c r="C7" s="12" t="s">
        <x:v>69</x:v>
      </x:c>
      <x:c r="D7" s="13" t="s">
        <x:v>70</x:v>
      </x:c>
      <x:c r="E7" s="13"/>
      <x:c r="F7" s="13" t="s">
        <x:v>70</x:v>
      </x:c>
      <x:c r="G7" s="13" t="s">
        <x:v>51</x:v>
      </x:c>
      <x:c r="H7" s="13" t="s">
        <x:v>71</x:v>
      </x:c>
      <x:c r="I7" s="13" t="s">
        <x:v>53</x:v>
      </x:c>
      <x:c r="J7" s="13" t="s">
        <x:v>54</x:v>
      </x:c>
      <x:c r="K7" s="13" t="s">
        <x:v>55</x:v>
      </x:c>
      <x:c r="L7" s="14"/>
      <x:c r="M7" s="12" t="str">
        <x:f t="shared" si="0"/>
        <x:v>COMPLETE</x:v>
      </x:c>
      <x:c r="N7" s="12" t="s">
        <x:v>72</x:v>
      </x:c>
      <x:c r="O7" s="12" t="s">
        <x:v>73</x:v>
      </x:c>
      <x:c r="P7" s="12" t="s">
        <x:v>74</x:v>
      </x:c>
      <x:c r="Q7" s="12">
        <x:v>80</x:v>
      </x:c>
      <x:c r="R7" s="12" t="s">
        <x:v>59</x:v>
      </x:c>
      <x:c r="S7" s="15" t="s">
        <x:v>60</x:v>
      </x:c>
    </x:row>
    <x:row r="8" ht="78" customHeight="1">
      <x:c r="A8" s="10" t="s">
        <x:v>75</x:v>
      </x:c>
      <x:c r="B8" s="11" t="s">
        <x:v>76</x:v>
      </x:c>
      <x:c r="C8" s="12" t="s">
        <x:v>77</x:v>
      </x:c>
      <x:c r="D8" s="13" t="s">
        <x:v>49</x:v>
      </x:c>
      <x:c r="E8" s="13" t="s">
        <x:v>49</x:v>
      </x:c>
      <x:c r="F8" s="13" t="s">
        <x:v>51</x:v>
      </x:c>
      <x:c r="G8" s="13" t="s">
        <x:v>78</x:v>
      </x:c>
      <x:c r="H8" s="13" t="s">
        <x:v>79</x:v>
      </x:c>
      <x:c r="I8" s="13"/>
      <x:c r="J8" s="13" t="s">
        <x:v>54</x:v>
      </x:c>
      <x:c r="K8" s="13" t="s">
        <x:v>55</x:v>
      </x:c>
      <x:c r="L8" s="14"/>
      <x:c r="M8" s="12" t="str">
        <x:f t="shared" si="0"/>
        <x:v>COMPLETE</x:v>
      </x:c>
      <x:c r="N8" s="12" t="s">
        <x:v>80</x:v>
      </x:c>
      <x:c r="O8" s="12" t="s">
        <x:v>81</x:v>
      </x:c>
      <x:c r="P8" s="12" t="s">
        <x:v>82</x:v>
      </x:c>
      <x:c r="Q8" s="12">
        <x:v>10</x:v>
      </x:c>
      <x:c r="R8" s="12" t="s">
        <x:v>83</x:v>
      </x:c>
      <x:c r="S8" s="15" t="s">
        <x:v>84</x:v>
      </x:c>
    </x:row>
    <x:row r="9" ht="78" customHeight="1">
      <x:c r="A9" s="10" t="s">
        <x:v>85</x:v>
      </x:c>
      <x:c r="B9" s="11" t="s">
        <x:v>86</x:v>
      </x:c>
      <x:c r="C9" s="12" t="s">
        <x:v>87</x:v>
      </x:c>
      <x:c r="D9" s="13" t="s">
        <x:v>49</x:v>
      </x:c>
      <x:c r="E9" s="13" t="s">
        <x:v>49</x:v>
      </x:c>
      <x:c r="F9" s="13" t="s">
        <x:v>50</x:v>
      </x:c>
      <x:c r="G9" s="13" t="s">
        <x:v>51</x:v>
      </x:c>
      <x:c r="H9" s="13" t="s">
        <x:v>52</x:v>
      </x:c>
      <x:c r="I9" s="13" t="s">
        <x:v>88</x:v>
      </x:c>
      <x:c r="J9" s="13" t="s">
        <x:v>54</x:v>
      </x:c>
      <x:c r="K9" s="13" t="s">
        <x:v>55</x:v>
      </x:c>
      <x:c r="L9" s="14"/>
      <x:c r="M9" s="12" t="str">
        <x:f t="shared" si="0"/>
        <x:v>COMPLETE</x:v>
      </x:c>
      <x:c r="N9" s="12" t="s">
        <x:v>89</x:v>
      </x:c>
      <x:c r="O9" s="12" t="s">
        <x:v>81</x:v>
      </x:c>
      <x:c r="P9" s="12" t="s">
        <x:v>90</x:v>
      </x:c>
      <x:c r="Q9" s="12">
        <x:v>18</x:v>
      </x:c>
      <x:c r="R9" s="12" t="s">
        <x:v>59</x:v>
      </x:c>
      <x:c r="S9" s="15" t="s">
        <x:v>60</x:v>
      </x:c>
    </x:row>
    <x:row r="10" ht="78" customHeight="1">
      <x:c r="A10" s="10" t="s">
        <x:v>91</x:v>
      </x:c>
      <x:c r="B10" s="11" t="s">
        <x:v>92</x:v>
      </x:c>
      <x:c r="C10" s="12" t="s">
        <x:v>93</x:v>
      </x:c>
      <x:c r="D10" s="13" t="s">
        <x:v>94</x:v>
      </x:c>
      <x:c r="E10" s="13" t="s">
        <x:v>49</x:v>
      </x:c>
      <x:c r="F10" s="13" t="s">
        <x:v>51</x:v>
      </x:c>
      <x:c r="G10" s="13" t="s">
        <x:v>78</x:v>
      </x:c>
      <x:c r="H10" s="13" t="s">
        <x:v>79</x:v>
      </x:c>
      <x:c r="I10" s="13"/>
      <x:c r="J10" s="13" t="s">
        <x:v>54</x:v>
      </x:c>
      <x:c r="K10" s="13" t="s">
        <x:v>55</x:v>
      </x:c>
      <x:c r="L10" s="14"/>
      <x:c r="M10" s="12" t="str">
        <x:f t="shared" si="0"/>
        <x:v>COMPLETE</x:v>
      </x:c>
      <x:c r="N10" s="12" t="s">
        <x:v>95</x:v>
      </x:c>
      <x:c r="O10" s="12" t="s">
        <x:v>96</x:v>
      </x:c>
      <x:c r="P10" s="12" t="s">
        <x:v>97</x:v>
      </x:c>
      <x:c r="Q10" s="12">
        <x:v>57</x:v>
      </x:c>
      <x:c r="R10" s="12" t="s">
        <x:v>59</x:v>
      </x:c>
      <x:c r="S10" s="15" t="s">
        <x:v>60</x:v>
      </x:c>
    </x:row>
    <x:row r="11" ht="78" customHeight="1">
      <x:c r="A11" s="10" t="s">
        <x:v>98</x:v>
      </x:c>
      <x:c r="B11" s="11" t="s">
        <x:v>99</x:v>
      </x:c>
      <x:c r="C11" s="12" t="s">
        <x:v>100</x:v>
      </x:c>
      <x:c r="D11" s="13" t="s">
        <x:v>49</x:v>
      </x:c>
      <x:c r="E11" s="13" t="s">
        <x:v>49</x:v>
      </x:c>
      <x:c r="F11" s="13" t="s">
        <x:v>50</x:v>
      </x:c>
      <x:c r="G11" s="13" t="s">
        <x:v>51</x:v>
      </x:c>
      <x:c r="H11" s="13" t="s">
        <x:v>52</x:v>
      </x:c>
      <x:c r="I11" s="13" t="s">
        <x:v>101</x:v>
      </x:c>
      <x:c r="J11" s="13" t="s">
        <x:v>54</x:v>
      </x:c>
      <x:c r="K11" s="13" t="s">
        <x:v>55</x:v>
      </x:c>
      <x:c r="L11" s="14"/>
      <x:c r="M11" s="12" t="str">
        <x:f t="shared" si="0"/>
        <x:v>COMPLETE</x:v>
      </x:c>
      <x:c r="N11" s="12" t="s">
        <x:v>102</x:v>
      </x:c>
      <x:c r="O11" s="12" t="s">
        <x:v>103</x:v>
      </x:c>
      <x:c r="P11" s="12" t="s">
        <x:v>104</x:v>
      </x:c>
      <x:c r="Q11" s="12">
        <x:v>41</x:v>
      </x:c>
      <x:c r="R11" s="12" t="s">
        <x:v>59</x:v>
      </x:c>
      <x:c r="S11" s="15" t="s">
        <x:v>60</x:v>
      </x:c>
    </x:row>
    <x:row r="12" ht="78" customHeight="1">
      <x:c r="A12" s="10" t="s">
        <x:v>105</x:v>
      </x:c>
      <x:c r="B12" s="11" t="s">
        <x:v>106</x:v>
      </x:c>
      <x:c r="C12" s="12" t="s">
        <x:v>107</x:v>
      </x:c>
      <x:c r="D12" s="13" t="s">
        <x:v>49</x:v>
      </x:c>
      <x:c r="E12" s="13" t="s">
        <x:v>49</x:v>
      </x:c>
      <x:c r="F12" s="13" t="s">
        <x:v>51</x:v>
      </x:c>
      <x:c r="G12" s="13" t="s">
        <x:v>108</x:v>
      </x:c>
      <x:c r="H12" s="13" t="s">
        <x:v>79</x:v>
      </x:c>
      <x:c r="I12" s="13"/>
      <x:c r="J12" s="13" t="s">
        <x:v>109</x:v>
      </x:c>
      <x:c r="K12" s="13" t="s">
        <x:v>55</x:v>
      </x:c>
      <x:c r="L12" s="14"/>
      <x:c r="M12" s="12" t="str">
        <x:f t="shared" si="0"/>
        <x:v>COMPLETE</x:v>
      </x:c>
      <x:c r="N12" s="12" t="s">
        <x:v>110</x:v>
      </x:c>
      <x:c r="O12" s="12" t="s">
        <x:v>73</x:v>
      </x:c>
      <x:c r="P12" s="12" t="s">
        <x:v>111</x:v>
      </x:c>
      <x:c r="Q12" s="12">
        <x:v>50</x:v>
      </x:c>
      <x:c r="R12" s="12" t="s">
        <x:v>59</x:v>
      </x:c>
      <x:c r="S12" s="15" t="s">
        <x:v>60</x:v>
      </x:c>
    </x:row>
    <x:row r="13" ht="78" customHeight="1">
      <x:c r="A13" s="10" t="s">
        <x:v>112</x:v>
      </x:c>
      <x:c r="B13" s="11" t="s">
        <x:v>113</x:v>
      </x:c>
      <x:c r="C13" s="12" t="s">
        <x:v>69</x:v>
      </x:c>
      <x:c r="D13" s="13" t="s">
        <x:v>70</x:v>
      </x:c>
      <x:c r="E13" s="13" t="s">
        <x:v>94</x:v>
      </x:c>
      <x:c r="F13" s="13" t="s">
        <x:v>51</x:v>
      </x:c>
      <x:c r="G13" s="13" t="s">
        <x:v>108</x:v>
      </x:c>
      <x:c r="H13" s="13" t="s">
        <x:v>79</x:v>
      </x:c>
      <x:c r="I13" s="13"/>
      <x:c r="J13" s="13" t="s">
        <x:v>109</x:v>
      </x:c>
      <x:c r="K13" s="13" t="s">
        <x:v>55</x:v>
      </x:c>
      <x:c r="L13" s="14"/>
      <x:c r="M13" s="12" t="str">
        <x:f t="shared" si="0"/>
        <x:v>COMPLETE</x:v>
      </x:c>
      <x:c r="N13" s="12" t="s">
        <x:v>72</x:v>
      </x:c>
      <x:c r="O13" s="12" t="s">
        <x:v>96</x:v>
      </x:c>
      <x:c r="P13" s="12" t="s">
        <x:v>74</x:v>
      </x:c>
      <x:c r="Q13" s="12">
        <x:v>80</x:v>
      </x:c>
      <x:c r="R13" s="12" t="s">
        <x:v>59</x:v>
      </x:c>
      <x:c r="S13" s="15" t="s">
        <x:v>60</x:v>
      </x:c>
    </x:row>
    <x:row r="14" ht="78" customHeight="1">
      <x:c r="A14" s="10" t="s">
        <x:v>114</x:v>
      </x:c>
      <x:c r="B14" s="11" t="s">
        <x:v>115</x:v>
      </x:c>
      <x:c r="C14" s="12" t="s">
        <x:v>116</x:v>
      </x:c>
      <x:c r="D14" s="13" t="s">
        <x:v>70</x:v>
      </x:c>
      <x:c r="E14" s="13" t="s">
        <x:v>94</x:v>
      </x:c>
      <x:c r="F14" s="13" t="s">
        <x:v>117</x:v>
      </x:c>
      <x:c r="G14" s="13" t="s">
        <x:v>51</x:v>
      </x:c>
      <x:c r="H14" s="13" t="s">
        <x:v>71</x:v>
      </x:c>
      <x:c r="I14" s="13"/>
      <x:c r="J14" s="13" t="s">
        <x:v>109</x:v>
      </x:c>
      <x:c r="K14" s="13" t="s">
        <x:v>55</x:v>
      </x:c>
      <x:c r="L14" s="14"/>
      <x:c r="M14" s="12" t="str">
        <x:f t="shared" si="0"/>
        <x:v>COMPLETE</x:v>
      </x:c>
      <x:c r="N14" s="12" t="s">
        <x:v>118</x:v>
      </x:c>
      <x:c r="O14" s="12" t="s">
        <x:v>119</x:v>
      </x:c>
      <x:c r="P14" s="12" t="s">
        <x:v>111</x:v>
      </x:c>
      <x:c r="Q14" s="12">
        <x:v>35</x:v>
      </x:c>
      <x:c r="R14" s="12" t="s">
        <x:v>120</x:v>
      </x:c>
      <x:c r="S14" s="15" t="s">
        <x:v>60</x:v>
      </x:c>
    </x:row>
    <x:row r="15" ht="78" customHeight="1">
      <x:c r="A15" s="10" t="s">
        <x:v>121</x:v>
      </x:c>
      <x:c r="B15" s="11" t="s">
        <x:v>122</x:v>
      </x:c>
      <x:c r="C15" s="12" t="s">
        <x:v>123</x:v>
      </x:c>
      <x:c r="D15" s="13" t="s">
        <x:v>70</x:v>
      </x:c>
      <x:c r="E15" s="13" t="s">
        <x:v>94</x:v>
      </x:c>
      <x:c r="F15" s="13" t="s">
        <x:v>70</x:v>
      </x:c>
      <x:c r="G15" s="13" t="s">
        <x:v>124</x:v>
      </x:c>
      <x:c r="H15" s="13" t="s">
        <x:v>71</x:v>
      </x:c>
      <x:c r="I15" s="13"/>
      <x:c r="J15" s="13" t="s">
        <x:v>54</x:v>
      </x:c>
      <x:c r="K15" s="13" t="s">
        <x:v>55</x:v>
      </x:c>
      <x:c r="L15" s="14"/>
      <x:c r="M15" s="12" t="str">
        <x:f t="shared" si="0"/>
        <x:v>COMPLETE</x:v>
      </x:c>
      <x:c r="N15" s="12" t="s">
        <x:v>125</x:v>
      </x:c>
      <x:c r="O15" s="12" t="s">
        <x:v>126</x:v>
      </x:c>
      <x:c r="P15" s="12" t="s">
        <x:v>127</x:v>
      </x:c>
      <x:c r="Q15" s="12">
        <x:v>20</x:v>
      </x:c>
      <x:c r="R15" s="12" t="s">
        <x:v>59</x:v>
      </x:c>
      <x:c r="S15" s="15" t="s">
        <x:v>60</x:v>
      </x:c>
    </x:row>
    <x:row r="16" ht="78" customHeight="1">
      <x:c r="A16" s="10" t="s">
        <x:v>128</x:v>
      </x:c>
      <x:c r="B16" s="11" t="s">
        <x:v>129</x:v>
      </x:c>
      <x:c r="C16" s="12" t="s">
        <x:v>130</x:v>
      </x:c>
      <x:c r="D16" s="13" t="s">
        <x:v>70</x:v>
      </x:c>
      <x:c r="E16" s="13" t="s">
        <x:v>49</x:v>
      </x:c>
      <x:c r="F16" s="13" t="s">
        <x:v>51</x:v>
      </x:c>
      <x:c r="G16" s="13" t="s">
        <x:v>78</x:v>
      </x:c>
      <x:c r="H16" s="13" t="s">
        <x:v>79</x:v>
      </x:c>
      <x:c r="I16" s="13"/>
      <x:c r="J16" s="13" t="s">
        <x:v>54</x:v>
      </x:c>
      <x:c r="K16" s="13" t="s">
        <x:v>55</x:v>
      </x:c>
      <x:c r="L16" s="14"/>
      <x:c r="M16" s="12" t="str">
        <x:f t="shared" si="0"/>
        <x:v>COMPLETE</x:v>
      </x:c>
      <x:c r="N16" s="12" t="s">
        <x:v>131</x:v>
      </x:c>
      <x:c r="O16" s="12" t="s">
        <x:v>96</x:v>
      </x:c>
      <x:c r="P16" s="12" t="s">
        <x:v>132</x:v>
      </x:c>
      <x:c r="Q16" s="12">
        <x:v>4</x:v>
      </x:c>
      <x:c r="R16" s="12" t="s">
        <x:v>59</x:v>
      </x:c>
      <x:c r="S16" s="15" t="s">
        <x:v>60</x:v>
      </x:c>
    </x:row>
    <x:row r="17" ht="78" customHeight="1">
      <x:c r="A17" s="10" t="s">
        <x:v>133</x:v>
      </x:c>
      <x:c r="B17" s="11" t="s">
        <x:v>134</x:v>
      </x:c>
      <x:c r="C17" s="12" t="s">
        <x:v>135</x:v>
      </x:c>
      <x:c r="D17" s="13" t="s">
        <x:v>70</x:v>
      </x:c>
      <x:c r="E17" s="13" t="s">
        <x:v>49</x:v>
      </x:c>
      <x:c r="F17" s="13" t="s">
        <x:v>70</x:v>
      </x:c>
      <x:c r="G17" s="13" t="s">
        <x:v>51</x:v>
      </x:c>
      <x:c r="H17" s="13" t="s">
        <x:v>71</x:v>
      </x:c>
      <x:c r="I17" s="13"/>
      <x:c r="J17" s="13" t="s">
        <x:v>54</x:v>
      </x:c>
      <x:c r="K17" s="13" t="s">
        <x:v>55</x:v>
      </x:c>
      <x:c r="L17" s="14"/>
      <x:c r="M17" s="12" t="str">
        <x:f t="shared" si="0"/>
        <x:v>COMPLETE</x:v>
      </x:c>
      <x:c r="N17" s="12" t="s">
        <x:v>136</x:v>
      </x:c>
      <x:c r="O17" s="12" t="s">
        <x:v>103</x:v>
      </x:c>
      <x:c r="P17" s="12" t="s">
        <x:v>74</x:v>
      </x:c>
      <x:c r="Q17" s="12">
        <x:v>48</x:v>
      </x:c>
      <x:c r="R17" s="12" t="s">
        <x:v>59</x:v>
      </x:c>
      <x:c r="S17" s="15" t="s">
        <x:v>60</x:v>
      </x:c>
    </x:row>
    <x:row r="18" ht="78" customHeight="1">
      <x:c r="A18" s="10" t="s">
        <x:v>137</x:v>
      </x:c>
      <x:c r="B18" s="11" t="s">
        <x:v>138</x:v>
      </x:c>
      <x:c r="C18" s="12" t="s">
        <x:v>139</x:v>
      </x:c>
      <x:c r="D18" s="13" t="s">
        <x:v>49</x:v>
      </x:c>
      <x:c r="E18" s="13" t="s">
        <x:v>49</x:v>
      </x:c>
      <x:c r="F18" s="13" t="s">
        <x:v>50</x:v>
      </x:c>
      <x:c r="G18" s="13" t="s">
        <x:v>51</x:v>
      </x:c>
      <x:c r="H18" s="13" t="s">
        <x:v>52</x:v>
      </x:c>
      <x:c r="I18" s="13" t="s">
        <x:v>140</x:v>
      </x:c>
      <x:c r="J18" s="13" t="s">
        <x:v>54</x:v>
      </x:c>
      <x:c r="K18" s="13" t="s">
        <x:v>55</x:v>
      </x:c>
      <x:c r="L18" s="14"/>
      <x:c r="M18" s="12" t="str">
        <x:f>IF(H18="","PENDING",IF(AND(H18="keep",I18=""),"CODE REQUIRED",IF(AND(H18="exclude",OR(G18="",G18="none")),"REASON REQUIRED",IF(K18="","INITIALS REQUIRED","COMPLETE"))))</x:f>
        <x:v>COMPLETE</x:v>
      </x:c>
      <x:c r="N18" s="12" t="s">
        <x:v>141</x:v>
      </x:c>
      <x:c r="O18" s="12" t="s">
        <x:v>142</x:v>
      </x:c>
      <x:c r="P18" s="12" t="s">
        <x:v>143</x:v>
      </x:c>
      <x:c r="Q18" s="12">
        <x:v>27</x:v>
      </x:c>
      <x:c r="R18" s="12" t="s">
        <x:v>59</x:v>
      </x:c>
      <x:c r="S18" s="15" t="s">
        <x:v>60</x:v>
      </x:c>
    </x:row>
    <x:row r="19" ht="78" customHeight="1">
      <x:c r="A19" s="10" t="s">
        <x:v>144</x:v>
      </x:c>
      <x:c r="B19" s="11" t="s">
        <x:v>145</x:v>
      </x:c>
      <x:c r="C19" s="12" t="s">
        <x:v>135</x:v>
      </x:c>
      <x:c r="D19" s="13" t="s">
        <x:v>70</x:v>
      </x:c>
      <x:c r="E19" s="13" t="s">
        <x:v>70</x:v>
      </x:c>
      <x:c r="F19" s="13" t="s">
        <x:v>70</x:v>
      </x:c>
      <x:c r="G19" s="13" t="s">
        <x:v>51</x:v>
      </x:c>
      <x:c r="H19" s="13" t="s">
        <x:v>71</x:v>
      </x:c>
      <x:c r="I19" s="13"/>
      <x:c r="J19" s="13" t="s">
        <x:v>54</x:v>
      </x:c>
      <x:c r="K19" s="13" t="s">
        <x:v>55</x:v>
      </x:c>
      <x:c r="L19" s="14"/>
      <x:c r="M19" s="12" t="str">
        <x:f t="shared" si="0"/>
        <x:v>COMPLETE</x:v>
      </x:c>
      <x:c r="N19" s="12" t="s">
        <x:v>136</x:v>
      </x:c>
      <x:c r="O19" s="12" t="s">
        <x:v>126</x:v>
      </x:c>
      <x:c r="P19" s="12" t="s">
        <x:v>74</x:v>
      </x:c>
      <x:c r="Q19" s="12">
        <x:v>48</x:v>
      </x:c>
      <x:c r="R19" s="12" t="s">
        <x:v>59</x:v>
      </x:c>
      <x:c r="S19" s="15" t="s">
        <x:v>60</x:v>
      </x:c>
    </x:row>
    <x:row r="20" ht="78" customHeight="1">
      <x:c r="A20" s="10" t="s">
        <x:v>146</x:v>
      </x:c>
      <x:c r="B20" s="11" t="s">
        <x:v>147</x:v>
      </x:c>
      <x:c r="C20" s="12" t="s">
        <x:v>148</x:v>
      </x:c>
      <x:c r="D20" s="13" t="s">
        <x:v>70</x:v>
      </x:c>
      <x:c r="E20" s="13" t="s">
        <x:v>49</x:v>
      </x:c>
      <x:c r="F20" s="13" t="s">
        <x:v>51</x:v>
      </x:c>
      <x:c r="G20" s="13" t="s">
        <x:v>149</x:v>
      </x:c>
      <x:c r="H20" s="13" t="s">
        <x:v>79</x:v>
      </x:c>
      <x:c r="I20" s="13"/>
      <x:c r="J20" s="13" t="s">
        <x:v>54</x:v>
      </x:c>
      <x:c r="K20" s="13" t="s">
        <x:v>55</x:v>
      </x:c>
      <x:c r="L20" s="14"/>
      <x:c r="M20" s="12" t="str">
        <x:f t="shared" si="0"/>
        <x:v>COMPLETE</x:v>
      </x:c>
      <x:c r="N20" s="12" t="s">
        <x:v>150</x:v>
      </x:c>
      <x:c r="O20" s="12" t="s">
        <x:v>142</x:v>
      </x:c>
      <x:c r="P20" s="12" t="s">
        <x:v>151</x:v>
      </x:c>
      <x:c r="Q20" s="12">
        <x:v>27</x:v>
      </x:c>
      <x:c r="R20" s="12" t="s">
        <x:v>59</x:v>
      </x:c>
      <x:c r="S20" s="15" t="s">
        <x:v>60</x:v>
      </x:c>
    </x:row>
    <x:row r="21" ht="78" customHeight="1">
      <x:c r="A21" s="10" t="s">
        <x:v>152</x:v>
      </x:c>
      <x:c r="B21" s="11" t="s">
        <x:v>153</x:v>
      </x:c>
      <x:c r="C21" s="12" t="s">
        <x:v>154</x:v>
      </x:c>
      <x:c r="D21" s="13" t="s">
        <x:v>49</x:v>
      </x:c>
      <x:c r="E21" s="13" t="s">
        <x:v>49</x:v>
      </x:c>
      <x:c r="F21" s="13" t="s">
        <x:v>155</x:v>
      </x:c>
      <x:c r="G21" s="13" t="s">
        <x:v>51</x:v>
      </x:c>
      <x:c r="H21" s="13" t="s">
        <x:v>52</x:v>
      </x:c>
      <x:c r="I21" s="13" t="s">
        <x:v>156</x:v>
      </x:c>
      <x:c r="J21" s="13" t="s">
        <x:v>54</x:v>
      </x:c>
      <x:c r="K21" s="13" t="s">
        <x:v>55</x:v>
      </x:c>
      <x:c r="L21" s="14" t="s">
        <x:v>157</x:v>
      </x:c>
      <x:c r="M21" s="12" t="str">
        <x:f t="shared" si="0"/>
        <x:v>COMPLETE</x:v>
      </x:c>
      <x:c r="N21" s="12" t="s">
        <x:v>158</x:v>
      </x:c>
      <x:c r="O21" s="12" t="s">
        <x:v>103</x:v>
      </x:c>
      <x:c r="P21" s="12" t="s">
        <x:v>82</x:v>
      </x:c>
      <x:c r="Q21" s="12">
        <x:v>11</x:v>
      </x:c>
      <x:c r="R21" s="12" t="s">
        <x:v>120</x:v>
      </x:c>
      <x:c r="S21" s="15" t="s">
        <x:v>84</x:v>
      </x:c>
    </x:row>
    <x:row r="22" ht="78" customHeight="1">
      <x:c r="A22" s="10" t="s">
        <x:v>159</x:v>
      </x:c>
      <x:c r="B22" s="11" t="s">
        <x:v>160</x:v>
      </x:c>
      <x:c r="C22" s="12" t="s">
        <x:v>139</x:v>
      </x:c>
      <x:c r="D22" s="13" t="s">
        <x:v>70</x:v>
      </x:c>
      <x:c r="E22" s="13" t="s">
        <x:v>94</x:v>
      </x:c>
      <x:c r="F22" s="13" t="s">
        <x:v>161</x:v>
      </x:c>
      <x:c r="G22" s="13" t="s">
        <x:v>51</x:v>
      </x:c>
      <x:c r="H22" s="13" t="s">
        <x:v>71</x:v>
      </x:c>
      <x:c r="I22" s="13" t="s">
        <x:v>162</x:v>
      </x:c>
      <x:c r="J22" s="13" t="s">
        <x:v>109</x:v>
      </x:c>
      <x:c r="K22" s="13" t="s">
        <x:v>55</x:v>
      </x:c>
      <x:c r="L22" s="14"/>
      <x:c r="M22" s="12" t="str">
        <x:f t="shared" si="0"/>
        <x:v>COMPLETE</x:v>
      </x:c>
      <x:c r="N22" s="12" t="s">
        <x:v>141</x:v>
      </x:c>
      <x:c r="O22" s="12" t="s">
        <x:v>81</x:v>
      </x:c>
      <x:c r="P22" s="12" t="s">
        <x:v>143</x:v>
      </x:c>
      <x:c r="Q22" s="12">
        <x:v>27</x:v>
      </x:c>
      <x:c r="R22" s="12" t="s">
        <x:v>59</x:v>
      </x:c>
      <x:c r="S22" s="15" t="s">
        <x:v>60</x:v>
      </x:c>
    </x:row>
    <x:row r="23" ht="78" customHeight="1">
      <x:c r="A23" s="10" t="s">
        <x:v>163</x:v>
      </x:c>
      <x:c r="B23" s="11" t="s">
        <x:v>164</x:v>
      </x:c>
      <x:c r="C23" s="12" t="s">
        <x:v>87</x:v>
      </x:c>
      <x:c r="D23" s="13" t="s">
        <x:v>49</x:v>
      </x:c>
      <x:c r="E23" s="13" t="s">
        <x:v>49</x:v>
      </x:c>
      <x:c r="F23" s="13" t="s">
        <x:v>70</x:v>
      </x:c>
      <x:c r="G23" s="13" t="s">
        <x:v>51</x:v>
      </x:c>
      <x:c r="H23" s="13" t="s">
        <x:v>52</x:v>
      </x:c>
      <x:c r="I23" s="13" t="s">
        <x:v>53</x:v>
      </x:c>
      <x:c r="J23" s="13" t="s">
        <x:v>54</x:v>
      </x:c>
      <x:c r="K23" s="13" t="s">
        <x:v>55</x:v>
      </x:c>
      <x:c r="L23" s="14"/>
      <x:c r="M23" s="12" t="str">
        <x:f t="shared" si="0"/>
        <x:v>COMPLETE</x:v>
      </x:c>
      <x:c r="N23" s="12" t="s">
        <x:v>89</x:v>
      </x:c>
      <x:c r="O23" s="12" t="s">
        <x:v>142</x:v>
      </x:c>
      <x:c r="P23" s="12" t="s">
        <x:v>90</x:v>
      </x:c>
      <x:c r="Q23" s="12">
        <x:v>18</x:v>
      </x:c>
      <x:c r="R23" s="12" t="s">
        <x:v>59</x:v>
      </x:c>
      <x:c r="S23" s="15" t="s">
        <x:v>60</x:v>
      </x:c>
    </x:row>
    <x:row r="24" ht="78" customHeight="1">
      <x:c r="A24" s="10" t="s">
        <x:v>165</x:v>
      </x:c>
      <x:c r="B24" s="11" t="s">
        <x:v>166</x:v>
      </x:c>
      <x:c r="C24" s="12" t="s">
        <x:v>69</x:v>
      </x:c>
      <x:c r="D24" s="13" t="s">
        <x:v>49</x:v>
      </x:c>
      <x:c r="E24" s="13" t="s">
        <x:v>49</x:v>
      </x:c>
      <x:c r="F24" s="13" t="s">
        <x:v>70</x:v>
      </x:c>
      <x:c r="G24" s="13" t="s">
        <x:v>51</x:v>
      </x:c>
      <x:c r="H24" s="13" t="s">
        <x:v>52</x:v>
      </x:c>
      <x:c r="I24" s="13" t="s">
        <x:v>167</x:v>
      </x:c>
      <x:c r="J24" s="13" t="s">
        <x:v>54</x:v>
      </x:c>
      <x:c r="K24" s="13" t="s">
        <x:v>55</x:v>
      </x:c>
      <x:c r="L24" s="14"/>
      <x:c r="M24" s="12" t="str">
        <x:f t="shared" si="0"/>
        <x:v>COMPLETE</x:v>
      </x:c>
      <x:c r="N24" s="12" t="s">
        <x:v>72</x:v>
      </x:c>
      <x:c r="O24" s="12" t="s">
        <x:v>126</x:v>
      </x:c>
      <x:c r="P24" s="12" t="s">
        <x:v>74</x:v>
      </x:c>
      <x:c r="Q24" s="12">
        <x:v>80</x:v>
      </x:c>
      <x:c r="R24" s="12" t="s">
        <x:v>59</x:v>
      </x:c>
      <x:c r="S24" s="15" t="s">
        <x:v>60</x:v>
      </x:c>
    </x:row>
    <x:row r="25" ht="78" customHeight="1">
      <x:c r="A25" s="10" t="s">
        <x:v>168</x:v>
      </x:c>
      <x:c r="B25" s="11" t="s">
        <x:v>169</x:v>
      </x:c>
      <x:c r="C25" s="12" t="s">
        <x:v>170</x:v>
      </x:c>
      <x:c r="D25" s="13" t="s">
        <x:v>49</x:v>
      </x:c>
      <x:c r="E25" s="13" t="s">
        <x:v>49</x:v>
      </x:c>
      <x:c r="F25" s="13" t="s">
        <x:v>51</x:v>
      </x:c>
      <x:c r="G25" s="13" t="s">
        <x:v>78</x:v>
      </x:c>
      <x:c r="H25" s="13" t="s">
        <x:v>79</x:v>
      </x:c>
      <x:c r="I25" s="13"/>
      <x:c r="J25" s="13" t="s">
        <x:v>54</x:v>
      </x:c>
      <x:c r="K25" s="13" t="s">
        <x:v>55</x:v>
      </x:c>
      <x:c r="L25" s="14"/>
      <x:c r="M25" s="12" t="str">
        <x:f t="shared" si="0"/>
        <x:v>COMPLETE</x:v>
      </x:c>
      <x:c r="N25" s="12" t="s">
        <x:v>171</x:v>
      </x:c>
      <x:c r="O25" s="12" t="s">
        <x:v>126</x:v>
      </x:c>
      <x:c r="P25" s="12" t="s">
        <x:v>172</x:v>
      </x:c>
      <x:c r="Q25" s="12">
        <x:v>10</x:v>
      </x:c>
      <x:c r="R25" s="12" t="s">
        <x:v>59</x:v>
      </x:c>
      <x:c r="S25" s="15" t="s">
        <x:v>60</x:v>
      </x:c>
    </x:row>
    <x:row r="26" ht="78" customHeight="1">
      <x:c r="A26" s="10" t="s">
        <x:v>173</x:v>
      </x:c>
      <x:c r="B26" s="11" t="s">
        <x:v>174</x:v>
      </x:c>
      <x:c r="C26" s="12" t="s">
        <x:v>116</x:v>
      </x:c>
      <x:c r="D26" s="13" t="s">
        <x:v>70</x:v>
      </x:c>
      <x:c r="E26" s="13" t="s">
        <x:v>94</x:v>
      </x:c>
      <x:c r="F26" s="13" t="s">
        <x:v>117</x:v>
      </x:c>
      <x:c r="G26" s="13" t="s">
        <x:v>51</x:v>
      </x:c>
      <x:c r="H26" s="13" t="s">
        <x:v>71</x:v>
      </x:c>
      <x:c r="I26" s="13"/>
      <x:c r="J26" s="13" t="s">
        <x:v>109</x:v>
      </x:c>
      <x:c r="K26" s="13" t="s">
        <x:v>55</x:v>
      </x:c>
      <x:c r="L26" s="14"/>
      <x:c r="M26" s="12" t="str">
        <x:f t="shared" si="0"/>
        <x:v>COMPLETE</x:v>
      </x:c>
      <x:c r="N26" s="12" t="s">
        <x:v>118</x:v>
      </x:c>
      <x:c r="O26" s="12" t="s">
        <x:v>81</x:v>
      </x:c>
      <x:c r="P26" s="12" t="s">
        <x:v>111</x:v>
      </x:c>
      <x:c r="Q26" s="12">
        <x:v>35</x:v>
      </x:c>
      <x:c r="R26" s="12" t="s">
        <x:v>120</x:v>
      </x:c>
      <x:c r="S26" s="15" t="s">
        <x:v>60</x:v>
      </x:c>
    </x:row>
    <x:row r="27" ht="78" customHeight="1">
      <x:c r="A27" s="10" t="s">
        <x:v>175</x:v>
      </x:c>
      <x:c r="B27" s="11" t="s">
        <x:v>176</x:v>
      </x:c>
      <x:c r="C27" s="12" t="s">
        <x:v>177</x:v>
      </x:c>
      <x:c r="D27" s="13" t="s">
        <x:v>49</x:v>
      </x:c>
      <x:c r="E27" s="13" t="s">
        <x:v>49</x:v>
      </x:c>
      <x:c r="F27" s="13" t="s">
        <x:v>51</x:v>
      </x:c>
      <x:c r="G27" s="13" t="s">
        <x:v>78</x:v>
      </x:c>
      <x:c r="H27" s="13" t="s">
        <x:v>79</x:v>
      </x:c>
      <x:c r="I27" s="13"/>
      <x:c r="J27" s="13" t="s">
        <x:v>54</x:v>
      </x:c>
      <x:c r="K27" s="13" t="s">
        <x:v>55</x:v>
      </x:c>
      <x:c r="L27" s="14"/>
      <x:c r="M27" s="12" t="str">
        <x:f t="shared" si="0"/>
        <x:v>COMPLETE</x:v>
      </x:c>
      <x:c r="N27" s="12" t="s">
        <x:v>178</x:v>
      </x:c>
      <x:c r="O27" s="12" t="s">
        <x:v>73</x:v>
      </x:c>
      <x:c r="P27" s="12" t="s">
        <x:v>179</x:v>
      </x:c>
      <x:c r="Q27" s="12">
        <x:v>2</x:v>
      </x:c>
      <x:c r="R27" s="12" t="s">
        <x:v>59</x:v>
      </x:c>
      <x:c r="S27" s="15" t="s">
        <x:v>60</x:v>
      </x:c>
    </x:row>
    <x:row r="28" ht="78" customHeight="1">
      <x:c r="A28" s="10" t="s">
        <x:v>180</x:v>
      </x:c>
      <x:c r="B28" s="11" t="s">
        <x:v>181</x:v>
      </x:c>
      <x:c r="C28" s="12" t="s">
        <x:v>63</x:v>
      </x:c>
      <x:c r="D28" s="13" t="s">
        <x:v>49</x:v>
      </x:c>
      <x:c r="E28" s="13" t="s">
        <x:v>49</x:v>
      </x:c>
      <x:c r="F28" s="13" t="s">
        <x:v>182</x:v>
      </x:c>
      <x:c r="G28" s="13" t="s">
        <x:v>51</x:v>
      </x:c>
      <x:c r="H28" s="13" t="s">
        <x:v>52</x:v>
      </x:c>
      <x:c r="I28" s="13" t="s">
        <x:v>64</x:v>
      </x:c>
      <x:c r="J28" s="13" t="s">
        <x:v>109</x:v>
      </x:c>
      <x:c r="K28" s="13" t="s">
        <x:v>55</x:v>
      </x:c>
      <x:c r="L28" s="14" t="s">
        <x:v>183</x:v>
      </x:c>
      <x:c r="M28" s="12" t="str">
        <x:f t="shared" si="0"/>
        <x:v>COMPLETE</x:v>
      </x:c>
      <x:c r="N28" s="12" t="s">
        <x:v>65</x:v>
      </x:c>
      <x:c r="O28" s="12" t="s">
        <x:v>96</x:v>
      </x:c>
      <x:c r="P28" s="12" t="s">
        <x:v>66</x:v>
      </x:c>
      <x:c r="Q28" s="12">
        <x:v>51</x:v>
      </x:c>
      <x:c r="R28" s="12" t="s">
        <x:v>59</x:v>
      </x:c>
      <x:c r="S28" s="15" t="s">
        <x:v>60</x:v>
      </x:c>
    </x:row>
    <x:row r="29" ht="78" customHeight="1">
      <x:c r="A29" s="10" t="s">
        <x:v>184</x:v>
      </x:c>
      <x:c r="B29" s="11" t="s">
        <x:v>185</x:v>
      </x:c>
      <x:c r="C29" s="12" t="s">
        <x:v>186</x:v>
      </x:c>
      <x:c r="D29" s="13" t="s">
        <x:v>70</x:v>
      </x:c>
      <x:c r="E29" s="13" t="s">
        <x:v>70</x:v>
      </x:c>
      <x:c r="F29" s="13" t="s">
        <x:v>70</x:v>
      </x:c>
      <x:c r="G29" s="13" t="s">
        <x:v>78</x:v>
      </x:c>
      <x:c r="H29" s="13" t="s">
        <x:v>79</x:v>
      </x:c>
      <x:c r="I29" s="13"/>
      <x:c r="J29" s="13" t="s">
        <x:v>109</x:v>
      </x:c>
      <x:c r="K29" s="13" t="s">
        <x:v>55</x:v>
      </x:c>
      <x:c r="L29" s="14"/>
      <x:c r="M29" s="12" t="str">
        <x:f t="shared" si="0"/>
        <x:v>COMPLETE</x:v>
      </x:c>
      <x:c r="N29" s="12" t="s">
        <x:v>187</x:v>
      </x:c>
      <x:c r="O29" s="12" t="s">
        <x:v>73</x:v>
      </x:c>
      <x:c r="P29" s="12" t="s">
        <x:v>97</x:v>
      </x:c>
      <x:c r="Q29" s="12">
        <x:v>101</x:v>
      </x:c>
      <x:c r="R29" s="12" t="s">
        <x:v>59</x:v>
      </x:c>
      <x:c r="S29" s="15" t="s">
        <x:v>60</x:v>
      </x:c>
    </x:row>
    <x:row r="30" ht="78" customHeight="1">
      <x:c r="A30" s="10" t="s">
        <x:v>188</x:v>
      </x:c>
      <x:c r="B30" s="11" t="s">
        <x:v>189</x:v>
      </x:c>
      <x:c r="C30" s="12" t="s">
        <x:v>190</x:v>
      </x:c>
      <x:c r="D30" s="13" t="s">
        <x:v>70</x:v>
      </x:c>
      <x:c r="E30" s="13" t="s">
        <x:v>94</x:v>
      </x:c>
      <x:c r="F30" s="13" t="s">
        <x:v>155</x:v>
      </x:c>
      <x:c r="G30" s="13" t="s">
        <x:v>51</x:v>
      </x:c>
      <x:c r="H30" s="13" t="s">
        <x:v>71</x:v>
      </x:c>
      <x:c r="I30" s="13"/>
      <x:c r="J30" s="13" t="s">
        <x:v>109</x:v>
      </x:c>
      <x:c r="K30" s="13" t="s">
        <x:v>55</x:v>
      </x:c>
      <x:c r="L30" s="14"/>
      <x:c r="M30" s="12" t="str">
        <x:f t="shared" si="0"/>
        <x:v>COMPLETE</x:v>
      </x:c>
      <x:c r="N30" s="12" t="s">
        <x:v>191</x:v>
      </x:c>
      <x:c r="O30" s="12" t="s">
        <x:v>96</x:v>
      </x:c>
      <x:c r="P30" s="12" t="s">
        <x:v>192</x:v>
      </x:c>
      <x:c r="Q30" s="12">
        <x:v>45</x:v>
      </x:c>
      <x:c r="R30" s="12" t="s">
        <x:v>59</x:v>
      </x:c>
      <x:c r="S30" s="15" t="s">
        <x:v>60</x:v>
      </x:c>
    </x:row>
    <x:row r="31" ht="78" customHeight="1">
      <x:c r="A31" s="10" t="s">
        <x:v>193</x:v>
      </x:c>
      <x:c r="B31" s="11" t="s">
        <x:v>194</x:v>
      </x:c>
      <x:c r="C31" s="12" t="s">
        <x:v>195</x:v>
      </x:c>
      <x:c r="D31" s="13" t="s">
        <x:v>49</x:v>
      </x:c>
      <x:c r="E31" s="13" t="s">
        <x:v>94</x:v>
      </x:c>
      <x:c r="F31" s="13" t="s">
        <x:v>50</x:v>
      </x:c>
      <x:c r="G31" s="13" t="s">
        <x:v>51</x:v>
      </x:c>
      <x:c r="H31" s="13" t="s">
        <x:v>52</x:v>
      </x:c>
      <x:c r="I31" s="13" t="s">
        <x:v>140</x:v>
      </x:c>
      <x:c r="J31" s="13" t="s">
        <x:v>54</x:v>
      </x:c>
      <x:c r="K31" s="13" t="s">
        <x:v>55</x:v>
      </x:c>
      <x:c r="L31" s="14"/>
      <x:c r="M31" s="12" t="str">
        <x:f t="shared" si="0"/>
        <x:v>COMPLETE</x:v>
      </x:c>
      <x:c r="N31" s="12" t="s">
        <x:v>196</x:v>
      </x:c>
      <x:c r="O31" s="12" t="s">
        <x:v>96</x:v>
      </x:c>
      <x:c r="P31" s="12" t="s">
        <x:v>197</x:v>
      </x:c>
      <x:c r="Q31" s="12">
        <x:v>23</x:v>
      </x:c>
      <x:c r="R31" s="12" t="s">
        <x:v>59</x:v>
      </x:c>
      <x:c r="S31" s="15" t="s">
        <x:v>60</x:v>
      </x:c>
    </x:row>
    <x:row r="32" ht="78" customHeight="1">
      <x:c r="A32" s="10" t="s">
        <x:v>198</x:v>
      </x:c>
      <x:c r="B32" s="11" t="s">
        <x:v>199</x:v>
      </x:c>
      <x:c r="C32" s="12" t="s">
        <x:v>200</x:v>
      </x:c>
      <x:c r="D32" s="13" t="s">
        <x:v>49</x:v>
      </x:c>
      <x:c r="E32" s="13" t="s">
        <x:v>94</x:v>
      </x:c>
      <x:c r="F32" s="13" t="s">
        <x:v>155</x:v>
      </x:c>
      <x:c r="G32" s="13" t="s">
        <x:v>51</x:v>
      </x:c>
      <x:c r="H32" s="13" t="s">
        <x:v>52</x:v>
      </x:c>
      <x:c r="I32" s="13" t="s">
        <x:v>201</x:v>
      </x:c>
      <x:c r="J32" s="13" t="s">
        <x:v>54</x:v>
      </x:c>
      <x:c r="K32" s="13" t="s">
        <x:v>55</x:v>
      </x:c>
      <x:c r="L32" s="14"/>
      <x:c r="M32" s="12" t="str">
        <x:f t="shared" si="0"/>
        <x:v>COMPLETE</x:v>
      </x:c>
      <x:c r="N32" s="12" t="s">
        <x:v>202</x:v>
      </x:c>
      <x:c r="O32" s="12" t="s">
        <x:v>57</x:v>
      </x:c>
      <x:c r="P32" s="12" t="s">
        <x:v>58</x:v>
      </x:c>
      <x:c r="Q32" s="12">
        <x:v>5</x:v>
      </x:c>
      <x:c r="R32" s="12" t="s">
        <x:v>59</x:v>
      </x:c>
      <x:c r="S32" s="15" t="s">
        <x:v>60</x:v>
      </x:c>
    </x:row>
    <x:row r="33" ht="78" customHeight="1">
      <x:c r="A33" s="10" t="s">
        <x:v>203</x:v>
      </x:c>
      <x:c r="B33" s="11" t="s">
        <x:v>204</x:v>
      </x:c>
      <x:c r="C33" s="12" t="s">
        <x:v>116</x:v>
      </x:c>
      <x:c r="D33" s="13" t="s">
        <x:v>49</x:v>
      </x:c>
      <x:c r="E33" s="13" t="s">
        <x:v>94</x:v>
      </x:c>
      <x:c r="F33" s="13" t="s">
        <x:v>51</x:v>
      </x:c>
      <x:c r="G33" s="13" t="s">
        <x:v>51</x:v>
      </x:c>
      <x:c r="H33" s="13" t="s">
        <x:v>52</x:v>
      </x:c>
      <x:c r="I33" s="13" t="s">
        <x:v>205</x:v>
      </x:c>
      <x:c r="J33" s="13" t="s">
        <x:v>109</x:v>
      </x:c>
      <x:c r="K33" s="13" t="s">
        <x:v>55</x:v>
      </x:c>
      <x:c r="L33" s="14"/>
      <x:c r="M33" s="12" t="str">
        <x:f t="shared" si="0"/>
        <x:v>COMPLETE</x:v>
      </x:c>
      <x:c r="N33" s="12" t="s">
        <x:v>118</x:v>
      </x:c>
      <x:c r="O33" s="12" t="s">
        <x:v>73</x:v>
      </x:c>
      <x:c r="P33" s="12" t="s">
        <x:v>111</x:v>
      </x:c>
      <x:c r="Q33" s="12">
        <x:v>35</x:v>
      </x:c>
      <x:c r="R33" s="12" t="s">
        <x:v>120</x:v>
      </x:c>
      <x:c r="S33" s="15" t="s">
        <x:v>60</x:v>
      </x:c>
    </x:row>
    <x:row r="34" ht="78" customHeight="1">
      <x:c r="A34" s="10" t="s">
        <x:v>206</x:v>
      </x:c>
      <x:c r="B34" s="11" t="s">
        <x:v>207</x:v>
      </x:c>
      <x:c r="C34" s="12" t="s">
        <x:v>208</x:v>
      </x:c>
      <x:c r="D34" s="13" t="s">
        <x:v>94</x:v>
      </x:c>
      <x:c r="E34" s="13" t="s">
        <x:v>49</x:v>
      </x:c>
      <x:c r="F34" s="13" t="s">
        <x:v>70</x:v>
      </x:c>
      <x:c r="G34" s="13" t="s">
        <x:v>78</x:v>
      </x:c>
      <x:c r="H34" s="13" t="s">
        <x:v>79</x:v>
      </x:c>
      <x:c r="I34" s="13"/>
      <x:c r="J34" s="13" t="s">
        <x:v>54</x:v>
      </x:c>
      <x:c r="K34" s="13" t="s">
        <x:v>55</x:v>
      </x:c>
      <x:c r="L34" s="14"/>
      <x:c r="M34" s="12" t="str">
        <x:f t="shared" si="0"/>
        <x:v>COMPLETE</x:v>
      </x:c>
      <x:c r="N34" s="12" t="s">
        <x:v>209</x:v>
      </x:c>
      <x:c r="O34" s="12" t="s">
        <x:v>81</x:v>
      </x:c>
      <x:c r="P34" s="12" t="s">
        <x:v>97</x:v>
      </x:c>
      <x:c r="Q34" s="12">
        <x:v>117</x:v>
      </x:c>
      <x:c r="R34" s="12" t="s">
        <x:v>59</x:v>
      </x:c>
      <x:c r="S34" s="15" t="s">
        <x:v>60</x:v>
      </x:c>
    </x:row>
    <x:row r="35" ht="78" customHeight="1">
      <x:c r="A35" s="10" t="s">
        <x:v>210</x:v>
      </x:c>
      <x:c r="B35" s="11" t="s">
        <x:v>211</x:v>
      </x:c>
      <x:c r="C35" s="12" t="s">
        <x:v>200</x:v>
      </x:c>
      <x:c r="D35" s="13" t="s">
        <x:v>49</x:v>
      </x:c>
      <x:c r="E35" s="13" t="s">
        <x:v>49</x:v>
      </x:c>
      <x:c r="F35" s="13" t="s">
        <x:v>51</x:v>
      </x:c>
      <x:c r="G35" s="13" t="s">
        <x:v>51</x:v>
      </x:c>
      <x:c r="H35" s="13" t="s">
        <x:v>52</x:v>
      </x:c>
      <x:c r="I35" s="13" t="s">
        <x:v>162</x:v>
      </x:c>
      <x:c r="J35" s="13" t="s">
        <x:v>54</x:v>
      </x:c>
      <x:c r="K35" s="13" t="s">
        <x:v>55</x:v>
      </x:c>
      <x:c r="L35" s="14"/>
      <x:c r="M35" s="12" t="str">
        <x:f t="shared" si="0"/>
        <x:v>COMPLETE</x:v>
      </x:c>
      <x:c r="N35" s="12" t="s">
        <x:v>202</x:v>
      </x:c>
      <x:c r="O35" s="12" t="s">
        <x:v>142</x:v>
      </x:c>
      <x:c r="P35" s="12" t="s">
        <x:v>58</x:v>
      </x:c>
      <x:c r="Q35" s="12">
        <x:v>5</x:v>
      </x:c>
      <x:c r="R35" s="12" t="s">
        <x:v>59</x:v>
      </x:c>
      <x:c r="S35" s="15" t="s">
        <x:v>60</x:v>
      </x:c>
    </x:row>
    <x:row r="36" ht="78" customHeight="1">
      <x:c r="A36" s="10" t="s">
        <x:v>212</x:v>
      </x:c>
      <x:c r="B36" s="11" t="s">
        <x:v>213</x:v>
      </x:c>
      <x:c r="C36" s="12" t="s">
        <x:v>154</x:v>
      </x:c>
      <x:c r="D36" s="13" t="s">
        <x:v>70</x:v>
      </x:c>
      <x:c r="E36" s="13" t="s">
        <x:v>94</x:v>
      </x:c>
      <x:c r="F36" s="13" t="s">
        <x:v>70</x:v>
      </x:c>
      <x:c r="G36" s="13" t="s">
        <x:v>78</x:v>
      </x:c>
      <x:c r="H36" s="13" t="s">
        <x:v>79</x:v>
      </x:c>
      <x:c r="I36" s="13"/>
      <x:c r="J36" s="13" t="s">
        <x:v>54</x:v>
      </x:c>
      <x:c r="K36" s="13" t="s">
        <x:v>55</x:v>
      </x:c>
      <x:c r="L36" s="14"/>
      <x:c r="M36" s="12" t="str">
        <x:f t="shared" si="0"/>
        <x:v>COMPLETE</x:v>
      </x:c>
      <x:c r="N36" s="12" t="s">
        <x:v>158</x:v>
      </x:c>
      <x:c r="O36" s="12" t="s">
        <x:v>57</x:v>
      </x:c>
      <x:c r="P36" s="12" t="s">
        <x:v>82</x:v>
      </x:c>
      <x:c r="Q36" s="12">
        <x:v>11</x:v>
      </x:c>
      <x:c r="R36" s="12" t="s">
        <x:v>120</x:v>
      </x:c>
      <x:c r="S36" s="15" t="s">
        <x:v>84</x:v>
      </x:c>
    </x:row>
    <x:row r="37" ht="78" customHeight="1">
      <x:c r="A37" s="10" t="s">
        <x:v>214</x:v>
      </x:c>
      <x:c r="B37" s="11" t="s">
        <x:v>215</x:v>
      </x:c>
      <x:c r="C37" s="12" t="s">
        <x:v>87</x:v>
      </x:c>
      <x:c r="D37" s="13" t="s">
        <x:v>49</x:v>
      </x:c>
      <x:c r="E37" s="13" t="s">
        <x:v>49</x:v>
      </x:c>
      <x:c r="F37" s="13" t="s">
        <x:v>155</x:v>
      </x:c>
      <x:c r="G37" s="13" t="s">
        <x:v>51</x:v>
      </x:c>
      <x:c r="H37" s="13" t="s">
        <x:v>52</x:v>
      </x:c>
      <x:c r="I37" s="13" t="s">
        <x:v>88</x:v>
      </x:c>
      <x:c r="J37" s="13" t="s">
        <x:v>54</x:v>
      </x:c>
      <x:c r="K37" s="13" t="s">
        <x:v>55</x:v>
      </x:c>
      <x:c r="L37" s="14"/>
      <x:c r="M37" s="12" t="str">
        <x:f t="shared" ref="M37:M73" si="1">IF(H37="","PENDING",IF(AND(H37="keep",I37=""),"CODE REQUIRED",IF(AND(H37="exclude",OR(G37="",G37="none")),"REASON REQUIRED",IF(K37="","INITIALS REQUIRED","COMPLETE"))))</x:f>
        <x:v>COMPLETE</x:v>
      </x:c>
      <x:c r="N37" s="12" t="s">
        <x:v>89</x:v>
      </x:c>
      <x:c r="O37" s="12" t="s">
        <x:v>103</x:v>
      </x:c>
      <x:c r="P37" s="12" t="s">
        <x:v>90</x:v>
      </x:c>
      <x:c r="Q37" s="12">
        <x:v>18</x:v>
      </x:c>
      <x:c r="R37" s="12" t="s">
        <x:v>59</x:v>
      </x:c>
      <x:c r="S37" s="15" t="s">
        <x:v>60</x:v>
      </x:c>
    </x:row>
    <x:row r="38" ht="78" customHeight="1">
      <x:c r="A38" s="10" t="s">
        <x:v>216</x:v>
      </x:c>
      <x:c r="B38" s="11" t="s">
        <x:v>217</x:v>
      </x:c>
      <x:c r="C38" s="12" t="s">
        <x:v>69</x:v>
      </x:c>
      <x:c r="D38" s="13" t="s">
        <x:v>70</x:v>
      </x:c>
      <x:c r="E38" s="13" t="s">
        <x:v>49</x:v>
      </x:c>
      <x:c r="F38" s="13" t="s">
        <x:v>50</x:v>
      </x:c>
      <x:c r="G38" s="13" t="s">
        <x:v>51</x:v>
      </x:c>
      <x:c r="H38" s="13" t="s">
        <x:v>52</x:v>
      </x:c>
      <x:c r="I38" s="13" t="s">
        <x:v>218</x:v>
      </x:c>
      <x:c r="J38" s="13" t="s">
        <x:v>54</x:v>
      </x:c>
      <x:c r="K38" s="13" t="s">
        <x:v>55</x:v>
      </x:c>
      <x:c r="L38" s="14"/>
      <x:c r="M38" s="12" t="str">
        <x:f t="shared" si="1"/>
        <x:v>COMPLETE</x:v>
      </x:c>
      <x:c r="N38" s="12" t="s">
        <x:v>72</x:v>
      </x:c>
      <x:c r="O38" s="12" t="s">
        <x:v>219</x:v>
      </x:c>
      <x:c r="P38" s="12" t="s">
        <x:v>74</x:v>
      </x:c>
      <x:c r="Q38" s="12">
        <x:v>80</x:v>
      </x:c>
      <x:c r="R38" s="12" t="s">
        <x:v>59</x:v>
      </x:c>
      <x:c r="S38" s="15" t="s">
        <x:v>60</x:v>
      </x:c>
    </x:row>
    <x:row r="39" ht="78" customHeight="1">
      <x:c r="A39" s="10" t="s">
        <x:v>220</x:v>
      </x:c>
      <x:c r="B39" s="11" t="s">
        <x:v>221</x:v>
      </x:c>
      <x:c r="C39" s="12" t="s">
        <x:v>107</x:v>
      </x:c>
      <x:c r="D39" s="13" t="s">
        <x:v>49</x:v>
      </x:c>
      <x:c r="E39" s="13" t="s">
        <x:v>94</x:v>
      </x:c>
      <x:c r="F39" s="13" t="s">
        <x:v>70</x:v>
      </x:c>
      <x:c r="G39" s="13" t="s">
        <x:v>78</x:v>
      </x:c>
      <x:c r="H39" s="13" t="s">
        <x:v>79</x:v>
      </x:c>
      <x:c r="J39" s="13" t="s">
        <x:v>54</x:v>
      </x:c>
      <x:c r="K39" s="13" t="s">
        <x:v>55</x:v>
      </x:c>
      <x:c r="L39" s="14"/>
      <x:c r="M39" s="12" t="str">
        <x:f>IF(H39="","PENDING",IF(AND(H39="keep",J39=""),"CODE REQUIRED",IF(AND(H39="exclude",OR(G39="",G39="none")),"REASON REQUIRED",IF(K39="","INITIALS REQUIRED","COMPLETE"))))</x:f>
        <x:v>COMPLETE</x:v>
      </x:c>
      <x:c r="N39" s="12" t="s">
        <x:v>110</x:v>
      </x:c>
      <x:c r="O39" s="12" t="s">
        <x:v>57</x:v>
      </x:c>
      <x:c r="P39" s="12" t="s">
        <x:v>111</x:v>
      </x:c>
      <x:c r="Q39" s="12">
        <x:v>50</x:v>
      </x:c>
      <x:c r="R39" s="12" t="s">
        <x:v>59</x:v>
      </x:c>
      <x:c r="S39" s="15" t="s">
        <x:v>60</x:v>
      </x:c>
    </x:row>
    <x:row r="40" ht="78" customHeight="1">
      <x:c r="A40" s="10" t="s">
        <x:v>222</x:v>
      </x:c>
      <x:c r="B40" s="11" t="s">
        <x:v>223</x:v>
      </x:c>
      <x:c r="C40" s="12" t="s">
        <x:v>148</x:v>
      </x:c>
      <x:c r="D40" s="13" t="s">
        <x:v>49</x:v>
      </x:c>
      <x:c r="E40" s="13" t="s">
        <x:v>49</x:v>
      </x:c>
      <x:c r="F40" s="13" t="s">
        <x:v>161</x:v>
      </x:c>
      <x:c r="G40" s="13" t="s">
        <x:v>149</x:v>
      </x:c>
      <x:c r="H40" s="13" t="s">
        <x:v>79</x:v>
      </x:c>
      <x:c r="I40" s="13"/>
      <x:c r="J40" s="13" t="s">
        <x:v>54</x:v>
      </x:c>
      <x:c r="K40" s="13" t="s">
        <x:v>55</x:v>
      </x:c>
      <x:c r="L40" s="14"/>
      <x:c r="M40" s="12" t="str">
        <x:f t="shared" si="1"/>
        <x:v>COMPLETE</x:v>
      </x:c>
      <x:c r="N40" s="12" t="s">
        <x:v>150</x:v>
      </x:c>
      <x:c r="O40" s="12" t="s">
        <x:v>57</x:v>
      </x:c>
      <x:c r="P40" s="12" t="s">
        <x:v>151</x:v>
      </x:c>
      <x:c r="Q40" s="12">
        <x:v>27</x:v>
      </x:c>
      <x:c r="R40" s="12" t="s">
        <x:v>59</x:v>
      </x:c>
      <x:c r="S40" s="15" t="s">
        <x:v>60</x:v>
      </x:c>
    </x:row>
    <x:row r="41" ht="78" customHeight="1">
      <x:c r="A41" s="10" t="s">
        <x:v>224</x:v>
      </x:c>
      <x:c r="B41" s="11" t="s">
        <x:v>225</x:v>
      </x:c>
      <x:c r="C41" s="12" t="s">
        <x:v>208</x:v>
      </x:c>
      <x:c r="D41" s="13" t="s">
        <x:v>94</x:v>
      </x:c>
      <x:c r="E41" s="13" t="s">
        <x:v>49</x:v>
      </x:c>
      <x:c r="F41" s="13" t="s">
        <x:v>51</x:v>
      </x:c>
      <x:c r="G41" s="13" t="s">
        <x:v>226</x:v>
      </x:c>
      <x:c r="H41" s="13" t="s">
        <x:v>79</x:v>
      </x:c>
      <x:c r="I41" s="13"/>
      <x:c r="J41" s="13" t="s">
        <x:v>54</x:v>
      </x:c>
      <x:c r="K41" s="13" t="s">
        <x:v>55</x:v>
      </x:c>
      <x:c r="L41" s="14"/>
      <x:c r="M41" s="12" t="str">
        <x:f t="shared" si="1"/>
        <x:v>COMPLETE</x:v>
      </x:c>
      <x:c r="N41" s="12" t="s">
        <x:v>209</x:v>
      </x:c>
      <x:c r="O41" s="12" t="s">
        <x:v>73</x:v>
      </x:c>
      <x:c r="P41" s="12" t="s">
        <x:v>97</x:v>
      </x:c>
      <x:c r="Q41" s="12">
        <x:v>117</x:v>
      </x:c>
      <x:c r="R41" s="12" t="s">
        <x:v>59</x:v>
      </x:c>
      <x:c r="S41" s="15" t="s">
        <x:v>60</x:v>
      </x:c>
    </x:row>
    <x:row r="42" ht="78" customHeight="1">
      <x:c r="A42" s="10" t="s">
        <x:v>227</x:v>
      </x:c>
      <x:c r="B42" s="11" t="s">
        <x:v>228</x:v>
      </x:c>
      <x:c r="C42" s="12" t="s">
        <x:v>186</x:v>
      </x:c>
      <x:c r="D42" s="13" t="s">
        <x:v>94</x:v>
      </x:c>
      <x:c r="E42" s="13" t="s">
        <x:v>49</x:v>
      </x:c>
      <x:c r="F42" s="13" t="s">
        <x:v>51</x:v>
      </x:c>
      <x:c r="G42" s="13" t="s">
        <x:v>226</x:v>
      </x:c>
      <x:c r="H42" s="13" t="s">
        <x:v>79</x:v>
      </x:c>
      <x:c r="I42" s="13"/>
      <x:c r="J42" s="13" t="s">
        <x:v>54</x:v>
      </x:c>
      <x:c r="K42" s="13" t="s">
        <x:v>55</x:v>
      </x:c>
      <x:c r="L42" s="14"/>
      <x:c r="M42" s="12" t="str">
        <x:f t="shared" si="1"/>
        <x:v>COMPLETE</x:v>
      </x:c>
      <x:c r="N42" s="12" t="s">
        <x:v>187</x:v>
      </x:c>
      <x:c r="O42" s="12" t="s">
        <x:v>142</x:v>
      </x:c>
      <x:c r="P42" s="12" t="s">
        <x:v>97</x:v>
      </x:c>
      <x:c r="Q42" s="12">
        <x:v>101</x:v>
      </x:c>
      <x:c r="R42" s="12" t="s">
        <x:v>59</x:v>
      </x:c>
      <x:c r="S42" s="15" t="s">
        <x:v>60</x:v>
      </x:c>
    </x:row>
    <x:row r="43" ht="78" customHeight="1">
      <x:c r="A43" s="10" t="s">
        <x:v>229</x:v>
      </x:c>
      <x:c r="B43" s="11" t="s">
        <x:v>230</x:v>
      </x:c>
      <x:c r="C43" s="12" t="s">
        <x:v>231</x:v>
      </x:c>
      <x:c r="D43" s="13" t="s">
        <x:v>49</x:v>
      </x:c>
      <x:c r="E43" s="13" t="s">
        <x:v>49</x:v>
      </x:c>
      <x:c r="F43" s="13" t="s">
        <x:v>50</x:v>
      </x:c>
      <x:c r="G43" s="13" t="s">
        <x:v>51</x:v>
      </x:c>
      <x:c r="H43" s="13" t="s">
        <x:v>52</x:v>
      </x:c>
      <x:c r="I43" s="13" t="s">
        <x:v>88</x:v>
      </x:c>
      <x:c r="J43" s="13" t="s">
        <x:v>54</x:v>
      </x:c>
      <x:c r="K43" s="13" t="s">
        <x:v>55</x:v>
      </x:c>
      <x:c r="L43" s="14"/>
      <x:c r="M43" s="12" t="str">
        <x:f t="shared" si="1"/>
        <x:v>COMPLETE</x:v>
      </x:c>
      <x:c r="N43" s="12" t="s">
        <x:v>232</x:v>
      </x:c>
      <x:c r="O43" s="12" t="s">
        <x:v>96</x:v>
      </x:c>
      <x:c r="P43" s="12" t="s">
        <x:v>233</x:v>
      </x:c>
      <x:c r="Q43" s="12">
        <x:v>35</x:v>
      </x:c>
      <x:c r="R43" s="12" t="s">
        <x:v>59</x:v>
      </x:c>
      <x:c r="S43" s="15" t="s">
        <x:v>60</x:v>
      </x:c>
    </x:row>
    <x:row r="44" ht="78" customHeight="1">
      <x:c r="A44" s="10" t="s">
        <x:v>234</x:v>
      </x:c>
      <x:c r="B44" s="11" t="s">
        <x:v>235</x:v>
      </x:c>
      <x:c r="C44" s="12" t="s">
        <x:v>236</x:v>
      </x:c>
      <x:c r="D44" s="13" t="s">
        <x:v>94</x:v>
      </x:c>
      <x:c r="E44" s="13" t="s">
        <x:v>49</x:v>
      </x:c>
      <x:c r="F44" s="13" t="s">
        <x:v>51</x:v>
      </x:c>
      <x:c r="G44" s="13" t="s">
        <x:v>226</x:v>
      </x:c>
      <x:c r="H44" s="13" t="s">
        <x:v>79</x:v>
      </x:c>
      <x:c r="I44" s="13"/>
      <x:c r="J44" s="13" t="s">
        <x:v>54</x:v>
      </x:c>
      <x:c r="K44" s="13" t="s">
        <x:v>55</x:v>
      </x:c>
      <x:c r="L44" s="14"/>
      <x:c r="M44" s="12" t="str">
        <x:f t="shared" si="1"/>
        <x:v>COMPLETE</x:v>
      </x:c>
      <x:c r="N44" s="12" t="s">
        <x:v>237</x:v>
      </x:c>
      <x:c r="O44" s="12" t="s">
        <x:v>81</x:v>
      </x:c>
      <x:c r="P44" s="12" t="s">
        <x:v>97</x:v>
      </x:c>
      <x:c r="Q44" s="12">
        <x:v>33</x:v>
      </x:c>
      <x:c r="R44" s="12" t="s">
        <x:v>59</x:v>
      </x:c>
      <x:c r="S44" s="15" t="s">
        <x:v>60</x:v>
      </x:c>
    </x:row>
    <x:row r="45" ht="78" customHeight="1">
      <x:c r="A45" s="10" t="s">
        <x:v>238</x:v>
      </x:c>
      <x:c r="B45" s="11" t="s">
        <x:v>239</x:v>
      </x:c>
      <x:c r="C45" s="12" t="s">
        <x:v>240</x:v>
      </x:c>
      <x:c r="D45" s="13" t="s">
        <x:v>49</x:v>
      </x:c>
      <x:c r="E45" s="13" t="s">
        <x:v>49</x:v>
      </x:c>
      <x:c r="F45" s="13" t="s">
        <x:v>70</x:v>
      </x:c>
      <x:c r="G45" s="13" t="s">
        <x:v>78</x:v>
      </x:c>
      <x:c r="H45" s="13" t="s">
        <x:v>79</x:v>
      </x:c>
      <x:c r="I45" s="13"/>
      <x:c r="J45" s="13" t="s">
        <x:v>54</x:v>
      </x:c>
      <x:c r="K45" s="13" t="s">
        <x:v>55</x:v>
      </x:c>
      <x:c r="L45" s="14"/>
      <x:c r="M45" s="12" t="str">
        <x:f t="shared" si="1"/>
        <x:v>COMPLETE</x:v>
      </x:c>
      <x:c r="N45" s="12" t="s">
        <x:v>241</x:v>
      </x:c>
      <x:c r="O45" s="12" t="s">
        <x:v>103</x:v>
      </x:c>
      <x:c r="P45" s="12" t="s">
        <x:v>242</x:v>
      </x:c>
      <x:c r="Q45" s="12">
        <x:v>34</x:v>
      </x:c>
      <x:c r="R45" s="12" t="s">
        <x:v>59</x:v>
      </x:c>
      <x:c r="S45" s="15" t="s">
        <x:v>60</x:v>
      </x:c>
    </x:row>
    <x:row r="46" ht="78" customHeight="1">
      <x:c r="A46" s="10" t="s">
        <x:v>243</x:v>
      </x:c>
      <x:c r="B46" s="11" t="s">
        <x:v>244</x:v>
      </x:c>
      <x:c r="C46" s="12" t="s">
        <x:v>154</x:v>
      </x:c>
      <x:c r="D46" s="13" t="s">
        <x:v>70</x:v>
      </x:c>
      <x:c r="E46" s="13" t="s">
        <x:v>49</x:v>
      </x:c>
      <x:c r="F46" s="13" t="s">
        <x:v>70</x:v>
      </x:c>
      <x:c r="G46" s="13" t="s">
        <x:v>78</x:v>
      </x:c>
      <x:c r="H46" s="13" t="s">
        <x:v>79</x:v>
      </x:c>
      <x:c r="I46" s="13"/>
      <x:c r="J46" s="13" t="s">
        <x:v>109</x:v>
      </x:c>
      <x:c r="K46" s="13" t="s">
        <x:v>55</x:v>
      </x:c>
      <x:c r="L46" s="14"/>
      <x:c r="M46" s="12" t="str">
        <x:f t="shared" si="1"/>
        <x:v>COMPLETE</x:v>
      </x:c>
      <x:c r="N46" s="12" t="s">
        <x:v>158</x:v>
      </x:c>
      <x:c r="O46" s="12" t="s">
        <x:v>81</x:v>
      </x:c>
      <x:c r="P46" s="12" t="s">
        <x:v>82</x:v>
      </x:c>
      <x:c r="Q46" s="12">
        <x:v>11</x:v>
      </x:c>
      <x:c r="R46" s="12" t="s">
        <x:v>120</x:v>
      </x:c>
      <x:c r="S46" s="15" t="s">
        <x:v>84</x:v>
      </x:c>
    </x:row>
    <x:row r="47" ht="78" customHeight="1">
      <x:c r="A47" s="10" t="s">
        <x:v>245</x:v>
      </x:c>
      <x:c r="B47" s="11" t="s">
        <x:v>246</x:v>
      </x:c>
      <x:c r="C47" s="12" t="s">
        <x:v>247</x:v>
      </x:c>
      <x:c r="D47" s="13" t="s">
        <x:v>49</x:v>
      </x:c>
      <x:c r="E47" s="13" t="s">
        <x:v>49</x:v>
      </x:c>
      <x:c r="F47" s="13" t="s">
        <x:v>161</x:v>
      </x:c>
      <x:c r="G47" s="13" t="s">
        <x:v>51</x:v>
      </x:c>
      <x:c r="H47" s="13" t="s">
        <x:v>52</x:v>
      </x:c>
      <x:c r="I47" s="13" t="s">
        <x:v>248</x:v>
      </x:c>
      <x:c r="J47" s="13" t="s">
        <x:v>54</x:v>
      </x:c>
      <x:c r="K47" s="13" t="s">
        <x:v>55</x:v>
      </x:c>
      <x:c r="L47" s="14"/>
      <x:c r="M47" s="12" t="str">
        <x:f t="shared" si="1"/>
        <x:v>COMPLETE</x:v>
      </x:c>
      <x:c r="N47" s="12" t="s">
        <x:v>249</x:v>
      </x:c>
      <x:c r="O47" s="12" t="s">
        <x:v>250</x:v>
      </x:c>
      <x:c r="P47" s="12" t="s">
        <x:v>251</x:v>
      </x:c>
      <x:c r="Q47" s="12">
        <x:v>31</x:v>
      </x:c>
      <x:c r="R47" s="12" t="s">
        <x:v>120</x:v>
      </x:c>
      <x:c r="S47" s="15" t="s">
        <x:v>60</x:v>
      </x:c>
    </x:row>
    <x:row r="48" ht="78" customHeight="1">
      <x:c r="A48" s="10" t="s">
        <x:v>252</x:v>
      </x:c>
      <x:c r="B48" s="11" t="s">
        <x:v>253</x:v>
      </x:c>
      <x:c r="C48" s="12" t="s">
        <x:v>135</x:v>
      </x:c>
      <x:c r="D48" s="13" t="s">
        <x:v>49</x:v>
      </x:c>
      <x:c r="E48" s="13" t="s">
        <x:v>94</x:v>
      </x:c>
      <x:c r="F48" s="13"/>
      <x:c r="G48" s="13" t="s">
        <x:v>51</x:v>
      </x:c>
      <x:c r="H48" s="13" t="s">
        <x:v>52</x:v>
      </x:c>
      <x:c r="I48" s="13" t="s">
        <x:v>88</x:v>
      </x:c>
      <x:c r="J48" s="13" t="s">
        <x:v>54</x:v>
      </x:c>
      <x:c r="K48" s="13" t="s">
        <x:v>55</x:v>
      </x:c>
      <x:c r="L48" s="14"/>
      <x:c r="M48" s="12" t="str">
        <x:f t="shared" si="1"/>
        <x:v>COMPLETE</x:v>
      </x:c>
      <x:c r="N48" s="12" t="s">
        <x:v>136</x:v>
      </x:c>
      <x:c r="O48" s="12" t="s">
        <x:v>96</x:v>
      </x:c>
      <x:c r="P48" s="12" t="s">
        <x:v>74</x:v>
      </x:c>
      <x:c r="Q48" s="12">
        <x:v>48</x:v>
      </x:c>
      <x:c r="R48" s="12" t="s">
        <x:v>59</x:v>
      </x:c>
      <x:c r="S48" s="15" t="s">
        <x:v>60</x:v>
      </x:c>
    </x:row>
    <x:row r="49" ht="78" customHeight="1">
      <x:c r="A49" s="10" t="s">
        <x:v>254</x:v>
      </x:c>
      <x:c r="B49" s="11" t="s">
        <x:v>255</x:v>
      </x:c>
      <x:c r="C49" s="12" t="s">
        <x:v>256</x:v>
      </x:c>
      <x:c r="D49" s="13" t="s">
        <x:v>49</x:v>
      </x:c>
      <x:c r="E49" s="13" t="s">
        <x:v>94</x:v>
      </x:c>
      <x:c r="F49" s="13" t="s">
        <x:v>50</x:v>
      </x:c>
      <x:c r="G49" s="13" t="s">
        <x:v>78</x:v>
      </x:c>
      <x:c r="H49" s="13" t="s">
        <x:v>79</x:v>
      </x:c>
      <x:c r="I49" s="13"/>
      <x:c r="J49" s="13" t="s">
        <x:v>54</x:v>
      </x:c>
      <x:c r="K49" s="13" t="s">
        <x:v>55</x:v>
      </x:c>
      <x:c r="L49" s="14"/>
      <x:c r="M49" s="12" t="str">
        <x:f t="shared" si="1"/>
        <x:v>COMPLETE</x:v>
      </x:c>
      <x:c r="N49" s="12" t="s">
        <x:v>257</x:v>
      </x:c>
      <x:c r="O49" s="12" t="s">
        <x:v>96</x:v>
      </x:c>
      <x:c r="P49" s="12" t="s">
        <x:v>258</x:v>
      </x:c>
      <x:c r="Q49" s="12">
        <x:v>5</x:v>
      </x:c>
      <x:c r="R49" s="12" t="s">
        <x:v>59</x:v>
      </x:c>
      <x:c r="S49" s="15" t="s">
        <x:v>60</x:v>
      </x:c>
    </x:row>
    <x:row r="50" ht="78" customHeight="1">
      <x:c r="A50" s="10" t="s">
        <x:v>259</x:v>
      </x:c>
      <x:c r="B50" s="11" t="s">
        <x:v>260</x:v>
      </x:c>
      <x:c r="C50" s="12" t="s">
        <x:v>186</x:v>
      </x:c>
      <x:c r="D50" s="13" t="s">
        <x:v>49</x:v>
      </x:c>
      <x:c r="E50" s="13" t="s">
        <x:v>49</x:v>
      </x:c>
      <x:c r="F50" s="13" t="s">
        <x:v>50</x:v>
      </x:c>
      <x:c r="G50" s="13" t="s">
        <x:v>51</x:v>
      </x:c>
      <x:c r="H50" s="13" t="s">
        <x:v>52</x:v>
      </x:c>
      <x:c r="I50" s="13" t="s">
        <x:v>261</x:v>
      </x:c>
      <x:c r="J50" s="13" t="s">
        <x:v>54</x:v>
      </x:c>
      <x:c r="K50" s="13" t="s">
        <x:v>55</x:v>
      </x:c>
      <x:c r="L50" s="14"/>
      <x:c r="M50" s="12" t="str">
        <x:f t="shared" si="1"/>
        <x:v>COMPLETE</x:v>
      </x:c>
      <x:c r="N50" s="12" t="s">
        <x:v>187</x:v>
      </x:c>
      <x:c r="O50" s="12" t="s">
        <x:v>57</x:v>
      </x:c>
      <x:c r="P50" s="12" t="s">
        <x:v>97</x:v>
      </x:c>
      <x:c r="Q50" s="12">
        <x:v>101</x:v>
      </x:c>
      <x:c r="R50" s="12" t="s">
        <x:v>59</x:v>
      </x:c>
      <x:c r="S50" s="15" t="s">
        <x:v>60</x:v>
      </x:c>
    </x:row>
    <x:row r="51" ht="78" customHeight="1">
      <x:c r="A51" s="10" t="s">
        <x:v>262</x:v>
      </x:c>
      <x:c r="B51" s="11" t="s">
        <x:v>263</x:v>
      </x:c>
      <x:c r="C51" s="12" t="s">
        <x:v>77</x:v>
      </x:c>
      <x:c r="D51" s="13" t="s">
        <x:v>49</x:v>
      </x:c>
      <x:c r="E51" s="13" t="s">
        <x:v>94</x:v>
      </x:c>
      <x:c r="F51" s="13" t="s">
        <x:v>51</x:v>
      </x:c>
      <x:c r="G51" s="13" t="s">
        <x:v>78</x:v>
      </x:c>
      <x:c r="H51" s="13" t="s">
        <x:v>79</x:v>
      </x:c>
      <x:c r="I51" s="13"/>
      <x:c r="J51" s="13" t="s">
        <x:v>54</x:v>
      </x:c>
      <x:c r="K51" s="13" t="s">
        <x:v>55</x:v>
      </x:c>
      <x:c r="L51" s="14"/>
      <x:c r="M51" s="12" t="str">
        <x:f t="shared" si="1"/>
        <x:v>COMPLETE</x:v>
      </x:c>
      <x:c r="N51" s="12" t="s">
        <x:v>80</x:v>
      </x:c>
      <x:c r="O51" s="12" t="s">
        <x:v>103</x:v>
      </x:c>
      <x:c r="P51" s="12" t="s">
        <x:v>82</x:v>
      </x:c>
      <x:c r="Q51" s="12">
        <x:v>10</x:v>
      </x:c>
      <x:c r="R51" s="12" t="s">
        <x:v>83</x:v>
      </x:c>
      <x:c r="S51" s="15" t="s">
        <x:v>84</x:v>
      </x:c>
    </x:row>
    <x:row r="52" ht="78" customHeight="1">
      <x:c r="A52" s="10" t="s">
        <x:v>264</x:v>
      </x:c>
      <x:c r="B52" s="11" t="s">
        <x:v>265</x:v>
      </x:c>
      <x:c r="C52" s="12" t="s">
        <x:v>77</x:v>
      </x:c>
      <x:c r="D52" s="13" t="s">
        <x:v>49</x:v>
      </x:c>
      <x:c r="E52" s="13" t="s">
        <x:v>49</x:v>
      </x:c>
      <x:c r="F52" s="13" t="s">
        <x:v>161</x:v>
      </x:c>
      <x:c r="G52" s="13" t="s">
        <x:v>51</x:v>
      </x:c>
      <x:c r="H52" s="13" t="s">
        <x:v>52</x:v>
      </x:c>
      <x:c r="I52" s="13" t="s">
        <x:v>162</x:v>
      </x:c>
      <x:c r="J52" s="13" t="s">
        <x:v>54</x:v>
      </x:c>
      <x:c r="K52" s="13" t="s">
        <x:v>55</x:v>
      </x:c>
      <x:c r="L52" s="14"/>
      <x:c r="M52" s="12" t="str">
        <x:f t="shared" si="1"/>
        <x:v>COMPLETE</x:v>
      </x:c>
      <x:c r="N52" s="12" t="s">
        <x:v>80</x:v>
      </x:c>
      <x:c r="O52" s="12" t="s">
        <x:v>119</x:v>
      </x:c>
      <x:c r="P52" s="12" t="s">
        <x:v>82</x:v>
      </x:c>
      <x:c r="Q52" s="12">
        <x:v>10</x:v>
      </x:c>
      <x:c r="R52" s="12" t="s">
        <x:v>83</x:v>
      </x:c>
      <x:c r="S52" s="15" t="s">
        <x:v>84</x:v>
      </x:c>
    </x:row>
    <x:row r="53" ht="78" customHeight="1">
      <x:c r="A53" s="10" t="s">
        <x:v>266</x:v>
      </x:c>
      <x:c r="B53" s="11" t="s">
        <x:v>267</x:v>
      </x:c>
      <x:c r="C53" s="12" t="s">
        <x:v>268</x:v>
      </x:c>
      <x:c r="D53" s="13" t="s">
        <x:v>49</x:v>
      </x:c>
      <x:c r="E53" s="13" t="s">
        <x:v>70</x:v>
      </x:c>
      <x:c r="F53" s="13" t="s">
        <x:v>155</x:v>
      </x:c>
      <x:c r="G53" s="13" t="s">
        <x:v>78</x:v>
      </x:c>
      <x:c r="H53" s="13" t="s">
        <x:v>79</x:v>
      </x:c>
      <x:c r="I53" s="13"/>
      <x:c r="J53" s="13" t="s">
        <x:v>54</x:v>
      </x:c>
      <x:c r="K53" s="13" t="s">
        <x:v>55</x:v>
      </x:c>
      <x:c r="L53" s="14"/>
      <x:c r="M53" s="12" t="str">
        <x:f t="shared" si="1"/>
        <x:v>COMPLETE</x:v>
      </x:c>
      <x:c r="N53" s="12" t="s">
        <x:v>269</x:v>
      </x:c>
      <x:c r="O53" s="12" t="s">
        <x:v>103</x:v>
      </x:c>
      <x:c r="P53" s="12" t="s">
        <x:v>97</x:v>
      </x:c>
      <x:c r="Q53" s="12">
        <x:v>197</x:v>
      </x:c>
      <x:c r="R53" s="12" t="s">
        <x:v>59</x:v>
      </x:c>
      <x:c r="S53" s="15" t="s">
        <x:v>60</x:v>
      </x:c>
    </x:row>
    <x:row r="54" ht="78" customHeight="1">
      <x:c r="A54" s="10" t="s">
        <x:v>270</x:v>
      </x:c>
      <x:c r="B54" s="11" t="s">
        <x:v>271</x:v>
      </x:c>
      <x:c r="C54" s="12" t="s">
        <x:v>247</x:v>
      </x:c>
      <x:c r="D54" s="13" t="s">
        <x:v>49</x:v>
      </x:c>
      <x:c r="E54" s="13" t="s">
        <x:v>49</x:v>
      </x:c>
      <x:c r="F54" s="13" t="s">
        <x:v>161</x:v>
      </x:c>
      <x:c r="G54" s="13" t="s">
        <x:v>78</x:v>
      </x:c>
      <x:c r="H54" s="13" t="s">
        <x:v>79</x:v>
      </x:c>
      <x:c r="I54" s="13"/>
      <x:c r="J54" s="13" t="s">
        <x:v>54</x:v>
      </x:c>
      <x:c r="K54" s="13" t="s">
        <x:v>55</x:v>
      </x:c>
      <x:c r="L54" s="14"/>
      <x:c r="M54" s="12" t="str">
        <x:f t="shared" si="1"/>
        <x:v>COMPLETE</x:v>
      </x:c>
      <x:c r="N54" s="12" t="s">
        <x:v>249</x:v>
      </x:c>
      <x:c r="O54" s="12" t="s">
        <x:v>126</x:v>
      </x:c>
      <x:c r="P54" s="12" t="s">
        <x:v>251</x:v>
      </x:c>
      <x:c r="Q54" s="12">
        <x:v>31</x:v>
      </x:c>
      <x:c r="R54" s="12" t="s">
        <x:v>120</x:v>
      </x:c>
      <x:c r="S54" s="15" t="s">
        <x:v>60</x:v>
      </x:c>
    </x:row>
    <x:row r="55" ht="78" customHeight="1">
      <x:c r="A55" s="10" t="s">
        <x:v>272</x:v>
      </x:c>
      <x:c r="B55" s="11" t="s">
        <x:v>273</x:v>
      </x:c>
      <x:c r="C55" s="12" t="s">
        <x:v>274</x:v>
      </x:c>
      <x:c r="D55" s="13" t="s">
        <x:v>49</x:v>
      </x:c>
      <x:c r="E55" s="13" t="s">
        <x:v>70</x:v>
      </x:c>
      <x:c r="F55" s="13"/>
      <x:c r="G55" s="13" t="s">
        <x:v>51</x:v>
      </x:c>
      <x:c r="H55" s="13" t="s">
        <x:v>52</x:v>
      </x:c>
      <x:c r="I55" s="13" t="s">
        <x:v>201</x:v>
      </x:c>
      <x:c r="J55" s="13" t="s">
        <x:v>54</x:v>
      </x:c>
      <x:c r="K55" s="13" t="s">
        <x:v>55</x:v>
      </x:c>
      <x:c r="L55" s="14"/>
      <x:c r="M55" s="12" t="str">
        <x:f t="shared" si="1"/>
        <x:v>COMPLETE</x:v>
      </x:c>
      <x:c r="N55" s="12" t="s">
        <x:v>275</x:v>
      </x:c>
      <x:c r="O55" s="12" t="s">
        <x:v>96</x:v>
      </x:c>
      <x:c r="P55" s="12" t="s">
        <x:v>276</x:v>
      </x:c>
      <x:c r="Q55" s="12">
        <x:v>33</x:v>
      </x:c>
      <x:c r="R55" s="12" t="s">
        <x:v>59</x:v>
      </x:c>
      <x:c r="S55" s="15" t="s">
        <x:v>60</x:v>
      </x:c>
    </x:row>
    <x:row r="56" ht="78" customHeight="1">
      <x:c r="A56" s="10" t="s">
        <x:v>277</x:v>
      </x:c>
      <x:c r="B56" s="11" t="s">
        <x:v>278</x:v>
      </x:c>
      <x:c r="C56" s="12" t="s">
        <x:v>279</x:v>
      </x:c>
      <x:c r="D56" s="13" t="s">
        <x:v>70</x:v>
      </x:c>
      <x:c r="E56" s="13" t="s">
        <x:v>70</x:v>
      </x:c>
      <x:c r="F56" s="13" t="s">
        <x:v>51</x:v>
      </x:c>
      <x:c r="G56" s="13" t="s">
        <x:v>124</x:v>
      </x:c>
      <x:c r="H56" s="13" t="s">
        <x:v>79</x:v>
      </x:c>
      <x:c r="I56" s="13"/>
      <x:c r="J56" s="13" t="s">
        <x:v>54</x:v>
      </x:c>
      <x:c r="K56" s="13" t="s">
        <x:v>55</x:v>
      </x:c>
      <x:c r="L56" s="14"/>
      <x:c r="M56" s="12" t="str">
        <x:f t="shared" si="1"/>
        <x:v>COMPLETE</x:v>
      </x:c>
      <x:c r="N56" s="12" t="s">
        <x:v>280</x:v>
      </x:c>
      <x:c r="O56" s="12" t="s">
        <x:v>81</x:v>
      </x:c>
      <x:c r="P56" s="12" t="s">
        <x:v>281</x:v>
      </x:c>
      <x:c r="Q56" s="12">
        <x:v>8</x:v>
      </x:c>
      <x:c r="R56" s="12" t="s">
        <x:v>59</x:v>
      </x:c>
      <x:c r="S56" s="15" t="s">
        <x:v>60</x:v>
      </x:c>
    </x:row>
    <x:row r="57" ht="78" customHeight="1">
      <x:c r="A57" s="10" t="s">
        <x:v>282</x:v>
      </x:c>
      <x:c r="B57" s="11" t="s">
        <x:v>283</x:v>
      </x:c>
      <x:c r="C57" s="12" t="s">
        <x:v>284</x:v>
      </x:c>
      <x:c r="D57" s="13" t="s">
        <x:v>94</x:v>
      </x:c>
      <x:c r="E57" s="13" t="s">
        <x:v>49</x:v>
      </x:c>
      <x:c r="F57" s="13" t="s">
        <x:v>51</x:v>
      </x:c>
      <x:c r="G57" s="13" t="s">
        <x:v>226</x:v>
      </x:c>
      <x:c r="H57" s="13" t="s">
        <x:v>79</x:v>
      </x:c>
      <x:c r="I57" s="13"/>
      <x:c r="J57" s="13" t="s">
        <x:v>54</x:v>
      </x:c>
      <x:c r="K57" s="13" t="s">
        <x:v>55</x:v>
      </x:c>
      <x:c r="L57" s="14"/>
      <x:c r="M57" s="12" t="str">
        <x:f t="shared" si="1"/>
        <x:v>COMPLETE</x:v>
      </x:c>
      <x:c r="N57" s="12" t="s">
        <x:v>285</x:v>
      </x:c>
      <x:c r="O57" s="12" t="s">
        <x:v>142</x:v>
      </x:c>
      <x:c r="P57" s="12" t="s">
        <x:v>97</x:v>
      </x:c>
      <x:c r="Q57" s="12">
        <x:v>36</x:v>
      </x:c>
      <x:c r="R57" s="12" t="s">
        <x:v>59</x:v>
      </x:c>
      <x:c r="S57" s="15" t="s">
        <x:v>60</x:v>
      </x:c>
    </x:row>
    <x:row r="58" ht="78" customHeight="1">
      <x:c r="A58" s="10" t="s">
        <x:v>286</x:v>
      </x:c>
      <x:c r="B58" s="11" t="s">
        <x:v>287</x:v>
      </x:c>
      <x:c r="C58" s="12" t="s">
        <x:v>284</x:v>
      </x:c>
      <x:c r="D58" s="13" t="s">
        <x:v>94</x:v>
      </x:c>
      <x:c r="E58" s="13" t="s">
        <x:v>49</x:v>
      </x:c>
      <x:c r="F58" s="13" t="s">
        <x:v>51</x:v>
      </x:c>
      <x:c r="G58" s="13" t="s">
        <x:v>226</x:v>
      </x:c>
      <x:c r="H58" s="13" t="s">
        <x:v>79</x:v>
      </x:c>
      <x:c r="I58" s="13"/>
      <x:c r="J58" s="13" t="s">
        <x:v>54</x:v>
      </x:c>
      <x:c r="K58" s="13" t="s">
        <x:v>55</x:v>
      </x:c>
      <x:c r="L58" s="14"/>
      <x:c r="M58" s="12" t="str">
        <x:f t="shared" si="1"/>
        <x:v>COMPLETE</x:v>
      </x:c>
      <x:c r="N58" s="12" t="s">
        <x:v>285</x:v>
      </x:c>
      <x:c r="O58" s="12" t="s">
        <x:v>103</x:v>
      </x:c>
      <x:c r="P58" s="12" t="s">
        <x:v>97</x:v>
      </x:c>
      <x:c r="Q58" s="12">
        <x:v>36</x:v>
      </x:c>
      <x:c r="R58" s="12" t="s">
        <x:v>59</x:v>
      </x:c>
      <x:c r="S58" s="15" t="s">
        <x:v>60</x:v>
      </x:c>
    </x:row>
    <x:row r="59" ht="78" customHeight="1">
      <x:c r="A59" s="10" t="s">
        <x:v>288</x:v>
      </x:c>
      <x:c r="B59" s="11" t="s">
        <x:v>289</x:v>
      </x:c>
      <x:c r="C59" s="12" t="s">
        <x:v>154</x:v>
      </x:c>
      <x:c r="D59" s="13" t="s">
        <x:v>70</x:v>
      </x:c>
      <x:c r="E59" s="13" t="s">
        <x:v>70</x:v>
      </x:c>
      <x:c r="F59" s="13" t="s">
        <x:v>51</x:v>
      </x:c>
      <x:c r="G59" s="13" t="s">
        <x:v>78</x:v>
      </x:c>
      <x:c r="H59" s="13" t="s">
        <x:v>79</x:v>
      </x:c>
      <x:c r="I59" s="13"/>
      <x:c r="J59" s="13" t="s">
        <x:v>54</x:v>
      </x:c>
      <x:c r="K59" s="13" t="s">
        <x:v>55</x:v>
      </x:c>
      <x:c r="L59" s="14"/>
      <x:c r="M59" s="12" t="str">
        <x:f t="shared" si="1"/>
        <x:v>COMPLETE</x:v>
      </x:c>
      <x:c r="N59" s="12" t="s">
        <x:v>158</x:v>
      </x:c>
      <x:c r="O59" s="12" t="s">
        <x:v>290</x:v>
      </x:c>
      <x:c r="P59" s="12" t="s">
        <x:v>82</x:v>
      </x:c>
      <x:c r="Q59" s="12">
        <x:v>11</x:v>
      </x:c>
      <x:c r="R59" s="12" t="s">
        <x:v>120</x:v>
      </x:c>
      <x:c r="S59" s="15" t="s">
        <x:v>84</x:v>
      </x:c>
    </x:row>
    <x:row r="60" ht="78" customHeight="1">
      <x:c r="A60" s="10" t="s">
        <x:v>291</x:v>
      </x:c>
      <x:c r="B60" s="11" t="s">
        <x:v>292</x:v>
      </x:c>
      <x:c r="C60" s="12" t="s">
        <x:v>116</x:v>
      </x:c>
      <x:c r="D60" s="13" t="s">
        <x:v>49</x:v>
      </x:c>
      <x:c r="E60" s="13" t="s">
        <x:v>49</x:v>
      </x:c>
      <x:c r="F60" s="13" t="s">
        <x:v>51</x:v>
      </x:c>
      <x:c r="G60" s="13" t="s">
        <x:v>78</x:v>
      </x:c>
      <x:c r="H60" s="13" t="s">
        <x:v>79</x:v>
      </x:c>
      <x:c r="I60" s="13"/>
      <x:c r="J60" s="13" t="s">
        <x:v>54</x:v>
      </x:c>
      <x:c r="K60" s="13" t="s">
        <x:v>55</x:v>
      </x:c>
      <x:c r="L60" s="14"/>
      <x:c r="M60" s="12" t="str">
        <x:f t="shared" si="1"/>
        <x:v>COMPLETE</x:v>
      </x:c>
      <x:c r="N60" s="12" t="s">
        <x:v>118</x:v>
      </x:c>
      <x:c r="O60" s="12" t="s">
        <x:v>96</x:v>
      </x:c>
      <x:c r="P60" s="12" t="s">
        <x:v>111</x:v>
      </x:c>
      <x:c r="Q60" s="12">
        <x:v>35</x:v>
      </x:c>
      <x:c r="R60" s="12" t="s">
        <x:v>120</x:v>
      </x:c>
      <x:c r="S60" s="15" t="s">
        <x:v>60</x:v>
      </x:c>
    </x:row>
    <x:row r="61" ht="78" customHeight="1">
      <x:c r="A61" s="10" t="s">
        <x:v>293</x:v>
      </x:c>
      <x:c r="B61" s="11" t="s">
        <x:v>294</x:v>
      </x:c>
      <x:c r="C61" s="12" t="s">
        <x:v>190</x:v>
      </x:c>
      <x:c r="D61" s="13" t="s">
        <x:v>49</x:v>
      </x:c>
      <x:c r="E61" s="13" t="s">
        <x:v>49</x:v>
      </x:c>
      <x:c r="F61" s="13"/>
      <x:c r="G61" s="13" t="s">
        <x:v>51</x:v>
      </x:c>
      <x:c r="H61" s="13" t="s">
        <x:v>52</x:v>
      </x:c>
      <x:c r="I61" s="13" t="s">
        <x:v>218</x:v>
      </x:c>
      <x:c r="J61" s="13" t="s">
        <x:v>54</x:v>
      </x:c>
      <x:c r="K61" s="13" t="s">
        <x:v>55</x:v>
      </x:c>
      <x:c r="L61" s="14"/>
      <x:c r="M61" s="12" t="str">
        <x:f t="shared" si="1"/>
        <x:v>COMPLETE</x:v>
      </x:c>
      <x:c r="N61" s="12" t="s">
        <x:v>191</x:v>
      </x:c>
      <x:c r="O61" s="12" t="s">
        <x:v>103</x:v>
      </x:c>
      <x:c r="P61" s="12" t="s">
        <x:v>192</x:v>
      </x:c>
      <x:c r="Q61" s="12">
        <x:v>45</x:v>
      </x:c>
      <x:c r="R61" s="12" t="s">
        <x:v>59</x:v>
      </x:c>
      <x:c r="S61" s="15" t="s">
        <x:v>60</x:v>
      </x:c>
    </x:row>
    <x:row r="62" ht="78" customHeight="1">
      <x:c r="A62" s="10" t="s">
        <x:v>295</x:v>
      </x:c>
      <x:c r="B62" s="11" t="s">
        <x:v>296</x:v>
      </x:c>
      <x:c r="C62" s="12" t="s">
        <x:v>116</x:v>
      </x:c>
      <x:c r="D62" s="13" t="s">
        <x:v>70</x:v>
      </x:c>
      <x:c r="E62" s="13" t="s">
        <x:v>70</x:v>
      </x:c>
      <x:c r="F62" s="13" t="s">
        <x:v>51</x:v>
      </x:c>
      <x:c r="G62" s="13" t="s">
        <x:v>78</x:v>
      </x:c>
      <x:c r="H62" s="13" t="s">
        <x:v>79</x:v>
      </x:c>
      <x:c r="I62" s="13"/>
      <x:c r="J62" s="13" t="s">
        <x:v>54</x:v>
      </x:c>
      <x:c r="K62" s="13" t="s">
        <x:v>55</x:v>
      </x:c>
      <x:c r="L62" s="14"/>
      <x:c r="M62" s="12" t="str">
        <x:f t="shared" si="1"/>
        <x:v>COMPLETE</x:v>
      </x:c>
      <x:c r="N62" s="12" t="s">
        <x:v>118</x:v>
      </x:c>
      <x:c r="O62" s="12" t="s">
        <x:v>297</x:v>
      </x:c>
      <x:c r="P62" s="12" t="s">
        <x:v>111</x:v>
      </x:c>
      <x:c r="Q62" s="12">
        <x:v>35</x:v>
      </x:c>
      <x:c r="R62" s="12" t="s">
        <x:v>120</x:v>
      </x:c>
      <x:c r="S62" s="15" t="s">
        <x:v>60</x:v>
      </x:c>
    </x:row>
    <x:row r="63" ht="78" customHeight="1">
      <x:c r="A63" s="10" t="s">
        <x:v>298</x:v>
      </x:c>
      <x:c r="B63" s="11" t="s">
        <x:v>299</x:v>
      </x:c>
      <x:c r="C63" s="12" t="s">
        <x:v>154</x:v>
      </x:c>
      <x:c r="D63" s="13" t="s">
        <x:v>49</x:v>
      </x:c>
      <x:c r="E63" s="13" t="s">
        <x:v>49</x:v>
      </x:c>
      <x:c r="F63" s="13" t="s">
        <x:v>161</x:v>
      </x:c>
      <x:c r="G63" s="13" t="s">
        <x:v>78</x:v>
      </x:c>
      <x:c r="H63" s="13" t="s">
        <x:v>79</x:v>
      </x:c>
      <x:c r="I63" s="13"/>
      <x:c r="J63" s="13" t="s">
        <x:v>54</x:v>
      </x:c>
      <x:c r="K63" s="13" t="s">
        <x:v>55</x:v>
      </x:c>
      <x:c r="L63" s="14"/>
      <x:c r="M63" s="12" t="str">
        <x:f t="shared" si="1"/>
        <x:v>COMPLETE</x:v>
      </x:c>
      <x:c r="N63" s="12" t="s">
        <x:v>158</x:v>
      </x:c>
      <x:c r="O63" s="12" t="s">
        <x:v>142</x:v>
      </x:c>
      <x:c r="P63" s="12" t="s">
        <x:v>82</x:v>
      </x:c>
      <x:c r="Q63" s="12">
        <x:v>11</x:v>
      </x:c>
      <x:c r="R63" s="12" t="s">
        <x:v>120</x:v>
      </x:c>
      <x:c r="S63" s="15" t="s">
        <x:v>84</x:v>
      </x:c>
    </x:row>
    <x:row r="64" ht="78" customHeight="1">
      <x:c r="A64" s="10" t="s">
        <x:v>300</x:v>
      </x:c>
      <x:c r="B64" s="11" t="s">
        <x:v>301</x:v>
      </x:c>
      <x:c r="C64" s="12" t="s">
        <x:v>302</x:v>
      </x:c>
      <x:c r="D64" s="13" t="s">
        <x:v>49</x:v>
      </x:c>
      <x:c r="E64" s="13" t="s">
        <x:v>49</x:v>
      </x:c>
      <x:c r="F64" s="13" t="s">
        <x:v>155</x:v>
      </x:c>
      <x:c r="G64" s="13" t="s">
        <x:v>51</x:v>
      </x:c>
      <x:c r="H64" s="13" t="s">
        <x:v>52</x:v>
      </x:c>
      <x:c r="I64" s="13" t="s">
        <x:v>88</x:v>
      </x:c>
      <x:c r="J64" s="13" t="s">
        <x:v>54</x:v>
      </x:c>
      <x:c r="K64" s="13" t="s">
        <x:v>55</x:v>
      </x:c>
      <x:c r="L64" s="14"/>
      <x:c r="M64" s="12" t="str">
        <x:f t="shared" si="1"/>
        <x:v>COMPLETE</x:v>
      </x:c>
      <x:c r="N64" s="12" t="s">
        <x:v>303</x:v>
      </x:c>
      <x:c r="O64" s="12" t="s">
        <x:v>142</x:v>
      </x:c>
      <x:c r="P64" s="12" t="s">
        <x:v>304</x:v>
      </x:c>
      <x:c r="Q64" s="12">
        <x:v>8</x:v>
      </x:c>
      <x:c r="R64" s="12" t="s">
        <x:v>59</x:v>
      </x:c>
      <x:c r="S64" s="15" t="s">
        <x:v>60</x:v>
      </x:c>
    </x:row>
    <x:row r="65" ht="78" customHeight="1">
      <x:c r="A65" s="10" t="s">
        <x:v>305</x:v>
      </x:c>
      <x:c r="B65" s="11" t="s">
        <x:v>306</x:v>
      </x:c>
      <x:c r="C65" s="12" t="s">
        <x:v>186</x:v>
      </x:c>
      <x:c r="D65" s="13" t="s">
        <x:v>94</x:v>
      </x:c>
      <x:c r="E65" s="13" t="s">
        <x:v>49</x:v>
      </x:c>
      <x:c r="F65" s="13" t="s">
        <x:v>51</x:v>
      </x:c>
      <x:c r="G65" s="13" t="s">
        <x:v>226</x:v>
      </x:c>
      <x:c r="H65" s="13" t="s">
        <x:v>79</x:v>
      </x:c>
      <x:c r="I65" s="13"/>
      <x:c r="J65" s="13" t="s">
        <x:v>54</x:v>
      </x:c>
      <x:c r="K65" s="13" t="s">
        <x:v>55</x:v>
      </x:c>
      <x:c r="L65" s="14"/>
      <x:c r="M65" s="12" t="str">
        <x:f t="shared" si="1"/>
        <x:v>COMPLETE</x:v>
      </x:c>
      <x:c r="N65" s="12" t="s">
        <x:v>187</x:v>
      </x:c>
      <x:c r="O65" s="12" t="s">
        <x:v>126</x:v>
      </x:c>
      <x:c r="P65" s="12" t="s">
        <x:v>97</x:v>
      </x:c>
      <x:c r="Q65" s="12">
        <x:v>101</x:v>
      </x:c>
      <x:c r="R65" s="12" t="s">
        <x:v>59</x:v>
      </x:c>
      <x:c r="S65" s="15" t="s">
        <x:v>60</x:v>
      </x:c>
    </x:row>
    <x:row r="66" ht="78" customHeight="1">
      <x:c r="A66" s="10" t="s">
        <x:v>307</x:v>
      </x:c>
      <x:c r="B66" s="11" t="s">
        <x:v>308</x:v>
      </x:c>
      <x:c r="C66" s="12" t="s">
        <x:v>309</x:v>
      </x:c>
      <x:c r="D66" s="13" t="s">
        <x:v>49</x:v>
      </x:c>
      <x:c r="E66" s="13" t="s">
        <x:v>49</x:v>
      </x:c>
      <x:c r="F66" s="13" t="s">
        <x:v>50</x:v>
      </x:c>
      <x:c r="G66" s="13" t="s">
        <x:v>51</x:v>
      </x:c>
      <x:c r="H66" s="13" t="s">
        <x:v>52</x:v>
      </x:c>
      <x:c r="I66" s="13" t="s">
        <x:v>167</x:v>
      </x:c>
      <x:c r="J66" s="13" t="s">
        <x:v>54</x:v>
      </x:c>
      <x:c r="K66" s="13" t="s">
        <x:v>55</x:v>
      </x:c>
      <x:c r="L66" s="14"/>
      <x:c r="M66" s="12" t="str">
        <x:f t="shared" si="1"/>
        <x:v>COMPLETE</x:v>
      </x:c>
      <x:c r="N66" s="12" t="s">
        <x:v>310</x:v>
      </x:c>
      <x:c r="O66" s="12" t="s">
        <x:v>96</x:v>
      </x:c>
      <x:c r="P66" s="12" t="s">
        <x:v>233</x:v>
      </x:c>
      <x:c r="Q66" s="12">
        <x:v>18</x:v>
      </x:c>
      <x:c r="R66" s="12" t="s">
        <x:v>59</x:v>
      </x:c>
      <x:c r="S66" s="15" t="s">
        <x:v>60</x:v>
      </x:c>
    </x:row>
    <x:row r="67" ht="78" customHeight="1">
      <x:c r="A67" s="10" t="s">
        <x:v>311</x:v>
      </x:c>
      <x:c r="B67" s="11" t="s">
        <x:v>312</x:v>
      </x:c>
      <x:c r="C67" s="12" t="s">
        <x:v>208</x:v>
      </x:c>
      <x:c r="D67" s="13" t="s">
        <x:v>94</x:v>
      </x:c>
      <x:c r="E67" s="13" t="s">
        <x:v>49</x:v>
      </x:c>
      <x:c r="F67" s="13" t="s">
        <x:v>51</x:v>
      </x:c>
      <x:c r="G67" s="13" t="s">
        <x:v>226</x:v>
      </x:c>
      <x:c r="H67" s="13" t="s">
        <x:v>79</x:v>
      </x:c>
      <x:c r="I67" s="13"/>
      <x:c r="J67" s="13" t="s">
        <x:v>54</x:v>
      </x:c>
      <x:c r="K67" s="13" t="s">
        <x:v>55</x:v>
      </x:c>
      <x:c r="L67" s="14"/>
      <x:c r="M67" s="12" t="str">
        <x:f t="shared" si="1"/>
        <x:v>COMPLETE</x:v>
      </x:c>
      <x:c r="N67" s="12" t="s">
        <x:v>209</x:v>
      </x:c>
      <x:c r="O67" s="12" t="s">
        <x:v>103</x:v>
      </x:c>
      <x:c r="P67" s="12" t="s">
        <x:v>97</x:v>
      </x:c>
      <x:c r="Q67" s="12">
        <x:v>117</x:v>
      </x:c>
      <x:c r="R67" s="12" t="s">
        <x:v>59</x:v>
      </x:c>
      <x:c r="S67" s="15" t="s">
        <x:v>60</x:v>
      </x:c>
    </x:row>
    <x:row r="68" ht="78" customHeight="1">
      <x:c r="A68" s="10" t="s">
        <x:v>313</x:v>
      </x:c>
      <x:c r="B68" s="11" t="s">
        <x:v>314</x:v>
      </x:c>
      <x:c r="C68" s="12" t="s">
        <x:v>69</x:v>
      </x:c>
      <x:c r="D68" s="13" t="s">
        <x:v>49</x:v>
      </x:c>
      <x:c r="E68" s="13" t="s">
        <x:v>94</x:v>
      </x:c>
      <x:c r="F68" s="13" t="s">
        <x:v>51</x:v>
      </x:c>
      <x:c r="G68" s="13" t="s">
        <x:v>124</x:v>
      </x:c>
      <x:c r="H68" s="13" t="s">
        <x:v>79</x:v>
      </x:c>
      <x:c r="I68" s="13"/>
      <x:c r="J68" s="13" t="s">
        <x:v>54</x:v>
      </x:c>
      <x:c r="K68" s="13" t="s">
        <x:v>55</x:v>
      </x:c>
      <x:c r="L68" s="14"/>
      <x:c r="M68" s="12" t="str">
        <x:f t="shared" si="1"/>
        <x:v>COMPLETE</x:v>
      </x:c>
      <x:c r="N68" s="12" t="s">
        <x:v>72</x:v>
      </x:c>
      <x:c r="O68" s="12" t="s">
        <x:v>103</x:v>
      </x:c>
      <x:c r="P68" s="12" t="s">
        <x:v>74</x:v>
      </x:c>
      <x:c r="Q68" s="12">
        <x:v>80</x:v>
      </x:c>
      <x:c r="R68" s="12" t="s">
        <x:v>59</x:v>
      </x:c>
      <x:c r="S68" s="15" t="s">
        <x:v>60</x:v>
      </x:c>
    </x:row>
    <x:row r="69" ht="78" customHeight="1">
      <x:c r="A69" s="10" t="s">
        <x:v>315</x:v>
      </x:c>
      <x:c r="B69" s="11" t="s">
        <x:v>316</x:v>
      </x:c>
      <x:c r="C69" s="12" t="s">
        <x:v>279</x:v>
      </x:c>
      <x:c r="D69" s="13" t="s">
        <x:v>49</x:v>
      </x:c>
      <x:c r="E69" s="13" t="s">
        <x:v>94</x:v>
      </x:c>
      <x:c r="F69" s="13" t="s">
        <x:v>50</x:v>
      </x:c>
      <x:c r="G69" s="13" t="s">
        <x:v>51</x:v>
      </x:c>
      <x:c r="H69" s="13" t="s">
        <x:v>52</x:v>
      </x:c>
      <x:c r="I69" s="13" t="s">
        <x:v>317</x:v>
      </x:c>
      <x:c r="J69" s="13" t="s">
        <x:v>109</x:v>
      </x:c>
      <x:c r="K69" s="13" t="s">
        <x:v>55</x:v>
      </x:c>
      <x:c r="L69" s="14"/>
      <x:c r="M69" s="12" t="str">
        <x:f t="shared" si="1"/>
        <x:v>COMPLETE</x:v>
      </x:c>
      <x:c r="N69" s="12" t="s">
        <x:v>280</x:v>
      </x:c>
      <x:c r="O69" s="12" t="s">
        <x:v>103</x:v>
      </x:c>
      <x:c r="P69" s="12" t="s">
        <x:v>281</x:v>
      </x:c>
      <x:c r="Q69" s="12">
        <x:v>8</x:v>
      </x:c>
      <x:c r="R69" s="12" t="s">
        <x:v>59</x:v>
      </x:c>
      <x:c r="S69" s="15" t="s">
        <x:v>60</x:v>
      </x:c>
    </x:row>
    <x:row r="70" ht="78" customHeight="1">
      <x:c r="A70" s="10" t="s">
        <x:v>318</x:v>
      </x:c>
      <x:c r="B70" s="11" t="s">
        <x:v>319</x:v>
      </x:c>
      <x:c r="C70" s="12" t="s">
        <x:v>231</x:v>
      </x:c>
      <x:c r="D70" s="13" t="s">
        <x:v>49</x:v>
      </x:c>
      <x:c r="E70" s="13" t="s">
        <x:v>49</x:v>
      </x:c>
      <x:c r="F70" s="13" t="s">
        <x:v>161</x:v>
      </x:c>
      <x:c r="G70" s="13" t="s">
        <x:v>78</x:v>
      </x:c>
      <x:c r="H70" s="13" t="s">
        <x:v>79</x:v>
      </x:c>
      <x:c r="I70" s="13"/>
      <x:c r="J70" s="13" t="s">
        <x:v>54</x:v>
      </x:c>
      <x:c r="K70" s="13" t="s">
        <x:v>55</x:v>
      </x:c>
      <x:c r="L70" s="14"/>
      <x:c r="M70" s="12" t="str">
        <x:f t="shared" si="1"/>
        <x:v>COMPLETE</x:v>
      </x:c>
      <x:c r="N70" s="12" t="s">
        <x:v>232</x:v>
      </x:c>
      <x:c r="O70" s="12" t="s">
        <x:v>142</x:v>
      </x:c>
      <x:c r="P70" s="12" t="s">
        <x:v>233</x:v>
      </x:c>
      <x:c r="Q70" s="12">
        <x:v>35</x:v>
      </x:c>
      <x:c r="R70" s="12" t="s">
        <x:v>59</x:v>
      </x:c>
      <x:c r="S70" s="15" t="s">
        <x:v>60</x:v>
      </x:c>
    </x:row>
    <x:row r="71" ht="78" customHeight="1">
      <x:c r="A71" s="10" t="s">
        <x:v>320</x:v>
      </x:c>
      <x:c r="B71" s="11" t="s">
        <x:v>321</x:v>
      </x:c>
      <x:c r="C71" s="12" t="s">
        <x:v>200</x:v>
      </x:c>
      <x:c r="D71" s="13" t="s">
        <x:v>70</x:v>
      </x:c>
      <x:c r="E71" s="13" t="s">
        <x:v>94</x:v>
      </x:c>
      <x:c r="F71" s="13" t="s">
        <x:v>51</x:v>
      </x:c>
      <x:c r="G71" s="13" t="s">
        <x:v>78</x:v>
      </x:c>
      <x:c r="H71" s="13" t="s">
        <x:v>79</x:v>
      </x:c>
      <x:c r="I71" s="13"/>
      <x:c r="J71" s="13" t="s">
        <x:v>54</x:v>
      </x:c>
      <x:c r="K71" s="13" t="s">
        <x:v>55</x:v>
      </x:c>
      <x:c r="L71" s="14"/>
      <x:c r="M71" s="12" t="str">
        <x:f t="shared" si="1"/>
        <x:v>COMPLETE</x:v>
      </x:c>
      <x:c r="N71" s="12" t="s">
        <x:v>202</x:v>
      </x:c>
      <x:c r="O71" s="12" t="s">
        <x:v>126</x:v>
      </x:c>
      <x:c r="P71" s="12" t="s">
        <x:v>58</x:v>
      </x:c>
      <x:c r="Q71" s="12">
        <x:v>5</x:v>
      </x:c>
      <x:c r="R71" s="12" t="s">
        <x:v>59</x:v>
      </x:c>
      <x:c r="S71" s="15" t="s">
        <x:v>60</x:v>
      </x:c>
    </x:row>
    <x:row r="72" ht="78" customHeight="1">
      <x:c r="A72" s="10" t="s">
        <x:v>322</x:v>
      </x:c>
      <x:c r="B72" s="11" t="s">
        <x:v>323</x:v>
      </x:c>
      <x:c r="C72" s="12" t="s">
        <x:v>123</x:v>
      </x:c>
      <x:c r="D72" s="13" t="s">
        <x:v>49</x:v>
      </x:c>
      <x:c r="E72" s="13" t="s">
        <x:v>94</x:v>
      </x:c>
      <x:c r="F72" s="13" t="s">
        <x:v>155</x:v>
      </x:c>
      <x:c r="G72" s="13" t="s">
        <x:v>51</x:v>
      </x:c>
      <x:c r="H72" s="13" t="s">
        <x:v>52</x:v>
      </x:c>
      <x:c r="I72" s="13" t="s">
        <x:v>64</x:v>
      </x:c>
      <x:c r="J72" s="13" t="s">
        <x:v>324</x:v>
      </x:c>
      <x:c r="K72" s="13" t="s">
        <x:v>55</x:v>
      </x:c>
      <x:c r="L72" s="14"/>
      <x:c r="M72" s="12" t="str">
        <x:f t="shared" si="1"/>
        <x:v>COMPLETE</x:v>
      </x:c>
      <x:c r="N72" s="12" t="s">
        <x:v>125</x:v>
      </x:c>
      <x:c r="O72" s="12" t="s">
        <x:v>96</x:v>
      </x:c>
      <x:c r="P72" s="12" t="s">
        <x:v>127</x:v>
      </x:c>
      <x:c r="Q72" s="12">
        <x:v>20</x:v>
      </x:c>
      <x:c r="R72" s="12" t="s">
        <x:v>59</x:v>
      </x:c>
      <x:c r="S72" s="15" t="s">
        <x:v>60</x:v>
      </x:c>
    </x:row>
    <x:row r="73" ht="78" customHeight="1">
      <x:c r="A73" s="16" t="s">
        <x:v>325</x:v>
      </x:c>
      <x:c r="B73" s="17" t="s">
        <x:v>326</x:v>
      </x:c>
      <x:c r="C73" s="18" t="s">
        <x:v>93</x:v>
      </x:c>
      <x:c r="D73" s="13" t="s">
        <x:v>94</x:v>
      </x:c>
      <x:c r="E73" s="13" t="s">
        <x:v>49</x:v>
      </x:c>
      <x:c r="F73" s="13" t="s">
        <x:v>51</x:v>
      </x:c>
      <x:c r="G73" s="13" t="s">
        <x:v>226</x:v>
      </x:c>
      <x:c r="H73" s="13" t="s">
        <x:v>79</x:v>
      </x:c>
      <x:c r="I73" s="13"/>
      <x:c r="J73" s="13" t="s">
        <x:v>54</x:v>
      </x:c>
      <x:c r="K73" s="13" t="s">
        <x:v>55</x:v>
      </x:c>
      <x:c r="L73" s="19"/>
      <x:c r="M73" s="18" t="str">
        <x:f t="shared" si="1"/>
        <x:v>COMPLETE</x:v>
      </x:c>
      <x:c r="N73" s="18" t="s">
        <x:v>95</x:v>
      </x:c>
      <x:c r="O73" s="18" t="s">
        <x:v>126</x:v>
      </x:c>
      <x:c r="P73" s="18" t="s">
        <x:v>97</x:v>
      </x:c>
      <x:c r="Q73" s="18">
        <x:v>57</x:v>
      </x:c>
      <x:c r="R73" s="18" t="s">
        <x:v>59</x:v>
      </x:c>
      <x:c r="S73" s="20" t="s">
        <x:v>60</x:v>
      </x:c>
    </x:row>
  </x:sheetData>
  <x:mergeCells>
    <x:mergeCell ref="A1:S1"/>
    <x:mergeCell ref="A2:S2"/>
  </x:mergeCells>
  <x:conditionalFormatting sqref="M5:M73">
    <x:cfRule type="containsText" dxfId="3" priority="1" operator="containsText" text="COMPLETE"/>
    <x:cfRule type="notContainsText" dxfId="2" priority="2" operator="notContains" text="COMPLETE"/>
  </x:conditionalFormatting>
  <x:dataValidations count="6">
    <x:dataValidation type="list" sqref="D5:E73">
      <x:formula1>"yes,no,unclear"</x:formula1>
    </x:dataValidation>
    <x:dataValidation type="list" sqref="G5:G73">
      <x:formula1>"none,foreign_or_cited_research,generic_context,future_research_or_open_question,stakeholder_or_consultant_not_adopted,glossary_heading_or_list,incomplete_fragment_or_ocr,non_cbdc_or_off_scope,other"</x:formula1>
    </x:dataValidation>
    <x:dataValidation type="list" sqref="H5:H73">
      <x:formula1>"keep,exclude,needs_context"</x:formula1>
    </x:dataValidation>
    <x:dataValidation type="list" sqref="J5:J73">
      <x:formula1>"high,medium,low"</x:formula1>
    </x:dataValidation>
    <x:dataValidation type="list" sqref="I5:I38 J39 I40:I73">
      <x:formula1>_xlfn._LONGTEXT("PRIV.ANON,PRIV.OFF,PRIV.MIN,PRIV.PET,PRIV.BAL,PRIV.CB.visibility.opaque,PRIV.CB.visibility.transparent,AML.LIMIT,AML.MON,AML.FATF,AML.RISK,KYC.TIER,KYC.IDV,KYC.INTERMED,TECH.DLT,TECH.TOKEN.decided_yes,TECH.TOKEN.decided_no,TECH.TOKEN.considered,PROG.remun","eration_yes,PROG.remuneration_no,PROG.remuneration_considered,PROG.restriction,PROG.generic,PROC.pilot_learning,LEGAL.basis,INST.mandate,OTHER.keep,INTEROP.domestic,INTEROP.crossborder,CASH.relation,ACCESS.universal,STAB.disintermediation,OPS.resilience,A","DOPT.experience,SYS.design")</x:formula1>
    </x:dataValidation>
    <x:dataValidation type="list" sqref="F5:F73">
      <x:formula1>"decision_or_commitment,explicit_proposal_or_preference,concrete_own_system_feature,executed_own_pilot_finding,supported_risk_tradeoff_requirement,none,unclear"</x:formula1>
    </x:dataValidation>
  </x:dataValidations>
  <x:pageMargins left="0.7" right="0.7" top="0.75" bottom="0.75" header="0.3" footer="0.3"/>
  <x:tableParts count="1">
    <x:tablePart xmlns:r="http://schemas.openxmlformats.org/officeDocument/2006/relationships" r:id="R504ff608b9e042af"/>
  </x:tableParts>
</x:worksheet>
</file>

<file path=xl/worksheets/sheet3.xml><?xml version="1.0" encoding="utf-8"?>
<x:worksheet xmlns:x="http://schemas.openxmlformats.org/spreadsheetml/2006/main">
  <x:sheetViews>
    <x:sheetView showGridLines="0" workbookViewId="0"/>
  </x:sheetViews>
  <x:sheetFormatPr defaultRowHeight="14"/>
  <x:cols>
    <x:col min="1" max="1" width="16" customWidth="1"/>
    <x:col min="2" max="2" width="40" customWidth="1"/>
    <x:col min="3" max="3" width="8" customWidth="1"/>
    <x:col min="4" max="4" width="12" customWidth="1"/>
    <x:col min="5" max="5" width="16" customWidth="1"/>
    <x:col min="6" max="6" width="120" customWidth="1"/>
    <x:col min="7" max="7" width="20" customWidth="1"/>
  </x:cols>
  <x:sheetData>
    <x:row r="1" ht="28" customHeight="1">
      <x:c r="A1" s="35" t="s">
        <x:v>327</x:v>
      </x:c>
      <x:c r="B1" s="35"/>
      <x:c r="C1" s="35"/>
      <x:c r="D1" s="35"/>
      <x:c r="E1" s="35"/>
      <x:c r="F1" s="35"/>
      <x:c r="G1" s="35"/>
    </x:row>
    <x:row r="3">
      <x:c r="A3" s="21" t="s">
        <x:v>29</x:v>
      </x:c>
      <x:c r="B3" s="22" t="s">
        <x:v>42</x:v>
      </x:c>
      <x:c r="C3" s="22" t="s">
        <x:v>43</x:v>
      </x:c>
      <x:c r="D3" s="22" t="s">
        <x:v>45</x:v>
      </x:c>
      <x:c r="E3" s="22" t="s">
        <x:v>328</x:v>
      </x:c>
      <x:c r="F3" s="22" t="s">
        <x:v>329</x:v>
      </x:c>
      <x:c r="G3" s="23" t="s">
        <x:v>330</x:v>
      </x:c>
    </x:row>
    <x:row r="4" ht="120" customHeight="1">
      <x:c r="A4" s="10" t="s">
        <x:v>93</x:v>
      </x:c>
      <x:c r="B4" s="12" t="s">
        <x:v>97</x:v>
      </x:c>
      <x:c r="C4" s="12">
        <x:v>57</x:v>
      </x:c>
      <x:c r="D4" s="12" t="s">
        <x:v>60</x:v>
      </x:c>
      <x:c r="E4" s="12" t="s">
        <x:v>331</x:v>
      </x:c>
      <x:c r="F4" s="11" t="s">
        <x:v>332</x:v>
      </x:c>
      <x:c r="G4" s="15"/>
    </x:row>
    <x:row r="5" ht="120" customHeight="1">
      <x:c r="A5" s="10" t="s">
        <x:v>139</x:v>
      </x:c>
      <x:c r="B5" s="12" t="s">
        <x:v>143</x:v>
      </x:c>
      <x:c r="C5" s="12">
        <x:v>27</x:v>
      </x:c>
      <x:c r="D5" s="12" t="s">
        <x:v>60</x:v>
      </x:c>
      <x:c r="E5" s="12" t="s">
        <x:v>331</x:v>
      </x:c>
      <x:c r="F5" s="11" t="s">
        <x:v>333</x:v>
      </x:c>
      <x:c r="G5" s="15"/>
    </x:row>
    <x:row r="6" ht="120" customHeight="1">
      <x:c r="A6" s="10" t="s">
        <x:v>107</x:v>
      </x:c>
      <x:c r="B6" s="12" t="s">
        <x:v>111</x:v>
      </x:c>
      <x:c r="C6" s="12">
        <x:v>50</x:v>
      </x:c>
      <x:c r="D6" s="12" t="s">
        <x:v>60</x:v>
      </x:c>
      <x:c r="E6" s="12" t="s">
        <x:v>331</x:v>
      </x:c>
      <x:c r="F6" s="11" t="s">
        <x:v>334</x:v>
      </x:c>
      <x:c r="G6" s="15"/>
    </x:row>
    <x:row r="7" ht="120" customHeight="1">
      <x:c r="A7" s="10" t="s">
        <x:v>195</x:v>
      </x:c>
      <x:c r="B7" s="12" t="s">
        <x:v>197</x:v>
      </x:c>
      <x:c r="C7" s="12">
        <x:v>23</x:v>
      </x:c>
      <x:c r="D7" s="12" t="s">
        <x:v>60</x:v>
      </x:c>
      <x:c r="E7" s="12" t="s">
        <x:v>331</x:v>
      </x:c>
      <x:c r="F7" s="11" t="s">
        <x:v>335</x:v>
      </x:c>
      <x:c r="G7" s="15"/>
    </x:row>
    <x:row r="8" ht="120" customHeight="1">
      <x:c r="A8" s="10" t="s">
        <x:v>256</x:v>
      </x:c>
      <x:c r="B8" s="12" t="s">
        <x:v>258</x:v>
      </x:c>
      <x:c r="C8" s="12">
        <x:v>5</x:v>
      </x:c>
      <x:c r="D8" s="12" t="s">
        <x:v>60</x:v>
      </x:c>
      <x:c r="E8" s="12" t="s">
        <x:v>331</x:v>
      </x:c>
      <x:c r="F8" s="11" t="s">
        <x:v>336</x:v>
      </x:c>
      <x:c r="G8" s="15"/>
    </x:row>
    <x:row r="9" ht="120" customHeight="1">
      <x:c r="A9" s="10" t="s">
        <x:v>302</x:v>
      </x:c>
      <x:c r="B9" s="12" t="s">
        <x:v>304</x:v>
      </x:c>
      <x:c r="C9" s="12">
        <x:v>8</x:v>
      </x:c>
      <x:c r="D9" s="12" t="s">
        <x:v>60</x:v>
      </x:c>
      <x:c r="E9" s="12" t="s">
        <x:v>331</x:v>
      </x:c>
      <x:c r="F9" s="11" t="s">
        <x:v>337</x:v>
      </x:c>
      <x:c r="G9" s="15"/>
    </x:row>
    <x:row r="10" ht="120" customHeight="1">
      <x:c r="A10" s="10" t="s">
        <x:v>170</x:v>
      </x:c>
      <x:c r="B10" s="12" t="s">
        <x:v>172</x:v>
      </x:c>
      <x:c r="C10" s="12">
        <x:v>10</x:v>
      </x:c>
      <x:c r="D10" s="12" t="s">
        <x:v>60</x:v>
      </x:c>
      <x:c r="E10" s="12" t="s">
        <x:v>331</x:v>
      </x:c>
      <x:c r="F10" s="11" t="s">
        <x:v>338</x:v>
      </x:c>
      <x:c r="G10" s="15"/>
    </x:row>
    <x:row r="11" ht="120" customHeight="1">
      <x:c r="A11" s="10" t="s">
        <x:v>63</x:v>
      </x:c>
      <x:c r="B11" s="12" t="s">
        <x:v>66</x:v>
      </x:c>
      <x:c r="C11" s="12">
        <x:v>51</x:v>
      </x:c>
      <x:c r="D11" s="12" t="s">
        <x:v>60</x:v>
      </x:c>
      <x:c r="E11" s="12" t="s">
        <x:v>331</x:v>
      </x:c>
      <x:c r="F11" s="11" t="s">
        <x:v>339</x:v>
      </x:c>
      <x:c r="G11" s="15"/>
    </x:row>
    <x:row r="12" ht="120" customHeight="1">
      <x:c r="A12" s="10" t="s">
        <x:v>190</x:v>
      </x:c>
      <x:c r="B12" s="12" t="s">
        <x:v>192</x:v>
      </x:c>
      <x:c r="C12" s="12">
        <x:v>45</x:v>
      </x:c>
      <x:c r="D12" s="12" t="s">
        <x:v>60</x:v>
      </x:c>
      <x:c r="E12" s="12" t="s">
        <x:v>331</x:v>
      </x:c>
      <x:c r="F12" s="11" t="s">
        <x:v>340</x:v>
      </x:c>
      <x:c r="G12" s="15"/>
    </x:row>
    <x:row r="13" ht="120" customHeight="1">
      <x:c r="A13" s="10" t="s">
        <x:v>148</x:v>
      </x:c>
      <x:c r="B13" s="12" t="s">
        <x:v>151</x:v>
      </x:c>
      <x:c r="C13" s="12">
        <x:v>27</x:v>
      </x:c>
      <x:c r="D13" s="12" t="s">
        <x:v>60</x:v>
      </x:c>
      <x:c r="E13" s="12" t="s">
        <x:v>331</x:v>
      </x:c>
      <x:c r="F13" s="11" t="s">
        <x:v>341</x:v>
      </x:c>
      <x:c r="G13" s="15"/>
    </x:row>
    <x:row r="14" ht="120" customHeight="1">
      <x:c r="A14" s="10" t="s">
        <x:v>240</x:v>
      </x:c>
      <x:c r="B14" s="12" t="s">
        <x:v>242</x:v>
      </x:c>
      <x:c r="C14" s="12">
        <x:v>34</x:v>
      </x:c>
      <x:c r="D14" s="12" t="s">
        <x:v>60</x:v>
      </x:c>
      <x:c r="E14" s="12" t="s">
        <x:v>331</x:v>
      </x:c>
      <x:c r="F14" s="11" t="s">
        <x:v>342</x:v>
      </x:c>
      <x:c r="G14" s="15"/>
    </x:row>
    <x:row r="15" ht="120" customHeight="1">
      <x:c r="A15" s="10" t="s">
        <x:v>268</x:v>
      </x:c>
      <x:c r="B15" s="12" t="s">
        <x:v>97</x:v>
      </x:c>
      <x:c r="C15" s="12">
        <x:v>197</x:v>
      </x:c>
      <x:c r="D15" s="12" t="s">
        <x:v>60</x:v>
      </x:c>
      <x:c r="E15" s="12" t="s">
        <x:v>331</x:v>
      </x:c>
      <x:c r="F15" s="11" t="s">
        <x:v>343</x:v>
      </x:c>
      <x:c r="G15" s="15"/>
    </x:row>
    <x:row r="16" ht="120" customHeight="1">
      <x:c r="A16" s="10" t="s">
        <x:v>208</x:v>
      </x:c>
      <x:c r="B16" s="12" t="s">
        <x:v>97</x:v>
      </x:c>
      <x:c r="C16" s="12">
        <x:v>117</x:v>
      </x:c>
      <x:c r="D16" s="12" t="s">
        <x:v>60</x:v>
      </x:c>
      <x:c r="E16" s="12" t="s">
        <x:v>331</x:v>
      </x:c>
      <x:c r="F16" s="11" t="s">
        <x:v>344</x:v>
      </x:c>
      <x:c r="G16" s="15"/>
    </x:row>
    <x:row r="17" ht="120" customHeight="1">
      <x:c r="A17" s="10" t="s">
        <x:v>135</x:v>
      </x:c>
      <x:c r="B17" s="12" t="s">
        <x:v>74</x:v>
      </x:c>
      <x:c r="C17" s="12">
        <x:v>48</x:v>
      </x:c>
      <x:c r="D17" s="12" t="s">
        <x:v>60</x:v>
      </x:c>
      <x:c r="E17" s="12" t="s">
        <x:v>331</x:v>
      </x:c>
      <x:c r="F17" s="11" t="s">
        <x:v>345</x:v>
      </x:c>
      <x:c r="G17" s="15"/>
    </x:row>
    <x:row r="18" ht="120" customHeight="1">
      <x:c r="A18" s="10" t="s">
        <x:v>130</x:v>
      </x:c>
      <x:c r="B18" s="12" t="s">
        <x:v>132</x:v>
      </x:c>
      <x:c r="C18" s="12">
        <x:v>4</x:v>
      </x:c>
      <x:c r="D18" s="12" t="s">
        <x:v>60</x:v>
      </x:c>
      <x:c r="E18" s="12" t="s">
        <x:v>331</x:v>
      </x:c>
      <x:c r="F18" s="11" t="s">
        <x:v>346</x:v>
      </x:c>
      <x:c r="G18" s="15"/>
    </x:row>
    <x:row r="19" ht="120" customHeight="1">
      <x:c r="A19" s="10" t="s">
        <x:v>177</x:v>
      </x:c>
      <x:c r="B19" s="12" t="s">
        <x:v>179</x:v>
      </x:c>
      <x:c r="C19" s="12">
        <x:v>2</x:v>
      </x:c>
      <x:c r="D19" s="12" t="s">
        <x:v>60</x:v>
      </x:c>
      <x:c r="E19" s="12" t="s">
        <x:v>331</x:v>
      </x:c>
      <x:c r="F19" s="11" t="s">
        <x:v>347</x:v>
      </x:c>
      <x:c r="G19" s="15"/>
    </x:row>
    <x:row r="20" ht="120" customHeight="1">
      <x:c r="A20" s="10" t="s">
        <x:v>186</x:v>
      </x:c>
      <x:c r="B20" s="12" t="s">
        <x:v>97</x:v>
      </x:c>
      <x:c r="C20" s="12">
        <x:v>101</x:v>
      </x:c>
      <x:c r="D20" s="12" t="s">
        <x:v>60</x:v>
      </x:c>
      <x:c r="E20" s="12" t="s">
        <x:v>331</x:v>
      </x:c>
      <x:c r="F20" s="11" t="s">
        <x:v>348</x:v>
      </x:c>
      <x:c r="G20" s="15"/>
    </x:row>
    <x:row r="21" ht="120" customHeight="1">
      <x:c r="A21" s="10" t="s">
        <x:v>236</x:v>
      </x:c>
      <x:c r="B21" s="12" t="s">
        <x:v>97</x:v>
      </x:c>
      <x:c r="C21" s="12">
        <x:v>33</x:v>
      </x:c>
      <x:c r="D21" s="12" t="s">
        <x:v>60</x:v>
      </x:c>
      <x:c r="E21" s="12" t="s">
        <x:v>331</x:v>
      </x:c>
      <x:c r="F21" s="11" t="s">
        <x:v>349</x:v>
      </x:c>
      <x:c r="G21" s="15"/>
    </x:row>
    <x:row r="22" ht="120" customHeight="1">
      <x:c r="A22" s="10" t="s">
        <x:v>69</x:v>
      </x:c>
      <x:c r="B22" s="12" t="s">
        <x:v>74</x:v>
      </x:c>
      <x:c r="C22" s="12">
        <x:v>80</x:v>
      </x:c>
      <x:c r="D22" s="12" t="s">
        <x:v>60</x:v>
      </x:c>
      <x:c r="E22" s="12" t="s">
        <x:v>331</x:v>
      </x:c>
      <x:c r="F22" s="11" t="s">
        <x:v>350</x:v>
      </x:c>
      <x:c r="G22" s="15"/>
    </x:row>
    <x:row r="23" ht="120" customHeight="1">
      <x:c r="A23" s="10" t="s">
        <x:v>231</x:v>
      </x:c>
      <x:c r="B23" s="12" t="s">
        <x:v>233</x:v>
      </x:c>
      <x:c r="C23" s="12">
        <x:v>35</x:v>
      </x:c>
      <x:c r="D23" s="12" t="s">
        <x:v>60</x:v>
      </x:c>
      <x:c r="E23" s="12" t="s">
        <x:v>331</x:v>
      </x:c>
      <x:c r="F23" s="11" t="s">
        <x:v>351</x:v>
      </x:c>
      <x:c r="G23" s="15"/>
    </x:row>
    <x:row r="24" ht="120" customHeight="1">
      <x:c r="A24" s="10" t="s">
        <x:v>100</x:v>
      </x:c>
      <x:c r="B24" s="12" t="s">
        <x:v>104</x:v>
      </x:c>
      <x:c r="C24" s="12">
        <x:v>41</x:v>
      </x:c>
      <x:c r="D24" s="12" t="s">
        <x:v>60</x:v>
      </x:c>
      <x:c r="E24" s="12" t="s">
        <x:v>331</x:v>
      </x:c>
      <x:c r="F24" s="11" t="s">
        <x:v>352</x:v>
      </x:c>
      <x:c r="G24" s="15"/>
    </x:row>
    <x:row r="25" ht="120" customHeight="1">
      <x:c r="A25" s="10" t="s">
        <x:v>48</x:v>
      </x:c>
      <x:c r="B25" s="12" t="s">
        <x:v>58</x:v>
      </x:c>
      <x:c r="C25" s="12">
        <x:v>19</x:v>
      </x:c>
      <x:c r="D25" s="12" t="s">
        <x:v>60</x:v>
      </x:c>
      <x:c r="E25" s="12" t="s">
        <x:v>331</x:v>
      </x:c>
      <x:c r="F25" s="11" t="s">
        <x:v>353</x:v>
      </x:c>
      <x:c r="G25" s="15"/>
    </x:row>
    <x:row r="26" ht="120" customHeight="1">
      <x:c r="A26" s="10" t="s">
        <x:v>87</x:v>
      </x:c>
      <x:c r="B26" s="12" t="s">
        <x:v>90</x:v>
      </x:c>
      <x:c r="C26" s="12">
        <x:v>18</x:v>
      </x:c>
      <x:c r="D26" s="12" t="s">
        <x:v>60</x:v>
      </x:c>
      <x:c r="E26" s="12" t="s">
        <x:v>331</x:v>
      </x:c>
      <x:c r="F26" s="11" t="s">
        <x:v>354</x:v>
      </x:c>
      <x:c r="G26" s="15"/>
    </x:row>
    <x:row r="27" ht="120" customHeight="1">
      <x:c r="A27" s="10" t="s">
        <x:v>284</x:v>
      </x:c>
      <x:c r="B27" s="12" t="s">
        <x:v>97</x:v>
      </x:c>
      <x:c r="C27" s="12">
        <x:v>36</x:v>
      </x:c>
      <x:c r="D27" s="12" t="s">
        <x:v>60</x:v>
      </x:c>
      <x:c r="E27" s="12" t="s">
        <x:v>331</x:v>
      </x:c>
      <x:c r="F27" s="11" t="s">
        <x:v>355</x:v>
      </x:c>
      <x:c r="G27" s="15"/>
    </x:row>
    <x:row r="28" ht="120" customHeight="1">
      <x:c r="A28" s="10" t="s">
        <x:v>279</x:v>
      </x:c>
      <x:c r="B28" s="12" t="s">
        <x:v>281</x:v>
      </x:c>
      <x:c r="C28" s="12">
        <x:v>8</x:v>
      </x:c>
      <x:c r="D28" s="12" t="s">
        <x:v>60</x:v>
      </x:c>
      <x:c r="E28" s="12" t="s">
        <x:v>331</x:v>
      </x:c>
      <x:c r="F28" s="11" t="s">
        <x:v>356</x:v>
      </x:c>
      <x:c r="G28" s="15"/>
    </x:row>
    <x:row r="29" ht="120" customHeight="1">
      <x:c r="A29" s="10" t="s">
        <x:v>123</x:v>
      </x:c>
      <x:c r="B29" s="12" t="s">
        <x:v>127</x:v>
      </x:c>
      <x:c r="C29" s="12">
        <x:v>20</x:v>
      </x:c>
      <x:c r="D29" s="12" t="s">
        <x:v>60</x:v>
      </x:c>
      <x:c r="E29" s="12" t="s">
        <x:v>331</x:v>
      </x:c>
      <x:c r="F29" s="11" t="s">
        <x:v>357</x:v>
      </x:c>
      <x:c r="G29" s="15"/>
    </x:row>
    <x:row r="30" ht="120" customHeight="1">
      <x:c r="A30" s="10" t="s">
        <x:v>274</x:v>
      </x:c>
      <x:c r="B30" s="12" t="s">
        <x:v>276</x:v>
      </x:c>
      <x:c r="C30" s="12">
        <x:v>33</x:v>
      </x:c>
      <x:c r="D30" s="12" t="s">
        <x:v>60</x:v>
      </x:c>
      <x:c r="E30" s="12" t="s">
        <x:v>331</x:v>
      </x:c>
      <x:c r="F30" s="11" t="s">
        <x:v>358</x:v>
      </x:c>
      <x:c r="G30" s="15"/>
    </x:row>
    <x:row r="31" ht="120" customHeight="1">
      <x:c r="A31" s="10" t="s">
        <x:v>200</x:v>
      </x:c>
      <x:c r="B31" s="12" t="s">
        <x:v>58</x:v>
      </x:c>
      <x:c r="C31" s="12">
        <x:v>5</x:v>
      </x:c>
      <x:c r="D31" s="12" t="s">
        <x:v>60</x:v>
      </x:c>
      <x:c r="E31" s="12" t="s">
        <x:v>331</x:v>
      </x:c>
      <x:c r="F31" s="11" t="s">
        <x:v>359</x:v>
      </x:c>
      <x:c r="G31" s="15"/>
    </x:row>
    <x:row r="32" ht="120" customHeight="1">
      <x:c r="A32" s="10" t="s">
        <x:v>309</x:v>
      </x:c>
      <x:c r="B32" s="12" t="s">
        <x:v>233</x:v>
      </x:c>
      <x:c r="C32" s="12">
        <x:v>18</x:v>
      </x:c>
      <x:c r="D32" s="12" t="s">
        <x:v>60</x:v>
      </x:c>
      <x:c r="E32" s="12" t="s">
        <x:v>331</x:v>
      </x:c>
      <x:c r="F32" s="11" t="s">
        <x:v>360</x:v>
      </x:c>
      <x:c r="G32" s="15"/>
    </x:row>
    <x:row r="33" ht="120" customHeight="1">
      <x:c r="A33" s="10" t="s">
        <x:v>77</x:v>
      </x:c>
      <x:c r="B33" s="12" t="s">
        <x:v>82</x:v>
      </x:c>
      <x:c r="C33" s="12">
        <x:v>10</x:v>
      </x:c>
      <x:c r="D33" s="12" t="s">
        <x:v>84</x:v>
      </x:c>
      <x:c r="E33" s="12" t="s">
        <x:v>331</x:v>
      </x:c>
      <x:c r="F33" s="11" t="s">
        <x:v>361</x:v>
      </x:c>
      <x:c r="G33" s="15"/>
    </x:row>
    <x:row r="34" ht="120" customHeight="1">
      <x:c r="A34" s="10" t="s">
        <x:v>116</x:v>
      </x:c>
      <x:c r="B34" s="12" t="s">
        <x:v>111</x:v>
      </x:c>
      <x:c r="C34" s="12">
        <x:v>35</x:v>
      </x:c>
      <x:c r="D34" s="12" t="s">
        <x:v>60</x:v>
      </x:c>
      <x:c r="E34" s="12" t="s">
        <x:v>331</x:v>
      </x:c>
      <x:c r="F34" s="11" t="s">
        <x:v>362</x:v>
      </x:c>
      <x:c r="G34" s="15"/>
    </x:row>
    <x:row r="35" ht="120" customHeight="1">
      <x:c r="A35" s="10" t="s">
        <x:v>154</x:v>
      </x:c>
      <x:c r="B35" s="12" t="s">
        <x:v>82</x:v>
      </x:c>
      <x:c r="C35" s="12">
        <x:v>11</x:v>
      </x:c>
      <x:c r="D35" s="12" t="s">
        <x:v>84</x:v>
      </x:c>
      <x:c r="E35" s="12" t="s">
        <x:v>331</x:v>
      </x:c>
      <x:c r="F35" s="11" t="s">
        <x:v>363</x:v>
      </x:c>
      <x:c r="G35" s="15"/>
    </x:row>
    <x:row r="36" ht="120" customHeight="1">
      <x:c r="A36" s="16" t="s">
        <x:v>247</x:v>
      </x:c>
      <x:c r="B36" s="18" t="s">
        <x:v>251</x:v>
      </x:c>
      <x:c r="C36" s="18">
        <x:v>31</x:v>
      </x:c>
      <x:c r="D36" s="18" t="s">
        <x:v>60</x:v>
      </x:c>
      <x:c r="E36" s="18" t="s">
        <x:v>331</x:v>
      </x:c>
      <x:c r="F36" s="17" t="s">
        <x:v>364</x:v>
      </x:c>
      <x:c r="G36" s="20"/>
    </x:row>
  </x:sheetData>
  <x:mergeCells>
    <x:mergeCell ref="A1:G1"/>
  </x:mergeCells>
  <x:pageMargins left="0.7" right="0.7" top="0.75" bottom="0.75" header="0.3" footer="0.3"/>
  <x:tableParts count="1">
    <x:tablePart xmlns:r="http://schemas.openxmlformats.org/officeDocument/2006/relationships" r:id="R7afca28140b3402c"/>
  </x:tableParts>
</x:worksheet>
</file>

<file path=xl/worksheets/sheet4.xml><?xml version="1.0" encoding="utf-8"?>
<x:worksheet xmlns:x="http://schemas.openxmlformats.org/spreadsheetml/2006/main">
  <x:sheetViews>
    <x:sheetView showGridLines="0" workbookViewId="0"/>
  </x:sheetViews>
  <x:sheetFormatPr defaultRowHeight="14"/>
  <x:cols>
    <x:col min="1" max="1" width="24.6640625" customWidth="1"/>
    <x:col min="2" max="2" width="7.1640625" customWidth="1"/>
    <x:col min="3" max="3" width="41.5" customWidth="1"/>
    <x:col min="4" max="6" width="55" customWidth="1"/>
    <x:col min="7" max="7" width="8.6640625" style="34" customWidth="0"/>
  </x:cols>
  <x:sheetData>
    <x:row r="1" ht="28" customHeight="1">
      <x:c r="A1" s="35" t="s">
        <x:v>365</x:v>
      </x:c>
      <x:c r="B1" s="35"/>
      <x:c r="C1" s="35"/>
      <x:c r="D1" s="35"/>
      <x:c r="E1" s="35"/>
      <x:c r="F1" s="35"/>
    </x:row>
    <x:row r="3">
      <x:c r="A3" s="7" t="s">
        <x:v>366</x:v>
      </x:c>
      <x:c r="B3" s="8" t="s">
        <x:v>367</x:v>
      </x:c>
      <x:c r="C3" s="8" t="s">
        <x:v>368</x:v>
      </x:c>
      <x:c r="D3" s="8" t="s">
        <x:v>369</x:v>
      </x:c>
      <x:c r="E3" s="8" t="s">
        <x:v>370</x:v>
      </x:c>
      <x:c r="F3" s="9" t="s">
        <x:v>371</x:v>
      </x:c>
      <x:c r="G3" s="34" t="s">
        <x:v>372</x:v>
      </x:c>
    </x:row>
    <x:row r="4" ht="56">
      <x:c r="A4" s="24" t="s">
        <x:v>373</x:v>
      </x:c>
      <x:c r="B4" s="25" t="s">
        <x:v>374</x:v>
      </x:c>
      <x:c r="C4" s="25" t="s">
        <x:v>375</x:v>
      </x:c>
      <x:c r="D4" s="25" t="s">
        <x:v>376</x:v>
      </x:c>
      <x:c r="E4" s="25" t="s">
        <x:v>377</x:v>
      </x:c>
      <x:c r="F4" s="26" t="s">
        <x:v>378</x:v>
      </x:c>
    </x:row>
    <x:row r="5" ht="28">
      <x:c r="A5" s="24" t="s">
        <x:v>379</x:v>
      </x:c>
      <x:c r="B5" s="25" t="s">
        <x:v>374</x:v>
      </x:c>
      <x:c r="C5" s="25" t="s">
        <x:v>380</x:v>
      </x:c>
      <x:c r="D5" s="25" t="s">
        <x:v>381</x:v>
      </x:c>
      <x:c r="E5" s="25" t="s">
        <x:v>382</x:v>
      </x:c>
      <x:c r="F5" s="26" t="s">
        <x:v>383</x:v>
      </x:c>
    </x:row>
    <x:row r="6" ht="42">
      <x:c r="A6" s="24" t="s">
        <x:v>218</x:v>
      </x:c>
      <x:c r="B6" s="25" t="s">
        <x:v>374</x:v>
      </x:c>
      <x:c r="C6" s="25" t="s">
        <x:v>384</x:v>
      </x:c>
      <x:c r="D6" s="25" t="s">
        <x:v>385</x:v>
      </x:c>
      <x:c r="E6" s="25" t="s">
        <x:v>386</x:v>
      </x:c>
      <x:c r="F6" s="26" t="s">
        <x:v>387</x:v>
      </x:c>
    </x:row>
    <x:row r="7" ht="42">
      <x:c r="A7" s="24" t="s">
        <x:v>388</x:v>
      </x:c>
      <x:c r="B7" s="25" t="s">
        <x:v>374</x:v>
      </x:c>
      <x:c r="C7" s="25" t="s">
        <x:v>389</x:v>
      </x:c>
      <x:c r="D7" s="25" t="s">
        <x:v>390</x:v>
      </x:c>
      <x:c r="E7" s="25" t="s">
        <x:v>391</x:v>
      </x:c>
      <x:c r="F7" s="26" t="s">
        <x:v>392</x:v>
      </x:c>
    </x:row>
    <x:row r="8" ht="42">
      <x:c r="A8" s="24" t="s">
        <x:v>167</x:v>
      </x:c>
      <x:c r="B8" s="25" t="s">
        <x:v>374</x:v>
      </x:c>
      <x:c r="C8" s="25" t="s">
        <x:v>393</x:v>
      </x:c>
      <x:c r="D8" s="25" t="s">
        <x:v>394</x:v>
      </x:c>
      <x:c r="E8" s="25" t="s">
        <x:v>395</x:v>
      </x:c>
      <x:c r="F8" s="26" t="s">
        <x:v>396</x:v>
      </x:c>
    </x:row>
    <x:row r="9" ht="42">
      <x:c r="A9" s="24" t="s">
        <x:v>397</x:v>
      </x:c>
      <x:c r="B9" s="25" t="s">
        <x:v>374</x:v>
      </x:c>
      <x:c r="C9" s="25" t="s">
        <x:v>398</x:v>
      </x:c>
      <x:c r="D9" s="25" t="s">
        <x:v>399</x:v>
      </x:c>
      <x:c r="E9" s="25" t="s">
        <x:v>400</x:v>
      </x:c>
      <x:c r="F9" s="26" t="s">
        <x:v>401</x:v>
      </x:c>
    </x:row>
    <x:row r="10" ht="42">
      <x:c r="A10" s="24" t="s">
        <x:v>402</x:v>
      </x:c>
      <x:c r="B10" s="25" t="s">
        <x:v>374</x:v>
      </x:c>
      <x:c r="C10" s="25" t="s">
        <x:v>403</x:v>
      </x:c>
      <x:c r="D10" s="25" t="s">
        <x:v>404</x:v>
      </x:c>
      <x:c r="E10" s="25" t="s">
        <x:v>405</x:v>
      </x:c>
      <x:c r="F10" s="26" t="s">
        <x:v>406</x:v>
      </x:c>
    </x:row>
    <x:row r="11" ht="28">
      <x:c r="A11" s="24" t="s">
        <x:v>407</x:v>
      </x:c>
      <x:c r="B11" s="25" t="s">
        <x:v>408</x:v>
      </x:c>
      <x:c r="C11" s="25" t="s">
        <x:v>409</x:v>
      </x:c>
      <x:c r="D11" s="25" t="s">
        <x:v>410</x:v>
      </x:c>
      <x:c r="E11" s="25" t="s">
        <x:v>411</x:v>
      </x:c>
      <x:c r="F11" s="26" t="s">
        <x:v>412</x:v>
      </x:c>
    </x:row>
    <x:row r="12" ht="28">
      <x:c r="A12" s="24" t="s">
        <x:v>201</x:v>
      </x:c>
      <x:c r="B12" s="25" t="s">
        <x:v>408</x:v>
      </x:c>
      <x:c r="C12" s="25" t="s">
        <x:v>413</x:v>
      </x:c>
      <x:c r="D12" s="25" t="s">
        <x:v>414</x:v>
      </x:c>
      <x:c r="E12" s="25" t="s">
        <x:v>415</x:v>
      </x:c>
      <x:c r="F12" s="26" t="s">
        <x:v>416</x:v>
      </x:c>
    </x:row>
    <x:row r="13" ht="42">
      <x:c r="A13" s="24" t="s">
        <x:v>417</x:v>
      </x:c>
      <x:c r="B13" s="25" t="s">
        <x:v>408</x:v>
      </x:c>
      <x:c r="C13" s="25" t="s">
        <x:v>418</x:v>
      </x:c>
      <x:c r="D13" s="25" t="s">
        <x:v>419</x:v>
      </x:c>
      <x:c r="E13" s="25" t="s">
        <x:v>420</x:v>
      </x:c>
      <x:c r="F13" s="26" t="s">
        <x:v>421</x:v>
      </x:c>
    </x:row>
    <x:row r="14" ht="28">
      <x:c r="A14" s="24" t="s">
        <x:v>422</x:v>
      </x:c>
      <x:c r="B14" s="25" t="s">
        <x:v>408</x:v>
      </x:c>
      <x:c r="C14" s="25" t="s">
        <x:v>423</x:v>
      </x:c>
      <x:c r="D14" s="25" t="s">
        <x:v>424</x:v>
      </x:c>
      <x:c r="E14" s="25" t="s">
        <x:v>425</x:v>
      </x:c>
      <x:c r="F14" s="26" t="s">
        <x:v>426</x:v>
      </x:c>
    </x:row>
    <x:row r="15" ht="42">
      <x:c r="A15" s="24" t="s">
        <x:v>317</x:v>
      </x:c>
      <x:c r="B15" s="25" t="s">
        <x:v>427</x:v>
      </x:c>
      <x:c r="C15" s="25" t="s">
        <x:v>428</x:v>
      </x:c>
      <x:c r="D15" s="25" t="s">
        <x:v>429</x:v>
      </x:c>
      <x:c r="E15" s="25" t="s">
        <x:v>430</x:v>
      </x:c>
      <x:c r="F15" s="26" t="s">
        <x:v>431</x:v>
      </x:c>
    </x:row>
    <x:row r="16" ht="28">
      <x:c r="A16" s="24" t="s">
        <x:v>432</x:v>
      </x:c>
      <x:c r="B16" s="25" t="s">
        <x:v>427</x:v>
      </x:c>
      <x:c r="C16" s="25" t="s">
        <x:v>433</x:v>
      </x:c>
      <x:c r="D16" s="25" t="s">
        <x:v>434</x:v>
      </x:c>
      <x:c r="E16" s="25" t="s">
        <x:v>435</x:v>
      </x:c>
      <x:c r="F16" s="26" t="s">
        <x:v>436</x:v>
      </x:c>
    </x:row>
    <x:row r="17" ht="28">
      <x:c r="A17" s="24" t="s">
        <x:v>53</x:v>
      </x:c>
      <x:c r="B17" s="25" t="s">
        <x:v>427</x:v>
      </x:c>
      <x:c r="C17" s="25" t="s">
        <x:v>437</x:v>
      </x:c>
      <x:c r="D17" s="25" t="s">
        <x:v>438</x:v>
      </x:c>
      <x:c r="E17" s="25" t="s">
        <x:v>439</x:v>
      </x:c>
      <x:c r="F17" s="26" t="s">
        <x:v>440</x:v>
      </x:c>
    </x:row>
    <x:row r="18" ht="42">
      <x:c r="A18" s="24" t="s">
        <x:v>248</x:v>
      </x:c>
      <x:c r="B18" s="25" t="s">
        <x:v>441</x:v>
      </x:c>
      <x:c r="C18" s="25" t="s">
        <x:v>442</x:v>
      </x:c>
      <x:c r="D18" s="25" t="s">
        <x:v>443</x:v>
      </x:c>
      <x:c r="E18" s="25" t="s">
        <x:v>444</x:v>
      </x:c>
      <x:c r="F18" s="26" t="s">
        <x:v>445</x:v>
      </x:c>
    </x:row>
    <x:row r="19" ht="28">
      <x:c r="A19" s="24" t="s">
        <x:v>446</x:v>
      </x:c>
      <x:c r="B19" s="25" t="s">
        <x:v>441</x:v>
      </x:c>
      <x:c r="C19" s="25" t="s">
        <x:v>447</x:v>
      </x:c>
      <x:c r="D19" s="25" t="s">
        <x:v>448</x:v>
      </x:c>
      <x:c r="E19" s="25" t="s">
        <x:v>449</x:v>
      </x:c>
      <x:c r="F19" s="26" t="s">
        <x:v>450</x:v>
      </x:c>
    </x:row>
    <x:row r="20" ht="28">
      <x:c r="A20" s="24" t="s">
        <x:v>261</x:v>
      </x:c>
      <x:c r="B20" s="25" t="s">
        <x:v>441</x:v>
      </x:c>
      <x:c r="C20" s="25" t="s">
        <x:v>451</x:v>
      </x:c>
      <x:c r="D20" s="25" t="s">
        <x:v>452</x:v>
      </x:c>
      <x:c r="E20" s="25" t="s">
        <x:v>453</x:v>
      </x:c>
      <x:c r="F20" s="26" t="s">
        <x:v>454</x:v>
      </x:c>
    </x:row>
    <x:row r="21" ht="28">
      <x:c r="A21" s="24" t="s">
        <x:v>162</x:v>
      </x:c>
      <x:c r="B21" s="25" t="s">
        <x:v>441</x:v>
      </x:c>
      <x:c r="C21" s="25" t="s">
        <x:v>455</x:v>
      </x:c>
      <x:c r="D21" s="25" t="s">
        <x:v>456</x:v>
      </x:c>
      <x:c r="E21" s="25" t="s">
        <x:v>457</x:v>
      </x:c>
      <x:c r="F21" s="26" t="s">
        <x:v>458</x:v>
      </x:c>
    </x:row>
    <x:row r="22">
      <x:c r="A22" s="24" t="s">
        <x:v>459</x:v>
      </x:c>
      <x:c r="B22" s="25" t="s">
        <x:v>460</x:v>
      </x:c>
      <x:c r="C22" s="25" t="s">
        <x:v>461</x:v>
      </x:c>
      <x:c r="D22" s="25" t="s">
        <x:v>462</x:v>
      </x:c>
      <x:c r="E22" s="25"/>
      <x:c r="F22" s="26"/>
    </x:row>
    <x:row r="23">
      <x:c r="A23" s="24" t="s">
        <x:v>463</x:v>
      </x:c>
      <x:c r="B23" s="25" t="s">
        <x:v>460</x:v>
      </x:c>
      <x:c r="C23" s="25" t="s">
        <x:v>464</x:v>
      </x:c>
      <x:c r="D23" s="25" t="s">
        <x:v>465</x:v>
      </x:c>
      <x:c r="E23" s="25"/>
      <x:c r="F23" s="26"/>
    </x:row>
    <x:row r="24" ht="28">
      <x:c r="A24" s="24" t="s">
        <x:v>466</x:v>
      </x:c>
      <x:c r="B24" s="25" t="s">
        <x:v>460</x:v>
      </x:c>
      <x:c r="C24" s="25" t="s">
        <x:v>467</x:v>
      </x:c>
      <x:c r="D24" s="25" t="s">
        <x:v>468</x:v>
      </x:c>
      <x:c r="E24" s="25"/>
      <x:c r="F24" s="26"/>
    </x:row>
    <x:row r="25" ht="28">
      <x:c r="A25" s="24" t="s">
        <x:v>469</x:v>
      </x:c>
      <x:c r="B25" s="25" t="s">
        <x:v>460</x:v>
      </x:c>
      <x:c r="C25" s="25" t="s">
        <x:v>470</x:v>
      </x:c>
      <x:c r="D25" s="25" t="s">
        <x:v>471</x:v>
      </x:c>
      <x:c r="E25" s="25"/>
      <x:c r="F25" s="26"/>
    </x:row>
    <x:row r="26" ht="42">
      <x:c r="A26" s="24" t="s">
        <x:v>472</x:v>
      </x:c>
      <x:c r="B26" s="25" t="s">
        <x:v>460</x:v>
      </x:c>
      <x:c r="C26" s="25" t="s">
        <x:v>473</x:v>
      </x:c>
      <x:c r="D26" s="25" t="s">
        <x:v>474</x:v>
      </x:c>
      <x:c r="E26" s="25" t="s">
        <x:v>475</x:v>
      </x:c>
      <x:c r="F26" s="26" t="s">
        <x:v>476</x:v>
      </x:c>
    </x:row>
    <x:row r="27" ht="28">
      <x:c r="A27" s="24" t="s">
        <x:v>477</x:v>
      </x:c>
      <x:c r="B27" s="25" t="s">
        <x:v>478</x:v>
      </x:c>
      <x:c r="C27" s="25" t="s">
        <x:v>479</x:v>
      </x:c>
      <x:c r="D27" s="25" t="s">
        <x:v>480</x:v>
      </x:c>
      <x:c r="E27" s="25" t="s">
        <x:v>481</x:v>
      </x:c>
      <x:c r="F27" s="26" t="s">
        <x:v>482</x:v>
      </x:c>
    </x:row>
    <x:row r="28">
      <x:c r="A28" s="24" t="s">
        <x:v>156</x:v>
      </x:c>
      <x:c r="B28" s="25" t="s">
        <x:v>483</x:v>
      </x:c>
      <x:c r="C28" s="25" t="s">
        <x:v>484</x:v>
      </x:c>
      <x:c r="D28" s="25" t="s">
        <x:v>485</x:v>
      </x:c>
      <x:c r="E28" s="25"/>
      <x:c r="F28" s="26"/>
    </x:row>
    <x:row r="29">
      <x:c r="A29" s="24" t="s">
        <x:v>486</x:v>
      </x:c>
      <x:c r="B29" s="25" t="s">
        <x:v>487</x:v>
      </x:c>
      <x:c r="C29" s="25" t="s">
        <x:v>488</x:v>
      </x:c>
      <x:c r="D29" s="25" t="s">
        <x:v>489</x:v>
      </x:c>
      <x:c r="E29" s="25"/>
      <x:c r="F29" s="26"/>
    </x:row>
    <x:row r="30" ht="28">
      <x:c r="A30" s="24" t="s">
        <x:v>490</x:v>
      </x:c>
      <x:c r="B30" s="25" t="s">
        <x:v>491</x:v>
      </x:c>
      <x:c r="C30" s="25" t="s">
        <x:v>492</x:v>
      </x:c>
      <x:c r="D30" s="25" t="s">
        <x:v>493</x:v>
      </x:c>
      <x:c r="E30" s="25"/>
      <x:c r="F30" s="26"/>
    </x:row>
    <x:row r="31" ht="28">
      <x:c r="A31" s="24" t="s">
        <x:v>101</x:v>
      </x:c>
      <x:c r="B31" s="25" t="s">
        <x:v>494</x:v>
      </x:c>
      <x:c r="C31" s="25" t="s">
        <x:v>495</x:v>
      </x:c>
      <x:c r="D31" s="25" t="s">
        <x:v>496</x:v>
      </x:c>
      <x:c r="E31" s="25"/>
      <x:c r="F31" s="26"/>
    </x:row>
    <x:row r="32" ht="28">
      <x:c r="A32" s="24" t="s">
        <x:v>64</x:v>
      </x:c>
      <x:c r="B32" s="25" t="s">
        <x:v>494</x:v>
      </x:c>
      <x:c r="C32" s="25" t="s">
        <x:v>497</x:v>
      </x:c>
      <x:c r="D32" s="25" t="s">
        <x:v>498</x:v>
      </x:c>
      <x:c r="E32" s="25"/>
      <x:c r="F32" s="26"/>
    </x:row>
    <x:row r="33" ht="28">
      <x:c r="A33" s="24" t="s">
        <x:v>140</x:v>
      </x:c>
      <x:c r="B33" s="25" t="s">
        <x:v>499</x:v>
      </x:c>
      <x:c r="C33" s="25" t="s">
        <x:v>500</x:v>
      </x:c>
      <x:c r="D33" s="25" t="s">
        <x:v>501</x:v>
      </x:c>
      <x:c r="E33" s="25"/>
      <x:c r="F33" s="26"/>
    </x:row>
    <x:row r="34" ht="28">
      <x:c r="A34" s="24" t="s">
        <x:v>205</x:v>
      </x:c>
      <x:c r="B34" s="25" t="s">
        <x:v>502</x:v>
      </x:c>
      <x:c r="C34" s="25" t="s">
        <x:v>503</x:v>
      </x:c>
      <x:c r="D34" s="25" t="s">
        <x:v>504</x:v>
      </x:c>
      <x:c r="E34" s="25"/>
      <x:c r="F34" s="26"/>
    </x:row>
    <x:row r="35">
      <x:c r="A35" s="24" t="s">
        <x:v>505</x:v>
      </x:c>
      <x:c r="B35" s="25" t="s">
        <x:v>506</x:v>
      </x:c>
      <x:c r="C35" s="25" t="s">
        <x:v>507</x:v>
      </x:c>
      <x:c r="D35" s="25" t="s">
        <x:v>508</x:v>
      </x:c>
      <x:c r="E35" s="25"/>
      <x:c r="F35" s="26"/>
      <x:c r="G35" s="34" t="s">
        <x:v>509</x:v>
      </x:c>
    </x:row>
    <x:row r="36">
      <x:c r="A36" s="24" t="s">
        <x:v>510</x:v>
      </x:c>
      <x:c r="B36" s="25" t="s">
        <x:v>511</x:v>
      </x:c>
      <x:c r="C36" s="25" t="s">
        <x:v>512</x:v>
      </x:c>
      <x:c r="D36" s="25" t="s">
        <x:v>513</x:v>
      </x:c>
      <x:c r="E36" s="25"/>
      <x:c r="F36" s="26"/>
    </x:row>
    <x:row r="37" ht="28">
      <x:c r="A37" s="24" t="s">
        <x:v>88</x:v>
      </x:c>
      <x:c r="B37" s="25" t="s">
        <x:v>514</x:v>
      </x:c>
      <x:c r="C37" s="25" t="s">
        <x:v>515</x:v>
      </x:c>
      <x:c r="D37" s="25" t="s">
        <x:v>516</x:v>
      </x:c>
      <x:c r="E37" s="25"/>
      <x:c r="F37" s="26"/>
      <x:c r="G37" s="34" t="s">
        <x:v>517</x:v>
      </x:c>
    </x:row>
    <x:row r="38" ht="28">
      <x:c r="A38" s="27" t="s">
        <x:v>518</x:v>
      </x:c>
      <x:c r="B38" s="28" t="s">
        <x:v>519</x:v>
      </x:c>
      <x:c r="C38" s="28" t="s">
        <x:v>520</x:v>
      </x:c>
      <x:c r="D38" s="28" t="s">
        <x:v>521</x:v>
      </x:c>
      <x:c r="E38" s="28"/>
      <x:c r="F38" s="29"/>
    </x:row>
  </x:sheetData>
  <x:mergeCells>
    <x:mergeCell ref="A1:F1"/>
  </x:mergeCells>
  <x:pageMargins left="0.7" right="0.7" top="0.75" bottom="0.75" header="0.3" footer="0.3"/>
  <x:tableParts count="1">
    <x:tablePart xmlns:r="http://schemas.openxmlformats.org/officeDocument/2006/relationships" r:id="Rbdccb590a8ff496a"/>
  </x:tableParts>
</x:worksheet>
</file>

<file path=xl/worksheets/sheet5.xml><?xml version="1.0" encoding="utf-8"?>
<x:worksheet xmlns:x="http://schemas.openxmlformats.org/spreadsheetml/2006/main">
  <x:sheetViews>
    <x:sheetView showGridLines="0" workbookViewId="0"/>
  </x:sheetViews>
  <x:sheetFormatPr defaultRowHeight="14"/>
  <x:cols>
    <x:col min="1" max="1" width="26" customWidth="1"/>
    <x:col min="2" max="2" width="16" customWidth="1"/>
  </x:cols>
  <x:sheetData>
    <x:row r="1" ht="28" customHeight="1">
      <x:c r="A1" s="35" t="s">
        <x:v>522</x:v>
      </x:c>
      <x:c r="B1" s="35"/>
      <x:c r="C1" s="35"/>
      <x:c r="D1" s="35"/>
    </x:row>
    <x:row r="3">
      <x:c r="A3" s="21" t="s">
        <x:v>523</x:v>
      </x:c>
      <x:c r="B3" s="23" t="s">
        <x:v>524</x:v>
      </x:c>
    </x:row>
    <x:row r="4">
      <x:c r="A4" s="30" t="s">
        <x:v>525</x:v>
      </x:c>
      <x:c r="B4" s="32" t="n">
        <x:f>COUNTA(Review!$A$5:$A$73)</x:f>
        <x:v>69</x:v>
      </x:c>
    </x:row>
    <x:row r="5">
      <x:c r="A5" s="30" t="s">
        <x:v>526</x:v>
      </x:c>
      <x:c r="B5" s="32" t="n">
        <x:f>COUNTIF(Review!$M$5:$M$73,"COMPLETE")</x:f>
        <x:v>69</x:v>
      </x:c>
    </x:row>
    <x:row r="6">
      <x:c r="A6" s="30" t="s">
        <x:v>527</x:v>
      </x:c>
      <x:c r="B6" s="32" t="n">
        <x:f>B4-B5</x:f>
        <x:v>0</x:v>
      </x:c>
    </x:row>
    <x:row r="7">
      <x:c r="A7" s="30" t="s">
        <x:v>528</x:v>
      </x:c>
      <x:c r="B7" s="32" t="n">
        <x:f>COUNTIF(Review!$H$5:$H$73,"keep")</x:f>
        <x:v>26</x:v>
      </x:c>
    </x:row>
    <x:row r="8">
      <x:c r="A8" s="30" t="s">
        <x:v>9</x:v>
      </x:c>
      <x:c r="B8" s="32" t="n">
        <x:f>COUNTIF(Review!$H$5:$H$73,"exclude")</x:f>
        <x:v>35</x:v>
      </x:c>
    </x:row>
    <x:row r="9">
      <x:c r="A9" s="30" t="s">
        <x:v>529</x:v>
      </x:c>
      <x:c r="B9" s="32" t="n">
        <x:f>COUNTIF(Review!$H$5:$H$73,"needs_context")</x:f>
        <x:v>8</x:v>
      </x:c>
    </x:row>
    <x:row r="10">
      <x:c r="A10" s="30" t="s">
        <x:v>530</x:v>
      </x:c>
      <x:c r="B10" s="32" t="n">
        <x:f>COUNTIF(Review!$M$5:$M$73,"CODE REQUIRED")</x:f>
        <x:v>0</x:v>
      </x:c>
    </x:row>
    <x:row r="11">
      <x:c r="A11" s="31" t="s">
        <x:v>531</x:v>
      </x:c>
      <x:c r="B11" s="33" t="n">
        <x:f>COUNTIF(Review!$M$5:$M$73,"REASON REQUIRED")</x:f>
        <x:v>0</x:v>
      </x:c>
    </x:row>
  </x:sheetData>
  <x:mergeCells>
    <x:mergeCell ref="A1:D1"/>
  </x:mergeCells>
  <x:conditionalFormatting sqref="B5:B5">
    <x:cfRule type="cellIs" dxfId="1" priority="1" operator="equal">
      <x:formula>69</x:formula>
    </x:cfRule>
  </x:conditionalFormatting>
  <x:conditionalFormatting sqref="B6:B6">
    <x:cfRule type="cellIs" dxfId="0" priority="2" operator="greaterThan">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0" hidden="0" customWidth="1"/>
    <x:col min="4" max="4" width="20" hidden="0" customWidth="1"/>
    <x:col min="5" max="5" width="20" hidden="0" customWidth="1"/>
    <x:col min="6" max="6" width="20" hidden="0" customWidth="1"/>
    <x:col min="7" max="7" width="62" hidden="0" customWidth="1"/>
    <x:col min="8" max="8" width="19" hidden="0" customWidth="1"/>
    <x:col min="10" max="10" width="14" hidden="0" customWidth="1"/>
    <x:col min="11" max="11" width="14" hidden="0" customWidth="1"/>
  </x:cols>
  <x:sheetData>
    <x:row r="1" ht="19.200000762939453" hidden="0" customHeight="1">
      <x:c r="A1" s="39" t="str">
        <x:v>Final reference checks before v10.2 freeze</x:v>
      </x:c>
      <x:c r="B1" s="39"/>
      <x:c r="C1" s="39"/>
      <x:c r="D1" s="39"/>
      <x:c r="E1" s="39"/>
      <x:c r="F1" s="39"/>
      <x:c r="G1" s="39"/>
      <x:c r="H1" s="39"/>
    </x:row>
    <x:row r="2"/>
    <x:row r="3" ht="15" hidden="0" customHeight="1">
      <x:c r="A3" s="44" t="str">
        <x:v>Boundary</x:v>
      </x:c>
      <x:c r="B3" s="44" t="str">
        <x:v>Recommended treatment</x:v>
      </x:c>
      <x:c r="C3" s="44"/>
      <x:c r="D3" s="44"/>
      <x:c r="E3" s="44"/>
      <x:c r="F3" s="44"/>
      <x:c r="G3" s="44"/>
      <x:c r="H3" s="44"/>
      <x:c r="J3" s="48" t="str">
        <x:v>QC</x:v>
      </x:c>
      <x:c r="K3" s="48" t="str">
        <x:v>Value</x:v>
      </x:c>
    </x:row>
    <x:row r="4" ht="15" hidden="0" customHeight="1">
      <x:c r="A4" s="45" t="str">
        <x:v>LEGAL.basis</x:v>
      </x:c>
      <x:c r="B4" s="45" t="str">
        <x:v>Retain as an audit-only code, but use only for CBDC-specific legal authority, issuance, or mandate.</x:v>
      </x:c>
      <x:c r="C4" s="45"/>
      <x:c r="D4" s="45"/>
      <x:c r="E4" s="45"/>
      <x:c r="F4" s="45"/>
      <x:c r="G4" s="45"/>
      <x:c r="H4" s="45"/>
      <x:c r="J4" s="49" t="str">
        <x:v>Checks</x:v>
      </x:c>
      <x:c r="K4" s="49" t="n">
        <x:f>COUNTA(H9:H33)</x:f>
        <x:v>25</x:v>
      </x:c>
    </x:row>
    <x:row r="5" ht="26.399999618530273" hidden="0" customHeight="1">
      <x:c r="A5" s="45" t="str">
        <x:v>STAB.disintermediation</x:v>
      </x:c>
      <x:c r="B5" s="45" t="str">
        <x:v>Retain. It is analytically material to deposits, bank balance sheets, lending, and monetary transmission.</x:v>
      </x:c>
      <x:c r="C5" s="45"/>
      <x:c r="D5" s="45"/>
      <x:c r="E5" s="45"/>
      <x:c r="F5" s="45"/>
      <x:c r="G5" s="45"/>
      <x:c r="H5" s="45"/>
      <x:c r="J5" s="49" t="str">
        <x:v>Accepted</x:v>
      </x:c>
      <x:c r="K5" s="49" t="n">
        <x:f>COUNTIF(H9:H33,"accept")</x:f>
        <x:v>25</x:v>
      </x:c>
    </x:row>
    <x:row r="6" ht="15" hidden="0" customHeight="1">
      <x:c r="A6" s="45" t="str">
        <x:v>ADOPT vs INTEROP</x:v>
      </x:c>
      <x:c r="B6" s="45" t="str">
        <x:v>Do not merge. ADOPT covers user/merchant experience; INTEROP covers technical or settlement integration. Visa/Mastercard is not automatically cross-border.</x:v>
      </x:c>
      <x:c r="C6" s="45"/>
      <x:c r="D6" s="45"/>
      <x:c r="E6" s="45"/>
      <x:c r="F6" s="45"/>
      <x:c r="G6" s="45"/>
      <x:c r="H6" s="45"/>
      <x:c r="J6" s="49" t="str">
        <x:v>Open</x:v>
      </x:c>
      <x:c r="K6" s="49" t="n">
        <x:f>COUNTIF(H9:H33,"undecided")</x:f>
        <x:v>0</x:v>
      </x:c>
    </x:row>
    <x:row r="7"/>
    <x:row r="8" ht="15" hidden="0" customHeight="1">
      <x:c r="A8" s="44" t="str">
        <x:v>review_case_id</x:v>
      </x:c>
      <x:c r="B8" s="44" t="str">
        <x:v>check_type</x:v>
      </x:c>
      <x:c r="C8" s="44" t="str">
        <x:v>current_decision</x:v>
      </x:c>
      <x:c r="D8" s="44" t="str">
        <x:v>current_code</x:v>
      </x:c>
      <x:c r="E8" s="44" t="str">
        <x:v>recommended_decision</x:v>
      </x:c>
      <x:c r="F8" s="44" t="str">
        <x:v>recommended_code</x:v>
      </x:c>
      <x:c r="G8" s="44" t="str">
        <x:v>reason</x:v>
      </x:c>
      <x:c r="H8" s="44" t="str">
        <x:v>author_confirmation</x:v>
      </x:c>
    </x:row>
    <x:row r="9" ht="26.399999618530273" hidden="0" customHeight="1">
      <x:c r="A9" s="47" t="str">
        <x:v>RA-002</x:v>
      </x:c>
      <x:c r="B9" s="47" t="str">
        <x:v>code only</x:v>
      </x:c>
      <x:c r="C9" s="47" t="str">
        <x:v>keep</x:v>
      </x:c>
      <x:c r="D9" s="47" t="str">
        <x:v>INTEROP.crossborder</x:v>
      </x:c>
      <x:c r="E9" s="47" t="str">
        <x:v>keep</x:v>
      </x:c>
      <x:c r="F9" s="47" t="str">
        <x:v>INTEROP.domestic</x:v>
      </x:c>
      <x:c r="G9" s="47" t="str">
        <x:v>BankAxept/Visa wallet integration is domestic here; no cross-border flow, FX, corridor, or foreign CBDC is stated.</x:v>
      </x:c>
      <x:c r="H9" s="47" t="str">
        <x:v>accept</x:v>
      </x:c>
    </x:row>
    <x:row r="10" ht="15" hidden="0" customHeight="1">
      <x:c r="A10" s="47" t="str">
        <x:v>RA-003</x:v>
      </x:c>
      <x:c r="B10" s="47" t="str">
        <x:v>decision</x:v>
      </x:c>
      <x:c r="C10" s="47" t="str">
        <x:v>needs_context</x:v>
      </x:c>
      <x:c r="D10" s="47" t="str">
        <x:v>KYC.INTERMED</x:v>
      </x:c>
      <x:c r="E10" s="47" t="str">
        <x:v>exclude</x:v>
      </x:c>
      <x:c r="F10" s="47" t="str"/>
      <x:c r="G10" s="47" t="str">
        <x:v>Accenture/workshop options are not an adopted RBNZ position.</x:v>
      </x:c>
      <x:c r="H10" s="47" t="str">
        <x:v>accept</x:v>
      </x:c>
    </x:row>
    <x:row r="11" ht="26.399999618530273" hidden="0" customHeight="1">
      <x:c r="A11" s="47" t="str">
        <x:v>RA-010</x:v>
      </x:c>
      <x:c r="B11" s="47" t="str">
        <x:v>decision</x:v>
      </x:c>
      <x:c r="C11" s="47" t="str">
        <x:v>needs_context</x:v>
      </x:c>
      <x:c r="D11" s="47" t="str"/>
      <x:c r="E11" s="47" t="str">
        <x:v>keep</x:v>
      </x:c>
      <x:c r="F11" s="47" t="str">
        <x:v>OPS.resilience</x:v>
      </x:c>
      <x:c r="G11" s="47" t="str">
        <x:v>The full unit gives complete CBDC-specific security-lifecycle and incident-management requirements.</x:v>
      </x:c>
      <x:c r="H11" s="47" t="str">
        <x:v>accept</x:v>
      </x:c>
    </x:row>
    <x:row r="12" ht="15" hidden="0" customHeight="1">
      <x:c r="A12" s="47" t="str">
        <x:v>RA-011</x:v>
      </x:c>
      <x:c r="B12" s="47" t="str">
        <x:v>decision</x:v>
      </x:c>
      <x:c r="C12" s="47" t="str">
        <x:v>needs_context</x:v>
      </x:c>
      <x:c r="D12" s="47" t="str"/>
      <x:c r="E12" s="47" t="str">
        <x:v>exclude</x:v>
      </x:c>
      <x:c r="F12" s="47" t="str"/>
      <x:c r="G12" s="47" t="str">
        <x:v>The selected paragraph is an incomplete fragment.</x:v>
      </x:c>
      <x:c r="H12" s="47" t="str">
        <x:v>accept</x:v>
      </x:c>
    </x:row>
    <x:row r="13" ht="26.399999618530273" hidden="0" customHeight="1">
      <x:c r="A13" s="47" t="str">
        <x:v>RA-013</x:v>
      </x:c>
      <x:c r="B13" s="47" t="str">
        <x:v>decision</x:v>
      </x:c>
      <x:c r="C13" s="47" t="str">
        <x:v>needs_context</x:v>
      </x:c>
      <x:c r="D13" s="47" t="str"/>
      <x:c r="E13" s="47" t="str">
        <x:v>exclude</x:v>
      </x:c>
      <x:c r="F13" s="47" t="str"/>
      <x:c r="G13" s="47" t="str">
        <x:v>This reports a consensus in other central-bank consultation papers, not RBNZ's own position.</x:v>
      </x:c>
      <x:c r="H13" s="47" t="str">
        <x:v>accept</x:v>
      </x:c>
    </x:row>
    <x:row r="14" ht="15" hidden="0" customHeight="1">
      <x:c r="A14" s="47" t="str">
        <x:v>RA-015</x:v>
      </x:c>
      <x:c r="B14" s="47" t="str">
        <x:v>decision</x:v>
      </x:c>
      <x:c r="C14" s="47" t="str">
        <x:v>needs_context</x:v>
      </x:c>
      <x:c r="D14" s="47" t="str"/>
      <x:c r="E14" s="47" t="str">
        <x:v>exclude</x:v>
      </x:c>
      <x:c r="F14" s="47" t="str"/>
      <x:c r="G14" s="47" t="str">
        <x:v>Option/table fragment without a complete claim.</x:v>
      </x:c>
      <x:c r="H14" s="47" t="str">
        <x:v>accept</x:v>
      </x:c>
    </x:row>
    <x:row r="15" ht="26.399999618530273" hidden="0" customHeight="1">
      <x:c r="A15" s="47" t="str">
        <x:v>RA-017</x:v>
      </x:c>
      <x:c r="B15" s="47" t="str">
        <x:v>decision</x:v>
      </x:c>
      <x:c r="C15" s="47" t="str">
        <x:v>keep</x:v>
      </x:c>
      <x:c r="D15" s="47" t="str">
        <x:v>LEGAL.basis</x:v>
      </x:c>
      <x:c r="E15" s="47" t="str">
        <x:v>exclude</x:v>
      </x:c>
      <x:c r="F15" s="47" t="str"/>
      <x:c r="G15" s="47" t="str">
        <x:v>General market-infrastructure regulation; not a CBDC-specific legal-basis claim. LEGAL.basis stays audit-only.</x:v>
      </x:c>
      <x:c r="H15" s="47" t="str">
        <x:v>accept</x:v>
      </x:c>
    </x:row>
    <x:row r="16" ht="26.399999618530273" hidden="0" customHeight="1">
      <x:c r="A16" s="47" t="str">
        <x:v>RA-018</x:v>
      </x:c>
      <x:c r="B16" s="47" t="str">
        <x:v>decision</x:v>
      </x:c>
      <x:c r="C16" s="47" t="str">
        <x:v>needs_context</x:v>
      </x:c>
      <x:c r="D16" s="47" t="str">
        <x:v>TECH.TOKEN.considered</x:v>
      </x:c>
      <x:c r="E16" s="47" t="str">
        <x:v>keep</x:v>
      </x:c>
      <x:c r="F16" s="47" t="str">
        <x:v>TECH.TOKEN.considered</x:v>
      </x:c>
      <x:c r="G16" s="47" t="str">
        <x:v>The full unit reports an executed e-HKD comparison of account-based and UTXO representations.</x:v>
      </x:c>
      <x:c r="H16" s="47" t="str">
        <x:v>accept</x:v>
      </x:c>
    </x:row>
    <x:row r="17" ht="15" hidden="0" customHeight="1">
      <x:c r="A17" s="47" t="str">
        <x:v>RA-019</x:v>
      </x:c>
      <x:c r="B17" s="47" t="str">
        <x:v>decision</x:v>
      </x:c>
      <x:c r="C17" s="47" t="str">
        <x:v>keep</x:v>
      </x:c>
      <x:c r="D17" s="47" t="str">
        <x:v>KYC.INTERMED</x:v>
      </x:c>
      <x:c r="E17" s="47" t="str">
        <x:v>exclude</x:v>
      </x:c>
      <x:c r="F17" s="47" t="str"/>
      <x:c r="G17" s="47" t="str">
        <x:v>Explicitly an open question; no Russian issuer decision or proposal is stated.</x:v>
      </x:c>
      <x:c r="H17" s="47" t="str">
        <x:v>accept</x:v>
      </x:c>
    </x:row>
    <x:row r="18" ht="26.399999618530273" hidden="0" customHeight="1">
      <x:c r="A18" s="47" t="str">
        <x:v>RA-022</x:v>
      </x:c>
      <x:c r="B18" s="47" t="str">
        <x:v>decision</x:v>
      </x:c>
      <x:c r="C18" s="47" t="str">
        <x:v>needs_context</x:v>
      </x:c>
      <x:c r="D18" s="47" t="str"/>
      <x:c r="E18" s="47" t="str">
        <x:v>exclude</x:v>
      </x:c>
      <x:c r="F18" s="47" t="str"/>
      <x:c r="G18" s="47" t="str">
        <x:v>The selected smart-contract sentence is cut off before stating the harm; exclude this incomplete fragment.</x:v>
      </x:c>
      <x:c r="H18" s="47" t="str">
        <x:v>accept</x:v>
      </x:c>
    </x:row>
    <x:row r="19" ht="26.399999618530273" hidden="0" customHeight="1">
      <x:c r="A19" s="47" t="str">
        <x:v>RA-024</x:v>
      </x:c>
      <x:c r="B19" s="47" t="str">
        <x:v>code only</x:v>
      </x:c>
      <x:c r="C19" s="47" t="str">
        <x:v>keep</x:v>
      </x:c>
      <x:c r="D19" s="47" t="str">
        <x:v>INTEROP.crossborder</x:v>
      </x:c>
      <x:c r="E19" s="47" t="str">
        <x:v>keep</x:v>
      </x:c>
      <x:c r="F19" s="47" t="str">
        <x:v>INTEROP.domestic</x:v>
      </x:c>
      <x:c r="G19" s="47" t="str">
        <x:v>Co-badged card-network integration is domestic unless a foreign/corridor/FX claim is explicit.</x:v>
      </x:c>
      <x:c r="H19" s="47" t="str">
        <x:v>accept</x:v>
      </x:c>
    </x:row>
    <x:row r="20" ht="15" hidden="0" customHeight="1">
      <x:c r="A20" s="47" t="str">
        <x:v>RA-026</x:v>
      </x:c>
      <x:c r="B20" s="47" t="str">
        <x:v>decision</x:v>
      </x:c>
      <x:c r="C20" s="47" t="str">
        <x:v>needs_context</x:v>
      </x:c>
      <x:c r="D20" s="47" t="str"/>
      <x:c r="E20" s="47" t="str">
        <x:v>keep</x:v>
      </x:c>
      <x:c r="F20" s="47" t="str">
        <x:v>KYC.INTERMED</x:v>
      </x:c>
      <x:c r="G20" s="47" t="str">
        <x:v>The RBI unit proposes that commercial banks handle AML/CFT responsibilities.</x:v>
      </x:c>
      <x:c r="H20" s="47" t="str">
        <x:v>accept</x:v>
      </x:c>
    </x:row>
    <x:row r="21" ht="15" hidden="0" customHeight="1">
      <x:c r="A21" s="47" t="str">
        <x:v>RA-027</x:v>
      </x:c>
      <x:c r="B21" s="47" t="str">
        <x:v>decision</x:v>
      </x:c>
      <x:c r="C21" s="47" t="str">
        <x:v>keep</x:v>
      </x:c>
      <x:c r="D21" s="47" t="str">
        <x:v>CASH.relation</x:v>
      </x:c>
      <x:c r="E21" s="47" t="str">
        <x:v>exclude</x:v>
      </x:c>
      <x:c r="F21" s="47" t="str"/>
      <x:c r="G21" s="47" t="str">
        <x:v>Figure/OCR fragment does not contain a complete supported claim.</x:v>
      </x:c>
      <x:c r="H21" s="47" t="str">
        <x:v>accept</x:v>
      </x:c>
    </x:row>
    <x:row r="22" ht="15" hidden="0" customHeight="1">
      <x:c r="A22" s="47" t="str">
        <x:v>RA-028</x:v>
      </x:c>
      <x:c r="B22" s="47" t="str">
        <x:v>decision</x:v>
      </x:c>
      <x:c r="C22" s="47" t="str">
        <x:v>keep</x:v>
      </x:c>
      <x:c r="D22" s="47" t="str">
        <x:v>AML.MON</x:v>
      </x:c>
      <x:c r="E22" s="47" t="str">
        <x:v>exclude</x:v>
      </x:c>
      <x:c r="F22" s="47" t="str"/>
      <x:c r="G22" s="47" t="str">
        <x:v>Glossary entries, not a CBDC design statement.</x:v>
      </x:c>
      <x:c r="H22" s="47" t="str">
        <x:v>accept</x:v>
      </x:c>
    </x:row>
    <x:row r="23" ht="15" hidden="0" customHeight="1">
      <x:c r="A23" s="47" t="str">
        <x:v>RA-029</x:v>
      </x:c>
      <x:c r="B23" s="47" t="str">
        <x:v>decision</x:v>
      </x:c>
      <x:c r="C23" s="47" t="str">
        <x:v>keep</x:v>
      </x:c>
      <x:c r="D23" s="47" t="str">
        <x:v>ACCESS.universal</x:v>
      </x:c>
      <x:c r="E23" s="47" t="str">
        <x:v>exclude</x:v>
      </x:c>
      <x:c r="F23" s="47" t="str"/>
      <x:c r="G23" s="47" t="str">
        <x:v>Explicit future-research text; no conclusion.</x:v>
      </x:c>
      <x:c r="H23" s="47" t="str">
        <x:v>accept</x:v>
      </x:c>
    </x:row>
    <x:row r="24" ht="15" hidden="0" customHeight="1">
      <x:c r="A24" s="47" t="str">
        <x:v>RA-031</x:v>
      </x:c>
      <x:c r="B24" s="47" t="str">
        <x:v>decision</x:v>
      </x:c>
      <x:c r="C24" s="47" t="str">
        <x:v>keep</x:v>
      </x:c>
      <x:c r="D24" s="47" t="str">
        <x:v>TECH.TOKEN.considered</x:v>
      </x:c>
      <x:c r="E24" s="47" t="str">
        <x:v>exclude</x:v>
      </x:c>
      <x:c r="F24" s="47" t="str"/>
      <x:c r="G24" s="47" t="str">
        <x:v>Glossary definitions, not a project claim.</x:v>
      </x:c>
      <x:c r="H24" s="47" t="str">
        <x:v>accept</x:v>
      </x:c>
    </x:row>
    <x:row r="25" ht="26.399999618530273" hidden="0" customHeight="1">
      <x:c r="A25" s="47" t="str">
        <x:v>RA-036</x:v>
      </x:c>
      <x:c r="B25" s="47" t="str">
        <x:v>decision</x:v>
      </x:c>
      <x:c r="C25" s="47" t="str">
        <x:v>exclude</x:v>
      </x:c>
      <x:c r="D25" s="47" t="str"/>
      <x:c r="E25" s="47" t="str">
        <x:v>keep</x:v>
      </x:c>
      <x:c r="F25" s="47" t="str">
        <x:v>ADOPT.experience</x:v>
      </x:c>
      <x:c r="G25" s="47" t="str">
        <x:v>Executed Sand Dollar pre-pilot research reports adoption openness and security/convenience barriers.</x:v>
      </x:c>
      <x:c r="H25" s="47" t="str">
        <x:v>accept</x:v>
      </x:c>
    </x:row>
    <x:row r="26" ht="26.399999618530273" hidden="0" customHeight="1">
      <x:c r="A26" s="47" t="str">
        <x:v>RA-044</x:v>
      </x:c>
      <x:c r="B26" s="47" t="str">
        <x:v>metadata</x:v>
      </x:c>
      <x:c r="C26" s="47" t="str">
        <x:v>keep</x:v>
      </x:c>
      <x:c r="D26" s="47" t="str">
        <x:v>ADOPT.experience</x:v>
      </x:c>
      <x:c r="E26" s="47" t="str">
        <x:v>keep</x:v>
      </x:c>
      <x:c r="F26" s="47" t="str">
        <x:v>ADOPT.experience</x:v>
      </x:c>
      <x:c r="G26" s="47" t="str">
        <x:v>Keep the decision; set complete_claim=yes and eligible_claim_type=explicit proposal/preference.</x:v>
      </x:c>
      <x:c r="H26" s="47" t="str">
        <x:v>accept</x:v>
      </x:c>
    </x:row>
    <x:row r="27" ht="26.399999618530273" hidden="0" customHeight="1">
      <x:c r="A27" s="47" t="str">
        <x:v>RA-050</x:v>
      </x:c>
      <x:c r="B27" s="47" t="str">
        <x:v>decision</x:v>
      </x:c>
      <x:c r="C27" s="47" t="str">
        <x:v>exclude</x:v>
      </x:c>
      <x:c r="D27" s="47" t="str"/>
      <x:c r="E27" s="47" t="str">
        <x:v>keep</x:v>
      </x:c>
      <x:c r="F27" s="47" t="str">
        <x:v>TECH.DLT</x:v>
      </x:c>
      <x:c r="G27" s="47" t="str">
        <x:v>The full NBU unit reports a concrete pilot result rejecting the tested private-Stellar solution at national scale.</x:v>
      </x:c>
      <x:c r="H27" s="47" t="str">
        <x:v>accept</x:v>
      </x:c>
    </x:row>
    <x:row r="28" ht="26.399999618530273" hidden="0" customHeight="1">
      <x:c r="A28" s="47" t="str">
        <x:v>RA-051</x:v>
      </x:c>
      <x:c r="B28" s="47" t="str">
        <x:v>metadata</x:v>
      </x:c>
      <x:c r="C28" s="47" t="str">
        <x:v>keep</x:v>
      </x:c>
      <x:c r="D28" s="47" t="str">
        <x:v>AML.MON</x:v>
      </x:c>
      <x:c r="E28" s="47" t="str">
        <x:v>keep</x:v>
      </x:c>
      <x:c r="F28" s="47" t="str">
        <x:v>AML.MON</x:v>
      </x:c>
      <x:c r="G28" s="47" t="str">
        <x:v>Keep the decision; the first complete sentences support a concrete fraud-tracing feature.</x:v>
      </x:c>
      <x:c r="H28" s="47" t="str">
        <x:v>accept</x:v>
      </x:c>
    </x:row>
    <x:row r="29" ht="26.399999618530273" hidden="0" customHeight="1">
      <x:c r="A29" s="47" t="str">
        <x:v>RA-057</x:v>
      </x:c>
      <x:c r="B29" s="47" t="str">
        <x:v>metadata</x:v>
      </x:c>
      <x:c r="C29" s="47" t="str">
        <x:v>keep</x:v>
      </x:c>
      <x:c r="D29" s="47" t="str">
        <x:v>PRIV.MIN</x:v>
      </x:c>
      <x:c r="E29" s="47" t="str">
        <x:v>keep</x:v>
      </x:c>
      <x:c r="F29" s="47" t="str">
        <x:v>PRIV.MIN</x:v>
      </x:c>
      <x:c r="G29" s="47" t="str">
        <x:v>Keep the decision; classify the statement as a supported CBDC-specific privacy/data-protection requirement.</x:v>
      </x:c>
      <x:c r="H29" s="47" t="str">
        <x:v>accept</x:v>
      </x:c>
    </x:row>
    <x:row r="30" ht="26.399999618530273" hidden="0" customHeight="1">
      <x:c r="A30" s="47" t="str">
        <x:v>RA-059</x:v>
      </x:c>
      <x:c r="B30" s="47" t="str">
        <x:v>decision</x:v>
      </x:c>
      <x:c r="C30" s="47" t="str">
        <x:v>exclude</x:v>
      </x:c>
      <x:c r="D30" s="47" t="str"/>
      <x:c r="E30" s="47" t="str">
        <x:v>keep</x:v>
      </x:c>
      <x:c r="F30" s="47" t="str">
        <x:v>TECH.DLT</x:v>
      </x:c>
      <x:c r="G30" s="47" t="str">
        <x:v>Banque de France reports an executed programme conclusion about secure DLT settlement in central-bank money.</x:v>
      </x:c>
      <x:c r="H30" s="47" t="str">
        <x:v>accept</x:v>
      </x:c>
    </x:row>
    <x:row r="31" ht="26.399999618530273" hidden="0" customHeight="1">
      <x:c r="A31" s="47" t="str">
        <x:v>RA-065</x:v>
      </x:c>
      <x:c r="B31" s="47" t="str">
        <x:v>decision</x:v>
      </x:c>
      <x:c r="C31" s="47" t="str">
        <x:v>keep</x:v>
      </x:c>
      <x:c r="D31" s="47" t="str">
        <x:v>KYC.TIER</x:v>
      </x:c>
      <x:c r="E31" s="47" t="str">
        <x:v>exclude</x:v>
      </x:c>
      <x:c r="F31" s="47" t="str"/>
      <x:c r="G31" s="47" t="str">
        <x:v>Incomplete fragment; 'tiered authorization' is internal access control, not tiered KYC.</x:v>
      </x:c>
      <x:c r="H31" s="47" t="str">
        <x:v>accept</x:v>
      </x:c>
    </x:row>
    <x:row r="32" ht="26.399999618530273" hidden="0" customHeight="1">
      <x:c r="A32" s="47" t="str">
        <x:v>RA-066</x:v>
      </x:c>
      <x:c r="B32" s="47" t="str">
        <x:v>metadata</x:v>
      </x:c>
      <x:c r="C32" s="47" t="str">
        <x:v>exclude</x:v>
      </x:c>
      <x:c r="D32" s="47" t="str"/>
      <x:c r="E32" s="47" t="str">
        <x:v>exclude</x:v>
      </x:c>
      <x:c r="F32" s="47" t="str"/>
      <x:c r="G32" s="47" t="str">
        <x:v>Keep the exclusion; change claim type from pilot finding to none/unadopted stakeholder material.</x:v>
      </x:c>
      <x:c r="H32" s="47" t="str">
        <x:v>accept</x:v>
      </x:c>
    </x:row>
    <x:row r="33" ht="26.399999618530273" hidden="0" customHeight="1">
      <x:c r="A33" s="47" t="str">
        <x:v>RA-068</x:v>
      </x:c>
      <x:c r="B33" s="47" t="str">
        <x:v>decision</x:v>
      </x:c>
      <x:c r="C33" s="47" t="str">
        <x:v>keep</x:v>
      </x:c>
      <x:c r="D33" s="47" t="str">
        <x:v>INTEROP.crossborder</x:v>
      </x:c>
      <x:c r="E33" s="47" t="str">
        <x:v>exclude</x:v>
      </x:c>
      <x:c r="F33" s="47" t="str"/>
      <x:c r="G33" s="47" t="str">
        <x:v>The selected paragraph ends mid-claim and does not explicitly establish cross-border interoperability.</x:v>
      </x:c>
      <x:c r="H33" s="47" t="str">
        <x:v>accept</x:v>
      </x:c>
    </x:row>
  </x:sheetData>
  <x:mergeCells>
    <x:mergeCell ref="A1:H1"/>
    <x:mergeCell ref="B3:H3"/>
    <x:mergeCell ref="B4:H4"/>
    <x:mergeCell ref="B5:H5"/>
    <x:mergeCell ref="B6:H6"/>
  </x:mergeCells>
  <x:conditionalFormatting sqref="H9:H33">
    <x:cfRule type="containsText" dxfId="5" priority="1" operator="containsText" text="accept"/>
    <x:cfRule type="containsText" dxfId="6" priority="2" operator="containsText" text="revise"/>
    <x:cfRule type="containsText" dxfId="7" priority="3" operator="containsText" text="undecided"/>
  </x:conditionalFormatting>
  <x:dataValidations count="1">
    <x:dataValidation type="list" sqref="H9:H33">
      <x:formula1>"accept,revise,undecided"</x:formula1>
    </x:dataValidation>
  </x:dataValidations>
  <x:pageMargins left="0.7" right="0.7" top="0.75" bottom="0.75" header="0.3" footer="0.3"/>
</x:worksheet>
</file>