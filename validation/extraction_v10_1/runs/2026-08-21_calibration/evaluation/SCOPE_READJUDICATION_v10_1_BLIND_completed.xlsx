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e6660fdc32142b2" /></Relationships>
</file>

<file path=xl/workbook.xml><?xml version="1.0" encoding="utf-8"?>
<x:workbook xmlns:x="http://schemas.openxmlformats.org/spreadsheetml/2006/main">
  <x:sheets>
    <x:sheet xmlns:r="http://schemas.openxmlformats.org/officeDocument/2006/relationships" name="Instructions" sheetId="1" r:id="R7ef42e63e8d94ae6"/>
    <x:sheet xmlns:r="http://schemas.openxmlformats.org/officeDocument/2006/relationships" name="Review" sheetId="2" r:id="R7603706db20d4294"/>
    <x:sheet xmlns:r="http://schemas.openxmlformats.org/officeDocument/2006/relationships" name="Context" sheetId="3" r:id="R92d179fb117a4964"/>
    <x:sheet xmlns:r="http://schemas.openxmlformats.org/officeDocument/2006/relationships" name="Codes" sheetId="4" r:id="Re5de769733034f82"/>
    <x:sheet xmlns:r="http://schemas.openxmlformats.org/officeDocument/2006/relationships" name="QC" sheetId="5" r:id="R944546f6c2814c93"/>
  </x:sheets>
</x:workbook>
</file>

<file path=xl/sharedStrings.xml><?xml version="1.0" encoding="utf-8"?>
<x:sst xmlns:x="http://schemas.openxmlformats.org/spreadsheetml/2006/main">
  <x:si>
    <x:t xml:space="preserve">CBDC v10.1 — blind scope re-adjudication</x:t>
  </x:si>
  <x:si>
    <x:t xml:space="preserve">Purpose</x:t>
  </x:si>
  <x:si>
    <x:t xml:space="preserve">Resolve reference/protocol scope conflicts before the single permitted v10.2 revision. This is development calibration, not reserve evaluation.</x:t>
  </x:si>
  <x:si>
    <x:t xml:space="preserve">Blinding</x:t>
  </x:si>
  <x:si>
    <x:t xml:space="preserve">The workbook hides the current reference direction, model identity, model labels and model text. Do not inspect those artifacts before completing this sheet.</x:t>
  </x:si>
  <x:si>
    <x:t xml:space="preserve">Keep only if</x:t>
  </x:si>
  <x:si>
    <x:t xml:space="preserve">The paragraph contains a complete, source-supported statement about the issuing authority's own CBDC project and at least one eligible claim type.</x:t>
  </x:si>
  <x:si>
    <x:t xml:space="preserve">Eligible types</x:t>
  </x:si>
  <x:si>
    <x:t xml:space="preserve">Decision/commitment; explicit proposal/preference; concrete own-system feature; executed own-pilot finding; supported CBDC-specific risk/trade-off/requirement.</x:t>
  </x:si>
  <x:si>
    <x:t xml:space="preserve">Exclude</x:t>
  </x:si>
  <x:si>
    <x:t xml:space="preserve">Foreign or cited research; generic context; future research/open question; unadopted stakeholder/consultant material; glossary/heading/list; incomplete fragment/OCR; non-CBDC/off-scope.</x:t>
  </x:si>
  <x:si>
    <x:t xml:space="preserve">Context</x:t>
  </x:si>
  <x:si>
    <x:t xml:space="preserve">Use the Context sheet when the paragraph is fragmented. Mark needs_context only if the full supplied source unit still does not permit a decision.</x:t>
  </x:si>
  <x:si>
    <x:t xml:space="preserve">Coding</x:t>
  </x:si>
  <x:si>
    <x:t xml:space="preserve">If final_decision=keep, select exactly one primary code. If exclude, select a non-none exclusion trigger.</x:t>
  </x:si>
  <x:si>
    <x:t xml:space="preserve">Initials</x:t>
  </x:si>
  <x:si>
    <x:t xml:space="preserve">Enter reviewer initials for every completed row. Notes are optional unless uncertainty or a boundary decision should be documented.</x:t>
  </x:si>
  <x:si>
    <x:t xml:space="preserve">Do not change</x:t>
  </x:si>
  <x:si>
    <x:t xml:space="preserve">Do not open or alter the sealed 40-page reserve. Do not rewrite model outputs or source quotations.</x:t>
  </x:si>
  <x:si>
    <x:t xml:space="preserve">Completion</x:t>
  </x:si>
  <x:si>
    <x:t xml:space="preserve">QC status must be COMPLETE for all 69 rows. A second independent reviewer is strongly preferred; otherwise disclose single-coder re-adjudication.</x:t>
  </x:si>
  <x:si>
    <x:t xml:space="preserve">Selection</x:t>
  </x:si>
  <x:si>
    <x:t xml:space="preserve">All 69 rows are model/reference disagreements, deterministically shuffled. The direction of disagreement is intentionally hidden.</x:t>
  </x:si>
  <x:si>
    <x:t xml:space="preserve">Protocol</x:t>
  </x:si>
  <x:si>
    <x:t xml:space="preserve">Shared v10.1 scope in PROMPT_CORE.md; paragraph match threshold 0.80; reserve remains sealed.</x:t>
  </x:si>
  <x:si>
    <x:t xml:space="preserve">Blind review — complete columns D:L only</x:t>
  </x:si>
  <x:si>
    <x:t xml:space="preserve">Decision rule: complete own-project claim + eligible claim type = keep; otherwise exclude. Use needs_context sparingly.</x:t>
  </x:si>
  <x:si>
    <x:t xml:space="preserve">review_case_id</x:t>
  </x:si>
  <x:si>
    <x:t xml:space="preserve">paragraph_text</x:t>
  </x:si>
  <x:si>
    <x:t xml:space="preserve">context_unit_id</x:t>
  </x:si>
  <x:si>
    <x:t xml:space="preserve">own_project</x:t>
  </x:si>
  <x:si>
    <x:t xml:space="preserve">complete_claim</x:t>
  </x:si>
  <x:si>
    <x:t xml:space="preserve">eligible_claim_type</x:t>
  </x:si>
  <x:si>
    <x:t xml:space="preserve">exclusion_trigger</x:t>
  </x:si>
  <x:si>
    <x:t xml:space="preserve">final_decision</x:t>
  </x:si>
  <x:si>
    <x:t xml:space="preserve">code_if_keep</x:t>
  </x:si>
  <x:si>
    <x:t xml:space="preserve">confidence</x:t>
  </x:si>
  <x:si>
    <x:t xml:space="preserve">adjudicator</x:t>
  </x:si>
  <x:si>
    <x:t xml:space="preserve">notes</x:t>
  </x:si>
  <x:si>
    <x:t xml:space="preserve">qc_status</x:t>
  </x:si>
  <x:si>
    <x:t xml:space="preserve">gold_id</x:t>
  </x:si>
  <x:si>
    <x:t xml:space="preserve">paragraph_id</x:t>
  </x:si>
  <x:si>
    <x:t xml:space="preserve">doc_id</x:t>
  </x:si>
  <x:si>
    <x:t xml:space="preserve">page</x:t>
  </x:si>
  <x:si>
    <x:t xml:space="preserve">stratum</x:t>
  </x:si>
  <x:si>
    <x:t xml:space="preserve">language</x:t>
  </x:si>
  <x:si>
    <x:t xml:space="preserve">RA-001</x:t>
  </x:si>
  <x:si>
    <x:t xml:space="preserve">products were tested in the Sandbox environment before the launch. The system provides a central mobile App, so bank-issued wallets may not be vital.  ¶ Despite this the CBN was careful to ensure early collaboration with other financial institutions. A financial ID (a bank verification number) was organized before the launch, with the collaboration of the banks. This emphasizes the tight connection that exists between CBDC and digital ID. Public use of CBDC will always require some kind of secure digital identity.</x:t>
  </x:si>
  <x:si>
    <x:t xml:space="preserve">CAL-046-U01</x:t>
  </x:si>
  <x:si>
    <x:t xml:space="preserve">yes</x:t>
  </x:si>
  <x:si>
    <x:t xml:space="preserve">explicit_proposal_or_preference</x:t>
  </x:si>
  <x:si>
    <x:t xml:space="preserve">none</x:t>
  </x:si>
  <x:si>
    <x:t xml:space="preserve">keep</x:t>
  </x:si>
  <x:si>
    <x:t xml:space="preserve">KYC.INTERMED</x:t>
  </x:si>
  <x:si>
    <x:t xml:space="preserve">high</x:t>
  </x:si>
  <x:si>
    <x:t xml:space="preserve">MB</x:t>
  </x:si>
  <x:si>
    <x:t xml:space="preserve">G046</x:t>
  </x:si>
  <x:si>
    <x:t xml:space="preserve">P01</x:t>
  </x:si>
  <x:si>
    <x:t xml:space="preserve">UN_ESCAP_4e8e7145_2023</x:t>
  </x:si>
  <x:si>
    <x:t xml:space="preserve">probability</x:t>
  </x:si>
  <x:si>
    <x:t xml:space="preserve">en</x:t>
  </x:si>
  <x:si>
    <x:t xml:space="preserve">RA-002</x:t>
  </x:si>
  <x:si>
    <x:t xml:space="preserve">BankAxept for mobile payments will increase cost efficiency  ¶ BankAxept has announced a number of initiatives to enable its use for mobile payments. Vipps will probably enable payments with BankAxept in its coming NFC solution. 42 There are also plans for the use of BankAxept in terminal-based solutions such as Apple Pay and Google Pay. 28 Furthermore, large grocery chains in Norway intend to include payment with BankAxept in their customer apps (see discussion abowe). Depending on pricing, this may offer merchants a less expensive alternative for mobile payments. Additional payment options will also generate competition and so lead indirectly to lower costs. 22</x:t>
  </x:si>
  <x:si>
    <x:t xml:space="preserve">CAL-018-U01</x:t>
  </x:si>
  <x:si>
    <x:t xml:space="preserve">INTEROP.crossborder</x:t>
  </x:si>
  <x:si>
    <x:t xml:space="preserve">G018</x:t>
  </x:si>
  <x:si>
    <x:t xml:space="preserve">NO_NB_FI2024_CBDC</x:t>
  </x:si>
  <x:si>
    <x:t xml:space="preserve">RA-003</x:t>
  </x:si>
  <x:si>
    <x:t xml:space="preserve">We should use the following options  ¶ . * Proxy identities to protect user  ¶ 5 Miesnaingerioes”” —Plationm sntiecy Soiimeee °°" Piva whit ensuring that users wallets etc. for ts? T i ’ can verify payment recipients  ¶ - for payments? ransactions * User consent frameworks to ensure that consent is obtained when sharing IDs</x:t>
  </x:si>
  <x:si>
    <x:t xml:space="preserve">CAL-040-U01</x:t>
  </x:si>
  <x:si>
    <x:t xml:space="preserve">unclear</x:t>
  </x:si>
  <x:si>
    <x:t xml:space="preserve">needs_context</x:t>
  </x:si>
  <x:si>
    <x:t xml:space="preserve">G040</x:t>
  </x:si>
  <x:si>
    <x:t xml:space="preserve">P05</x:t>
  </x:si>
  <x:si>
    <x:t xml:space="preserve">NZ_RBNZ_cbdc-insights-dossier-for-public-1</x:t>
  </x:si>
  <x:si>
    <x:t xml:space="preserve">RA-004</x:t>
  </x:si>
  <x:si>
    <x:t xml:space="preserve">Experiments under real conditions atthe Banque de France  ¶ For the implementation of its CBDC experimentation programme, the Banque de France has selected a varied panel of partners that include foreign central banks, leading commercial banks, market infrastructure managers and Fintechs. This diversity of views within the financial sector has allowed for a clear understanding of the use cases of a CBDC and its potential impact on the financial ecosystem.The tests conducted under real conditions focused on delivery versus payment (DvP), payment versus payment (PvP) transactions, and cross-border payments involving, in most cases, tokenised financial assets.</x:t>
  </x:si>
  <x:si>
    <x:t xml:space="preserve">CAL-061-U01</x:t>
  </x:si>
  <x:si>
    <x:t xml:space="preserve">generic_context</x:t>
  </x:si>
  <x:si>
    <x:t xml:space="preserve">exclude</x:t>
  </x:si>
  <x:si>
    <x:t xml:space="preserve">G061</x:t>
  </x:si>
  <x:si>
    <x:t xml:space="preserve">P07</x:t>
  </x:si>
  <x:si>
    <x:t xml:space="preserve">FR_BdF_2022</x:t>
  </x:si>
  <x:si>
    <x:t xml:space="preserve">stress_nonEN</x:t>
  </x:si>
  <x:si>
    <x:t xml:space="preserve">fr</x:t>
  </x:si>
  <x:si>
    <x:t xml:space="preserve">RA-005</x:t>
  </x:si>
  <x:si>
    <x:t xml:space="preserve">and to conduct transactions for people with sensory impairments (sight, hearing), to ensure that visually impaired and blind people use familiar adaptive access programmes, and to develop simplified interfaces and modes for people with mental disabilities. There is the potential of using a voice-user interface.</x:t>
  </x:si>
  <x:si>
    <x:t xml:space="preserve">CAL-047-U01</x:t>
  </x:si>
  <x:si>
    <x:t xml:space="preserve">ADOPT.experience</x:t>
  </x:si>
  <x:si>
    <x:t xml:space="preserve">G047</x:t>
  </x:si>
  <x:si>
    <x:t xml:space="preserve">RU_Russia_consultation_paper_201013</x:t>
  </x:si>
  <x:si>
    <x:t xml:space="preserve">RA-006</x:t>
  </x:si>
  <x:si>
    <x:t xml:space="preserve">A key assumption of the previous analysis is that banks have market power on the deposit side and the CBDC interest rate is low enough to make deposits profitable for the commercial bank. But, what if deposit markets are more competitive or deposits and transactions are costlier than assumed? In this case, the CBDC could crowd out some current accounts or households’ and small firms’ saving accounts, since banks would not find it worth their while to match the CBDC’s return and services. Loan supply could be affected if banks are unable to substitute central bank credit for deposits, which might happen because central bank financing facilities are concentrated in short maturities or banks face collateral constraints to access central bank funding.</x:t>
  </x:si>
  <x:si>
    <x:t xml:space="preserve">CAL-001-U01</x:t>
  </x:si>
  <x:si>
    <x:t xml:space="preserve">no</x:t>
  </x:si>
  <x:si>
    <x:t xml:space="preserve">G001</x:t>
  </x:si>
  <x:si>
    <x:t xml:space="preserve">P02</x:t>
  </x:si>
  <x:si>
    <x:t xml:space="preserve">CN_China_BIS_2022</x:t>
  </x:si>
  <x:si>
    <x:t xml:space="preserve">RA-007</x:t>
  </x:si>
  <x:si>
    <x:t xml:space="preserve">It is an aim of this project to ensure that Maldivian FinTech companies are involved in the development of the CBDC and stablecoin / asset tokenization initiatives. A list of current FinTechs is provided as Annex 8.  ¶ The main opportunity for FinTechs is in the provision of end-customer products such as mobile Apps and products that exploit the opportunities for Open Banking or DeFi. A centralised mobile App for CBDC use which includes the ability to have multiple wallets</x:t>
  </x:si>
  <x:si>
    <x:t xml:space="preserve">CAL-043-U01</x:t>
  </x:si>
  <x:si>
    <x:t xml:space="preserve">INTEROP.domestic</x:t>
  </x:si>
  <x:si>
    <x:t xml:space="preserve">G043</x:t>
  </x:si>
  <x:si>
    <x:t xml:space="preserve">P06</x:t>
  </x:si>
  <x:si>
    <x:t xml:space="preserve">UN_ESCAP_ESCAP-2022-RP-National-study-central-bank-digital-currency-stablecoin-Maldives</x:t>
  </x:si>
  <x:si>
    <x:t xml:space="preserve">RA-008</x:t>
  </x:si>
  <x:si>
    <x:t xml:space="preserve">of stakeholders and investigate a greater set of capabilities. Future research areas include the integration of acommon QR code system, the fungibility of digital currencies amongst different issuers, transactional privacy, offline payments, digital wallet integration, and future trials where individuals could have options to define conditions for transfers and be PBM Creators in effect.</x:t>
  </x:si>
  <x:si>
    <x:t xml:space="preserve">CAL-007-U01</x:t>
  </x:si>
  <x:si>
    <x:t xml:space="preserve">future_research_or_open_question</x:t>
  </x:si>
  <x:si>
    <x:t xml:space="preserve">medium</x:t>
  </x:si>
  <x:si>
    <x:t xml:space="preserve">G007</x:t>
  </x:si>
  <x:si>
    <x:t xml:space="preserve">SG_MAS_mas-project-orchid-report</x:t>
  </x:si>
  <x:si>
    <x:t xml:space="preserve">RA-009</x:t>
  </x:si>
  <x:si>
    <x:t xml:space="preserve">Initial Key Question/Area in |Workshop in wi Valsicia eet aeiiece Accenture’s Initial Answers  ¶ Token based or account Strategic Workshop 3 - ANZ CBDC should be token-based. based? Asset Focus on Innovative Se Payments Strategic Workshop 3 - q 2 Programmable money or Asset Focus on Innovative pes! rammable money will not bea Payments</x:t>
  </x:si>
  <x:si>
    <x:t xml:space="preserve">RA-010</x:t>
  </x:si>
  <x:si>
    <x:t xml:space="preserve">to manipulate the market, leading to a loss of confidence. Aside from reviewing the code itself, a thorough review of the information security process would need to include the full development and deployment lifecycle as well.  ¶ Aside from guarding against the initial exploit, incident management is important as well.</x:t>
  </x:si>
  <x:si>
    <x:t xml:space="preserve">CAL-076-U01</x:t>
  </x:si>
  <x:si>
    <x:t xml:space="preserve">supported_risk_tradeoff_requirement</x:t>
  </x:si>
  <x:si>
    <x:t xml:space="preserve">G076</x:t>
  </x:si>
  <x:si>
    <x:t xml:space="preserve">P08</x:t>
  </x:si>
  <x:si>
    <x:t xml:space="preserve">stress_long</x:t>
  </x:si>
  <x:si>
    <x:t xml:space="preserve">RA-011</x:t>
  </x:si>
  <x:si>
    <x:t xml:space="preserve">as a basis for cross-platform payments and settlements as well as</x:t>
  </x:si>
  <x:si>
    <x:t xml:space="preserve">CAL-052-U01</x:t>
  </x:si>
  <x:si>
    <x:t xml:space="preserve">incomplete_fragment_or_ocr</x:t>
  </x:si>
  <x:si>
    <x:t xml:space="preserve">G052</x:t>
  </x:si>
  <x:si>
    <x:t xml:space="preserve">P04</x:t>
  </x:si>
  <x:si>
    <x:t xml:space="preserve">MO_AMCM_eMOP_WP</x:t>
  </x:si>
  <x:si>
    <x:t xml:space="preserve">RA-012</x:t>
  </x:si>
  <x:si>
    <x:t xml:space="preserve">research focuses exclusively on the wholesale market.  ¶ Foreign exchange spot trades are among the most common wholesale cross-border transactions. These transactions can be conducted bilaterally or multilaterally between counterparties such as central banks and private sector financial institutions. The FX market is the largest wholesale market in the world, with daily turnover of over $7 trillion.* Given the size and breadth of this global market, the potential impacts of technological innovation on its operations and</x:t>
  </x:si>
  <x:si>
    <x:t xml:space="preserve">CAL-032-U01</x:t>
  </x:si>
  <x:si>
    <x:t xml:space="preserve">G032</x:t>
  </x:si>
  <x:si>
    <x:t xml:space="preserve">US_NYFed_CedarPhaseOne_2022</x:t>
  </x:si>
  <x:si>
    <x:t xml:space="preserve">RA-013</x:t>
  </x:si>
  <x:si>
    <x:t xml:space="preserve">Based on recent consultation papers issued by Central Banks, the consensus is not to have anything more strict or more lenient than what is currently in place. This ‘equivalence’ may help to support overall adoption and perceived fears on how data could be used.</x:t>
  </x:si>
  <x:si>
    <x:t xml:space="preserve">CAL-030-U01</x:t>
  </x:si>
  <x:si>
    <x:t xml:space="preserve">G030</x:t>
  </x:si>
  <x:si>
    <x:t xml:space="preserve">RA-014</x:t>
  </x:si>
  <x:si>
    <x:t xml:space="preserve">To encourage adoption, monetary incentives might be necessary to persuade users to switch from existing offline payment solutions. This makes cost recovery from retail users challenging for intermediaries which facilitate offline e- HKD payment. An alternative cost-recovering strategy would be to levy service fees on merchants for the settlement and crediting of an e-HKD into their accounts, similar to the merchant fee that is applied by existing offline payment providers.</x:t>
  </x:si>
  <x:si>
    <x:t xml:space="preserve">CAL-005-U01</x:t>
  </x:si>
  <x:si>
    <x:t xml:space="preserve">CASH.relation</x:t>
  </x:si>
  <x:si>
    <x:t xml:space="preserve">G005</x:t>
  </x:si>
  <x:si>
    <x:t xml:space="preserve">P03</x:t>
  </x:si>
  <x:si>
    <x:t xml:space="preserve">HK_HKMA_eHKD_Phase2_2025</x:t>
  </x:si>
  <x:si>
    <x:t xml:space="preserve">RA-015</x:t>
  </x:si>
  <x:si>
    <x:t xml:space="preserve">16. USER Users sharing Build our own Reliance on Users cannot INFORMATION AND data with bespoke data CDR share their DATA SHARING existing data sharing guidelines for information with WITH OTHER sharing guidelines data sharing other users. USERS guidelines</x:t>
  </x:si>
  <x:si>
    <x:t xml:space="preserve">RA-016</x:t>
  </x:si>
  <x:si>
    <x:t xml:space="preserve">Access to Banking/Financial Institution  ¶ Respondents indicated a higher rate of usage of basic deposit facilities than the national average. Some 93% indicated that they operate a deposit account within a local bank, compared to the national average in the 80% range. Some 2% indicated that they held a deposit account with the local post office, while 4% stated that they have a deposit account with a credit union, and 4% informed that they did not own a deposit account.</x:t>
  </x:si>
  <x:si>
    <x:t xml:space="preserve">CAL-023-U01</x:t>
  </x:si>
  <x:si>
    <x:t xml:space="preserve">non_cbdc_or_off_scope</x:t>
  </x:si>
  <x:si>
    <x:t xml:space="preserve">G023</x:t>
  </x:si>
  <x:si>
    <x:t xml:space="preserve">BS_Bahamas_SandDollar_2019</x:t>
  </x:si>
  <x:si>
    <x:t xml:space="preserve">RA-017</x:t>
  </x:si>
  <x:si>
    <x:t xml:space="preserve">Regulators ensure that market infrastructures function properly and comply with applicable regulations. While regulations must distinguish between the functions performed, they must remain agnostic as to the technology used to provide these functions or services. To the extent that a settlement and delivery service meets the definition provided by the Central Securities Depository Regulation (CSDR}“ (see Chapter 12), such service must comply with the regulation, irrespective of the technology used, blockchain or another. Similarly, the status of the actor providing the service should not be taken into account. Whether the actors are new entrants or well-established, performing roles in market infrastructures requires them to comply with the relevant regulations, such as with the Settlement Finality Directive (SFD),$ CSDR, the European Market Infrastructure Regulation (EMIR)S or the</x:t>
  </x:si>
  <x:si>
    <x:t xml:space="preserve">CAL-077-U01</x:t>
  </x:si>
  <x:si>
    <x:t xml:space="preserve">decision_or_commitment</x:t>
  </x:si>
  <x:si>
    <x:t xml:space="preserve">LEGAL.basis</x:t>
  </x:si>
  <x:si>
    <x:t xml:space="preserve">how does this family help us separate the 6 types? Feels very redundant</x:t>
  </x:si>
  <x:si>
    <x:t xml:space="preserve">G077</x:t>
  </x:si>
  <x:si>
    <x:t xml:space="preserve">RA-018</x:t>
  </x:si>
  <x:si>
    <x:t xml:space="preserve">(see Box B). These models differ in their data storage and synchronisation requirements, with implications for their suitability in offline retail payment systems.  ¶ The pilots showed that the account-based model requires recording only essential transaction details, including the payer, payee, transaction amount, transaction identifier and digital signature. This streamlined approach results</x:t>
  </x:si>
  <x:si>
    <x:t xml:space="preserve">executed_own_pilot_finding</x:t>
  </x:si>
  <x:si>
    <x:t xml:space="preserve">TECH.TOKEN.considered</x:t>
  </x:si>
  <x:si>
    <x:t xml:space="preserve">RA-019</x:t>
  </x:si>
  <x:si>
    <x:t xml:space="preserve">The distribution of AML/CFT/CFPWMD control functions between the central bank and financial intermediaries in the context of the introduction of a digital ruble remains an open question. This will depend, among other things, on the nature of the access financial intermediaries have to data on digital ruble transactions.</x:t>
  </x:si>
  <x:si>
    <x:t xml:space="preserve">RA-020</x:t>
  </x:si>
  <x:si>
    <x:t xml:space="preserve">Using consent frameworks and tiered cane) CEDe platform Strategic Workshop 2 - Focususage, a CBDC can achieve the protect privacy while also Fi A i"  ¶ 4 being innovative in using Platform on Privacy, Holdings &amp; balance between privacy and data. Transactions innovation (as demonstrated in open</x:t>
  </x:si>
  <x:si>
    <x:t xml:space="preserve">PRIV.BAL</x:t>
  </x:si>
  <x:si>
    <x:t xml:space="preserve">RA-021</x:t>
  </x:si>
  <x:si>
    <x:t xml:space="preserve">The architecture proposed in this whitepaper is not a blueprint for the infrastructure of e-HKD, nor does it approach a decision on the CBDC distribution model chosen for implementing e-HKD. Rather, it should be seen as the outcome of initial research as well as a basis for initiating dialogues with central banks, the academia, and the wider fintech community to collaboratively explore practical and robust solutions for rCBDC.</x:t>
  </x:si>
  <x:si>
    <x:t xml:space="preserve">CAL-017-U01</x:t>
  </x:si>
  <x:si>
    <x:t xml:space="preserve">G017</x:t>
  </x:si>
  <x:si>
    <x:t xml:space="preserve">HK_HKMA_2021</x:t>
  </x:si>
  <x:si>
    <x:t xml:space="preserve">RA-022</x:t>
  </x:si>
  <x:si>
    <x:t xml:space="preserve">reuse an equivalent amount to the user. This will, however, require coordination with the issuer of the underlying digital currency.  ¶ Smart contracts, which are self-executing code that contains the business logic for digital currency-based solutions, might be targeted by malicious actors who seek to exploit vulnerabilities in the smart contract code to drain funds or</x:t>
  </x:si>
  <x:si>
    <x:t xml:space="preserve">RA-023</x:t>
  </x:si>
  <x:si>
    <x:t xml:space="preserve">In the first quarter of 2024 the digital euro scheme’s Rulebook Development Group (RDG)? concluded a review of the first draft of the rulebook (version 0.8), having received and carefully assessed around 2,500 comments. Seven new RDG workstreams, composed of market participants and central banks, were launched in May 2024. These are focusing on key areas of the rulebook, including minimum user experience standards, risk management and implementation specifications. The next draft of the rulebook is expected to be finalised during the digital euro preparation phase and will include comments from the RDG interim review. The rulebook is essential to ensure that digital euro payments are accepted throughout the euro area, just like cash payments, and will work in a harmonised manner. The draft digital euro rulebook will be sufficiently flexible to accommodate any future adjustments and will</x:t>
  </x:si>
  <x:si>
    <x:t xml:space="preserve">CAL-033-U01</x:t>
  </x:si>
  <x:si>
    <x:t xml:space="preserve">G033</x:t>
  </x:si>
  <x:si>
    <x:t xml:space="preserve">EU_ECB_2024</x:t>
  </x:si>
  <x:si>
    <x:t xml:space="preserve">RA-024</x:t>
  </x:si>
  <x:si>
    <x:t xml:space="preserve">It is important for co-badged cards with BankAxept to be made available for mobile payments. Interms of cost efficiency, it is important that payment takes place in the same way as with physical co-badged cards, in the sense that the merchant can recommend/preselect which card network is used. Talks are ongoing between Visa and the Norwegian banking industry on how co-badged cards in digital wallets on mobile phones should function.</x:t>
  </x:si>
  <x:si>
    <x:t xml:space="preserve">concrete_own_system_feature</x:t>
  </x:si>
  <x:si>
    <x:t xml:space="preserve">Visa intergration / Mastercard shoulůd be crossborder interop even though adopt experience fits too</x:t>
  </x:si>
  <x:si>
    <x:t xml:space="preserve">RA-025</x:t>
  </x:si>
  <x:si>
    <x:t xml:space="preserve">The second objective is to support the mandate and objectives of the central bank in the digital era. CBDC issuance may entail several threats that may hinder monetary and financial system stability, such as the risks of disintermediation and bank runs, which would lead to the obstruction of monetary and macroprudential policy exercised by the central bank. The implementation of CBDC should not be counterproductive to the central bank fulfilling its existing mandate by addressing the aforementioned issues with appropriate policy. In addition, it would be essential to identify the potential area of CBDC utilisation to sustain monetary, macroprudential and payment system policy in the digital era. CBDC has the potential to support the fulfillment of central bank objectives and, to some extent, could potentially be an essential tool for central banks in the future to enhance monetary and</x:t>
  </x:si>
  <x:si>
    <x:t xml:space="preserve">CAL-036-U01</x:t>
  </x:si>
  <x:si>
    <x:t xml:space="preserve">G036</x:t>
  </x:si>
  <x:si>
    <x:t xml:space="preserve">RA-026</x:t>
  </x:si>
  <x:si>
    <x:t xml:space="preserve">7.6.2 AML responsibilities could be handled entirely by the Payment Interface Providers (commercial banks). Under the intermediate model, commercial banks may be best placed AML/CFT the responsibility for compliance with AML/CFT  ¶ to conduct checks and guidelines should rest with them. Opening and CBDC with</x:t>
  </x:si>
  <x:si>
    <x:t xml:space="preserve">CAL-019-U01</x:t>
  </x:si>
  <x:si>
    <x:t xml:space="preserve">G019</x:t>
  </x:si>
  <x:si>
    <x:t xml:space="preserve">IN_RBI_ConceptNote_2022</x:t>
  </x:si>
  <x:si>
    <x:t xml:space="preserve">RA-027</x:t>
  </x:si>
  <x:si>
    <x:t xml:space="preserve">Figure 12 - A possible process for supporting the system in the conversion of cash to digital shekels and vice  ¶ 2. Unique PIN + CBDC account itt reer ee  ¶ 1. Request for CBDC and cash exchange  ¶ psp heen eee eee ete inte ee escent ete en ieee iere teense enieinee =</x:t>
  </x:si>
  <x:si>
    <x:t xml:space="preserve">CAL-012-U01</x:t>
  </x:si>
  <x:si>
    <x:t xml:space="preserve">G012</x:t>
  </x:si>
  <x:si>
    <x:t xml:space="preserve">IL_Israel_#U05d0#U05e8#U05db#U05d9#U05d8#U05e7#U05d8#U05d5#U05e8#U05d4-#U05dc#U05d5#U05d2#U05d9#U05ea-#U05d0#U05e0#U05d2#U05dc#U05d9#U05ea.pdf</x:t>
  </x:si>
  <x:si>
    <x:t xml:space="preserve">RA-028</x:t>
  </x:si>
  <x:si>
    <x:t xml:space="preserve">Measures for Anti Money Laundering and Countering the Financing of Terrorism  ¶ Application Programming Interface — a connection between systems that allows one system to communicate with another via request-response dialogues  ¶ The Association of South East Asian Nations — an economic community of 10 countries in South East Asia</x:t>
  </x:si>
  <x:si>
    <x:t xml:space="preserve">CAL-055-U01</x:t>
  </x:si>
  <x:si>
    <x:t xml:space="preserve">AML.MON</x:t>
  </x:si>
  <x:si>
    <x:t xml:space="preserve">G055</x:t>
  </x:si>
  <x:si>
    <x:t xml:space="preserve">RA-029</x:t>
  </x:si>
  <x:si>
    <x:t xml:space="preserve">Future research may include studying options for offline payment for low-value payments to reduce network reliance and support financial inclusion within the country.  ¶ If users lose their private keys to their digital wallets, there is no feasible way to get back access to the contents of their digital wallets. This also means that any digital asset or PBM that is stored within that digital wallet will be inaccessible to</x:t>
  </x:si>
  <x:si>
    <x:t xml:space="preserve">ACCESS.universal</x:t>
  </x:si>
  <x:si>
    <x:t xml:space="preserve">RA-030</x:t>
  </x:si>
  <x:si>
    <x:t xml:space="preserve">In a hybrid architecture, the creation, issuance, and redemption of CBDC is performed by the central bank, while distribution is carried out jointly with private financial institutions. A distributed ledger is used by a number of participating institutions (including the central bank) that confirm changes in CBDC-related information through a predefined consensus algorithm, and then distribute them to the ledgers owned by each institution to record and manage.</x:t>
  </x:si>
  <x:si>
    <x:t xml:space="preserve">CAL-029-U01</x:t>
  </x:si>
  <x:si>
    <x:t xml:space="preserve">G029</x:t>
  </x:si>
  <x:si>
    <x:t xml:space="preserve">RA-031</x:t>
  </x:si>
  <x:si>
    <x:t xml:space="preserve">Caribbean Community — an economic co-operation arrangement between the Caribbean countries  ¶ Central Bank Digital Currency — a digital currency issued and redeemed by a Central Bank, which may or may not use blockchain infrastructure  ¶ Central Bank of the Bahamas</x:t>
  </x:si>
  <x:si>
    <x:t xml:space="preserve">RA-032</x:t>
  </x:si>
  <x:si>
    <x:t xml:space="preserve">THE ROLE AND CONTRIBUTION OF INNOVATION  ¶ FOR PAYMENT INSTRUMENTS AND MARKET INFRASTRUCTURES  ¶ context where the experiments have shown that the interoperability of CBDCs with each other could contribute to simplifying and improving the performance and accessibility of such transactions and payments.</x:t>
  </x:si>
  <x:si>
    <x:t xml:space="preserve">RA-033</x:t>
  </x:si>
  <x:si>
    <x:t xml:space="preserve">Mobile applications supporting digital ruble transactions should provide users with simple and clear information on the balance and operations in digital rubles. At the user’s request, detailed information on transactions must be provided, for example, in the form of an account statement sent by email or other communication channel. It is also important to provide convenient and reliable mechanisms for remote receipt and control of documents confirming a digital rubble payment, which includes documents to be transferred and used by payees or authorised organisations, for example, as proof of payment of a fee or state duty. When developing interfaces and devices for digital ruble payments, it is necessary to take into account the needs of people with disabilities. In particular, it is important to provide for different channels of information exchange and ways to control account balances</x:t>
  </x:si>
  <x:si>
    <x:t xml:space="preserve">RA-034</x:t>
  </x:si>
  <x:si>
    <x:t xml:space="preserve">Using consent frameworks and tiered Whatare the design usage, a CBDC can achieve the options for data Strategic Workshop 2 - Focusbalance between privacy and commercialisation whilst on Privacy, Holdings &amp; innovation (as demonstrated in open  ¶ 9 main 9 privacy/ Ecos: stem Lansactions banking). inclusion? e.g. would Opt- y' Strategic Workshop 1 - CBDC Users should also have the option to In promote privacy goals Use Cases &amp; Focus on Wide opt-in/opt-out to cater for their and Opt-Out promote Adoption &amp; Inclusion choice.</x:t>
  </x:si>
  <x:si>
    <x:t xml:space="preserve">PRIV.MIN</x:t>
  </x:si>
  <x:si>
    <x:t xml:space="preserve">P09</x:t>
  </x:si>
  <x:si>
    <x:t xml:space="preserve">RA-035</x:t>
  </x:si>
  <x:si>
    <x:t xml:space="preserve">8 — Summary and Next Steps  ¶ The first phase of Project Orchid brought together different stakeholders in Singapore through a common initiative to understand the potential opportunities and drawbacks of introducing a programmable digital SGD. The project also introduced a new concept, the idea of PBM and its application in Singapore.</x:t>
  </x:si>
  <x:si>
    <x:t xml:space="preserve">RA-036</x:t>
  </x:si>
  <x:si>
    <x:t xml:space="preserve">A3. Market Research on Exuma  ¶ Following the March 1, 2019 selection of the preferred technology solutions provider for the digital currency project, the Central Bank started the groundwork for the launch of the Exuma Pilot, undertaking a baseline financial inclusion survey on the island. The survey attempted to assess the level of financial services available to residents relative to their needs; and to determine the willingness of residents to adopt digital payments via a mobile or online platforms. Overall, Exuma exhibits levels of financial access comparable to the national averages, with a high mobile phones usage rate. While there is openness to greater use of digital payments services, there are existing pockets of reticence, linked mostly to the convenience of access or security concerns of using digital financial services.</x:t>
  </x:si>
  <x:si>
    <x:t xml:space="preserve">RA-037</x:t>
  </x:si>
  <x:si>
    <x:t xml:space="preserve">This experiment adopts and examines: (i) hybrid architecture; and (ii) DLT- method ledger management as a basic model, following recommendations of international organisations such as the BIS and cases of central banks of major countries. '® However, the experiment is not determinative of the CBDC design, and the BOK plans to continue researching and reviewing other alternative designs.</x:t>
  </x:si>
  <x:si>
    <x:t xml:space="preserve">foreign_or_cited_research</x:t>
  </x:si>
  <x:si>
    <x:t xml:space="preserve">RA-038</x:t>
  </x:si>
  <x:si>
    <x:t xml:space="preserve">In response to the aforementioned key drivers, Bank Indonesia has formulated the main goal of CBDC in Indonesia, which is to provide a legal digital payment instrument in the Republic of Indonesia to support the performance of the central bank's duties, as well as supporting financial system stability and integration of the digital economy and financial system. Based on the main goal, three main objectives of CBDC issuance are being developed and will be discussed further below.</x:t>
  </x:si>
  <x:si>
    <x:t xml:space="preserve">RA-039</x:t>
  </x:si>
  <x:si>
    <x:t xml:space="preserve">payments has potential benefits.  ¶ Respondents generally considered that the private sector could contribute on areas such as: (i) offering services in the areas of compliance and prevention of illicit activities (e.g. AML/CFT), (ii) promoting merchant acceptance and interoperability with existing payment systems, (iii) advising on e-HKD opportunities functionalities, (iv) boosting innovation and competition, (v) sharing customer experience and expertise to enhance e-HKD features, and (vi) providing</x:t>
  </x:si>
  <x:si>
    <x:t xml:space="preserve">CAL-042-U01</x:t>
  </x:si>
  <x:si>
    <x:t xml:space="preserve">G042</x:t>
  </x:si>
  <x:si>
    <x:t xml:space="preserve">HK_HKMA_2022</x:t>
  </x:si>
  <x:si>
    <x:t xml:space="preserve">RA-040</x:t>
  </x:si>
  <x:si>
    <x:t xml:space="preserve">In Argentina, recent regulatory initiatives, such as Transferencias 3.0, have enabled the development of an efficient and secure infrastructure that could be leveraged to further improve access to and use of payment services by the public. In this context, the issuance of a CBDC is not a priority, at least in the short term. Nevertheless, recognising the fast evolution of the digital environment, the BCRA will continue studying the implications of CBDCs and the most appropriate CBDC design for Argentina.</x:t>
  </x:si>
  <x:si>
    <x:t xml:space="preserve">CAL-037-U01</x:t>
  </x:si>
  <x:si>
    <x:t xml:space="preserve">G037</x:t>
  </x:si>
  <x:si>
    <x:t xml:space="preserve">RA-041</x:t>
  </x:si>
  <x:si>
    <x:t xml:space="preserve">© 22. Bytechnical definition, a wallet is not a structure where money is stored. Wallets are structures that contain cryptographic key pairs and use these pairs to prove ownership in a system. The component called “wallet application” within the scope of Phase-1 is the whole of the mobile application, wallet, DID agent, and local database components.</x:t>
  </x:si>
  <x:si>
    <x:t xml:space="preserve">CAL-027-U01</x:t>
  </x:si>
  <x:si>
    <x:t xml:space="preserve">G027</x:t>
  </x:si>
  <x:si>
    <x:t xml:space="preserve">TR_Turkey_Digital_Turkish_Lira_First_Phase_Evaluation_Report</x:t>
  </x:si>
  <x:si>
    <x:t xml:space="preserve">RA-042</x:t>
  </x:si>
  <x:si>
    <x:t xml:space="preserve">Systemically Important Payment Systems (SIPS) Regulation.’  ¶ Beyond ensuring neutrality towards the technology and the actors, the most advanced initiatives applying blockchain to back-office operations£ raise two more specific implementation issues: compliance With the principle of delivery versus payment {DvP) (see Chapters 5 and 18) and the use of central bank money as a settlement asset (see Chapter 5).</x:t>
  </x:si>
  <x:si>
    <x:t xml:space="preserve">RA-043</x:t>
  </x:si>
  <x:si>
    <x:t xml:space="preserve">It is worth noting that, once a certain volume of data is stored to the Platform, there is a major slowdown in recovering a registered validator node and in adding a new one. Such an effect was found in the test system and, to some extent, during the recovery of validator nodes in the production environment in the course of the Pilot Project. After six or more weeks of collection of data on the Platform’s operation, the recovery rate of the last 20% of data was only three times higher than the speed with which new blocks emerged, which led to the long recovery (over several days) of validators. The company that had developed the basic version of the Platform was not able to help in eliminating the found discrepancy. According to open sources, such issue was resolved in later versions of Stellar libraries after the basic one, but it was impossible to make the required modifications to</x:t>
  </x:si>
  <x:si>
    <x:t xml:space="preserve">CAL-078-U01</x:t>
  </x:si>
  <x:si>
    <x:t xml:space="preserve">TECH.DLT</x:t>
  </x:si>
  <x:si>
    <x:t xml:space="preserve">G078</x:t>
  </x:si>
  <x:si>
    <x:t xml:space="preserve">P10</x:t>
  </x:si>
  <x:si>
    <x:t xml:space="preserve">UA_NBU_E-hryvnia_2019</x:t>
  </x:si>
  <x:si>
    <x:t xml:space="preserve">RA-044</x:t>
  </x:si>
  <x:si>
    <x:t xml:space="preserve">Wide adoption with Niche innovation 83 15, UBIQUITY &amp; many existing  ¶ MASS ADOPTION Pavers entrocs  ¶ | A! WORKSHOPPED PREFERENCE  ¶ RBNZ’s initial preference is to ensure wide adoption of CBDC without inhibiting organic innovation opportunities. Users will be able to spend/transfer/receive CBDC using a payment method at the point of interaction that meets their needs</x:t>
  </x:si>
  <x:si>
    <x:t xml:space="preserve">RA-045</x:t>
  </x:si>
  <x:si>
    <x:t xml:space="preserve">Bank Indonesia will develop Digital Rupiah design in stages within an iterative process enabling broader exploration of design alternatives and ensuring optimal benefit. The development of the Digital Rupiah is divided into three stages. On the first stage (immediate state), Bank Indonesia develops wholesale Digital Rupiah (w-Digital Rupiah) cash ledger (issuance, redemption, and transference of funds use cases). On the next stage (intermediate state), Bank Indonesia will expand the w-Digital Rupiah use cases to include broader types of financial market transactions. Lastly, on the final stage (end state), Bank</x:t>
  </x:si>
  <x:si>
    <x:t xml:space="preserve">CAL-013-U01</x:t>
  </x:si>
  <x:si>
    <x:t xml:space="preserve">G013</x:t>
  </x:si>
  <x:si>
    <x:t xml:space="preserve">ID_Indonesia_2023a</x:t>
  </x:si>
  <x:si>
    <x:t xml:space="preserve">RA-046</x:t>
  </x:si>
  <x:si>
    <x:t xml:space="preserve">flourishing in the existing financial system. Additionally, the implementation of wCBDC might be hindered by a lack of proper infrastructure and potential incompatibility with other financial infrastructure. The adoption of distributed ledger technology (DLT) for wCBDC may raise several issues, namely privacy, settlement finality, scalability, performance, and resiliency. On the rCBDC side, the implementation of rCcBDC might entail cyber security and technology risks. Other challenges for rCBDC include the adoption and inclusion issue: it should be possible to distribute rCBDC to a broader user group, including residents in remote areas, with the ability to meet the service level agreement requirements. Other potential risks include disintermediation and bank run since CBDC would play a substantial role in facilitating the conversion of assets from commercial bank money to central bank</x:t>
  </x:si>
  <x:si>
    <x:t xml:space="preserve">TECH.TOKEN.decided_no</x:t>
  </x:si>
  <x:si>
    <x:t xml:space="preserve">RA-047</x:t>
  </x:si>
  <x:si>
    <x:t xml:space="preserve">The experiments can thus be conducted on fictitious data or on real data: in the latter case, the operations conducted in the experimentation have legal consequences, for example, transfers of assets between experiment participants. The Banque de France was the first to conduct interbank CBDC experiments, including the implementation of a CBDC “under real conditions"</x:t>
  </x:si>
  <x:si>
    <x:t xml:space="preserve">RA-048</x:t>
  </x:si>
  <x:si>
    <x:t xml:space="preserve">The programme showed how an interbank CBDC could help secure the development of tokenised financial markets by providing stakeholders with the benefits of distributed ledger technology, in particular distributed ledger-based end-to-end processing of tokenised securities settlement and payment-versus-payment transactions, including cross-border transactions, while benefiting from secure central bank money settlement for the transactions made in this manner. Many jurisdictions are considering issuing a CBDC to support cross-border transactions and cross-currency payments, a</x:t>
  </x:si>
  <x:si>
    <x:t xml:space="preserve">RA-049</x:t>
  </x:si>
  <x:si>
    <x:t xml:space="preserve">We decided to increase our efforts to experiment with the limits of technologies by utilising technologies such as blockchain, which are emerging fast with potential to play a role in payments. We define our basic strategy as managing the change in our favour to catch up with the most efficient and effective strategies for digitalisation of payment services.</x:t>
  </x:si>
  <x:si>
    <x:t xml:space="preserve">CAL-028-U01</x:t>
  </x:si>
  <x:si>
    <x:t xml:space="preserve">G028</x:t>
  </x:si>
  <x:si>
    <x:t xml:space="preserve">RA-050</x:t>
  </x:si>
  <x:si>
    <x:t xml:space="preserve">This risk makes it virtually unacceptable to apply at a national scale the solution used in the Pilot Project. The risk has to be taken into consideration in further development and reengineering of the Platform.  ¶ 4.3. Assessment of Technical Results and Specifics of Creating Platform and Its</x:t>
  </x:si>
  <x:si>
    <x:t xml:space="preserve">RA-051</x:t>
  </x:si>
  <x:si>
    <x:t xml:space="preserve">Figure 11: Conceptual Feasibility - Fraud Handling  ¶ Potential of Retail CBDC Solution:  ¶ As initiated by Siam Commercial Bank Public Company Limited, a token-based CBDC, equipped with a unique serial number (like token identifier) has the potential to significantly aid in addressing fraud- related use cases. It allows for the direct identification of the specific Retail CBDC units that were in the possession of criminals, enabling tracking at individual token level. This approach contrasts with current procedures, which necessitate tracing and freezing funds at the account level to address illicit financial</x:t>
  </x:si>
  <x:si>
    <x:t xml:space="preserve">CAL-054-U01</x:t>
  </x:si>
  <x:si>
    <x:t xml:space="preserve">G054</x:t>
  </x:si>
  <x:si>
    <x:t xml:space="preserve">TH_Thailand_rCBDC_Conclusion_Report</x:t>
  </x:si>
  <x:si>
    <x:t xml:space="preserve">RA-052</x:t>
  </x:si>
  <x:si>
    <x:t xml:space="preserve">arbitrary information requests or use are prohibited. 7</x:t>
  </x:si>
  <x:si>
    <x:t xml:space="preserve">CAL-051-U01</x:t>
  </x:si>
  <x:si>
    <x:t xml:space="preserve">G051</x:t>
  </x:si>
  <x:si>
    <x:t xml:space="preserve">CN_China_2021</x:t>
  </x:si>
  <x:si>
    <x:t xml:space="preserve">RA-053</x:t>
  </x:si>
  <x:si>
    <x:t xml:space="preserve">In Brazil the main objective of the introduction of a CBDC is to provide entrepreneurs with a safe and reliable environment to innovate through the use of programmability technologies, such as programable money and smart contracts. In the context of a modern payment system, already available to the Brazilian population, a full-fledged CBDC must enable new functionalities, beyond those brought by an instant payment arrangement. Therefore, the innovation tool for which the BCB envisions the greatest potential is the development of a platform for smart payments.</x:t>
  </x:si>
  <x:si>
    <x:t xml:space="preserve">CAL-050-U01</x:t>
  </x:si>
  <x:si>
    <x:t xml:space="preserve">G050</x:t>
  </x:si>
  <x:si>
    <x:t xml:space="preserve">RA-054</x:t>
  </x:si>
  <x:si>
    <x:t xml:space="preserve">Nonetheless, a mature governance is a fundamental aspect of stable financial and payment systems. Although innovations based on smart payment technologies are being used in the decentralized finance ecosystem, their current governance devices fall short of the requirements compatible with the level of integrity essential to the operation of financial and payment systems. Thus, as observed in Aramonte and Schrimpf (2021), a fully decentralized environment is most likely not achievable under current integrity requirements. Therefore, incorporating</x:t>
  </x:si>
  <x:si>
    <x:t xml:space="preserve">RA-055</x:t>
  </x:si>
  <x:si>
    <x:t xml:space="preserve">improvement of the commercial paper processing chain, back-office solution for listed and unlisted SME securities, solution for monitoring fund liabili- ties, etc.  ¶ Payments and market infrastructures in the digital era -9</x:t>
  </x:si>
  <x:si>
    <x:t xml:space="preserve">P11</x:t>
  </x:si>
  <x:si>
    <x:t xml:space="preserve">RA-056</x:t>
  </x:si>
  <x:si>
    <x:t xml:space="preserve">Electronic payments and the adoption of digital technology in Singapore has accelerated in recent years. However, the introduction of any new forms of payment instrument in the form of a digital SCD would likely require some adjustment to the user experience and might be viewed as disruptive by some.</x:t>
  </x:si>
  <x:si>
    <x:t xml:space="preserve">RA-057</x:t>
  </x:si>
  <x:si>
    <x:t xml:space="preserve">7.7.1 It will be essential to consider the way the privacy is respected, and the data is protected in a CBDC system. Privacy and data protection is an issue that is of concern to policymakers in government and other authorities and should be  ¶ considered carefully when designing CBDCs.</x:t>
  </x:si>
  <x:si>
    <x:t xml:space="preserve">RA-058</x:t>
  </x:si>
  <x:si>
    <x:t xml:space="preserve">underlying digital currency backing the PBM  ¶ in accordance to the terms and conditions  ¶ prescribed by the PBM Creator. The PBM</x:t>
  </x:si>
  <x:si>
    <x:t xml:space="preserve">P13</x:t>
  </x:si>
  <x:si>
    <x:t xml:space="preserve">RA-059</x:t>
  </x:si>
  <x:si>
    <x:t xml:space="preserve">The conclusions of this first experimental programme conducted in 2020 and 2021, which were the subject of a report? and a press release? published on the Banque de France website, confirm the intuitions that prompted the Banque de France to launch the programme: an interbank CBDC would maximise the benefits expected by the market from the use of DLT for interbank transactions by giving market participants a secure means of settlement in central bank money, thus eliminating any counterparty risk, in compliance with the European and international rules implemented after the 2008 crisis. As regards the methodology, the experiments with market participants have proven to be a valuable tool to test, under real conditions, the selected use cases and help develop the definition of what a future interbank CBDC could look like.</x:t>
  </x:si>
  <x:si>
    <x:t xml:space="preserve">RA-060</x:t>
  </x:si>
  <x:si>
    <x:t xml:space="preserve">with written feedback] and a outcome session each“. In the kick-off session the ECB reiterated the Eurosystem’s commitment to creating a digital euro that benefits the private sector — both PSPs and merchants — while guaranteeing access and usability for all citizens. In this context, merchant and consumer-focused discussions were scheduled for May 2025. In addition to ongoing efforts within the ERPB sessions, the ECB's stakeholder engagement included high-level meetings with merchants attended by Executive Board member Piero Cipollone, as well as a technical workshop focused on merchant and consumer-specific topics.</x:t>
  </x:si>
  <x:si>
    <x:t xml:space="preserve">CAL-014-U01</x:t>
  </x:si>
  <x:si>
    <x:t xml:space="preserve">G014</x:t>
  </x:si>
  <x:si>
    <x:t xml:space="preserve">EU_ECB_ThirdProgress_2025</x:t>
  </x:si>
  <x:si>
    <x:t xml:space="preserve">RA-061</x:t>
  </x:si>
  <x:si>
    <x:t xml:space="preserve">The first objective is to provide sovereign public goods. The core responsibility of central banks is providing currency to the public. The constitution, central bank act and currency law, mandates Bank Indonesia as the sole institution with the role to manage currency as a sovereign public good in Indonesia, represented by the rupiah in various forms, to support economic activities. As the rapid innovation of technology has enabled the digital economy to flourish in Indonesia, the rupiah needs to evolve into the form of sovereign digital money to support transactions in the digital era. Unlike private or foreign digital currency, sovereign CBDC would provide the public with a direct claim on the central bank, which would ensure trust and improve the functioning of the monetary system.</x:t>
  </x:si>
  <x:si>
    <x:t xml:space="preserve">RA-062</x:t>
  </x:si>
  <x:si>
    <x:t xml:space="preserve">Many respondents particularly highlighted the need to seek a balance between privacy, traceability and support of AML/CFT compliance. Some of them suggested that a tiered privacy approach, with full anonymity for small value transactions and traceability for high value transactions, could be adopted to implement risk-based compliance while protecting privacy to a</x:t>
  </x:si>
  <x:si>
    <x:t xml:space="preserve">CAL-056-U01</x:t>
  </x:si>
  <x:si>
    <x:t xml:space="preserve">G056</x:t>
  </x:si>
  <x:si>
    <x:t xml:space="preserve">RA-063</x:t>
  </x:si>
  <x:si>
    <x:t xml:space="preserve">The first stage of the experiment, completed in December 2021, reviewed the technological feasibility of basic issuance, distribution, and redemption in a distributed ledger-based CBDC experiment environment. The main goal of the second stage is to expand the central bank's CBDC distribution operations; support for cross-border remittance, digital asset purchases, offline payments, and new technologies to strengthen personal information protection will be reviewed.</x:t>
  </x:si>
  <x:si>
    <x:t xml:space="preserve">RA-064</x:t>
  </x:si>
  <x:si>
    <x:t xml:space="preserve">Unique identifiers should be used for Use of unique identifiers Strategic Workshop 2 - Focususers and their wallets within the  ¶ 6 ornot? Platform on Privacy, Holdings &amp; CBDC system. Users should also have  ¶ * Transactions the choice of using proxy identities to protect their privacy. How feasible is 4 Interoperability with existing payment interoperability with eee Workshop Bs systems and participants is feasible ‘ocus on Reliability, Safety &amp; &gt;” .</x:t>
  </x:si>
  <x:si>
    <x:t xml:space="preserve">RA-065</x:t>
  </x:si>
  <x:si>
    <x:t xml:space="preserve">information security and privacy protocols, such as designating special personnel to manage information, separating e-CNY from other businesses, applying a tiered authorization system, putting in place checks and balances, and conducting internal audits. Any</x:t>
  </x:si>
  <x:si>
    <x:t xml:space="preserve">KYC.TIER</x:t>
  </x:si>
  <x:si>
    <x:t xml:space="preserve">RA-066</x:t>
  </x:si>
  <x:si>
    <x:t xml:space="preserve">HKMA’s response for ways to address these issues accordingly. We will also initiate discussions with various stakeholders to further understand their concerns.  ¶ The HKMA recognises the importance of the involvement and contribution of the private sector in the e-HKD project. We welcome the suggestions and comments proposed by respondents, which will help enhance the e- HKD development.</x:t>
  </x:si>
  <x:si>
    <x:t xml:space="preserve">RA-067</x:t>
  </x:si>
  <x:si>
    <x:t xml:space="preserve">The US Commodities and Futures Trading Commission — the US Regulator for the commodities trading industry  ¶ A digital token representing an asset with a value whose ownership and transactions in which it has been involved is recorded on a blockchain database, which may also contain, in ‘smart contracts’ the instructions and rules for how the asset can be transferred or otherwise used or manipulated. Such assets may include cryptocurrencies, CBDCs, securities (potentially equities and bonds) and Non-Fungible Tokens’ (NFTs), such as unique title documents and works of art</x:t>
  </x:si>
  <x:si>
    <x:t xml:space="preserve">RA-068</x:t>
  </x:si>
  <x:si>
    <x:t xml:space="preserve">the broader socioeconomic development.  ¶ 3.2. Hence, the institutional design of e-MOP aims to address the demand for payment services from both public and private entities. In addition, the introduction of e-MOP is intended to boost regional competitiveness in trade and finance, aligning with Macao's vision of</x:t>
  </x:si>
  <x:si>
    <x:t xml:space="preserve">low</x:t>
  </x:si>
  <x:si>
    <x:t xml:space="preserve">RA-069</x:t>
  </x:si>
  <x:si>
    <x:t xml:space="preserve">central bank losses must be absorbed in the government's budget, as in Colombia.  ¶ However, setting the CBDC features appropriately could avoid the need for a significant substitution of central bank funding for bank deposits. In particular, the return on the CBDC could be set so that it does not exceed the marginal (average) net benefit of a deposit for an efficient price-taking bank. As an illustration of this calculation for Colombia, consider that, with a 3% inflation target, a long term natural real interest rate around 2% and an 8% reserve requirement on sight deposits, the gross marginal (average) benefit from a COP 1 deposit would be (3% + 2%)x(1-0.08) = 4.6%. Hence, a zero-nominal return, central bank balance sheet preserving CBDC would be feasible if an efficient bank's deposit and transaction marginal (average)</x:t>
  </x:si>
  <x:si>
    <x:t xml:space="preserve">Source context — use only when paragraph text is insufficient</x:t>
  </x:si>
  <x:si>
    <x:t xml:space="preserve">source_mode</x:t>
  </x:si>
  <x:si>
    <x:t xml:space="preserve">source_text</x:t>
  </x:si>
  <x:si>
    <x:t xml:space="preserve">render_file</x:t>
  </x:si>
  <x:si>
    <x:t xml:space="preserve">text</x:t>
  </x:si>
  <x:si>
    <x:t xml:space="preserve">BIS Papers No 123 53 
Importantly, loan supply would be only slightly affected, since the CBDC interest rate 
is lower than the policy rate, which is the opportunity cost for bank loans.3  
This would be a desirable outcome from the point of view of payments in the 
country, but could have an impact on bank profitability. The latter might  be an issue 
in the short run if banks faced substantial risks to their solvency. However, despite the 
challenge posed by the Covid -19 shock, Colombian banks have remained solid and 
profitability has recovered (Graph 8). In the long run, lower profitability would reflect 
reduced market power of banks, which is convenient from an efficiency standpoint .
4  
A key assumption of the previous analysis is that banks have market power on 
the deposit side and the CBDC interest rate is low enough to make deposits profitable 
for the commercial bank. But, what if deposit markets are more competitive or 
deposits and tr ansactions are costlier than assumed? In this case, the CBDC could 
crowd out some current accounts or households ’ and small firms’ saving accounts, 
since banks would not find  it worth their while to match the CBDC’s return and 
services. Loan supply could be affected if banks are unable to substitute central bank 
credit for deposits, which might happen because central bank financing facilities are 
concentrated in short maturities or banks face collateral constraints to access central 
bank funding.  
Although sustaining financial intermediation through a permanent expansion of 
central bank financing of banks is possible ( see eg Brunnermeier and Niepelt ( 2019) 
and Fernandez-Villaverde et al (2020)), it might not be desirable. It implies that the 
central bank mus t permanently get involved in the selection of maturity 
transformation for the economy (which is different from setting regulatory limits to 
privately chosen maturity transformation). As stated by Fernandez -Villaverde et al 
(2020), enlarged central bank po wer in the deposit market may reduce the central 
bank’s incentives to deliver the socially optimal deposit contract (one that supports 
efficient maturity transformation) and exposes it to political pressure. Also, increased 
exposure to credit risk may imply greater reputational risk and interference with 
central bank autonomy, especially in an institutional framework in which central bank 
losses must be absorbed in the government’s budget, as in Colombia. 
However, setting the CBDC features appropriately cou ld avoid the need for a 
significant substitution of central bank funding for bank deposits. In particular, the 
return on the CBDC could be set so that it does not exceed the marginal (average) 
net benefit of a deposit for an efficient price -taking bank. As  an illustration of this 
calculation for Colombia, consider that, with a 3% inflation target, a long term natural 
real interest rate around 2% and an 8% reserve requirement on sight deposits, the 
gross marginal (average) benefit from a COP 1 deposit would be (3% + 2%)x(1 –0.08) 
= 4.6%. Hence, a zero -nominal return, central bank balance sheet preserving CBDC 
would be feasible if an efficient bank’s deposit and transaction marginal (average) 
3  In fact, Andolfatto (2020) argues that if banks match a higher return on the CBDC, total deposits 
would increase (at the expense of cash holdings). This could end up raising loan supply if the 
additional deposits relax binding liquidity regulation constraints. 
4  Torres and Casta ño (2020) report an increasingly non -competitive market structure for financial 
intermediation after the 1998 –99 financial crisis in Colombia using the Lerner index and Boone 
indicator. They also show increasing Herfindahl-Hirschman (HH) concentration indices for loans and 
deposits in the same period. Likewise, Rodríguez and Cabrera (2020) claim that loan markets exhibit 
a non-competitive structure based on the Panzar-Rosse measure, and show an increasing (although 
still moderate) concentration in the loan, savings deposit and current account deposit markets since 
2008, according to HH indices.</x:t>
  </x:si>
  <x:si>
    <x:t xml:space="preserve">e-HKD Pilot Programme  | Phase 2 Report
23
Ensuring public readiness would also require 
education campaigns and periodic drills so users 
remain familiar with the system, particularly 
for rare emergency scenarios. Importantly, 
these costs would be additional to the e-HKD 
infrastructure already in place. Careful cost-
benefit evaluation will therefore be essential 
before committing to further investment.
Absence of A Viable Charging Model
Developing an offline e-HKD for individuals and 
corporates requires substantial investment, yet 
the survey found that most retail users expect it 
to be free of charge for both online and offline 
transactions, given the numerous convenient 
payment options available in Hong Kong. 
To encourage adoption, monetary incentives 
might be necessary to persuade users to switch 
from existing offline payment solutions. This 
makes cost recovery from retail users challenging 
for intermediaries which facilitate offline e-HKD 
payment. An alternative cost-recovering strategy 
would be to levy service fees on merchants for 
the settlement and crediting of an e-HKD into 
their accounts, similar to the merchant fee that is 
applied by existing offline payment providers.
The success of this cost recovery model is 
contingent upon merchants’ willingness to pay. 
The survey found that 68% of merchants would 
expect a fee structure that aligns with their 
current merchant fee. This makes cost recovery 
difficult and raises concerns about the long-
term sustainability of an offline e-HKD. It will be 
essential to have a comprehensive assessment of 
financial implications, alongside the development 
of a business model which balances investment 
costs with the expectations of both users and 
merchants.
Technical Findings of An Offline e-HKD
The exchange of data is fundamental to payment 
processing, but this process becomes much 
more complicated in offline environments. To 
enable offline transactions, data must be stored 
locally on a device before the transaction can 
be executed. This highlights the importance 
of sufficient memory capacity, as it directly 
influences the number of transactions a device 
can process offline, impacting system efficiency 
and user experience.
Phase 2 pilots tested two distinct approaches 
for representing balances in offline payment 
systems: the account-based model and the 
unspent transaction output (UTXO) model 
(see Box B). These models differ in their data 
storage and synchronisation requirements, with 
implications for their suitability in offline retail 
payment systems.
The pilots showed that the account-based model 
requires recording only essential transaction 
details, including the payer, payee, transaction 
amount, transaction identifier and digital 
signature. This streamlined approach results 
in lower data storage demands, making it well-
suited for devices with limited memory capacity.
In contrast, the UTXO model entails higher 
data storage requirements due to its need to 
record the entire transaction history to ensure 
traceability and validate unspent outputs. 
Additionally, the model’s “splitting” mechanism, 
where balances are divided into smaller units 
with each transaction, leads to increased data 
fragmentation. This results in larger and less 
predictable data sizes, particularly as users’ 
balances become fragmented over multiple 
transactions. Synchronisation in the UTXO 
model is also more resource-intensive, as it 
requires transmitting the full transaction history 
to identify unspent units, leading to longer 
synchronisation times and a heavier reliance on 
broadband signals. 
The account-based model will therefore be more 
suitable for implementing an offline e-HKD, 
were one to be introduced. The efficiency of this 
model's local data storage and synchronisation 
time is particularly important in Hong Kong’s 
retail environment, where low-cost terminals 
and embedded devices are commonly used. The 
valuable knowledge gained from experimenting 
with offline payments using an e-HKD will also 
serve as a useful reference for other jurisdictions 
with similar contexts to Hong Kong as they 
explore their own path to the use of CBDC in 
offline transactions.</x:t>
  </x:si>
  <x:si>
    <x:t xml:space="preserve">
  Summary and Next Steps
The first phase of Project Orchid brought together different stakeholders 
in Singapore through a common initiative to understand the potential 
opportunities and drawbacks of introducing a programmable digital 
SGD. The project also introduced a new concept, the idea of PBM and its 
application in Singapore.
The project sought to achieve the right balance between tapping the 
possibility of emerging technologies while ensuring that the initiative 
remains pragmatic and grounded in addressing today’s problems and 
context. The diversity of the industry group, from the public and private 
sector, added to the richness of the learnings from the project.
Through the contributions of the industry group, an initial set of use cases 
for digital SGD has been identified. To better understand the user journey 
and gather feedback, trial events were conducted to refine product 
features and optimise the user experience. Some of the use cases will 
be tested through live trials by the public and the private sector in 2022, 
and others will be conducted in 2023. The ongoing pilots are expected to 
yield valuable insights and advanced the learning even further. 
In subsequent phases, Project Orchid will engage with a broader set 
of stakeholders and investigate a greater set of capabilities. Future 
research areas include the integration of a common QR code system, the 
fungibility of digital currencies amongst different issuers, transactional 
privacy, offline payments, digital wallet integration, and future trials where 
individuals could have options to define conditions for transfers and be 
PBM Creators in effect.
Developments in digital currency are rapidly evolving, consequently there 
may be further enhancements and innovations that might not have been 
identified. Nevertheless, MAS envisions that the efforts from the initial 
phase of Project Orchid would serve as the foundation for developing a 
financial infrastructure capable of meeting the current and future needs  
of corporates, merchants, financial institutions, FinTechs and the public 
at large.</x:t>
  </x:si>
  <x:si>
    <x:t xml:space="preserve">The Bank of Israel Steering Committee 
on the Potential Issuance of a Digital Shekel 
23 
5. Since prior acquaintance or connection between the e nd user and the FI is not required, the 
central bank will act as an intermediary between the two entities and will execute the debit 
operation from the FI's digital shekel wallet and, in parallel, the credit operation to the end user's 
digital shekel wallet. Since the issuance of digital shekels is performed directly from the central 
bank to the end user's wallet, this situation deviates from the indirect distribution model 
mentioned in the previous section . Alternatively, the reconciliation can be carried out as a 
transfer of digital shekels between the FI and the end user, without involving the central bank. 
However, this configuration might raise privacy and AML compliance issues for the FI. 
Figure 12 – A possible process for supporting the system in the conversion of cash to digital shekels and vice 
versa. 
It is possible that the generic solution presented above will enable conversions of low amounts, up to certain 
thresholds which will be determined on the basis of, among other things, issues related to AML/CFT. For 
higher amounts, the solution will be based on the two -step process outlined above, requiring deposit to or 
withdrawal from the end user's bank account.</x:t>
  </x:si>
  <x:si>
    <x:t xml:space="preserve">On November 30, 2022, Bank Indonesia published
a white paper titled "Project Garuda: Navigating
the Digital Rupiah Architecture". The white paper
served as a form of public communication. The
publication also detailed the end-to-end
integrated high-level design configuration of
Digital Rupiah, its design features to enable the
development of new business models, its
technology architecture, and regulatory and policy
support for the implementation of the design.
Bank Indonesia will develop Digital Rupiah design
in stages within an iterative process enabling
broader exploration of design alternatives and
ensuring optimal benefit. The development of the
Digital Rupiah is divided into three stages. On the
first stage (immediate state), Bank Indonesia
develops wholesale Digital Rupiah (w-Digital
Rupiah) cash ledger (issuance, redemption, and
transference of funds use cases). On the next
stage (intermediate state), Bank Indonesia will
expand the w-Digital Rupiah use cases to include
broader types of financial market transactions.
Lastly, on the final stage (end state), Bank
Indonesia will pilot the integrated end-to-end
design of w-Digital Rupiah and retail Digital
Rupiah (r-Digital Rupiah).
The development of the Digital Rupiah at each of
the stages would be pursued in sequences (Figure
1). Each sequence comprises public consultation in
the form of Consultative Paper (CP), proof of
concept, prototyping, piloting/sandboxing, and
review of the policy stance. Bank Indonesia takes
this approach to ensure the proper design of
Digital Rupiah. Bank Indonesia publishes this CP
as the implementation of the sequence. Presently,
for this CP, Bank Indonesia places a focus on the
first stage of Digital Rupiah development
(immediate state).
This CP is part of Bank Indonesia's efforts to
initiate public engagement on the Digital Rupiah
design. Stakeholder inputs and views are
expected, as they would become crucial elements
for reinforcing the design of Digital Rupiah in the
next sequence of its development.
BACKGROUND
1
5
CONSULTATIVE PAPER
 POLICY STANCE REVIEW
CP publication and FGDs to establish ownership
and stakeholders’ engagement
PoC: Concept validation
before the development stage.
Prototyping: Development of
prototypes with a specific
scope.
Policy stance review on Digital Rupiah
development based on sandboxing evaluation
results
Testing the applicability
of the prototype with a
sandbox mechanism
(using dummy data).
Option for piloting is
open.
 Iterative
Process
Figure 1 Digital Rupiah 
Sequences</x:t>
  </x:si>
  <x:si>
    <x:t xml:space="preserve">preliminary methodology being developed[ ] and gathered structured stakeholder feedback from ERPB
members on key design considerations.[ ]
In parallel, the ECB has continued to engage with the market regarding how a digital euro
would fit into the European payments ecosystem.[ ] This is a key topic for policymakers,
legislators and market stakeholders alike, in view of which the ECB held extensive, dedicated
discussions with market stakeholders as part of the ERPB technical sessions on digital euro. These
discussions were tailored to each group of ERPB stakeholders: (i) bank and non-bank PSPs, (ii)
merchants, and (iii) consumers. PSP-focused discussions began in the October 2024 ERPB technical
session. Based on three core themes of “competition”[ ], “synergies”[ ], and “business model”[ ], the
ECB and digital euro stakeholders assessed a total of sixteen potential value drivers. These sessions
took place in November 2024, December 2024 and February 2025 respectively and were followed up
with written feedback[ ] and a outcome session each[ ]. In the kick-off session the ECB reiterated the
Eurosystem’s commitment to creating a digital euro that benefits the private sector – both PSPs and
merchants – while guaranteeing access and usability for all citizens. In this context, merchant and
consumer-focused discussions were scheduled for May 2025. In addition to ongoing efforts within the
ERPB sessions, the ECB’s stakeholder engagement included high-level meetings with merchants
attended by Executive Board member Piero Cipollone, as well as a technical workshop focused on
merchant and consumer-specific topics.
5.2 Technical input provided in the context of the legislative
discussions
The ECB engaged in discussions within EU fora regarding the strategic significance of the
digital euro, which was also acknowledged by the euro area heads of state and government.
After the Euro Summit meeting on 20 March 2025, its members issued the following statement : “In a
more fragmented and digital world, accelerating progress on a digital euro is key to support a
competitive and resilient European payment system, contribute to Europe’s economic security and
strengthen the international role of the euro. We invite the President of the Eurogroup to report
regularly on progress with these initiatives.”[ ]
8
9
10
11 12 13
14 15

The ECB regularly engages with EU institutions and provides technical input to support the
digital euro legislative process in areas such as privacy, data sharing and the use of data
outside the euro area.
16</x:t>
  </x:si>
  <x:si>
    <x:t xml:space="preserve">9 
appropriate design of e-HKD and an evaluation of whether the benefits of e -HKD, and rCBDC in 
general, outweigh its risks.   
Based on an initia l, preliminary analysis of the proposed architecture, the HKMA has identified a 
number of areas for further discussion, which are summarised as seven problem statements (Table 
1). We would like to invite the academia and industry to comment on our proposed architecture 
by making reference to the seven problem statements;  as well as  solicit new ideas and project 
proposals from them. 
1.3. Structure of this technical whitepaper 
The organisation of this whitepaper is structured with reference to the design thinking 
process, and inputs and suggestions for subsequent iterations of the whitepaper are invited.   
Chapter 2 presents the background of CBDC research, empathizing with known concerns on rCBDC 
and setting the backdrop for problem formulation.  Chapter 3 defines the problem and design issues 
to be explored in this technology study.  Chapter 4 sets out the design principles for technology 
solution ideation and Chapter 5 suggests the possible architectural designs.  Chapter 6 presents a 
preliminary evaluation and direction for further testing.   Chapter 7 outlines the areas for further 
research.      
1.4. The HKMA’s stance 
This technical whitepaper mainly pertains to the technology for the infrastructure of 
rCBDC.  It will not address whether or why a central bank should issue a n rCBDC.  Instead, it 
focuses on how a central bank can issue a n rCBDC practically if it considers that such issuance is 
desirable in the local context.  Specifically, it covers some feasible technological architectures and 
design options of the rCBDC infrastructure that could address some of the known operational 
concerns. 
The architecture proposed in this whitepaper is not a blueprint for the infrastructure of e-HKD, 
nor does it approach a decision on the CBDC distribution model chosen for implementing e -HKD.  
Rather, it should be seen as the outcome of initial research as well as a basis for initiating dialogues 
with central banks, the academia, and the wide r fintech community to collaboratively explore 
practical and robust solutions for rCBDC.</x:t>
  </x:si>
  <x:si>
    <x:t xml:space="preserve">BankAxept for mobile payments will increase cost efficiency
BankAxept has announced a number of initiatives to enable its use for
mobile payments. Vipps will probably enable payments with BankAxept in its
coming NFC solution.  There are also plans for the use of BankAxept in
terminal-based solutions such as Apple Pay and Google Pay.  Furthermore,
large grocery chains in Norway intend to include payment with BankAxept in
their customer apps (see discussion abowe). Depending on pricing, this may
offer merchants a less expensive alternative for mobile payments.
Additional payment options will also generate competition and so lead
indirectly to lower costs.
It is important for co-badged cards with BankAxept to be made available for
mobile payments. In terms of cost efficiency, it is important that payment
takes place in the same way as with physical co-badged cards, in the sense
that the merchant can recommend/preselect which card network is used.
Talks are ongoing between Visa and the Norwegian banking industry on how
co-badged cards in digital wallets on mobile phones should function.
3.2 Billing fees are too high
A number of cases of billing fees that are considered unreasonably high
have been highlighted in the media in recent years. These have included
billing fees for visits to a doctor, parking, road tolls and telephony. From 1
January 2023, a clause was added to the Financial Contracts Act that limits
the fee for issuing a bill to the actual cost of issuing and sending the bill. A
similar rule has applied since 2015 to bills for seeing a doctor. Despite these
rules, billing fees of up to NOK 100 have been seen.
Based on data from Norges Bank’s most recent cost survey, the cost of
issuing a bill in 2020 was between NOK 3.1 and NOK 6.4, depending on
whether it was sent electronically or by post.  This large gap between fees
and costs has two effects. One is a transfer of income from the recipient to
the issuer. The other is a loss of efficiency when the relative prices of
25
26
27
28</x:t>
  </x:si>
  <x:si>
    <x:t xml:space="preserve">Concept Note on CBDC 
45 
7.6  Central Bank Digital Currency (CBDC): 
AML/CFT Perspective 
7.6.1 It is pertinent to mention that central banks 
are expected to design CBDCs that conform to 
the AML/CFT requirements (along with any 
other regulatory expectations or disclosure 
laws). A CBDC payment system would need to 
be compliant with AML and CFT regulations and 
requirements. This means that the identity of 
CBDC users would need to be known to at least 
some authority or institution in the wider CBDC 
network who can validate the legitimacy of their 
transaction. 
7.6.2 AML responsibilities could be handled  
entirely by the Payment Interface Providers 
(commercial banks). Under the intermediate 
model, commercial banks may be best placed 
to conduct AML/CFT checks and the 
responsibility for compliance with AML/CFT 
guidelines should rest with them. Opening and 
maintenance of CBDC accounts with 
commercial banks would not require any 
change in the current AML/ CFT guidelines 
unless there is a new Financial Action Task 
Force (FATF) recommendation specifically for 
CBDCs. This arrangement means that the Bank 
would not hold granular personal data on any 
user, reducing the privacy concerns that could 
arise in connection with holding personal user 
data, but AML requirements could still be met by 
the CBDC system as a whole. 
7.6.3 In a nutshell, fr om the perspective of 
AML/CFT, the CBDC framework should 
address the following two aspects: 
i. It needs to be ensured that the ultimate 
responsibility for Customer Due Di ligence 
(CDD) is clearly delineated in the framework. 
ii. The design of the CBDC should have 
the embedded mechanism for identifying and 
monitoring the transactions , as per the 
threshold limit as applicable in case of cash, to 
maintain the financial sector integrity. 
7.7 Privacy and data protection considerations 
7.7.1 It will be essential to consider the way the 
privacy is respected, and the data is protected 
in a CBDC system. Privacy and data protection 
is an issue that is of concern to policymakers in 
government and other authorities and should be 
considered carefully when designing CBDCs. 
7.7.2 The appropriate degree of anonymity in a 
CBDC system is a political and social question, 
rather than a narrow technical question. As 
discussed above, CBDC would need to be 
compliant with AML regulations, which rules out 
truly anonymous payments. Howev er, CBDC 
could be designed to protect privacy and give 
users control over who they share data with, 
even if CBDC payments are not truly 
anonymous (or secret). Some discussions of 
CBDC assume that CBDC is equivalent to cash 
and so should offer the same degr ee of 
anonymity in payments , as applicable to 
different threshold of payments in respect of 
cash. When a payer hands over cash to a 
payee, for example in a shop, the payee does 
not receive any data about the identity of the 
payer, and there is no digital r ecord that links 
the payer and payee. But the fact that an 
in-person cash payment provides an</x:t>
  </x:si>
  <x:si>
    <x:t xml:space="preserve">27 
A3. Market Research on Exuma 
Introduction 
Following the March 1, 2019 selection of the preferred te chnology solutions provider for  the 
digital currency project , the Central Bank started the groundwork for the launch of the Exuma  
Pilot, undertaking a baseline f inancial inclusion survey on the island . The survey attempted to  
assess the level of financial services available to residents relative to their needs ; and to 
determine the willingness of residents to adopt digital payments via a mobile or online platforms. 
Overall, Exuma exhibits levels of financial access comparable to the national averages, with a high 
mobile phones usage rate.  While there is openness to greater use of digital payments services, 
there are existing pockets of reticence , linked mostly to the convenience of access or security 
concerns of using digital financial services. 
Methodology 
The Exuma survey was administered randomly to 519 residents, via telephone and door-to-door 
interviews in July 2019. The sample results were then weighted to reflect the demographic 
distribution of the latest population census. Persons were polled on thei r access to 
banking/financial instruments, whether they have used a mobile device or internet service to 
perform transactions with a bank or credit union, as well as the likelihood of them using a mobile 
device to conduct various electronic transactions.  
Access to Banking/Financial Institution  
Respondents indicated a higher rate of usage of basic deposit facilities than the national average. 
Some 93% indicated that they operate a deposit account within a local bank , compared to the 
national average in the 80% range. Some 2% indicated that they held a deposit account with the 
local post office, while 4% stated that they have a deposit account with a credit union, and 4% 
informed that they did not own a deposit account.</x:t>
  </x:si>
  <x:si>
    <x:t xml:space="preserve">34
3.5 Wallet Application
12. By technical definition, a wallet is not a structure where money is stored. Wallets are 
structures that contain cryptographic key pairs and use these pairs to prove ownership in a 
system. The component called “wallet application” within the scope of Phase-1 is the whole of 
the mobile application, wallet, DID agent, and local database components.
13. Regulation on the Generation and the Use of the TR QR Code in Payment Services:
https://www.tcmb.gov.tr/wps/wcm/connect/a3dd886f-ac9b-4e1e-b225-58821ccea36e/
Regulation+on+the+Generation+and+the+Use+Of+TR+QR+Code+in+Payment+Services+with 
+annex.pdf?MOD=AJPERES&amp;CACHEID=ROOTWORKSPACE-a3dd886f-ac9b-4e1e-b225-
58821ccea36e-nC9xqQW
Digital Turkish
Lira Design
3.1 Digital Identity System
3.2 Digital Currency System
3.3 Abstraction Layer
3.4 Service Layer
3.5 Wallet Application
Central Bank Digital 
Currency Requirements, 
Principles and Approaches
Introduction
Findings and 
Assessments
Following Phases
Conclusion
APPENDIX
Definitions and Abbreviations
The wallet application12 is the end user’s access point to the system. Through 
the mobile application, the user can transfer funds, make payments, request 
funds, query transaction history and view owned VCs.
In online payments, while ownership of the money can be proved through 
the wallet application, the money and ownership information are stored 
in the digital currency system. In offline payments, the money itself will be 
available on user-managed wallet devices. It is also possible to have flows 
where payments are made online while the credentials are accessed offline. 
Account Identifier
A user of the digital currency system must first have a DID value that 
identifies them. The DID value can be considered as an identifier that 
distinguishes the user from others. In order to generate the DID value and 
the associated key pair, store the key pair, communicate with other users of 
the digital currency system and store the data used in this communication, 
a DID agent has been added to the wallet application. A DID agent consists 
of a key management service, a messaging service, a ledger interface, and a 
management service that controls these components.  
In transfer and payment transactions, money can be sent to the DID value 
of the counterparty or to the alias assigned to the DID value. At the same 
time, these transactions can also be executed with a QR code. The QR codes 
used in the system have been designed in compliance with the TR QR code 
standard.13  
Key Management
The key pair consists of a private and a public key. The private key is used to 
prove the authorization for the created account. Therefore, the private key 
should be handled in such a way that it is not shared with anyone. The public 
key is used to verify that the data comes from the relevant user. The key pair 
is generated by the key management service that is one of the DID agent 
components on the user’s device. The VCs owned by the user are also stored 
by the key management service.</x:t>
  </x:si>
  <x:si>
    <x:t xml:space="preserve">BIS Papers No 123 193 
View on CBDCs − Central Bank of the Republic of 
Türkiye 
This paper provides an overivew of the latest developments in payment ecosystems, 
and specifically central bank digital currencies (CBDCs). 
Payment ecosystems are the fastest -changing area relevant to the societal 
functions of central banks. A resilient and competitive payment ecosystem has 
become another important pillar among central banks’ main responsibilities. This 
trend has been supported by rapid development in information systems and mobile 
technologies which provide lower costs and scale economies enhancing the efficiency 
and reach of financial services. 
Compared to advanced economies (AEs), many emerging market economies 
(EMEs) have a relatively less developed financia l sector and a larger percentage of 
financially excluded population. If properly utilised, innovative technologies can 
provide EMEs a chance to leapfrog in financial services digitalisation. Thus, it is 
important for central banks and the regulatory commun ity to keep track of current 
developments and to keep regulatory frameworks up to date and adaptive to 
leapfrog potential. 
With the digitalisation of economic activity continuing to accelerate faster than 
non-adaptive payment methods can evolve, instant pa yment systems (IPS) and 
central bank digital currencies (CBDCs) have risen up the agenda of central banks. As 
societies demand safe, efficient and 24/7 instant payments, central banks cannot 
ignore new technologies. In our case, we responded to the urgent need to design, 
develop and operate an IPS by launching an in-house system, called FAST, in January 
2021. FAST has become so popular that 15.6 million customers had used it to initiate 
instant payments via a national ID number, phone number or email address within 12 
months of its launch. 
In recent years we have also noticed that although quantitative and digital data 
collection has become the new norm in central banking, the technical capacity to 
mine the data has not caught up with the expectations. Analy tical tools have not 
matched the speed of data accumulation. It has looked like there was a bottleneck in 
human resource capabilities.  
This encouraged us to make a change to turn challenges from technological 
developments into opportunities. We felt that the gap between the massive data pile 
and limited data processing capacity could be closed with a renewed approach to 
human resource management. Therefore, we established a new department that is 
totally dedicated to innovation. Then  we moved beyond the tr aditional central 
banking human resource strategies and hired from an area that is not typical for 
central banks: engineers.  
We decided to increase our efforts to experiment with the limits of technologies 
by utilising technologies such as blockchain, whi ch are emerging fast with potential 
to play a role in payments. We define our basic strategy as managing the change in 
our favour to catch up with the most efficient and effective strategies for digitalisation 
of payment services.  
Enabling cheaper cross -border payments is one area where desperation for 
innovation is so high. Higher global trade and investment with lower costs is critical</x:t>
  </x:si>
  <x:si>
    <x:t xml:space="preserve">BIS Papers No 123 113 
to respond to new payment and settlement needs in the future , such as 
programmable payments, with current technology, for example using APIs. It must 
also be noted that DLT is still in the early development stage and has shown few cases 
of real-world application beyond cryptoasset trading.  
Currently, the inefficiency of the cross -border remittance networks that rely on 
correspondent banks has been placing an additional economic burden on EMEs and 
vulnerable groups such as immigrant workers. Among various ideas for improving 
cross-border payments that are being discussed, using CBDC, in particular, has its 
perks, in that a new system could be built from scratch on a clean slate. However, in 
order to use CBDCs in cross -border payments and settlements, we should have 
sufficient discussions and coordination at the global level, not only on techn ological 
aspects, such as interoperability among related systems but also on regulator y 
framework, including sharing of identity information among jurisdictions. 
3. The BOK’s CBDC experiment study 
The BOK has been continuously expanding its professional workforce since 2017 and 
launched a dedicated CBDC unit in early 2020. It has  researched on CBDC-related 
systems and run a proof of concept (PoC) test on the feasibility of DLT to serve as the 
technological foundation of CBDC. 
Currently, the BOK is working on a CBDC experiment, which will be conducted in 
two phases from August 2021 to June 2022.15 In the experiment, virtual CBDC systems 
will be set up in a cloud environment, where the techn ological feasibility of CBDC ’s 
basic (issuance, d istribution, redemption, etc) and advanced (offline payments, etc) 
functions will be examined. 
This experiment adopts and examines : (i) hybrid architecture ; and (ii) DLT -
method ledger management as a basic model, following recommendations of 
international organis ations such as the BIS and cases of central banks of major 
countries.
16 However, the experiment is not determinative of the CBDC design, and 
the BOK plans to continue researching and reviewing other alternative designs. 
15  The first stage of the experiment, completed in December 2021, reviewed the technological feasibility 
of basic issuance, distribution, and redemption in a distributed ledger -based CBDC experiment  
environment. The main goal of the second stage is to expand the central bank’s CBDC distribution 
operations; support for cross-border remittance, digital asset purchases, offline payments, and new 
technologies to strengthen personal information protection will be reviewed. 
16  In a hybrid architecture, the creation, issuance, and redemption of CBDC is performed by the central 
bank, while distribution is carried out jointly with private financial institutions. A distributed ledger is 
used by a number of part icipating institutions (including the central bank) that  confirm changes in 
CBDC-related information through a predefined consensus algorithm, and then distribute them to 
the ledgers owned by each institution to record and manage.</x:t>
  </x:si>
  <x:si>
    <x:t xml:space="preserve">16. USER INFORMATION AND DATA SHARING WITH OTHER USERS
Users cannot share their information with other users.Users sharing data with existing data sharing guidelines
Build our own bespoke data sharing guidelinesReliance on CDR guidelines for data sharing
5.3 – Initiative level
Rationale:RBNZ’s initial preference is to ensure that users have the right level of control over their own data whilst also not inhibiting innovation in the right places. Users should own their data and start opted out, with clear opt-in options supported by a consent framework similar to the future NZ Consumer Data Right framework. This would allow intermediaries to offer innovative services to benefit users consenting to share their data.
Insights:Based on recent consultation papers issued by Central Banks, the consensus is not to have anything more strict or more lenient than what is currently in place. This ‘equivalence’ may help to support overall adoption and perceived fears on how data could be used.
05 – Design Options: Preferences, Rationales &amp; Insights
WORKSHOPPED PREFERENCE
The exercises conducted during the definition workshops helped to identify the design options for the strategic questions, and generated the initial RBNZ preferences for these design options. Further work will be required in subsequent phases before any decision is made.
15. UBIQUITY &amp; MASS ADOPTION Niche innovationWide adoption with many existing payment methods
Rationale:RBNZ’s initial preference is to ensure wide adoption of CBDC without inhibiting organic innovation opportunities. Users will be able to spend/transfer/receive CBDC using a payment method at the point of interaction that meets their needsInsights:Where a CBDC has been launched (China, Bahamas) the overall level of adoption remains low and could undermine the overall perception of this payment medium. In both cases, consumer research was undertaken to understand the attitudes towards a CBDC. Additional international research is due to be published, so it is recommended to review the reasons for low take up in other markets.
WORKSHOPPED PREFERENCE</x:t>
  </x:si>
  <x:si>
    <x:t xml:space="preserve">The table below outlines key components of the Phase I prototype design: 
Results
Test results from the experiment revealed that the blockchain-enabled 
payments system settles transactions in fewer than ten seconds on average 
and that throughput across the system increases as additional currencies are 
included. This indicates that a modular ecosystem of ledgers has the potential 
for continued scalability, and that DLT could enable atomic settlement faster 
than the current industry standard of two days, should processes that were 
abstracted in the Phase I prototype, such as compliance checks and market 
making, be similarly streamlined.
is the inaugural project of the New York 
Innovation Center (NYIC). The NYIC, a 
part of the Federal Reserve Bank of New York (New York Fed), bridges the 
worlds of finance, technology, and innovation. Established in partnership 
with the Bank for International Settlements Innovation Hub (BISIH), the NYIC 
generates insights into high-value central bank-related opportunities through 
technical research, experimentation, and prototyping, to drive 
advancements in central banking and enhance the functioning of the global 
financial system. In support of these objectives, the NYIC aims to advance 
research regarding wholesale central bank digital currency (wCBDC) within 
the U.S. context.
Project Cedar is a multiphase research effort to develop a technical 
framework for a theoretical wCBDC, conducted by the NYIC in conjunction 
with subject matter experts throughout the New York Fed. This research will 
explore fundamental design choices and modular technical features.    
A wCBDC is a specific type of digital bank reserve held at the central bank 
that could be used by financial institutions to effect wholesale transactions, 
such as interbank payment clearing and settlement. Wholesale CBDCs have 
the potential to drive improvement in the larger wholesale market by 
facilitating the safe, rapid, and efficient transfer of central bank liabilities.  
Enabling technology, such as distributed ledgers, could provide benefits 
such as transparency, resiliency, and programmability. Central bank liabilities 
that can be transferred through these systems in the form of wCBDC have the 
potential to drive enhancements to existing payments infrastructure and spur 
future payments innovation. Phase I of the Project Cedar experiment examined 
the potential application of distributed ledger technology (DLT), specifically 
blockchain, to enhance the functioning of wholesale cross-border payments.
Phase I was a successful twelve-week undertaking demonstrating the viability 
of this technology to enable instant and atomic settlement in a simulated foreign 
exchange (FX) spot transaction between the New York Fed and counterparties 
across separate, homogeneous ledgers. These objectives were selected both 
because they address known issues of speed and access mechanisms in 
wholesale cross-border transactions and because they represent core value 
propositions of DLT in a wCBDC use case.    
Under simulated test scenarios based on market throughput estimates, FX spot 
trades were atomically settled in under ten seconds, validating the project 
objectives of enabling instant and atomic settlement using DLT while also 
revealing promising applications for blockchain in wholesale payments and 
presenting questions for future research. 
This Phase I report aims to contribute to a broad and transparent public 
dialogue about CBDC from a technical perspective. The report is not intended 
to advance any specific policy outcome, nor to signal that the Federal Reserve 
will make any imminent decisions about the appropriateness of issuing a retail 
or wholesale CBDC, nor to offer an indication of how one would necessarily be 
designed.
Problem Space
Cross-border payments are financial transactions conducted between central 
banks, private sector banks, corporations, and others. In these transactions, the 
payer and recipient are based in separate jurisdictions. The payment can be 
categorized as wholesale (e.g., payments between financial institutions, 
governments, official institutions, and large nonfinancial companies) or retail 
(e.g., payments between individuals and businesses). The NYIC’s CBDC 
research focuses exclusively on the wholesale market.
Foreign exchange spot trades are among the most common wholesale 
cross-border transactions. These transactions can be conducted bilaterally or 
multilaterally between counterparties such as central banks and private sector 
financial institutions. The FX market is the largest wholesale market in the world, 
with daily turnover of over $7 trillion.   Given the size and breadth of this global 
market, the potential impacts of technological innovation on its operations and 
processes are substantial.
Currently, cross-border transactions function well, but there are opportunities for 
improvement. In general, it takes around two days for an FX spot transaction to 
settle. During these two days, payment senders and recipients are exposed to 
settlement, counterparty, and credit risk which, among other things, can hinder 
2 See “Triennial Central Bank Survey: Global Foreign Exchange Market Turnover in 2022”, 
Bank for International Settlements, Monetary and Economic Department, October 2022
4
an institution’s ability to readily convert its assets into cash. Additionally, the 
proportion of transactions settled on a payment-versus-payment (PvP) basis 
has fallen below 40 percent in recent years, increasing settlement risk exposure 
across the FX market.   
Cross-border settlement of FX spot trades is a common starting point for 
wCBDC research, as central bank liabilities are the core settlement asset in 
these types of transactions. Furthermore, FX spot transactions underpin a large 
portion of the wholesale payments market and represent a known problem 
space for issues of access and speed of settlement. Enabling safe, fast, 
low-cost, transparent, and accessible wholesale cross-border transactions is 
critical to the functioning of the global economy.
Use Case
An FX spot transaction was selected as the use case for the Phase I experiment 
for several reasons:
Asset type: Central bank liabilities (e.g., USD and other foreign 
currencies) are the only asset types involved in this type of transaction, 
allowing for the simulation of exchange of a hypothetical USD wCBDC 
against a hypothetical foreign wCBDC.
Market structure: The spot exchange of one currency for another is the 
foundation of the FX market. This type of trade is often one segment of a 
broader international financial transaction that may involve other asset 
types as well. Demonstrating the viability of this type of transaction 
therefore has implications for a significant portion of the wholesale 
cross-border market.
Complexity: A spot transaction is a relatively simple transaction, as FX 
rates are agreed upon at the start of the transaction. This allows for a 
narrow scope demonstrating the value of the technology without requiring 
development of some advanced features. 
The New York Fed is an active participant in the FX market, executing 
transactions on behalf of the U.S. Treasury Department and Foreign and 
International Monetary Authorities that maintain accounts with the Federal 
Reserve.
To further understand the context for FX spot transactions at the New York Fed 
and to validate the working hypothesis and potential solution concept, the NYIC 
team conducted interviews with a range of market participants. Ultimately, these 
interviews validated the hypothesis that settlement speed and access to PvP 
mechanisms are key issues in wholesale cross-border payments. Based on this 
research, a future state solution should enable atomic settlement, access to a 
wider range of counterparties, and settlement taking place faster than T+2.
2
Experiment Design
Based on findings regarding the current state process, a problem statement, 
hypothesis, and associated assumptions were developed for Phase I of Project 
Cedar:
Phase I of Project Cedar was designed to test the hypothesis and critical 
assumptions above and to reveal insights related to the wCBDC research 
interests of the NYIC. The following objectives were set to meet these goals:
The scope of Phase I was tailored to demonstrate the key objectives of instant 
and atomic settlement in a viable prototype. Phase I also laid the foundation for 
future research into interoperability by simulating a multi-ledger ecosystem 
across homogeneous ledger technology. To focus on these foundational 
objectives, several important research topics were designated as out of scope 
for Phase I, including scalability, privacy, and programmability. Additionally, 
non-settlement processes, such as market making and AML/OFAC, were 
assumed to take place off-ledger and were abstracted for the purposes of the 
prototype.
Solution Concept
Core to Project Cedar’s solution is the ledger infrastructure of the experiment—a 
bespoke system leveraging ideas from existing digital currency technologies to 
provide functionality relevant for a wCBDC. Phase I of Project Cedar was 
designed around a multi-ledger construct in which each currency was 
maintained on a separate ledger, operated by its respective simulated central 
bank. Phase I used this design to enable instant and atomic settlement of an FX 
spot transaction. 
The solution design in Project Cedar Phase I represents a starting point for 
future wCBDC research. The Phase I prototype included design choices such 
as a permissioned blockchain network, an Unspent Transaction Output (UTXO) 
data model, and Rust as the primary programming language. Design choices 
made for Phase I will be tested against alternatives in future phases and do not 
represent conclusive design choices of the NYIC or of any future U.S. CBDC.  
The table below highlights key results across three test scenarios. The 
scenarios were designed to assess the system’s performance as it scaled to 
include a broader number of simulated actors in the ecosystem. Each test 
scenario comprised a specific number of Currencies (C), Observers (O), and 
Participants (P), as detailed below. 
In addition to meeting the goals of instant and atomic settlement, Phase I 
successfully established a basis for future NYIC research into potential 
advancements of the systems that move money and other financial assets 
between banks and financial institutions. The data produced in this phase 
represent a benchmark for future testing. Importantly, the Phase I prototype also 
demonstrated a successful guide for how wCBDC may be exchanged in a 
multi-ledger ecosystem. Future research focused on interoperability across a 
heterogeneous mix of DLT stacks will evolve these findings.  
Looking Ahead
Phase I of Project Cedar provided crucial input toward the NYIC’s central aim of 
technical research on wholesale CBDC in the U.S. context. The work also 
highlighted several opportunities for future research by the NYIC, including 
ledger design, interoperability, security, and more. Research across these areas 
will help inform potential technical design choices and considerations. 
As part of its continued wCBDC research, the NYIC will next explore questions 
related to interoperability and ledger design, including how to achieve 
concurrence and certainty in settlement across different blockchain based 
payments systems.</x:t>
  </x:si>
  <x:si>
    <x:t xml:space="preserve">Progress on the preparation phase of a digital euro 2 
Figure 1 
Timeline of the digital euro project 
This report outlines the progress of the digital euro project over the six-month period 
from May to October 20241. 
In the first quarter of 2024 the digital euro scheme’s Rulebook Development 
Group (RDG)2 concluded a review of the first draft of the rulebook (version 
0.8), having received and carefully assessed around 2,500 comments. Seven new 
RDG workstreams, composed of market participants and central banks, were 
launched in May 2024. These are focusing on key areas of the rulebook, including 
minimum user experience standards, risk management and implementation 
specifications. The next draft of the rulebook is expected to be finalised during the 
digital euro preparation phase and will include comments from the RDG interim 
review. The rulebook is essential to ensure that digital euro payments are accepted 
throughout the euro area, just like cash payments, and will work in a harmonised 
manner. The draft digital euro rulebook will be sufficiently flexible to accommodate 
any future adjustments and will be updated in accordance with the outcome of the 
digital euro legislative process. 
The project team has made progress on the sourcing procedures for selecting 
potential providers for a digital euro service platform (DESP). An invitation to 
tender for external components was published and offers are currently being 
assessed. In addition, Eurosystem national central banks have been invited to 
submit offers for internal components. 
Building on work carried out in the investigation phase, further 
experimentation and user research activities have now started, with the aim of 
1  All previous progress reports on the digital euro can be accessed on the ECB’s website. 
2  The RDG was established in January 2023 and consists of representatives from the Eurosystem 
central banks and the European retail payments market, including consumers, retailers and 
intermediary associations.</x:t>
  </x:si>
  <x:si>
    <x:t xml:space="preserve">BIS Papers No 123 97 
flourishing in the existing financial system. Additionally, the implementation of 
wCBDC might be hindered by a lack of proper infrastructure and potential 
incompatibility with other financial infrastructure. The adoption of distributed ledger 
technology (DLT) for w CBDC may raise  several issues, namely privacy, settlement 
finality, scalability, performance , and resiliency. On  the rCBDC side, the 
implementation of r CBDC might entail cyber security and technology risks. Other 
challenges for rCBDC include the adoption and inclusion issue: it should be possible 
to distribute rCBDC to a broader user group, including residents in remote areas, with 
the ability to meet the service level agreement requirements. Other potential risk s 
include disintermediation and bank run  since CBDC would play a substantial role in 
facilitating the conversion of assets from commercial  bank money to central bank 
money. 
The challenges faced by Bank Indonesia in achieving its policy objectives are 
influenced by global and domestic issues that arise due to the dynamics in its 
strategic environment. Digital disruptions have compelled Bank Indonesia to adapt 
to the changing situation quickly and precisely. Bank Indonesia plans to issue CBDC 
as a response to three key drivers: first, “to emphasise BI’s role as the country’s sole 
authority for currency issuance, including in digital form, to maintain monetary 
sovereignty”; second, to take part in international initiatives among central banks or 
international organisations related to the issuance of CBDCs; and third, to spur on the 
integration of the national digital economy and financial system. 
In response to the aforementioned key drivers, Bank Indonesia  has 
formulated the main goal of CBDC in Indonesia, which is to provide a legal digital 
payment instrument in the Republic of Indonesia to support the performance  of the 
central bank’s duties, as well as supporting financial system stability and integration 
of the digital economy and  financial system . Based on the main goal, three main 
objectives of CBDC issuance are being developed and will be discussed further below. 
The first objective is to provide s overeign public goods. The core 
responsibility of central banks is providing currency to the public. The constitution , 
central bank act and currency law, mandates Bank Indonesia as the sole institution 
with the role to manage currency as a sovereign public good in Indonesia , 
represented by the rupiah in various forms , to support economic activities. As the 
rapid innovation of technology has enabled  the digital economy to flourish in 
Indonesia, the rupiah needs to evolve in to the form of sovereign digital money to 
support transac tions in the digital era. Unlike private or foreign digital currency, 
sovereign CBDC would provide  the public with a direct claim on the central bank , 
which would ensure trust and improve the functioning of the monetary system. 
The second objective is to support the mandate and objectives of the central 
bank in the digital era. CBDC issuance may entail several threats that may hinder 
monetary and financial system stability, such  as the risks of disintermediation and 
bank runs, which would lead to the obstruction of monetary  and macroprudential 
policy exercised by the central bank. The implementation of CBDC should not be 
counterproductive to the central bank fulfilling its  existing mandate by addressing 
the aforementioned issues with appropriate policy. In addition, it would be essential 
to identify the potential area of CBDC utilis ation to sustain  monetary, 
macroprudential and payment system policy in the digital era. CBDC has the potential 
to support the fulfillment  of central bank objectives and , to some extent , could 
potentially be an essential tool for central banks in the future to enhance monetary 
and financial stability through leveraging new technologies.</x:t>
  </x:si>
  <x:si>
    <x:t xml:space="preserve">BIS Papers No 123 29 
There are many other related relevant characteristics that should be 
contemplated in the design of a CBDC, like the following: 
• Degree of anonymity – a key feature of any CBDC akin to cash: Depending on 
the objectives of the issuer, this can range from absolute anonymity to its 
absence. 
• Availability: 24x7 versus limited hours (another crucial aspect for any cash-like 
CBDC): possibility of using the system 24 hours a day, seven days a week or 
establishing a specific time of use to operate.  
• Possibility of accruing interest: depending on the issuer's objective, the CBDC 
may accrue interest (positive or even negative, in the latter case to increase the 
effectiveness of monetary policy). 
• Holding limits: in accordance with the objectives of the issuer and/or 
administrator of the CBDC, limits to the holding of the CBDC can be established. 
These could be related to different aims, such as: consumer protection, anti -
money laundering/combating the financing of terrorism, foreign exchange 
regulation.  
A large majority of CBs seem to favour a hybrid type of scheme, recognising the 
comparative advantages that the private sector has in terms of innovation and in the 
commercial relationship with the public. There seems to be a general consensus to 
promote a not fully decentralised transaction recording infrastructure and an 
account-based design.  
Several economies in Latin America and the Caribbean have launched CBDC 
schemes or pilot tests. The Bahamas was the first country to officially launch a CBDC 
(the sand dollar), in October 2020; together with Nigeria, they are the two cases of 
CBDCs fully open to the public  (Central Bank of The Bahamas (2020 )). These 
experiences shou ld be closely monitored, as well as the results of the pilot tests 
implemented by several countries, including Uruguay (with a pilot completed in 
2017–18) and the countries of the Eastern Caribbean Currency Union. Finally, looking 
at the experience of coun tries that issued CBDCs that did not become widely used, 
such as Ecuador (2014–18), can shed light on the challenges ahead.
Concluding remarks  
New technologies have changed the payment ecosystem at the global level. CBDCs, 
among other initiatives, have to  be considered one of the many tools that central 
banks may use in order to improve means of payment and monetary policy 
implementation. In EMEs, these innovations must be carefully weighed against their 
impact on financial development and on currency substitution. Since this is a systemic 
and global issue, international cooperation is of the essence. 
In Argentina, recent regulatory initiatives, such as Transferencias 3.0 , have 
enabled the development of an efficient and secure infrastructure that could be 
leveraged to further improve access to and use of payment services by the public. In 
this context, the issuance of a CBDC is not a priority, at least in the short term. 
Nevertheless, recognising the fast evolution of the digital environment, the BCRA will 
continue studying the implications of CBDCs and the most appropriate CBDC design 
for Argentina.</x:t>
  </x:si>
  <x:si>
    <x:t xml:space="preserve">08 – Considered Questions &amp; AnswersIDInitial Key Question/Area of ConcernDesign AreaWorkshop in which it will be addressedAccenture’s Initial Answers1Token based or account based?AssetStrategic Workshop 3 - Focus on Innovative PaymentsA NZ CBDC should be token-based.
2Programmable money or not?AssetStrategic Workshop 3 - Focus on Innovative PaymentsProgrammable money will not be a feature of an NZ CBDC.
3What are the options for data collection, storing and retaining on CBDC platform itself?PlatformStrategic Workshop 2 - Focus on Privacy, Holdings &amp; Transactions
Whilst the specific options for data collection and storing have not been finalised, it is recommended to proceed with the principle of minimal user information being used on the CBDC platform.
4Can a CBDC platform protect privacy while also being innovative in using data.PlatformStrategic Workshop 2 - Focus on Privacy, Holdings &amp; Transactions
Using consent frameworks and tiered usage, a CBDC can achieve the balance between privacy and innovation (as demonstrated in open banking).
5How can we ensure the safe sharing of IDs &amp; wallets etc. for payments?PlatformStrategic Workshop 2 - Focus on Privacy, Holdings &amp; Transactions
We should use the following options for secure ID sharing:•Proxy identities to protect user privacy whilst ensuring that users can verify payment recipients•User consent frameworks to ensure that consent is obtained when sharing IDs
6Use of unique identifiers or not?PlatformStrategic Workshop 2 - Focus on Privacy, Holdings &amp; Transactions
Unique identifiers should be used for users and their wallets within the CBDC system. Users should also have the choice of using proxy identities to protect their privacy.
7How feasible is interoperability with CBDC Platform and incumbents, new 3rd parties? What are the implementation barriers?PlatformStrategic Workshop 4 - Focus on Reliability, Safety &amp; Scalability and the implication on RBNZ Technology &amp; Operations
Interoperability with existing payment systems and participants is feasible using APIs. This would require standardised integration models and API documentation that new participants will need to adhere to.
8Offline - what are the financial &amp; other risksPlatformStrategic Workshop 1 - CBDC Use Cases &amp; Focus on Wide Adoption &amp; Inclusion
The risks of offline capabilities for a CBDC are as follows:•Double spending•Loss of device•Fraudulent transactions•Increased operational risk
9
What are the design options for data commercialisation whilst maintaining privacy/ inclusion? e.g. would Opt-In promote privacy goals and Opt-Out promote innovation goals?
EcosystemStrategic Workshop 2 - Focus on Privacy, Holdings &amp; TransactionsStrategic Workshop 1 - CBDC Use Cases &amp; Focus on Wide Adoption &amp; Inclusion
Using consent frameworks and tiered usage, a CBDC can achieve the balance between privacy and innovation (as demonstrated in open banking).Users should also have the option to opt-in/opt-out to cater for their choice.
The following non-exhaustive list of preliminary questions that have been considered throughout the project. Exploring the answers to these questions may be necessary in subsequent phases of the CDBC programme.</x:t>
  </x:si>
  <x:si>
    <x:t xml:space="preserve">35 
Question Feedback received HKMA’s response 
you be able to identify some trade -offs 
around such considerations? 
it is important for e -HKD to be 
interoperable with existing payment  
systems. 
(ii) A few respondents suggested that it 
would be desirable for e-HKD to be made 
convertible to e -CNY , while many  
respondents considered that using e -HKD 
to settle cross-border payments has 
potential benefits. 
for ways to address these issues accordingly.  
We will also initiate discuss ions with various 
stakeholders to further understand their 
concerns. 
10. How could the private sector contribute to 
the e-HKD journey? 
Respondents generally considered that the 
private sector could contribute on areas such 
as: (i) offering services in the are as of 
compliance and prevention of illicit activities 
(e.g. AML/CFT), (ii) promoting merchant 
acceptance and interoperability with existing 
payment systems, (iii) advising on e -HKD 
opportunities and functionalities, (iv) 
boosting innovation and competition , (v) 
sharing customer experience and expertise to 
enhance e -HKD features, and (vi) providing 
The HKMA recognises the importance of the 
involvement and contribution of the private 
sector in the e-HKD project.  We welcome the 
suggestions and comments proposed by 
respondents, which will help enhance the e -
HKD development.</x:t>
  </x:si>
  <x:si>
    <x:t xml:space="preserve">41 
5 Role of  stakeholders in developing digital currency  in the 
Maldives  
5.1 Purpose 
The section is inten ded to map the domestic/regional stakeholders and their capacity 
for developing CBDC and stablecoin digital currency 
5.2 Stakeholders 
The stakeholders in CBDC projects usually include the following: 
• The Central Bank (the MMA)  – typically the sponsor of the programme is the 
Central Bank, which  has responsibility for the integrity of  the payment system 
and for monetary policy 
• The commercial banks – who will normally act as distributors of the currency to 
the public 
• Government Agencies, which will have an input to the potential uses of the CBDC 
or other digital instruments for the benefit of the country and its people ; in the 
Maldives, thes e include the Ministry of Climate, Tourism and Technology, the 
Ministry of Finance and other relevant agencies 
• Businesses, especially merchants, who will be major acceptors and users of the 
CBDC 
• The public , and community and consumer groups, will be c oncerned about 
matters such as safeguarding of customer funds, privacy and data protection 
• Technology providers, which may include more than one firm – the provider of 
the central CBDC Issuance system, the providers of conventional or b lockchain 
infrastructure and the tele coms providers, and the provider s of front-end 
technology such as mobile Apps , QR code registry, directory services, PoS 
technology 
• Regional groupings, in the case of the Maldives, SAARC, who will have an interest 
in potential cross-border payment and collateral arrangements and will wish to 
share learning about the uses of new technologies. 
The table in Annex 7 provides details of the expected ro les and responsibilities of the 
stakeholders. 
5.3 Role of FinTechs 
It is an aim of th is project to ensure that Maldivian FinTech companies are involved in 
the development of the CBDC and stablecoin / asset tokenization initiatives . A list of 
current FinTechs is provided as Annex 8. 
The main opportunity for FinTechs is in  the provision of end-customer products such as 
mobile Apps  and products that exploit the oppo rtunities for Open Banking  or DeFi . A 
centralised mobile App for CBDC use which includes the ability to have multiple wallets</x:t>
  </x:si>
  <x:si>
    <x:t xml:space="preserve">19 
products were tested in the Sandbox environment before the launch. The system provides a 
central mobile App, so bank-issued wallets may not be vital. 
Despite this the CBN was careful to ensure early collaboration with other financial 
institutions. A financial ID  (a bank verification number)  was organized before the launch , 
with the collaboration of the banks. This emphasizes the tight connection that exists between 
CBDC and digital ID. Public use of CBDC will always require some kind of secure digital 
identity. 
iv. Norges Bank, Norway 
Norway is already a country with sharply declining cash usage because of ubiquitous instant 
payment systems. The share of cash payments in Norway is probably, according to Norges 
Bank (the Central Bank), the lowest of any country in the world.  
After a period of desk research, Norges Bank launched a programme of testing for a potential 
CBDC around mid-2021, saying that it planned to examine various technical solutions for a 
potential digital Norwegian krone over a two-year period. A Norwegian blockchain company, 
Nahmii, was commissioned to create a ‘Sandbox environment’ to support CBDC 
experimentation.  
Norges Bank elected to use open -source software as a good starting -point for learning as 
much as possible in collaboration with developers and alliance partners. It has also been 
reported as having incorporated software from US Project Hamilton
9 into some of its test 
streams. As an Open-Source project, the technical Sandbox allows developers to engage either 
independently or in collaboration with Norges Bank. 
The focus of the Sandbox phase is on testing possible technical solutions combined with 
analysis of the need for a CBDC and consequences if a CBDC is introduced. Nahmii will build, 
maintain and train Norges Bank users and partners in the Sandbox environmen t. The 
expectation is that all major Norwegian banks will take part. The Sandbox, according to 
Nahmii, ‘allows for the testing of basic token management Use Cases, including minting, 
burning and transferring ERC-20 tokens.’10  
v. Lessons learned from CBDC Sandbox experiences. 
Results of experiments so far show that  Central Bank cont rol of CBDC/digital  currency 
Sandbox regimes has been successful in confirming the capabilities of blockchain systems in 
the CBDC context and especially the potential for use of smart contracts and programmable 
money. The Norwegian experiences suggests that  the open-source approach can add some  
flexibility and, as in all the cases, shows that early collaboration with the banking and FinTech 
industries is likely to deliver the richest streams of innovations that can add value to CBDCs. 
9 A project to design a  High-Performance Transaction Processor for Central Bank Digital Currencies, 
by the Federal Reserve Bank of Boston  and the ‘Digital Currency Initiative’ - a research community at 
the MIT Media Lab focused on cryptocurrency and blockchain technology  
10 ERC20 is the technical standard normally used for Ethereum-based fungible digital currency tokens.</x:t>
  </x:si>
  <x:si>
    <x:t xml:space="preserve">17
A Digital Ruble
October 2020
2. Applicability  
of a digital ruble
It is also important that the infrastructure allows digital ruble transactions initiated by the payee 
or third parties with the consent of the owner, which will, inter alia, support the existing technology 
of automatic payments for utility and other regular services provided to households.
2.6. CERTAIN AML/CFT/CFPWMD ISSUES
The use of a digital ruble will increase settlement transparency and help reduce AML/CFT/
CFPWMD risks as well as the costs of the financial industry in counteracting illegal actions. One of 
the advantages of the introduction of a digital ruble is the possibility of conducting analysis based 
on large amounts of data on economic entities and their payments.
The distribution of AML/CFT/CFPWMD control functions between the central bank and financial 
intermediaries in the context of the introduction of a digital ruble remains an open question. This 
will depend, among other things, on the nature of the access financial intermediaries have to data 
on digital ruble transactions.
At this point, it is more realistic to implement a model where financial institutions responsible 
for the execution of the national AML/CFT/CFPWMD legislation are endowed with relevant powers 
and their current functionality related to AML/CFT/CFPWMD is extended, inter alia, to digital ruble 
operations. As part of these measures, financial institutions will need to modernise their existing 
resources which are currently used to analyse customer activity.
2.7. PROTECTION OF DIGITAL RUBLE OWNERS
The use of a digital ruble implies the ability to use payment applications on mobile devices, use 
of ATMs and other automatic payment devices, and the ability to use digital ruble media offline. 
Therefore, if a digital ruble is introduced as a publicly available payment instrument, a targeted 
training programme should be carried out aimed at improving general digital and financial literacy 
and developing the skills required to perform digital ruble transactions. It would be advisable to 
include training in the use of digital payment instruments in the existing educational system. Special 
attention must be paid to certain categories of people with potentially low digital and financial 
literacy, as well as those who are not covered by the education system.
Mobile applications supporting digital ruble transactions should provide users with simple and 
clear information on the balance and operations in digital rubles. At the user’s request, detailed 
information on transactions must be provided, for example, in the form of an account statement 
sent by email or other communication channel. It is also important to provide convenient and 
reliable mechanisms for remote receipt and control of documents confirming a digital ruble payment, 
which includes documents to be transferred and used by payees or authorised organisations, for 
example, as proof of payment of a fee or state duty. When developing interfaces and devices for 
digital ruble payments, it is necessary to take into account the needs of people with disabilities. 
In particular, it is important to provide for different channels of information exchange and ways to 
control account balances and to conduct transactions for people with sensory impairments (sight, 
hearing), to ensure that visually impaired and blind people use familiar adaptive access programmes, 
and to develop simplified interfaces and modes for people with mental disabilities. There is the 
potential of using a voice-user interface.
If a digital ruble is used to pay for goods, works or services, reliable protection of consumer 
rights must be ensured, including:
•  specifying information on payment in digital rubles in documents confirming the purchase of / 
payment for goods, work or services;
•  establishing a procedure (specifics) for returning money to consumers when they cancel 
transactions or return goods previously paid for using digital rubles;</x:t>
  </x:si>
  <x:si>
    <x:t xml:space="preserve">32 BIS Papers No 123 
institutions, as they are known in Brazil –  has been operational for almost a decade. 
And, finally, an instant payment system –  Pix – went live in November 2020 and has 
been very well received by the public, with more than 330 million individual keys 
(aliases) in operation.3 In a period of 12 months, Pix was the channel for the first ever 
digital money  transfer for 45 million people, an important step towards financial 
inclusion. 
These modernising initiatives are part of a broader process of digital 
transformation in our society.  Financial markets are getting reorganised to better 
deal with the flow of information generated by our daily routines. In this convergence 
of technologies and services, the use of payment information brings up potential for 
financial innovation, for the provision of new services, and for increasing the efficiency 
of currently available services. 
In Brazil the main objective of the introduction of a CBDC is to provide 
entrepreneurs with a safe and reliable environment to innovate through the use 
of programmability technologies, such as programable money and smart 
contracts. In the  context of a modern payment system, already available to the 
Brazilian population, a full -fledged CBDC must enable new functionalities, beyond 
those brought by an instant payment arrangement. Therefore, the innovation tool for 
which the BCB envisions the greatest potential is the development of a platform for 
smart payments. 
Technologies available for smart payments, as seen in the cryptoassets 
ecosystem, open up space for new business models and are better suited to 
meeting the population's demand for natively digital means of settlement. Asset 
tokenisation and the issuance of digital assets is a reality. It is up to regulators to 
provide a safe environment so that entrepreneurs can propose innovations and a 
larger base of citizens can benefit from thes e technologies, without exposure to the 
uncertainties of an unregulated financial environment (as stated in BCB (2021c)).  
The potential for financial inclusion of these technologies is clear when 
associated with other actions promoted by central banks. As discussed in Schär 
(2021), technological features available in the cryptoassets ecosystem, such as 
standardisation and interoperability, reusability of protocols, and composability of 
financial services, may result in new products that reach their target a udience in a 
shorter period, are better suited to people’s needs, and are able to operate at lower 
average tickets than currently possible. At the same time, such features allow for a 
high degree of auditability, traceability, and transparency, providing t he necessary 
tools for supervision. 
Nonetheless, a mature governance is a fundamental aspect of stable 
financial and payment system s. Although innovations based on smart payment 
technologies are being used in the decentralized finance ecosystem, their current 
governance devices fall short of the requirements compatible with the level of 
integrity essential to the operation of financial and payment systems. Thus, as 
observed in Aramonte and Schrimpf (2021), a fully decentralized environment is most 
likely not achievable under current integrity requirements. Therefore, incorporating 
3  The current arrangement in the Brazilian e- money market provides a synthetic CBDC (sCBDC) as 
defined in Soderberg (2022), and the instant payments system, Pix, can be seen as  the final step in 
providing such an instrument to the general population.</x:t>
  </x:si>
  <x:si>
    <x:t xml:space="preserve">7
c
onne
c
t
di
g
i
t
a
l
w
a
l
l
e
t
s
of
di
f
f
e
r
e
nt
ope
r
a
t
or
s
a
s
w
e
l
l
a
s
c
onne
c
t
e
-
C
N
Y
w
a
l
l
e
t
w
i
t
h
ba
nk
a
c
c
ount
s
,
t
hus
i
m
pr
ovi
ng
t
he
i
nt
e
r
ope
r
a
bi
l
i
t
y
of
pa
y
m
e
nt
i
ns
t
r
um
e
nt
s
.
3.2
3.2
3.2
3.2
F
e
at
u
r
e
s
F
e
at
u
r
e
s
F
e
at
u
r
e
s
F
e
at
u
r
e
s
of
of
of
of
e
-
C
N
Y
e
-
C
N
Y
e
-
C
N
Y
e
-
C
N
Y
d
e
s
i
gn
d
e
s
i
gn
d
e
s
i
gn
d
e
s
i
gn
T
he
de
s
i
gn
of
e
-
C
N
Y
t
a
ke
s
a
c
c
ount
of
t
he
a
dva
nt
a
ge
s
of
bot
h
phy
s
i
c
a
l
R
M
B
a
nd
e
l
e
c
t
r
oni
c
pa
y
m
e
nt
i
ns
t
r
um
e
nt
s
.
T
he
r
e
f
or
e
i
t
s
ha
r
e
s
bot
h
t
he
f
e
a
t
ur
e
s
of
phy
s
i
c
a
l
R
M
B
,
s
uc
h
a
s
s
e
t
t
l
e
m
e
nt
upon
pa
y
m
e
nt
a
nd
a
nony
m
i
t
y
,
a
nd
t
he
f
e
a
t
ur
e
s
of
e
l
e
c
t
r
oni
c
pa
y
m
e
nt
i
ns
t
r
um
e
nt
s
,
w
hi
c
h
a
r
e
l
e
s
s
c
os
t
l
y
,
hi
g
hl
y
por
t
a
bl
e
,
hi
g
hl
y
e
f
f
i
c
i
e
nt
a
nd
ha
r
d-
t
o-
c
ount
e
r
f
e
i
t
.
T
he
de
s
i
g
n
of
e
-
C
N
Y
m
a
i
nl
y
c
ons
i
de
r
s
t
he
f
ol
l
ow
i
ng
f
e
a
t
ur
e
s
:
3.2.1
3.2.1
3.2.1
3.2.1
I
d
e
n
t
i
f
i
ab
l
e
I
d
e
n
t
i
f
i
ab
l
e
I
d
e
n
t
i
f
i
ab
l
e
I
d
e
n
t
i
f
i
ab
l
e
b
ot
h
b
ot
h
b
ot
h
b
ot
h
as
as
as
as
an
an
an
an
ac
c
ou
n
t
-
b
as
e
d
ac
c
ou
n
t
-
b
as
e
d
ac
c
ou
n
t
-
b
as
e
d
ac
c
ou
n
t
-
b
as
e
d
an
d
an
d
an
d
an
d
a
a
a
a
val
u
e
-
b
as
e
d
val
u
e
-
b
as
e
d
val
u
e
-
b
as
e
d
val
u
e
-
b
as
e
d
s
ys
t
e
m
s
ys
t
e
m
s
ys
t
e
m
s
ys
t
e
m
E
-
C
N
Y
i
s
a
n
a
c
c
ount
-
ba
s
e
d,
qua
s
i
-
a
c
c
ount
-
ba
s
e
d
a
nd
va
l
ue
-
ba
s
e
d
hy
b
r
i
d
pa
y
m
e
nt
i
ns
t
r
um
e
nt
.
I
t
ha
s
a
va
r
i
a
bl
e
f
a
c
e
va
l
ue
a
nd
i
t
s
va
l
ue
t
r
a
ns
f
e
r
t
a
ke
s
t
he
f
or
m
of
c
r
y
p
t
oc
ur
r
e
nc
y
s
t
r
i
ng
s
.
3.2.2
3.2.2
3.2.2
3.2.2
N
on
-
i
n
t
e
r
e
s
t
N
on
-
i
n
t
e
r
e
s
t
N
on
-
i
n
t
e
r
e
s
t
N
on
-
i
n
t
e
r
e
s
t
ac
c
r
u
al
ac
c
r
u
al
ac
c
r
u
al
ac
c
r
u
al
T
he
e
-
C
N
Y
i
s
a
s
ubs
t
i
t
ut
e
f
or
M
0.
T
hus
,
i
t
i
s
t
r
e
a
t
e
d
t
he
s
a
m
e
a
s
t
he
phy
s
i
c
a
l
R
M
B
unde
r
M
0,
w
hi
c
h
c
a
r
r
i
e
s
a
nd
pa
y
s
no
i
nt
e
r
e
s
t
.
3.2.3
3.2.3
3.2.3
3.2.3
L
ow
L
ow
L
ow
L
ow
c
os
t
s
c
os
t
s
c
os
t
s
c
os
t
s
C
ons
i
s
t
e
nt
w
i
t
h
t
he
m
a
na
ge
m
e
nt
of
phy
s
i
c
a
l
R
M
B
,
t
he
P
B
O
C
doe
s
not
c
ha
r
g
e
a
ut
hor
i
z
e
d
ope
r
a
t
or
s
f
or
e
x
c
ha
nge
a
nd
c
i
r
c
ul
a
t
i
on
s
e
r
vi
c
e
s
,
a
nd
t
he
ope
r
a
t
or
s
do
not
c
ha
r
g
e
i
ndi
vi
dua
l
c
l
i
e
nt
s
f
or
t
he
e
xc
ha
nge
of
e
-
C
N
Y
e
i
t
he
r
.
3.2.4
3.2.4
3.2.4
3.2.4
S
e
t
t
l
e
m
e
n
t
S
e
t
t
l
e
m
e
n
t
S
e
t
t
l
e
m
e
n
t
S
e
t
t
l
e
m
e
n
t
u
p
on
u
p
on
u
p
on
u
p
on
p
aym
e
n
t
p
aym
e
n
t
p
aym
e
n
t
p
aym
e
n
t
A
c
c
or
di
ng
t
o
s
e
t
t
l
e
m
e
nt
f
i
na
l
i
t
y
,
t
he
e
-
C
N
Y
i
s
l
oos
e
l
y
c
oupl
e
d
w
i
t
h
ba
nk
a
c
c
ount
s
,
a
nd
t
hus
pa
y
m
e
nt
s
t
hr
ough
e
-
C
N
Y
w
a
l
l
e
t
s
a
r
e
s
e
t
t
l
e
d
upon
pa
y
m
e
nt
.
3.2.5
3.2.5
3.2.5
3.2.5
A
n
on
ym
i
t
y
A
n
on
ym
i
t
y
A
n
on
ym
i
t
y
A
n
on
ym
i
t
y
(
m
an
age
d
(
m
an
age
d
(
m
an
age
d
(
m
an
age
d
an
on
ym
i
t
y)
an
on
ym
i
t
y)
an
on
ym
i
t
y)
an
on
ym
i
t
y)
E
-
C
N
Y
f
ol
l
ow
s
t
he
pr
i
nc
i
pl
e
of
“
a
nony
m
i
t
y
f
or
s
m
a
l
l
va
l
ue
a
nd
t
r
a
c
e
a
bl
e
f
or
hi
g
h
va
l
ue
,
”
a
nd
a
t
t
a
c
he
s
g
r
e
a
t
i
m
por
t
a
nc
e
t
o
pr
ot
e
c
t
i
ng
pe
r
s
ona
l
i
nf
or
m
a
t
i
o
n
a
nd
pr
i
va
c
y
.
I
t
a
i
m
s
t
o
m
e
e
t
t
he
publ
i
c
de
m
a
nd
f
or
a
nony
m
ous
s
m
a
l
l
va
l
ue
pa
y
m
e
nt
s
e
r
vi
c
e
s
ba
s
e
d
on
t
he
r
i
s
k
f
e
a
t
ur
e
s
a
nd
i
nf
or
m
a
t
i
on
pr
oc
e
s
s
i
ng
l
og
i
c
of
c
ur
r
e
nt
e
l
e
c
t
r
oni
c
pa
y
m
e
nt
s
y
s
t
e
m
.
M
e
a
nw
hi
l
e
,
i
t
i
s
ne
c
e
s
s
a
r
y
t
o
g
ua
r
d
a
ga
i
ns
t
t
he
m
i
s
us
e
of
e
-
C
N
Y
i
n
i
l
l
e
g
a
l
a
nd
c
r
i
m
i
na
l
a
c
t
i
vi
t
i
e
s
,
s
uc
h
a
s
t
e
l
e
-
f
r
a
ud,
I
nt
e
r
ne
t
g
a
m
bl
i
ng
,
m
one
y
l
a
unde
r
i
ng,
a
nd
t
a
x
e
va
s
i
on
by
m
a
ki
ng
s
ur
e
t
ha
t
t
r
a
ns
a
c
t
i
ons
c
om
pl
y
w
i
t
h
A
M
L
/
C
F
T
r
e
qui
r
e
m
e
nt
s
.
T
he
e
-
C
N
Y
s
y
s
t
e
m
c
ol
l
e
c
t
s
l
e
s
s
t
r
a
ns
a
c
t
i
on
i
nf
or
m
a
t
i
on
t
ha
n
t
r
a
di
t
i
ona
l
e
l
e
c
t
r
oni
c
pa
y
m
e
nt
a
nd
doe
s
not
pr
ovi
de
i
nf
or
m
a
t
i
on
t
o
t
hi
r
d
pa
r
t
i
e
s
or
ot
he
r
g
ove
r
nm
e
nt
a
ge
nc
i
e
s
unl
e
s
s
s
t
i
pul
a
t
e
d
ot
he
r
w
i
s
e
i
n
l
a
w
s
a
nd
r
e
gul
a
t
i
ons
.
I
nt
e
r
na
l
l
y
,
t
he
P
B
O
C
s
e
t
s
up
a
f
i
r
e
w
a
l
l
f
or
e
-
C
N
Y
-
r
e
l
a
t
e
d
i
nf
or
m
a
t
i
on,
a
nd
s
t
r
i
c
t
l
y
i
m
pl
e
m
e
nt
s
i
nf
or
m
a
t
i
on
s
e
c
ur
i
t
y
a
nd
pr
i
va
c
y
pr
ot
oc
ol
s
,
s
uc
h
a
s
de
s
i
g
na
t
i
ng
s
pe
c
i
a
l
pe
r
s
onne
l
t
o
m
a
na
ge
i
nf
or
m
a
t
i
on,
s
e
pa
r
a
t
i
ng
e
-
C
N
Y
f
r
om
ot
he
r
bus
i
ne
s
s
e
s
,
a
ppl
y
i
ng
a
t
i
e
r
e
d
a
ut
hor
i
z
a
t
i
on
s
y
s
t
e
m
,
put
t
i
ng
i
n
pl
a
c
e
c
he
c
ks
a
nd
ba
l
a
nc
e
s
,
a
nd
c
onduc
t
i
ng
i
nt
e
r
na
l
a
udi
t
s
.
A
ny
a
r
bi
t
r
a
r
y
i
nf
or
m
a
t
i
on
r
e
que
s
t
s
or
us
e
a
r
e
pr
ohi
bi
t
e
d.</x:t>
  </x:si>
  <x:si>
    <x:t xml:space="preserve">16161616PB
White Paper on Macao Special Administrative Region’s e-MOP
3. Objectives and Potential Benefits of
    e-MOP
A. Objectives 
3.1. In response to the global trend in financial technology development, 
the Macao SAR Government has been undertaking research and 
development on the e-MOP, with the goal of creating a digital form 
of legal tender that aligns with robust advancements in network 
technology and the digital economy.  This initiative aims to meet the 
growing public demand for convenient, secure, inclusive and privacy-
friendly retail payments.  Simultaneously, the adoption of e-MOP is 
expected to enhance financial inclusion, maintain financial stability 
and provide solid support for Macao’s financial industry, as well as 
the broader socioeconomic development.
3.2. Hence, the institutional design of e-MOP aims to address the 
demand for payment services from both public and private entities.  
In addition, the introduction of e-MOP is intended to boost regional 
competitiveness in trade and finance, aligning with Macao’s vision of 
constructing a “digital city” and a “smart city”.
3.3. As a legal tender by nature, e-MOP can be accessed via specialised 
software and hardware wallets.  e-MOP will also be integrated into 
existing payment tools or online consumption platforms, serving 
as a basis for cross-platform payments and settlements as well as</x:t>
  </x:si>
  <x:si>
    <x:t xml:space="preserve">Conceptual Feasibility 
Problem Statement:
In Thailand, tracing the financial pathways of financial 
crimes is time-consuming due to redundant processes 
and inefficiencies, as well as a lack of data 
connectivity in the current financial system. This delay 
causes drawbacks to the public and consumes 
extensive government resources. Even when financial 
trails are detected, entire bank accounts must be 
frozen, as it is challenging to distinguish between 
legitimate funds and illicit money within the same 
account.
Fraud Handling
Potential of Retail CBDC Solution : 
As initiated by Siam Commercial Bank Public 
Company Limited, a token -based CBDC, equipped 
with a unique serial number (like token identifier) has 
the potential to significantly aid in addressing fraud -
related use cases. It allows for the direct identification 
of the specific Retail CBDC units that were in the 
possession of criminals, enabling tracking at individual 
token level. This approach contrasts with current 
procedures, which necessitate tracing and freezing 
funds at the account level to address illicit financial 
flows. 
However, it is crucial to note that while this use case is 
technically feasible, it has not yet been tested in a 
real-world scenario. Further exploration into 
governance, operations, legal implications, and the 
roles of relevant parties is essential to fully realize this 
concept.
Pilot Program - Retail CBDC Conclusion Report 33
Figure 11: Conceptual Feasibility – Fraud Handling
Source: Bank of Thailand</x:t>
  </x:si>
  <x:si>
    <x:t xml:space="preserve">5 
Glossary of Terms 
Term Definition 
AML/CFT or AMLT Measures for Anti Money Laundering and Countering the Financing of 
Terrorism 
API Application Programming Interface – a connection between systems that 
allows one system to communicate with another via request -response 
dialogues 
ASEAN The Association of South East Asian Nations – an economic community of 
10 countries in South East Asia 
BIS Bank for International Settlements, located in Basel, Switzerland is the 
forum used by Central Banks for agreeing standards. The payment 
standards body in BIS is known as CPMI – Committee on Payments and 
Market Infrastructures 
Blockchain Term used to describe a particular type of Distributed Ledger Technology 
(DLT), in which the transaction ledger for a system is created step by step 
as a series of “blocks” by a cryptographic process, so that the ledger is 
shared and validated by participants rather than one central authority . 
Blockchains used for CBDCs, however are usually under Central Bank 
governance, with access limited by permissions granted to specific 
financial organizations 
Caricom Caribbean Community – an economic co-operation arrangement between 
the Caribbean countries 
CBDC Central Bank Digital Currency – a digital currency issued and redeemed by 
a Central Bank, which may or may not use blockchain infrastructure 
CBoB Central Bank of the Bahamas 
CFTC The US Commodities and Futures Trading Commission – the US Regulator 
for the commodities trading industry 
crypto-asset A digital token representing an asset with a value whose ownership and 
transactions in which it has been involved is recorded on a blockchain 
database, which may also contain, in ‘smart contracts’ the instructions and 
rules for how the asset can be transferred or otherwise used or 
manipulated. Such assets may include cryptocurrencies, CBDCs, securities 
(potentially equities and bonds) and Non-Fungible Tokens’ (NFTs), such as 
unique title documents and works of art</x:t>
  </x:si>
  <x:si>
    <x:t xml:space="preserve">18 
Problem statement Feedback received HKMA’s response 
(iii) Many respondents saw the need for a rigorous threat model for 
assessing the security of the technology architecture, which is 
critical to any robust and resilient design. 
(iv) Some respondents suggested that the development of a 
framework of cybersecurity controls should take a phased 
approach to test defence measures in a proof -of-concept 
environment before actual deployment.  They also highlighted 
that an infra structure for continuous monitoring of threats and 
incidents should be in place when deployed. 
5. Compliance (i) Many respondents particularly highlighted the need to seek a 
balance between privacy, traceability and support of AML/CFT 
compliance.  Some of them suggested that a tiered privacy 
approach, with full anonymity for small value transactions and 
traceability for high value transactions, could be adopted to 
implement risk-based compliance while protecting privacy to a 
certain degree. 
(ii) There was general agreement among respondents to use the e -
HKD project as a valuable opportunity to introduce regulation-by-
design.  Many saw that CBDC would offer potential to improve the 
AML/CFT process. 
The HKMA concurs that managing competing 
design principles, with due regard to 
regulatory and compliance standards, would 
be one of the critical aspects in the design 
architecture of CBDC.  It also welc omes the 
involvement of stakeholders to understand 
their perspectives on various aspects of the 
CBDC system, such as use cases and AML/CFT 
issues.</x:t>
  </x:si>
  <x:si>
    <x:t xml:space="preserve">8 – Payments and market infrastructures in the digital era
CHAPTER 20  THE ROLE AND CONTRIBUTION OF INNOVATION  
FOR PAYMENT INSTRUMENTS AND MARKET INFRASTRUCTURES
3.2.2.  An approach through 
experimentation
The learning-by-doing approach 
adopted by most central banks
It is generally accepted that work on a 
digital currency would be incomplete if it 
were to remain purely theoretical. Public 
consultations and exchanges with market 
stakeholders set up by several institutions 
have significantly contributed to this work. 
Beyond these initiatives, many institutions 
have gone a step further and adopted a 
learning-by-doing approach, in partnership 
with private and public market players. This 
approach consists in conducting experiments 
aimed at giving concrete reality to the CBDC 
and its possible uses without nonetheless 
giving it legal existence. However, it is 
important to note that the concept of 
experimentation covers far more diverse 
aspects than the term might initially suggest.
The methods of experimenting with systems 
based on a shared ledger that have been 
chosen by the various institutions aim to “get 
closer to reality” by using different criteria: 
they may include implementing a technical 
platform based on the target technologies, 
reproducing end-to-end business processes 
on the platform, involving ecosystem actors 
or testing how the platform interacts with 
existing systems.
Indeed, different approaches have been 
used in the experiments conducted to 
date. The interbank CBDC experiment 
conducted in 2020 by the Innovation Hub 
of the Bank for International Settlements 
(BIS) with the Swiss National Bank and SIX, 
Switzerland’s Central Securities Depository, 
has opted for a “proof of concept” based on 
test environments close to the production 
environments, involving the target users 
and focusing on real operations. For its 
long-term Ubin experiment (2016-20), the 
Monetary Authority of Singapore (MAS) 
has opted for an approach of successive 
prototypes demonstrating the feasibility of 
several interbank CBDC use cases (payment, 
delivery versus payment, payment versus 
payment) across several target technologies. 
A similar approach is used for the retail CBDC 
experiments conducted by the Eurosystem, 
where different issuance models are tested 
on a purely technical basis, without the 
actual issuance of money or involvement 
of target users.
The experiments can thus be conducted on 
fictitious data or on real data: in the latter 
case, the operations conducted in the 
experimentation have legal consequences, 
for example, transfers of assets between 
experiment participants. The Banque 
de France was the first to conduct 
interbank CBDC experiments, including 
the implementation of a CBDC “under 
real conditions” .
Experiments under real conditions 
at the Banque de France
For the implementation of its CBDC 
experimentation programme, the Banque 
de France has selected a varied panel 
of partners that include foreign central 
banks, leading commercial banks, market 
infrastructure managers and Fintechs. This 
diversity of views within the financial sector 
has allowed for a clear understanding of 
the use cases of a CBDC and its potential 
impact on the financial ecosystem. The tests 
conducted under real conditions focused 
on delivery versus payment (DvP), payment 
versus payment (PvP) transactions, and 
cross-border payments involving, in most 
cases, tokenised financial assets.
The programme showed how an interbank 
CBDC could help secure the development 
of tokenised financial markets by providing 
stakeholders with the benefits of distributed 
ledger technology, in particular distributed 
ledger-based end-to-end processing of 
tokenised securities settlement and 
payment-versus-payment transactions, 
including cross-border transactions, while 
benefiting from secure central bank money 
settlement for the transactions made in this 
manner. Many jurisdictions are considering 
issuing a CBDC to support cross-border 
transactions and cross-currency payments, a</x:t>
  </x:si>
  <x:si>
    <x:t xml:space="preserve">PROJECT ORCHID - PROGRAMMABILITY OF DIGITAL SGD

Beyond immediate transaction fees, there would 
be additional costs of building, operationalising, 
onboarding merchants and parties to digital SGD 
and PBM technology. Any such system would then 
need to ensure that the overall cost of the system is 
kept low for it to be a viable alternative. 
6.5 Digital Readiness 
Electronic payments and the adoption of digital 
technology in Singapore has accelerated in recent 
years. However, the introduction of any new forms 
of payment instrument in the form of a digital SGD 
would likely require some adjustment to the user 
experience and might be viewed as disruptive by 
some. 
The digital savviness of the stakeholders is 
applicable to the design of the PBM scheme as 
well. For government disbursement, this refers to 
merchants as well as the voucher recipients.  Some 
merchants and citizens might be more accustomed 
to using paper vouchers and may not be familiar 
with mobile apps. This could discourage 
merchants and citizens from adopting digital SGD 
and PBM. 
Given this, further design considerations would 
have to be in place to determine if digital SGD is a 
viable alternative to traditional cash. It is important 
that special care be made to keep the user 
experience intuitive and accessible especially to 
more vulnerable segments of the population. 
Future research may include studying options for 
offline payment for low-value payments to reduce 
network reliance and support financial inclusion 
within the country. 
6.6 Security
If users lose their private keys to their digital 
wallets, there is no feasible way to get back access 
to the contents of their digital wallets. This also 
means that any digital asset or PBM that is stored 
within that digital wallet will be inaccessible to 
any party. One way to mitigate this risk is the 
creation of a credentials management module by 
an accountable party to preserve the private keys 
of digital wallets on behalf of users. Therefore, if 
users lose their private keys, they would be able 
to retrieve their keys via a login ID and password 
from the party. Another approach is to invalidate 
the underlying backing digital currency and 
reuse an equivalent amount to the user. This will, 
however, require coordination with the issuer of the 
underlying digital currency.
Smart contracts, which are self-executing code 
that contains the business logic for digital 
currency-based solutions, might be targeted by 
malicious actors who seek to exploit vulnerabilities 
in the smart contract code to drain funds or 
to manipulate the market, leading to a loss of 
confidence. Aside from reviewing the code itself, a 
thorough review of the information security process 
would need to include the full development and 
deployment lifecycle as well.
Aside from guarding against the initial exploit, 
incident management is important as well. 
Unlike centralised systems with a known operator, 
blockchain based networks, relies on consensus 
from a group of participating validating nodes 
(which are sometimes anonymous) to preserve 
the integrity of records. Consequently, in the event 
of an exploit, it would be much harder to organise 
a coordinated response such as blocking a 
transaction.
Given the experimental nature of the initial phase 
of Project Orchid, the trials conducted by industry 
participants involved a restricted group of trial 
participants and merchants, with low value and 
limited number of transactions. Hence, a thorough 
security review and recommendation is not in 
scope. This will need to be revised in subsequent 
phases of Project Orchid.
6.7 Anti-Money Laundering and 
Countering Financing of Terrorism 
While a seamless user experience is an important 
design goal, it is equally paramount to ensure 
that there is a proper procedure to conduct risk 
assessment and enforce anti-money laundering 
(AML) and countering the financing of terrorism 
(CFT) commitments. 
PBMs are designed to be used in a permissioned 
ecosystem and for payments of goods and services 
that are provided by approved merchants. This is to 
mitigate money laundering and terrorist financing 
risk concerns. As PBM is extended to other use 
cases in future, additional safeguards and risk 
appropriate measures may need to be introduced. 
To mitigate risks, the digital SGD issuer, the 
merchant wallet provider and the entity handling 
the last mile settlement would need to be a 
regulated bank or payment institution. 
 ○ The digital SGD issuer mints and provisions the 
underlying digital currency backing the PBM 
in accordance to the terms and conditions 
prescribed by the PBM Creator. The PBM</x:t>
  </x:si>
  <x:si>
    <x:t xml:space="preserve">Payments and market infrastructures in the digital era – 9
CHAPTER 20  THE ROLE AND CONTRIBUTION OF INNOVATION  
FOR PAYMENT INSTRUMENTS AND MARKET INFRASTRUCTURES
context where the experiments have shown 
that the interoperability of CBDCs with each 
other could contribute to simplifying and 
improving the performance and accessibility 
of such transactions and payments.
As the Banque de France follows a technology-
agnostic approach, its experiments have 
made it possible to test various technologies, 
whether private or public DLTs implemented 
on open or proprietary protocols. The 
experiments have shown that, regardless 
of the underlying technology, an interbank 
CBDC can be an effective means of payment 
for the multiple use cases envisaged. They 
also confirmed that central banks can retain 
control of the CBDC over these different 
types of DLTs, in particular by exploiting 
the programmability features of central bank 
money provided by this technology.
The conclusions of this first experimental 
programme conducted in 2020 and 2021, 
which were the subject of a report2 and a 
press release3 published on the Banque de 
France website, confirm the intuitions that 
prompted the Banque de France to launch 
the programme: an interbank CBDC would 
maximise the benefits expected by the 
market from the use of DLT for interbank 
transactions by giving market participants a 
secure means of settlement in central bank 
money, thus eliminating any counterparty 
risk, in compliance with the European 
and international rules implemented after 
the 2008 crisis. As regards the methodology, 
the experiments with market participants 
have proven to be a valuable tool to test, 
under real conditions, the selected use cases 
and help develop the definition of what a 
future interbank CBDC could look like.
For these reasons, the Banque de France 
will continue its experimental programme 
in 2022. In particular, the programme will 
look more closely at cross-border payments 
and interoperability issues between DLT 
and conventional systems, while providing 
technical answers to performance, 
environmental and security issues, which are 
crucial for the market scaling of the tested 
solutions. This new work will help assess the 
benefits and risks of issuing an interbank (or 
wholesale) CBDC for the Eurosystem.
3.3. Managing the risks
3.3.1.  Ensuring the proper functioning 
of market infrastructures 
and their compatibility
While the current wave of technological 
innovations and the emergence of new 
stakeholders are creating opportunities for 
the financial industry in general and for market 
infrastructures and payment systems in 
particular, they also pose specific operational, 
legal and financial risks and challenges that 
financial system regulators, supervisors and 
oversight bodies need to address.
Regulators ensure that market infrastructures 
function properly and comply with 
applicable regulations. While regulations 
must distinguish between the functions 
performed, they must remain agnostic as 
to the technology used to provide these 
functions or services. To the extent that a 
settlement and delivery service meets the 
definition provided by the Central Securities 
Depository Regulation (CSDR)4 (see Chapter 
12), such service must comply with the 
regulation, irrespective of the technology 
used, blockchain or another. Similarly, the 
status of the actor providing the service 
should not be taken into account. Whether the 
actors are new entrants or well-established, 
performing roles in market infrastructures 
requires them to comply with the relevant 
regulations, such as with the Settlement 
Finality Directive (SFD), 5 CSDR, the 
European Market Infrastructure Regulation 
(EMIR) 6 or the Systemically Important 
Payment Systems (SIPS) Regulation.7
Beyond ensuring neutrality towards the 
technology and the actors, the most 
advanced initiatives applying blockchain 
to back-office operations8 raise two more 
specific implementation issues: compliance 
with the principle of delivery versus payment 
(DvP) (see Chapters 5 and 18) and the use 
of central bank money as a settlement asset 
(see Chapter 5).
2  Available at https://www.
banque-france.fr/sites/  
default/files/media/  
2021/11/09/821338_  
rapport_mnbc-04.pdf
3  Available at https://
www.banque-france.fr/
communique-de-presse/
la-banque-de-france-pu-
blie-son-rapport-des-
experimentations-de-
monnaie-numerique-
de-banque-centrale
4  Regulation (EU) No. 
909/2014 of the  
European Parliament 
and of the Council of 23 
July 2014 on improving 
securities settlement 
in the European Union 
and on central securi -
ties depositories.
5  Directive 98/26/EC of 
the European Parliament 
and of the Council of 19 
May 1998 on settle -
ment finality in payment 
and securities settle -
ment systems.
6  Regulation (EU) No. 
648/2012 of the  
European Parliament and 
of the Council of 4 July 
2012 on OTC derivatives, 
central counterparties 
and trade repositories.
7  Regulation of the 
European Central Bank 
(EU) No. 795/2014 of 
3 July 2014 on over -
sight requirements for 
systemically important 
payment systems.
8  Improvement of the 
commercial paper 
processing chain,  
back-office solution for 
listed and unlisted SME 
securities, solution for 
monitoring fund liabili -
ties, etc.</x:t>
  </x:si>
  <x:si>
    <x:t xml:space="preserve">National Bank of Ukraine   
        Assessment of Pilot Project’s Outcomes 31 
so that official updates of software from external 
producers can be installed in a regular mode.  
However, when building the Platform, it was impossible to 
use some of the main features that separate DLT from the 
classic technologies for building financial information 
systems. In particular, the idea of decentralizing the 
transaction validation function in the network, which can be 
implemented most successfully by means of DLT, in fact 
contradicts the principle that only the NBU may issue e -
hryvnia. The public accessibility of the Platform’s financial 
transactions for review and verification is not a crucial or, in 
certain cases, even desired feature of a technology used for 
CBDC. 
Assessment of the basic technological solution used for 
implementation of the Platform allows for a gen eral 
conclusion that it will be fully possible and effective, although 
not mandatory (due to the lack of fundamental advantages), 
to use the distributed ledger technology for the Platform’s 
operation under the centralized model of e -hryvnia issuance 
and circulation. 
The main technological risk for development and distribution 
of the Platform in its current version is that a private version 
of the Stellar blockchain protocol (which was brought in line 
with the NBU’s requirements) was used for the Platform. 
Such version hampers (virtually prevents) the elimination of 
errors and vulnerabilities of the Stellar blockchain protocol as 
well as the development of the Platform’s functions as new 
options are being added to the basic blockchain protocol. 
Moreover, the private version of the blockchain protocol 
makes the system highly dependent on the company 
developing a certain protocol version, which creates 
competitive advantages for such company for the whole 
period of the Platform’s operation.  
This risk makes it virtually unacceptable to apply at a national 
scale the solution used in the Pilot Project. The risk has to be 
taken into consideration in further development and 
reengineering of the Platform. 
4.3. Assessment of Technical Results and Specifics of Creating Platform and Its 
Operation
The technical and technological specifics make the Platform’s 
hardware and software stand out from the most systems that 
are implemented and function at the NBU (that is , the 
systems purchased from development companies with 
available support and maintenance or the systems developed 
by the NBU). Therefore, during the implementation of the 
Platform, some technical issues arose, which were difficult to 
resolve given the cur rent methodological documents, typical 
processes and procedures in the National Bank.  Technical 
issues at the preparation phase of the Pilot Project pertained 
to the fact that the software development for modern 
information systems based on open-source projects requires 
direct Internet access to web repositories at bitbucket.org, 
github.com, etc. A software component from a repository may 
require additional scripts, libraries, or software modules from 
repositories of other developers.  
Such projects usually have the system of automated control 
over “dependency” of the software being developed on the 
source code by other developers that is used in the project, 
as well as the software version control system. Thus, creating 
a local supervised repository with al l software scripts and 
modules that may be compiled and assembled into the 
Platform’s components was a difficult task without open 
Internet access, which was impossible to solve during the 
Pilot Project. The solution that implies storing all source 
scripts and modules in our own local repository would be 
neither efficient nor worthwhile, since developers 
continuously improve their software code to eliminate all 
found errors, discrepancies, and vulnerabilities as well as to 
improve the software’s performance , speed, etc. Therefore, 
the only effective way of implementing the systems based on 
open-source projects would be to use a test solution with 
open Internet access to build and test the Platform’s 
components and to develop an efficient procedure for testing 
and introducing changes in the production environment. 
The specifics of the blockchain solution selected for the Pilot 
Project include a requirement of time synchronization 
between the Platform’s nodes (especially validator nodes). In 
the test environmen t, blocks were closing unstably in the 
event of time desynchronization of over 10 seconds between 
validator servers. 
It is worth noting that, once a certain volume of data is stored 
to the Platform, there is a major slowdown in recovering a 
registered validator node and in adding a new one. Such an 
effect was found in the test system and, to some extent, 
during the recovery of validator nodes in the production 
environment in the course of the Pilot Project. After six or 
more weeks of collection of data on the Platform’s operation, 
the recovery rate of the last 20% of data was only three times 
higher than the speed with which new blocks emerged, which 
led to the long recovery (over several days) of validators. The 
company that had developed the basic version of the 
Platform was not able to help in eliminating the found 
discrepancy. According to open sources, such issue was 
resolved in later versions of Stellar libraries after the basic 
one, but it was impossible to make the required modifications 
to the Platfo rm’s software, since it was forked without 
ensuring the compatibility with the source code of the basic 
version, and the nodes of the test and production 
environments had no free Internet access. 
In addition a potential system-level emergency was identified. 
It may arise if validation of transactions (closing of blocks)</x:t>
  </x:si>
  <x:si>
    <x:t xml:space="preserve">Frozen v10.1 codebook</x:t>
  </x:si>
  <x:si>
    <x:t xml:space="preserve">code</x:t>
  </x:si>
  <x:si>
    <x:t xml:space="preserve">family</x:t>
  </x:si>
  <x:si>
    <x:t xml:space="preserve">label</x:t>
  </x:si>
  <x:si>
    <x:t xml:space="preserve">definition</x:t>
  </x:si>
  <x:si>
    <x:t xml:space="preserve">code_when</x:t>
  </x:si>
  <x:si>
    <x:t xml:space="preserve">dont_code_when</x:t>
  </x:si>
  <x:si>
    <x:t xml:space="preserve">Column1</x:t>
  </x:si>
  <x:si>
    <x:t xml:space="preserve">PRIV.ANON</x:t>
  </x:si>
  <x:si>
    <x:t xml:space="preserve">PRIV</x:t>
  </x:si>
  <x:si>
    <x:t xml:space="preserve">Anonymita / pseudonymita</x:t>
  </x:si>
  <x:si>
    <x:t xml:space="preserve">Stupeň identifikovatelnosti uživatele v CBDC — od cash-like anonymity přes pseudonymitu (stable wallet ID re-identifiable by authorities) po plnou traceability. Strength 1 = okrajová zmínka, 2 = explicitní deklarace stupně, 3 = normativní/design rozhodnutí.</x:t>
  </x:si>
  <x:si>
    <x:t xml:space="preserve">Pasáž explicitně diskutuje, do jaké míry je transakce / uživatel (ne)identifikovatelný — full anonymity, threshold-based, tiered, controllable anonymity, pseudonymity, traceability, identification.</x:t>
  </x:si>
  <x:si>
    <x:t xml:space="preserve">Obecné technické zmínky o šifrování bez vazby na identitu uživatele.</x:t>
  </x:si>
  <x:si>
    <x:t xml:space="preserve">PRIV.OFF</x:t>
  </x:si>
  <x:si>
    <x:t xml:space="preserve">Offline platby (privacy)</x:t>
  </x:si>
  <x:si>
    <x:t xml:space="preserve">Privacy vlastnosti offline plateb — typicky vyšší míra anonymity, nepřítomnost online ověření.</x:t>
  </x:si>
  <x:si>
    <x:t xml:space="preserve">Pasáž zmiňuje offline payment funkcionalitu jako privacy-relevant feature (peer-to-peer, cash-like, no connectivity needed).</x:t>
  </x:si>
  <x:si>
    <x:t xml:space="preserve">Offline jako pouze resilience/connectivity argument bez privacy aspektu.</x:t>
  </x:si>
  <x:si>
    <x:t xml:space="preserve">Data minimisation / GDPR</x:t>
  </x:si>
  <x:si>
    <x:t xml:space="preserve">Princip sběru jen nezbytných dat a explicitní vazba na GDPR / data-protection právní rámec (lawful basis, data subject rights, DPIA).</x:t>
  </x:si>
  <x:si>
    <x:t xml:space="preserve">Pasáž zmiňuje data minimisation principle, GDPR alignment, právní základ zpracování, ochrana osobních údajů jako design constraint.</x:t>
  </x:si>
  <x:si>
    <x:t xml:space="preserve">Obecná zmínka 'privacy' bez vazby na minimalizaci dat nebo právní rámec.</x:t>
  </x:si>
  <x:si>
    <x:t xml:space="preserve">PRIV.PET</x:t>
  </x:si>
  <x:si>
    <x:t xml:space="preserve">Privacy-enhancing technologies</x:t>
  </x:si>
  <x:si>
    <x:t xml:space="preserve">Konkrétní PET: ZKP/zk-SNARK, homomorphic encryption, secure multi-party computation, federated learning, differential privacy, blind signatures.</x:t>
  </x:si>
  <x:si>
    <x:t xml:space="preserve">Pasáž jmenuje konkrétní kryptografickou techniku zachování privacy, nebo používá pojem PET / privacy-enhancing technology.</x:t>
  </x:si>
  <x:si>
    <x:t xml:space="preserve">Obecná zmínka 'cryptography' bez konkrétní techniky.</x:t>
  </x:si>
  <x:si>
    <x:t xml:space="preserve">Privacy ↔ AML/policy trade-off</x:t>
  </x:si>
  <x:si>
    <x:t xml:space="preserve">Diskuze napětí mezi privacy a AML/CFT/surveillance, nebo mezi privacy a jinými policy cíli (monetary policy, consumer protection, data sovereignty).</x:t>
  </x:si>
  <x:si>
    <x:t xml:space="preserve">Pasáž explicitně tematizuje trade-off mezi privacy a kontrolou/regulací (balance, tension, versus, trade-off).</x:t>
  </x:si>
  <x:si>
    <x:t xml:space="preserve">Pouhá zmínka jednoho z pólů bez explicitního trade-off.</x:t>
  </x:si>
  <x:si>
    <x:t xml:space="preserve">PRIV.CB.visibility.opaque</x:t>
  </x:si>
  <x:si>
    <x:t xml:space="preserve">CB visibility — opaque (CB nevidi)</x:t>
  </x:si>
  <x:si>
    <x:t xml:space="preserve">Centralni banka NEVIDI jednotlive transakce ani identitu uzivatelu; vidi pouze agregaty nebo zustatky zprostredkovatelu. Narrow bank model, off-ledger data, intermediary-held customer data.</x:t>
  </x:si>
  <x:si>
    <x:t xml:space="preserve">Pasaz popisuje, ze CB ma omezenou nebo zadnou viditelnost na urovni uzivatele (limited visibility, off-ledger, intermediary holds data, CB sees only aggregates).</x:t>
  </x:si>
  <x:si>
    <x:t xml:space="preserve">Obecna zminka privacy bez explicitniho vztahu k tomu, co CB vidi.</x:t>
  </x:si>
  <x:si>
    <x:t xml:space="preserve">PRIV.CB.visibility.transparent</x:t>
  </x:si>
  <x:si>
    <x:t xml:space="preserve">CB visibility — transparent (CB vidi)</x:t>
  </x:si>
  <x:si>
    <x:t xml:space="preserve">Centralni banka VIDI transakce, balance, nebo identitu uzivatelu. Bud primo (CB-operated ledger), nebo pres pristup k datum z intermediaru.</x:t>
  </x:si>
  <x:si>
    <x:t xml:space="preserve">Pasaz popisuje, ze CB vidi transakce, ma pristup k datum uzivatelu, full visibility, all transactions logged on CB ledger.</x:t>
  </x:si>
  <x:si>
    <x:t xml:space="preserve">Obecna zminka transaction monitoring bez upresneni, kdo monitoruje.</x:t>
  </x:si>
  <x:si>
    <x:t xml:space="preserve">AML.LIMIT</x:t>
  </x:si>
  <x:si>
    <x:t xml:space="preserve">AML</x:t>
  </x:si>
  <x:si>
    <x:t xml:space="preserve">Holding / transaction limits</x:t>
  </x:si>
  <x:si>
    <x:t xml:space="preserve">Wallet caps, daily/monthly limits, reverse waterfall jako AML nebo financial-stability nástroj.</x:t>
  </x:si>
  <x:si>
    <x:t xml:space="preserve">Pasáž stanovuje nebo diskutuje kvantitativní limity (CZK/EUR/USD částka, počet transakcí, holding cap).</x:t>
  </x:si>
  <x:si>
    <x:t xml:space="preserve">Limity v jiném kontextu (např. technical scalability).</x:t>
  </x:si>
  <x:si>
    <x:t xml:space="preserve">Transaction monitoring</x:t>
  </x:si>
  <x:si>
    <x:t xml:space="preserve">Systémy detekce podezřelých transakcí — real-time monitoring, ML-based detection, behavioural analytics.</x:t>
  </x:si>
  <x:si>
    <x:t xml:space="preserve">Pasáž popisuje systém monitorování CBDC transakcí pro AML účely.</x:t>
  </x:si>
  <x:si>
    <x:t xml:space="preserve">Obecné statistical reporting bez AML zaměření.</x:t>
  </x:si>
  <x:si>
    <x:t xml:space="preserve">AML.FATF</x:t>
  </x:si>
  <x:si>
    <x:t xml:space="preserve">AML regulační rámec (FATF, Travel Rule, SAR, sanctions)</x:t>
  </x:si>
  <x:si>
    <x:t xml:space="preserve">Explicitní vazba na AML/CFT regulační machinery: FATF Recommendations, Travel Rule (R.16), suspicious activity reporting (SAR/STR), sanctions/PEP screening.</x:t>
  </x:si>
  <x:si>
    <x:t xml:space="preserve">Pasáž zmiňuje FATF, Travel Rule, SAR/STR, sanctions screening, OFAC, EU/UN sanctions lists, mutual evaluation.</x:t>
  </x:si>
  <x:si>
    <x:t xml:space="preserve">Obecná zmínka 'AML compliance' bez vazby na konkrétní regulační nástroj.</x:t>
  </x:si>
  <x:si>
    <x:t xml:space="preserve">AML.RISK</x:t>
  </x:si>
  <x:si>
    <x:t xml:space="preserve">Risk-based approach</x:t>
  </x:si>
  <x:si>
    <x:t xml:space="preserve">Diferenciovaná AML/CFT opatření podle rizika (high/low risk customers, geographies, products).</x:t>
  </x:si>
  <x:si>
    <x:t xml:space="preserve">Pasáž zmiňuje risk-based approach (RBA), diferenciaci opatření podle rizikového profilu.</x:t>
  </x:si>
  <x:si>
    <x:t xml:space="preserve">Obecné risk management bez vazby na AML.</x:t>
  </x:si>
  <x:si>
    <x:t xml:space="preserve">KYC</x:t>
  </x:si>
  <x:si>
    <x:t xml:space="preserve">Tiered KYC (SDD, EDD, exemptions)</x:t>
  </x:si>
  <x:si>
    <x:t xml:space="preserve">Vícestupňový KYC — různé úrovně due diligence podle typu wallet/limitů; simplified DD pro low-value, enhanced DD pro high-risk, exemption pro offline/cash-like.</x:t>
  </x:si>
  <x:si>
    <x:t xml:space="preserve">Pasáž popisuje různé úrovně KYC podle wallet typu, limitu nebo rizika.</x:t>
  </x:si>
  <x:si>
    <x:t xml:space="preserve">Pouze jednoúrovňový KYC bez diferenciace.</x:t>
  </x:si>
  <x:si>
    <x:t xml:space="preserve">KYC.IDV</x:t>
  </x:si>
  <x:si>
    <x:t xml:space="preserve">Identity verification (onboarding)</x:t>
  </x:si>
  <x:si>
    <x:t xml:space="preserve">Mechanismy ověření totožnosti při onboardingu — eKYC, video ID, biometrie, government ID.</x:t>
  </x:si>
  <x:si>
    <x:t xml:space="preserve">Pasáž popisuje, jak se uživatel identifikuje při založení CBDC wallet/účtu.</x:t>
  </x:si>
  <x:si>
    <x:t xml:space="preserve">Authentication během transakcí bez vazby na onboarding.</x:t>
  </x:si>
  <x:si>
    <x:t xml:space="preserve">Role intermediářů (PSPs, banky)</x:t>
  </x:si>
  <x:si>
    <x:t xml:space="preserve">Role autorizovaných zprostředkovatelů (banky, PSPs) při KYC vs. role centrální banky — typicky two-tier / indirect distribution model.</x:t>
  </x:si>
  <x:si>
    <x:t xml:space="preserve">Pasáž popisuje, kdo provádí KYC (intermediář vs. centrální banka), distribution model.</x:t>
  </x:si>
  <x:si>
    <x:t xml:space="preserve">Obecná zmínka 'banks' bez vazby na KYC roli.</x:t>
  </x:si>
  <x:si>
    <x:t xml:space="preserve">TECH</x:t>
  </x:si>
  <x:si>
    <x:t xml:space="preserve">DLT vs. centralizovaný ledger</x:t>
  </x:si>
  <x:si>
    <x:t xml:space="preserve">Volba mezi distributed ledger technology (blockchain, DLT) a centralizovaným systémem.</x:t>
  </x:si>
  <x:si>
    <x:t xml:space="preserve">Pasáž explicitně diskutuje volbu DLT/blockchain vs. centrální databáze nebo uvádí zvolenou ledger architekturu pro vlastní CBDC.</x:t>
  </x:si>
  <x:si>
    <x:t xml:space="preserve">Token/account reprezentace bez explicitního tvrzení o distribuci ledgeru nebo DLT/blockchain architektuře.</x:t>
  </x:si>
  <x:si>
    <x:t xml:space="preserve">TECH.TOKEN.decided_yes</x:t>
  </x:si>
  <x:si>
    <x:t xml:space="preserve">Token architektura — rozhodnuto ANO</x:t>
  </x:si>
  <x:si>
    <x:t xml:space="preserve">Dokument ROZHODUJE pro token-based (bearer) architekturu; nikoli pouhé zvažování.</x:t>
  </x:si>
  <x:si>
    <x:t xml:space="preserve">Emitent explicitně volí token-based, bearer nebo value-based reprezentaci.</x:t>
  </x:si>
  <x:si>
    <x:t xml:space="preserve">Zmínka o DLT, blockchainu nebo kryptografických tokenech bez rozhodnutí token-versus-account.</x:t>
  </x:si>
  <x:si>
    <x:t xml:space="preserve">Token architektura — rozhodnuto NE</x:t>
  </x:si>
  <x:si>
    <x:t xml:space="preserve">Dokument ROZHODUJE proti token-based (tj. account-based); nikoli pouhé zvažování.</x:t>
  </x:si>
  <x:si>
    <x:t xml:space="preserve">Emitent explicitně odmítá token-based reprezentaci nebo volí account-based reprezentaci.</x:t>
  </x:si>
  <x:si>
    <x:t xml:space="preserve">Zmínka o centralizovaném ledgeru bez explicitního rozhodnutí token-versus-account.</x:t>
  </x:si>
  <x:si>
    <x:t xml:space="preserve">Token vs. account — zvažováno</x:t>
  </x:si>
  <x:si>
    <x:t xml:space="preserve">Architektura token/account diskutována či testována bez rozhodnutí.</x:t>
  </x:si>
  <x:si>
    <x:t xml:space="preserve">Token-versus-account reprezentace je porovnávána, diskutována nebo testována bez konečného rozhodnutí.</x:t>
  </x:si>
  <x:si>
    <x:t xml:space="preserve">DLT/blockchain je diskutován bez vazby na token-versus-account reprezentaci.</x:t>
  </x:si>
  <x:si>
    <x:t xml:space="preserve">PROG.remuneration_yes</x:t>
  </x:si>
  <x:si>
    <x:t xml:space="preserve">PROG</x:t>
  </x:si>
  <x:si>
    <x:t xml:space="preserve">Úročení — závazek ano</x:t>
  </x:si>
  <x:si>
    <x:t xml:space="preserve">Explicitní závazek CBDC úročit.</x:t>
  </x:si>
  <x:si>
    <x:t xml:space="preserve">PROG.remuneration_no</x:t>
  </x:si>
  <x:si>
    <x:t xml:space="preserve">Úročení — odmítnuto</x:t>
  </x:si>
  <x:si>
    <x:t xml:space="preserve">Explicitní rozhodnutí neúročit (zero remuneration).</x:t>
  </x:si>
  <x:si>
    <x:t xml:space="preserve">PROG.remuneration_considered</x:t>
  </x:si>
  <x:si>
    <x:t xml:space="preserve">Úročení — zvažováno</x:t>
  </x:si>
  <x:si>
    <x:t xml:space="preserve">Úročení diskutováno jako možnost, bez závazku.</x:t>
  </x:si>
  <x:si>
    <x:t xml:space="preserve">PROG.restriction</x:t>
  </x:si>
  <x:si>
    <x:t xml:space="preserve">Programová omezení použití</x:t>
  </x:si>
  <x:si>
    <x:t xml:space="preserve">Programovatelnost jako OMEZENÍ užití prostředků (účel, čas, místo, příjemce) — signál state control.</x:t>
  </x:si>
  <x:si>
    <x:t xml:space="preserve">PROG.generic</x:t>
  </x:si>
  <x:si>
    <x:t xml:space="preserve">Programovatelnost — obecně</x:t>
  </x:si>
  <x:si>
    <x:t xml:space="preserve">Obecná programovatelnost a pravidla chování CBDC platby bez restrikční povahy; zahrnuje smart contracts, podmíněné platby a autorem zahrnuté consumer-protection flows.</x:t>
  </x:si>
  <x:si>
    <x:t xml:space="preserve">Pasáž popisuje programovatelné nebo podmíněné payment logic; v této studii také explicitní CBDC pravidla pro potvrzení, storno nebo vrácení platby.</x:t>
  </x:si>
  <x:si>
    <x:t xml:space="preserve">Pouhá obecná procedura nebo právní ochrana bez vazby na chování CBDC platby.</x:t>
  </x:si>
  <x:si>
    <x:t xml:space="preserve">PROC.pilot_learning</x:t>
  </x:si>
  <x:si>
    <x:t xml:space="preserve">PROC</x:t>
  </x:si>
  <x:si>
    <x:t xml:space="preserve">Procesní poznatky z pilotů</x:t>
  </x:si>
  <x:si>
    <x:t xml:space="preserve">Provozní/testovací poznatky; nevstupuje do měr.</x:t>
  </x:si>
  <x:si>
    <x:t xml:space="preserve">Empirický provozní nebo technický poznatek z uskutečněného CBDC pilotu či testu.</x:t>
  </x:si>
  <x:si>
    <x:t xml:space="preserve">Budoucí proces, právní procedura nebo designové pravidlo bez výsledku pilotu.</x:t>
  </x:si>
  <x:si>
    <x:t xml:space="preserve">LEGAL</x:t>
  </x:si>
  <x:si>
    <x:t xml:space="preserve">Právní základ</x:t>
  </x:si>
  <x:si>
    <x:t xml:space="preserve">Legislativní rámec a mandát; nevstupuje do měr.</x:t>
  </x:si>
  <x:si>
    <x:t xml:space="preserve">INST.mandate</x:t>
  </x:si>
  <x:si>
    <x:t xml:space="preserve">INST</x:t>
  </x:si>
  <x:si>
    <x:t xml:space="preserve">Institucionální mandát</x:t>
  </x:si>
  <x:si>
    <x:t xml:space="preserve">Role institucí, governance; nevstupuje do měr.</x:t>
  </x:si>
  <x:si>
    <x:t xml:space="preserve">OTHER.keep</x:t>
  </x:si>
  <x:si>
    <x:t xml:space="preserve">OTHER</x:t>
  </x:si>
  <x:si>
    <x:t xml:space="preserve">Validní výrok mimo rodiny</x:t>
  </x:si>
  <x:si>
    <x:t xml:space="preserve">Design-relevantní výrok mimo rodiny; nevstupuje do měr.</x:t>
  </x:si>
  <x:si>
    <x:t xml:space="preserve">INTEROP</x:t>
  </x:si>
  <x:si>
    <x:t xml:space="preserve">Domestic convertibility &amp; integration</x:t>
  </x:si>
  <x:si>
    <x:t xml:space="preserve">Domestic convertibility &amp; integration: par with bank money, fund/defund, settlement, wholesale/interbank</x:t>
  </x:si>
  <x:si>
    <x:t xml:space="preserve">Cross-border</x:t>
  </x:si>
  <x:si>
    <x:t xml:space="preserve">Cross-border: mCBDC, corridors, remittances, FX</x:t>
  </x:si>
  <x:si>
    <x:t xml:space="preserve">CASH</x:t>
  </x:si>
  <x:si>
    <x:t xml:space="preserve">Relationship to cash</x:t>
  </x:si>
  <x:si>
    <x:t xml:space="preserve">Relationship to cash: complement/substitute, coexistence, conversion, legal tender</x:t>
  </x:si>
  <x:si>
    <x:t xml:space="preserve">ACCESS</x:t>
  </x:si>
  <x:si>
    <x:t xml:space="preserve">Universal access</x:t>
  </x:si>
  <x:si>
    <x:t xml:space="preserve">Universal access: no-account users, disabilities, rural, offline as reach</x:t>
  </x:si>
  <x:si>
    <x:t xml:space="preserve">STAB.disintermediation</x:t>
  </x:si>
  <x:si>
    <x:t xml:space="preserve">STAB</x:t>
  </x:si>
  <x:si>
    <x:t xml:space="preserve">Financial stability</x:t>
  </x:si>
  <x:si>
    <x:t xml:space="preserve">Financial stability: deposits, balance sheets, lending</x:t>
  </x:si>
  <x:si>
    <x:t xml:space="preserve">remove this one</x:t>
  </x:si>
  <x:si>
    <x:t xml:space="preserve">OPS.resilience</x:t>
  </x:si>
  <x:si>
    <x:t xml:space="preserve">OPS</x:t>
  </x:si>
  <x:si>
    <x:t xml:space="preserve">Operational resilience</x:t>
  </x:si>
  <x:si>
    <x:t xml:space="preserve">Operational resilience: cyber, continuity, fraud, availability</x:t>
  </x:si>
  <x:si>
    <x:t xml:space="preserve">ADOPT</x:t>
  </x:si>
  <x:si>
    <x:t xml:space="preserve">Adoption &amp; UX</x:t>
  </x:si>
  <x:si>
    <x:t xml:space="preserve">Adoption &amp; UX: convenience, merchants, fees, incentives, use cases</x:t>
  </x:si>
  <x:si>
    <x:t xml:space="preserve">merge adoption and interop domestic</x:t>
  </x:si>
  <x:si>
    <x:t xml:space="preserve">SYS.design</x:t>
  </x:si>
  <x:si>
    <x:t xml:space="preserve">SYS</x:t>
  </x:si>
  <x:si>
    <x:t xml:space="preserve">Core system design &amp; operating model</x:t>
  </x:si>
  <x:si>
    <x:t xml:space="preserve">Core system design &amp; operating model: issuance, operator roles, components, wallet parameters</x:t>
  </x:si>
  <x:si>
    <x:t xml:space="preserve">Completion control</x:t>
  </x:si>
  <x:si>
    <x:t xml:space="preserve">Metric</x:t>
  </x:si>
  <x:si>
    <x:t xml:space="preserve">Value</x:t>
  </x:si>
  <x:si>
    <x:t xml:space="preserve">Total cases</x:t>
  </x:si>
  <x:si>
    <x:t xml:space="preserve">Complete</x:t>
  </x:si>
  <x:si>
    <x:t xml:space="preserve">Incomplete</x:t>
  </x:si>
  <x:si>
    <x:t xml:space="preserve">Keep</x:t>
  </x:si>
  <x:si>
    <x:t xml:space="preserve">Needs context</x:t>
  </x:si>
  <x:si>
    <x:t xml:space="preserve">Code required</x:t>
  </x:si>
  <x:si>
    <x:t xml:space="preserve">Reason required</x:t>
  </x:si>
</x:sst>
</file>

<file path=xl/styles.xml><?xml version="1.0" encoding="utf-8"?>
<x:styleSheet xmlns:x="http://schemas.openxmlformats.org/spreadsheetml/2006/main">
  <x:fonts count="6">
    <x:font>
      <x:sz val="11"/>
      <x:name val="Carlito"/>
    </x:font>
    <x:font>
      <x:b/>
      <x:sz val="16"/>
      <x:color rgb="FFFFFFFF"/>
      <x:name val="Carlito"/>
    </x:font>
    <x:font>
      <x:b/>
      <x:sz val="11"/>
      <x:color rgb="FF17324D"/>
      <x:name val="Carlito"/>
    </x:font>
    <x:font>
      <x:b/>
      <x:sz val="15"/>
      <x:color rgb="FFFFFFFF"/>
      <x:name val="Carlito"/>
    </x:font>
    <x:font>
      <x:sz val="11"/>
      <x:color rgb="FF6B4E00"/>
      <x:name val="Carlito"/>
    </x:font>
    <x:font>
      <x:b/>
      <x:sz val="11"/>
      <x:color rgb="FFFFFFFF"/>
      <x:name val="Carlito"/>
    </x:font>
  </x:fonts>
  <x:fills count="8">
    <x:fill>
      <x:patternFill patternType="none"/>
    </x:fill>
    <x:fill>
      <x:patternFill patternType="gray125"/>
    </x:fill>
    <x:fill>
      <x:patternFill patternType="solid">
        <x:fgColor rgb="FF17324D"/>
      </x:patternFill>
    </x:fill>
    <x:fill>
      <x:patternFill patternType="solid">
        <x:fgColor rgb="FFE8F1F5"/>
      </x:patternFill>
    </x:fill>
    <x:fill>
      <x:patternFill patternType="solid">
        <x:fgColor rgb="FFFFF1CC"/>
      </x:patternFill>
    </x:fill>
    <x:fill>
      <x:patternFill patternType="solid">
        <x:fgColor rgb="FF0F766E"/>
      </x:patternFill>
    </x:fill>
    <x:fill>
      <x:patternFill patternType="solid">
        <x:fgColor rgb="FFFFFDF3"/>
      </x:patternFill>
    </x:fill>
    <x:fill>
      <x:patternFill patternType="solid">
        <x:fgColor rgb="FFFFFF00"/>
      </x:patternFill>
    </x:fill>
  </x:fills>
  <x:borders count="10">
    <x:border/>
    <x:border>
      <x:right style="thin">
        <x:color rgb="FFD8E0E6"/>
      </x:right>
      <x:bottom style="thin">
        <x:color rgb="FFD8E0E6"/>
      </x:bottom>
    </x:border>
    <x:border>
      <x:left style="thin">
        <x:color rgb="FFD8E0E6"/>
      </x:left>
      <x:bottom style="thin">
        <x:color rgb="FFD8E0E6"/>
      </x:bottom>
    </x:border>
    <x:border>
      <x:right style="thin">
        <x:color rgb="FFD8E0E6"/>
      </x:right>
      <x:top style="thin">
        <x:color rgb="FFD8E0E6"/>
      </x:top>
      <x:bottom style="thin">
        <x:color rgb="FFD8E0E6"/>
      </x:bottom>
    </x:border>
    <x:border>
      <x:left style="thin">
        <x:color rgb="FFD8E0E6"/>
      </x:left>
      <x:top style="thin">
        <x:color rgb="FFD8E0E6"/>
      </x:top>
      <x:bottom style="thin">
        <x:color rgb="FFD8E0E6"/>
      </x:bottom>
    </x:border>
    <x:border>
      <x:right style="thin">
        <x:color rgb="FFD8E0E6"/>
      </x:right>
      <x:top style="thin">
        <x:color rgb="FFD8E0E6"/>
      </x:top>
    </x:border>
    <x:border>
      <x:left style="thin">
        <x:color rgb="FFD8E0E6"/>
      </x:left>
      <x:top style="thin">
        <x:color rgb="FFD8E0E6"/>
      </x:top>
    </x:border>
    <x:border>
      <x:left style="thin">
        <x:color rgb="FFD8E0E6"/>
      </x:left>
      <x:right style="thin">
        <x:color rgb="FFD8E0E6"/>
      </x:right>
      <x:bottom style="thin">
        <x:color rgb="FFD8E0E6"/>
      </x:bottom>
    </x:border>
    <x:border>
      <x:left style="thin">
        <x:color rgb="FFD8E0E6"/>
      </x:left>
      <x:right style="thin">
        <x:color rgb="FFD8E0E6"/>
      </x:right>
      <x:top style="thin">
        <x:color rgb="FFD8E0E6"/>
      </x:top>
      <x:bottom style="thin">
        <x:color rgb="FFD8E0E6"/>
      </x:bottom>
    </x:border>
    <x:border>
      <x:left style="thin">
        <x:color rgb="FFD8E0E6"/>
      </x:left>
      <x:right style="thin">
        <x:color rgb="FFD8E0E6"/>
      </x:right>
      <x:top style="thin">
        <x:color rgb="FFD8E0E6"/>
      </x:top>
    </x:border>
  </x:borders>
  <x:cellStyleXfs count="1">
    <x:xf numFmtId="0" fontId="0" fillId="0" borderId="0"/>
  </x:cellStyleXfs>
  <x:cellXfs count="38">
    <x:xf numFmtId="0" fontId="0" fillId="0" borderId="0" xfId="0"/>
    <x:xf numFmtId="0" fontId="2" fillId="3" borderId="1" xfId="0" applyFont="1" applyFill="1" applyBorder="1" applyAlignment="1">
      <x:alignment vertical="top"/>
    </x:xf>
    <x:xf numFmtId="0" fontId="0" fillId="0" borderId="2" xfId="0" applyBorder="1" applyAlignment="1">
      <x:alignment vertical="top" wrapText="1"/>
    </x:xf>
    <x:xf numFmtId="0" fontId="2" fillId="3" borderId="3" xfId="0" applyFont="1" applyFill="1" applyBorder="1" applyAlignment="1">
      <x:alignment vertical="top"/>
    </x:xf>
    <x:xf numFmtId="0" fontId="0" fillId="0" borderId="4" xfId="0" applyBorder="1" applyAlignment="1">
      <x:alignment vertical="top" wrapText="1"/>
    </x:xf>
    <x:xf numFmtId="0" fontId="2" fillId="3" borderId="5" xfId="0" applyFont="1" applyFill="1" applyBorder="1" applyAlignment="1">
      <x:alignment vertical="top"/>
    </x:xf>
    <x:xf numFmtId="0" fontId="0" fillId="0" borderId="6" xfId="0" applyBorder="1" applyAlignment="1">
      <x:alignment vertical="top" wrapText="1"/>
    </x:xf>
    <x:xf numFmtId="0" fontId="5" fillId="5" borderId="1" xfId="0" applyFont="1" applyFill="1" applyBorder="1" applyAlignment="1">
      <x:alignment wrapText="1"/>
    </x:xf>
    <x:xf numFmtId="0" fontId="5" fillId="5" borderId="7" xfId="0" applyFont="1" applyFill="1" applyBorder="1" applyAlignment="1">
      <x:alignment wrapText="1"/>
    </x:xf>
    <x:xf numFmtId="0" fontId="5" fillId="5" borderId="2" xfId="0" applyFont="1" applyFill="1" applyBorder="1" applyAlignment="1">
      <x:alignment wrapText="1"/>
    </x:xf>
    <x:xf numFmtId="0" fontId="0" fillId="0" borderId="3" xfId="0" applyBorder="1" applyAlignment="1">
      <x:alignment vertical="top"/>
    </x:xf>
    <x:xf numFmtId="0" fontId="0" fillId="0" borderId="8" xfId="0" applyBorder="1" applyAlignment="1">
      <x:alignment vertical="top" wrapText="1"/>
    </x:xf>
    <x:xf numFmtId="0" fontId="0" fillId="0" borderId="8" xfId="0" applyBorder="1" applyAlignment="1">
      <x:alignment vertical="top"/>
    </x:xf>
    <x:xf numFmtId="0" fontId="0" fillId="6" borderId="8" xfId="0" applyFill="1" applyBorder="1" applyAlignment="1">
      <x:alignment vertical="top"/>
    </x:xf>
    <x:xf numFmtId="0" fontId="0" fillId="6" borderId="8" xfId="0" applyFill="1" applyBorder="1" applyAlignment="1">
      <x:alignment vertical="top" wrapText="1"/>
    </x:xf>
    <x:xf numFmtId="0" fontId="0" fillId="0" borderId="4" xfId="0" applyBorder="1" applyAlignment="1">
      <x:alignment vertical="top"/>
    </x:xf>
    <x:xf numFmtId="0" fontId="0" fillId="0" borderId="5" xfId="0" applyBorder="1" applyAlignment="1">
      <x:alignment vertical="top"/>
    </x:xf>
    <x:xf numFmtId="0" fontId="0" fillId="0" borderId="9" xfId="0" applyBorder="1" applyAlignment="1">
      <x:alignment vertical="top" wrapText="1"/>
    </x:xf>
    <x:xf numFmtId="0" fontId="0" fillId="0" borderId="9" xfId="0" applyBorder="1" applyAlignment="1">
      <x:alignment vertical="top"/>
    </x:xf>
    <x:xf numFmtId="0" fontId="0" fillId="6" borderId="9" xfId="0" applyFill="1" applyBorder="1" applyAlignment="1">
      <x:alignment vertical="top" wrapText="1"/>
    </x:xf>
    <x:xf numFmtId="0" fontId="0" fillId="0" borderId="6" xfId="0" applyBorder="1" applyAlignment="1">
      <x:alignment vertical="top"/>
    </x:xf>
    <x:xf numFmtId="0" fontId="5" fillId="5" borderId="1" xfId="0" applyFont="1" applyFill="1" applyBorder="1"/>
    <x:xf numFmtId="0" fontId="5" fillId="5" borderId="7" xfId="0" applyFont="1" applyFill="1" applyBorder="1"/>
    <x:xf numFmtId="0" fontId="5" fillId="5" borderId="2" xfId="0" applyFont="1" applyFill="1" applyBorder="1"/>
    <x:xf numFmtId="0" fontId="0" fillId="0" borderId="3" xfId="0" applyBorder="1" applyAlignment="1">
      <x:alignment wrapText="1"/>
    </x:xf>
    <x:xf numFmtId="0" fontId="0" fillId="0" borderId="8" xfId="0" applyBorder="1" applyAlignment="1">
      <x:alignment wrapText="1"/>
    </x:xf>
    <x:xf numFmtId="0" fontId="0" fillId="0" borderId="4" xfId="0" applyBorder="1" applyAlignment="1">
      <x:alignment wrapText="1"/>
    </x:xf>
    <x:xf numFmtId="0" fontId="0" fillId="0" borderId="5" xfId="0" applyBorder="1" applyAlignment="1">
      <x:alignment wrapText="1"/>
    </x:xf>
    <x:xf numFmtId="0" fontId="0" fillId="0" borderId="9" xfId="0" applyBorder="1" applyAlignment="1">
      <x:alignment wrapText="1"/>
    </x:xf>
    <x:xf numFmtId="0" fontId="0" fillId="0" borderId="6" xfId="0" applyBorder="1" applyAlignment="1">
      <x:alignment wrapText="1"/>
    </x:xf>
    <x:xf numFmtId="0" fontId="2" fillId="3" borderId="3" xfId="0" applyFont="1" applyFill="1" applyBorder="1"/>
    <x:xf numFmtId="0" fontId="2" fillId="3" borderId="5" xfId="0" applyFont="1" applyFill="1" applyBorder="1"/>
    <x:xf numFmtId="3" fontId="0" fillId="0" borderId="4" xfId="0" applyNumberFormat="1" applyBorder="1"/>
    <x:xf numFmtId="3" fontId="0" fillId="0" borderId="6" xfId="0" applyNumberFormat="1" applyBorder="1"/>
    <x:xf numFmtId="0" fontId="0" fillId="7" borderId="0" xfId="0" applyFill="1"/>
    <x:xf numFmtId="0" fontId="3" fillId="2" borderId="0" xfId="0" applyFont="1" applyFill="1"/>
    <x:xf numFmtId="0" fontId="4" fillId="4" borderId="0" xfId="0" applyFont="1" applyFill="1" applyAlignment="1">
      <x:alignment wrapText="1"/>
    </x:xf>
    <x:xf numFmtId="0" fontId="1" fillId="2" borderId="0" xfId="0" applyFont="1" applyFill="1"/>
  </x:cellXfs>
  <x:cellStyles count="1">
    <x:cellStyle name="Normal" xfId="0"/>
  </x:cellStyles>
  <x:dxfs count="5">
    <x:dxf>
      <x:font>
        <x:b/>
        <x:color rgb="FF8A1C1C"/>
      </x:font>
      <x:fill>
        <x:patternFill>
          <x:bgColor rgb="FFFDE8E7"/>
        </x:patternFill>
      </x:fill>
    </x:dxf>
    <x:dxf>
      <x:font>
        <x:b/>
        <x:color rgb="FF14532D"/>
      </x:font>
      <x:fill>
        <x:patternFill>
          <x:bgColor rgb="FFDDF4EF"/>
        </x:patternFill>
      </x:fill>
    </x:dxf>
    <x:dxf>
      <x:font>
        <x:color rgb="FF8A1C1C"/>
      </x:font>
      <x:fill>
        <x:patternFill>
          <x:bgColor rgb="FFFDE8E7"/>
        </x:patternFill>
      </x:fill>
    </x:dxf>
    <x:dxf>
      <x:font>
        <x:b/>
        <x:color rgb="FF14532D"/>
      </x:font>
      <x:fill>
        <x:patternFill>
          <x:bgColor rgb="FFDDF4EF"/>
        </x:patternFill>
      </x:fill>
    </x:dxf>
    <x:dxf>
      <x:fill>
        <x:patternFill>
          <x:bgColor indexed="6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3c47b3ee16b3412d" /><Relationship Type="http://schemas.openxmlformats.org/officeDocument/2006/relationships/theme" Target="/xl/theme/theme1.xml" Id="R02f503143aa04759" /><Relationship Type="http://schemas.openxmlformats.org/officeDocument/2006/relationships/sharedStrings" Target="/xl/sharedStrings.xml" Id="R533e2ee86c864d55" /><Relationship Type="http://schemas.openxmlformats.org/officeDocument/2006/relationships/worksheet" Target="/xl/worksheets/sheet1.xml" Id="R7ef42e63e8d94ae6" /><Relationship Type="http://schemas.openxmlformats.org/officeDocument/2006/relationships/worksheet" Target="/xl/worksheets/sheet2.xml" Id="R7603706db20d4294" /><Relationship Type="http://schemas.openxmlformats.org/officeDocument/2006/relationships/worksheet" Target="/xl/worksheets/sheet3.xml" Id="R92d179fb117a4964" /><Relationship Type="http://schemas.openxmlformats.org/officeDocument/2006/relationships/worksheet" Target="/xl/worksheets/sheet4.xml" Id="Re5de769733034f82" /><Relationship Type="http://schemas.openxmlformats.org/officeDocument/2006/relationships/worksheet" Target="/xl/worksheets/sheet5.xml" Id="R944546f6c2814c93" /></Relationships>
</file>

<file path=xl/tables/table1.xml><?xml version="1.0" encoding="utf-8"?>
<x:table xmlns:x="http://schemas.openxmlformats.org/spreadsheetml/2006/main" id="1" name="BlindReviewTable" displayName="BlindReviewTable" ref="A4:S73" totalsRowShown="0">
  <x:tableColumns count="19">
    <x:tableColumn id="1" name="review_case_id"/>
    <x:tableColumn id="2" name="paragraph_text"/>
    <x:tableColumn id="3" name="context_unit_id"/>
    <x:tableColumn id="4" name="own_project"/>
    <x:tableColumn id="5" name="complete_claim"/>
    <x:tableColumn id="6" name="eligible_claim_type"/>
    <x:tableColumn id="7" name="exclusion_trigger"/>
    <x:tableColumn id="8" name="final_decision"/>
    <x:tableColumn id="9" name="code_if_keep"/>
    <x:tableColumn id="10" name="confidence"/>
    <x:tableColumn id="11" name="adjudicator"/>
    <x:tableColumn id="12" name="notes"/>
    <x:tableColumn id="13" name="qc_status"/>
    <x:tableColumn id="14" name="gold_id"/>
    <x:tableColumn id="15" name="paragraph_id"/>
    <x:tableColumn id="16" name="doc_id"/>
    <x:tableColumn id="17" name="page"/>
    <x:tableColumn id="18" name="stratum"/>
    <x:tableColumn id="19" name="language"/>
  </x:tableColumns>
  <x:tableStyleInfo name="TableStyleMedium2" showFirstColumn="0" showLastColumn="0" showRowStripes="1" showColumnStripes="0"/>
</x:table>
</file>

<file path=xl/tables/table2.xml><?xml version="1.0" encoding="utf-8"?>
<x:table xmlns:x="http://schemas.openxmlformats.org/spreadsheetml/2006/main" id="2" name="ContextTable" displayName="ContextTable" ref="A3:G36" totalsRowShown="0">
  <x:tableColumns count="7">
    <x:tableColumn id="1" name="context_unit_id"/>
    <x:tableColumn id="2" name="doc_id"/>
    <x:tableColumn id="3" name="page"/>
    <x:tableColumn id="4" name="language"/>
    <x:tableColumn id="5" name="source_mode"/>
    <x:tableColumn id="6" name="source_text"/>
    <x:tableColumn id="7" name="render_file"/>
  </x:tableColumns>
  <x:tableStyleInfo name="TableStyleMedium2" showFirstColumn="0" showLastColumn="0" showRowStripes="1" showColumnStripes="0"/>
</x:table>
</file>

<file path=xl/tables/table3.xml><?xml version="1.0" encoding="utf-8"?>
<x:table xmlns:x="http://schemas.openxmlformats.org/spreadsheetml/2006/main" id="3" name="CodebookTable" displayName="CodebookTable" ref="A3:G38" totalsRowShown="0">
  <x:tableColumns count="7">
    <x:tableColumn id="1" name="code"/>
    <x:tableColumn id="2" name="family"/>
    <x:tableColumn id="3" name="label"/>
    <x:tableColumn id="4" name="definition"/>
    <x:tableColumn id="5" name="code_when"/>
    <x:tableColumn id="6" name="dont_code_when"/>
    <x:tableColumn id="7" name="Column1" dataDxfId="4"/>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7550f67ad021421c" /></Relationships>
</file>

<file path=xl/worksheets/_rels/sheet3.xml.rels>&#65279;<?xml version="1.0" encoding="utf-8"?><Relationships xmlns="http://schemas.openxmlformats.org/package/2006/relationships"><Relationship Type="http://schemas.openxmlformats.org/officeDocument/2006/relationships/table" Target="/xl/tables/table2.xml" Id="Rd87fc9e50fef49b0" /></Relationships>
</file>

<file path=xl/worksheets/_rels/sheet4.xml.rels>&#65279;<?xml version="1.0" encoding="utf-8"?><Relationships xmlns="http://schemas.openxmlformats.org/package/2006/relationships"><Relationship Type="http://schemas.openxmlformats.org/officeDocument/2006/relationships/table" Target="/xl/tables/table3.xml" Id="R3c8c0ac90bc64a00" /></Relationships>
</file>

<file path=xl/worksheets/sheet1.xml><?xml version="1.0" encoding="utf-8"?>
<x:worksheet xmlns:x="http://schemas.openxmlformats.org/spreadsheetml/2006/main">
  <x:sheetViews>
    <x:sheetView showGridLines="0" workbookViewId="0"/>
  </x:sheetViews>
  <x:sheetFormatPr defaultRowHeight="14"/>
  <x:cols>
    <x:col min="1" max="1" width="22" customWidth="1"/>
    <x:col min="2" max="2" width="105" customWidth="1"/>
  </x:cols>
  <x:sheetData>
    <x:row r="1" ht="30" customHeight="1">
      <x:c r="A1" s="37" t="s">
        <x:v>0</x:v>
      </x:c>
      <x:c r="B1" s="37"/>
      <x:c r="C1" s="37"/>
      <x:c r="D1" s="37"/>
      <x:c r="E1" s="37"/>
      <x:c r="F1" s="37"/>
      <x:c r="G1" s="37"/>
      <x:c r="H1" s="37"/>
    </x:row>
    <x:row r="3" ht="42" customHeight="1">
      <x:c r="A3" s="1" t="s">
        <x:v>1</x:v>
      </x:c>
      <x:c r="B3" s="2" t="s">
        <x:v>2</x:v>
      </x:c>
    </x:row>
    <x:row r="4" ht="42" customHeight="1">
      <x:c r="A4" s="3" t="s">
        <x:v>3</x:v>
      </x:c>
      <x:c r="B4" s="4" t="s">
        <x:v>4</x:v>
      </x:c>
    </x:row>
    <x:row r="5" ht="42" customHeight="1">
      <x:c r="A5" s="3" t="s">
        <x:v>5</x:v>
      </x:c>
      <x:c r="B5" s="4" t="s">
        <x:v>6</x:v>
      </x:c>
    </x:row>
    <x:row r="6" ht="42" customHeight="1">
      <x:c r="A6" s="3" t="s">
        <x:v>7</x:v>
      </x:c>
      <x:c r="B6" s="4" t="s">
        <x:v>8</x:v>
      </x:c>
    </x:row>
    <x:row r="7" ht="42" customHeight="1">
      <x:c r="A7" s="3" t="s">
        <x:v>9</x:v>
      </x:c>
      <x:c r="B7" s="4" t="s">
        <x:v>10</x:v>
      </x:c>
    </x:row>
    <x:row r="8" ht="42" customHeight="1">
      <x:c r="A8" s="3" t="s">
        <x:v>11</x:v>
      </x:c>
      <x:c r="B8" s="4" t="s">
        <x:v>12</x:v>
      </x:c>
    </x:row>
    <x:row r="9" ht="42" customHeight="1">
      <x:c r="A9" s="3" t="s">
        <x:v>13</x:v>
      </x:c>
      <x:c r="B9" s="4" t="s">
        <x:v>14</x:v>
      </x:c>
    </x:row>
    <x:row r="10" ht="42" customHeight="1">
      <x:c r="A10" s="3" t="s">
        <x:v>15</x:v>
      </x:c>
      <x:c r="B10" s="4" t="s">
        <x:v>16</x:v>
      </x:c>
    </x:row>
    <x:row r="11" ht="42" customHeight="1">
      <x:c r="A11" s="3" t="s">
        <x:v>17</x:v>
      </x:c>
      <x:c r="B11" s="4" t="s">
        <x:v>18</x:v>
      </x:c>
    </x:row>
    <x:row r="12" ht="42" customHeight="1">
      <x:c r="A12" s="3" t="s">
        <x:v>19</x:v>
      </x:c>
      <x:c r="B12" s="4" t="s">
        <x:v>20</x:v>
      </x:c>
    </x:row>
    <x:row r="13" ht="42" customHeight="1">
      <x:c r="A13" s="3" t="s">
        <x:v>21</x:v>
      </x:c>
      <x:c r="B13" s="4" t="s">
        <x:v>22</x:v>
      </x:c>
    </x:row>
    <x:row r="14" ht="42" customHeight="1">
      <x:c r="A14" s="5" t="s">
        <x:v>23</x:v>
      </x:c>
      <x:c r="B14" s="6" t="s">
        <x:v>24</x:v>
      </x:c>
    </x:row>
  </x:sheetData>
  <x:mergeCells>
    <x:mergeCell ref="A1:H1"/>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4"/>
  <x:cols>
    <x:col min="1" max="1" width="14" customWidth="1"/>
    <x:col min="2" max="2" width="129.4140625" customWidth="1"/>
    <x:col min="3" max="3" width="54.83203125" customWidth="1"/>
    <x:col min="4" max="4" width="13" customWidth="1"/>
    <x:col min="5" max="5" width="15" customWidth="1"/>
    <x:col min="6" max="6" width="28" customWidth="1"/>
    <x:col min="7" max="7" width="31" customWidth="1"/>
    <x:col min="8" max="8" width="17" customWidth="1"/>
    <x:col min="9" max="9" width="28" customWidth="1"/>
    <x:col min="10" max="10" width="12" customWidth="1"/>
    <x:col min="11" max="11" width="13" customWidth="1"/>
    <x:col min="12" max="12" width="38" customWidth="1"/>
    <x:col min="13" max="13" width="18" customWidth="1"/>
    <x:col min="14" max="14" width="10" customWidth="1"/>
    <x:col min="15" max="15" width="12" customWidth="1"/>
    <x:col min="16" max="16" width="36" customWidth="1"/>
    <x:col min="17" max="17" width="8" customWidth="1"/>
    <x:col min="18" max="18" width="18" customWidth="1"/>
    <x:col min="19" max="19" width="12" customWidth="1"/>
  </x:cols>
  <x:sheetData>
    <x:row r="1" ht="28" customHeight="1">
      <x:c r="A1" s="35" t="s">
        <x:v>25</x:v>
      </x:c>
      <x:c r="B1" s="35"/>
      <x:c r="C1" s="35"/>
      <x:c r="D1" s="35"/>
      <x:c r="E1" s="35"/>
      <x:c r="F1" s="35"/>
      <x:c r="G1" s="35"/>
      <x:c r="H1" s="35"/>
      <x:c r="I1" s="35"/>
      <x:c r="J1" s="35"/>
      <x:c r="K1" s="35"/>
      <x:c r="L1" s="35"/>
      <x:c r="M1" s="35"/>
      <x:c r="N1" s="35"/>
      <x:c r="O1" s="35"/>
      <x:c r="P1" s="35"/>
      <x:c r="Q1" s="35"/>
      <x:c r="R1" s="35"/>
      <x:c r="S1" s="35"/>
    </x:row>
    <x:row r="2" ht="28" customHeight="1">
      <x:c r="A2" s="36" t="s">
        <x:v>26</x:v>
      </x:c>
      <x:c r="B2" s="36"/>
      <x:c r="C2" s="36"/>
      <x:c r="D2" s="36"/>
      <x:c r="E2" s="36"/>
      <x:c r="F2" s="36"/>
      <x:c r="G2" s="36"/>
      <x:c r="H2" s="36"/>
      <x:c r="I2" s="36"/>
      <x:c r="J2" s="36"/>
      <x:c r="K2" s="36"/>
      <x:c r="L2" s="36"/>
      <x:c r="M2" s="36"/>
      <x:c r="N2" s="36"/>
      <x:c r="O2" s="36"/>
      <x:c r="P2" s="36"/>
      <x:c r="Q2" s="36"/>
      <x:c r="R2" s="36"/>
      <x:c r="S2" s="36"/>
    </x:row>
    <x:row r="4" ht="34" customHeight="1">
      <x:c r="A4" s="7" t="s">
        <x:v>27</x:v>
      </x:c>
      <x:c r="B4" s="8" t="s">
        <x:v>28</x:v>
      </x:c>
      <x:c r="C4" s="8" t="s">
        <x:v>29</x:v>
      </x:c>
      <x:c r="D4" s="8" t="s">
        <x:v>30</x:v>
      </x:c>
      <x:c r="E4" s="8" t="s">
        <x:v>31</x:v>
      </x:c>
      <x:c r="F4" s="8" t="s">
        <x:v>32</x:v>
      </x:c>
      <x:c r="G4" s="8" t="s">
        <x:v>33</x:v>
      </x:c>
      <x:c r="H4" s="8" t="s">
        <x:v>34</x:v>
      </x:c>
      <x:c r="I4" s="8" t="s">
        <x:v>35</x:v>
      </x:c>
      <x:c r="J4" s="8" t="s">
        <x:v>36</x:v>
      </x:c>
      <x:c r="K4" s="8" t="s">
        <x:v>37</x:v>
      </x:c>
      <x:c r="L4" s="8" t="s">
        <x:v>38</x:v>
      </x:c>
      <x:c r="M4" s="8" t="s">
        <x:v>39</x:v>
      </x:c>
      <x:c r="N4" s="8" t="s">
        <x:v>40</x:v>
      </x:c>
      <x:c r="O4" s="8" t="s">
        <x:v>41</x:v>
      </x:c>
      <x:c r="P4" s="8" t="s">
        <x:v>42</x:v>
      </x:c>
      <x:c r="Q4" s="8" t="s">
        <x:v>43</x:v>
      </x:c>
      <x:c r="R4" s="8" t="s">
        <x:v>44</x:v>
      </x:c>
      <x:c r="S4" s="9" t="s">
        <x:v>45</x:v>
      </x:c>
    </x:row>
    <x:row r="5" ht="78" customHeight="1">
      <x:c r="A5" s="10" t="s">
        <x:v>46</x:v>
      </x:c>
      <x:c r="B5" s="11" t="s">
        <x:v>47</x:v>
      </x:c>
      <x:c r="C5" s="12" t="s">
        <x:v>48</x:v>
      </x:c>
      <x:c r="D5" s="13" t="s">
        <x:v>49</x:v>
      </x:c>
      <x:c r="E5" s="13" t="s">
        <x:v>49</x:v>
      </x:c>
      <x:c r="F5" s="13" t="s">
        <x:v>50</x:v>
      </x:c>
      <x:c r="G5" s="13" t="s">
        <x:v>51</x:v>
      </x:c>
      <x:c r="H5" s="13" t="s">
        <x:v>52</x:v>
      </x:c>
      <x:c r="I5" s="13" t="s">
        <x:v>53</x:v>
      </x:c>
      <x:c r="J5" s="13" t="s">
        <x:v>54</x:v>
      </x:c>
      <x:c r="K5" s="13" t="s">
        <x:v>55</x:v>
      </x:c>
      <x:c r="L5" s="14"/>
      <x:c r="M5" s="12" t="str">
        <x:f t="shared" ref="M5:M36" si="0">IF(H5="","PENDING",IF(AND(H5="keep",I5=""),"CODE REQUIRED",IF(AND(H5="exclude",OR(G5="",G5="none")),"REASON REQUIRED",IF(K5="","INITIALS REQUIRED","COMPLETE"))))</x:f>
        <x:v>COMPLETE</x:v>
      </x:c>
      <x:c r="N5" s="12" t="s">
        <x:v>56</x:v>
      </x:c>
      <x:c r="O5" s="12" t="s">
        <x:v>57</x:v>
      </x:c>
      <x:c r="P5" s="12" t="s">
        <x:v>58</x:v>
      </x:c>
      <x:c r="Q5" s="12">
        <x:v>19</x:v>
      </x:c>
      <x:c r="R5" s="12" t="s">
        <x:v>59</x:v>
      </x:c>
      <x:c r="S5" s="15" t="s">
        <x:v>60</x:v>
      </x:c>
    </x:row>
    <x:row r="6" ht="78" customHeight="1">
      <x:c r="A6" s="10" t="s">
        <x:v>61</x:v>
      </x:c>
      <x:c r="B6" s="11" t="s">
        <x:v>62</x:v>
      </x:c>
      <x:c r="C6" s="12" t="s">
        <x:v>63</x:v>
      </x:c>
      <x:c r="D6" s="13" t="s">
        <x:v>49</x:v>
      </x:c>
      <x:c r="E6" s="13" t="s">
        <x:v>49</x:v>
      </x:c>
      <x:c r="F6" s="13" t="s">
        <x:v>50</x:v>
      </x:c>
      <x:c r="G6" s="13" t="s">
        <x:v>51</x:v>
      </x:c>
      <x:c r="H6" s="13" t="s">
        <x:v>52</x:v>
      </x:c>
      <x:c r="I6" s="13" t="s">
        <x:v>64</x:v>
      </x:c>
      <x:c r="J6" s="13" t="s">
        <x:v>54</x:v>
      </x:c>
      <x:c r="K6" s="13" t="s">
        <x:v>55</x:v>
      </x:c>
      <x:c r="L6" s="14"/>
      <x:c r="M6" s="12" t="str">
        <x:f t="shared" si="0"/>
        <x:v>COMPLETE</x:v>
      </x:c>
      <x:c r="N6" s="12" t="s">
        <x:v>65</x:v>
      </x:c>
      <x:c r="O6" s="12" t="s">
        <x:v>57</x:v>
      </x:c>
      <x:c r="P6" s="12" t="s">
        <x:v>66</x:v>
      </x:c>
      <x:c r="Q6" s="12">
        <x:v>51</x:v>
      </x:c>
      <x:c r="R6" s="12" t="s">
        <x:v>59</x:v>
      </x:c>
      <x:c r="S6" s="15" t="s">
        <x:v>60</x:v>
      </x:c>
    </x:row>
    <x:row r="7" ht="78" customHeight="1">
      <x:c r="A7" s="10" t="s">
        <x:v>67</x:v>
      </x:c>
      <x:c r="B7" s="11" t="s">
        <x:v>68</x:v>
      </x:c>
      <x:c r="C7" s="12" t="s">
        <x:v>69</x:v>
      </x:c>
      <x:c r="D7" s="13" t="s">
        <x:v>70</x:v>
      </x:c>
      <x:c r="E7" s="13"/>
      <x:c r="F7" s="13" t="s">
        <x:v>70</x:v>
      </x:c>
      <x:c r="G7" s="13" t="s">
        <x:v>51</x:v>
      </x:c>
      <x:c r="H7" s="13" t="s">
        <x:v>71</x:v>
      </x:c>
      <x:c r="I7" s="13" t="s">
        <x:v>53</x:v>
      </x:c>
      <x:c r="J7" s="13" t="s">
        <x:v>54</x:v>
      </x:c>
      <x:c r="K7" s="13" t="s">
        <x:v>55</x:v>
      </x:c>
      <x:c r="L7" s="14"/>
      <x:c r="M7" s="12" t="str">
        <x:f t="shared" si="0"/>
        <x:v>COMPLETE</x:v>
      </x:c>
      <x:c r="N7" s="12" t="s">
        <x:v>72</x:v>
      </x:c>
      <x:c r="O7" s="12" t="s">
        <x:v>73</x:v>
      </x:c>
      <x:c r="P7" s="12" t="s">
        <x:v>74</x:v>
      </x:c>
      <x:c r="Q7" s="12">
        <x:v>80</x:v>
      </x:c>
      <x:c r="R7" s="12" t="s">
        <x:v>59</x:v>
      </x:c>
      <x:c r="S7" s="15" t="s">
        <x:v>60</x:v>
      </x:c>
    </x:row>
    <x:row r="8" ht="78" customHeight="1">
      <x:c r="A8" s="10" t="s">
        <x:v>75</x:v>
      </x:c>
      <x:c r="B8" s="11" t="s">
        <x:v>76</x:v>
      </x:c>
      <x:c r="C8" s="12" t="s">
        <x:v>77</x:v>
      </x:c>
      <x:c r="D8" s="13" t="s">
        <x:v>49</x:v>
      </x:c>
      <x:c r="E8" s="13" t="s">
        <x:v>49</x:v>
      </x:c>
      <x:c r="F8" s="13" t="s">
        <x:v>51</x:v>
      </x:c>
      <x:c r="G8" s="13" t="s">
        <x:v>78</x:v>
      </x:c>
      <x:c r="H8" s="13" t="s">
        <x:v>79</x:v>
      </x:c>
      <x:c r="I8" s="13"/>
      <x:c r="J8" s="13" t="s">
        <x:v>54</x:v>
      </x:c>
      <x:c r="K8" s="13" t="s">
        <x:v>55</x:v>
      </x:c>
      <x:c r="L8" s="14"/>
      <x:c r="M8" s="12" t="str">
        <x:f t="shared" si="0"/>
        <x:v>COMPLETE</x:v>
      </x:c>
      <x:c r="N8" s="12" t="s">
        <x:v>80</x:v>
      </x:c>
      <x:c r="O8" s="12" t="s">
        <x:v>81</x:v>
      </x:c>
      <x:c r="P8" s="12" t="s">
        <x:v>82</x:v>
      </x:c>
      <x:c r="Q8" s="12">
        <x:v>10</x:v>
      </x:c>
      <x:c r="R8" s="12" t="s">
        <x:v>83</x:v>
      </x:c>
      <x:c r="S8" s="15" t="s">
        <x:v>84</x:v>
      </x:c>
    </x:row>
    <x:row r="9" ht="78" customHeight="1">
      <x:c r="A9" s="10" t="s">
        <x:v>85</x:v>
      </x:c>
      <x:c r="B9" s="11" t="s">
        <x:v>86</x:v>
      </x:c>
      <x:c r="C9" s="12" t="s">
        <x:v>87</x:v>
      </x:c>
      <x:c r="D9" s="13" t="s">
        <x:v>49</x:v>
      </x:c>
      <x:c r="E9" s="13" t="s">
        <x:v>49</x:v>
      </x:c>
      <x:c r="F9" s="13" t="s">
        <x:v>50</x:v>
      </x:c>
      <x:c r="G9" s="13" t="s">
        <x:v>51</x:v>
      </x:c>
      <x:c r="H9" s="13" t="s">
        <x:v>52</x:v>
      </x:c>
      <x:c r="I9" s="13" t="s">
        <x:v>88</x:v>
      </x:c>
      <x:c r="J9" s="13" t="s">
        <x:v>54</x:v>
      </x:c>
      <x:c r="K9" s="13" t="s">
        <x:v>55</x:v>
      </x:c>
      <x:c r="L9" s="14"/>
      <x:c r="M9" s="12" t="str">
        <x:f t="shared" si="0"/>
        <x:v>COMPLETE</x:v>
      </x:c>
      <x:c r="N9" s="12" t="s">
        <x:v>89</x:v>
      </x:c>
      <x:c r="O9" s="12" t="s">
        <x:v>81</x:v>
      </x:c>
      <x:c r="P9" s="12" t="s">
        <x:v>90</x:v>
      </x:c>
      <x:c r="Q9" s="12">
        <x:v>18</x:v>
      </x:c>
      <x:c r="R9" s="12" t="s">
        <x:v>59</x:v>
      </x:c>
      <x:c r="S9" s="15" t="s">
        <x:v>60</x:v>
      </x:c>
    </x:row>
    <x:row r="10" ht="78" customHeight="1">
      <x:c r="A10" s="10" t="s">
        <x:v>91</x:v>
      </x:c>
      <x:c r="B10" s="11" t="s">
        <x:v>92</x:v>
      </x:c>
      <x:c r="C10" s="12" t="s">
        <x:v>93</x:v>
      </x:c>
      <x:c r="D10" s="13" t="s">
        <x:v>94</x:v>
      </x:c>
      <x:c r="E10" s="13" t="s">
        <x:v>49</x:v>
      </x:c>
      <x:c r="F10" s="13" t="s">
        <x:v>51</x:v>
      </x:c>
      <x:c r="G10" s="13" t="s">
        <x:v>78</x:v>
      </x:c>
      <x:c r="H10" s="13" t="s">
        <x:v>79</x:v>
      </x:c>
      <x:c r="I10" s="13"/>
      <x:c r="J10" s="13" t="s">
        <x:v>54</x:v>
      </x:c>
      <x:c r="K10" s="13" t="s">
        <x:v>55</x:v>
      </x:c>
      <x:c r="L10" s="14"/>
      <x:c r="M10" s="12" t="str">
        <x:f t="shared" si="0"/>
        <x:v>COMPLETE</x:v>
      </x:c>
      <x:c r="N10" s="12" t="s">
        <x:v>95</x:v>
      </x:c>
      <x:c r="O10" s="12" t="s">
        <x:v>96</x:v>
      </x:c>
      <x:c r="P10" s="12" t="s">
        <x:v>97</x:v>
      </x:c>
      <x:c r="Q10" s="12">
        <x:v>57</x:v>
      </x:c>
      <x:c r="R10" s="12" t="s">
        <x:v>59</x:v>
      </x:c>
      <x:c r="S10" s="15" t="s">
        <x:v>60</x:v>
      </x:c>
    </x:row>
    <x:row r="11" ht="78" customHeight="1">
      <x:c r="A11" s="10" t="s">
        <x:v>98</x:v>
      </x:c>
      <x:c r="B11" s="11" t="s">
        <x:v>99</x:v>
      </x:c>
      <x:c r="C11" s="12" t="s">
        <x:v>100</x:v>
      </x:c>
      <x:c r="D11" s="13" t="s">
        <x:v>49</x:v>
      </x:c>
      <x:c r="E11" s="13" t="s">
        <x:v>49</x:v>
      </x:c>
      <x:c r="F11" s="13" t="s">
        <x:v>50</x:v>
      </x:c>
      <x:c r="G11" s="13" t="s">
        <x:v>51</x:v>
      </x:c>
      <x:c r="H11" s="13" t="s">
        <x:v>52</x:v>
      </x:c>
      <x:c r="I11" s="13" t="s">
        <x:v>101</x:v>
      </x:c>
      <x:c r="J11" s="13" t="s">
        <x:v>54</x:v>
      </x:c>
      <x:c r="K11" s="13" t="s">
        <x:v>55</x:v>
      </x:c>
      <x:c r="L11" s="14"/>
      <x:c r="M11" s="12" t="str">
        <x:f t="shared" si="0"/>
        <x:v>COMPLETE</x:v>
      </x:c>
      <x:c r="N11" s="12" t="s">
        <x:v>102</x:v>
      </x:c>
      <x:c r="O11" s="12" t="s">
        <x:v>103</x:v>
      </x:c>
      <x:c r="P11" s="12" t="s">
        <x:v>104</x:v>
      </x:c>
      <x:c r="Q11" s="12">
        <x:v>41</x:v>
      </x:c>
      <x:c r="R11" s="12" t="s">
        <x:v>59</x:v>
      </x:c>
      <x:c r="S11" s="15" t="s">
        <x:v>60</x:v>
      </x:c>
    </x:row>
    <x:row r="12" ht="78" customHeight="1">
      <x:c r="A12" s="10" t="s">
        <x:v>105</x:v>
      </x:c>
      <x:c r="B12" s="11" t="s">
        <x:v>106</x:v>
      </x:c>
      <x:c r="C12" s="12" t="s">
        <x:v>107</x:v>
      </x:c>
      <x:c r="D12" s="13" t="s">
        <x:v>49</x:v>
      </x:c>
      <x:c r="E12" s="13" t="s">
        <x:v>49</x:v>
      </x:c>
      <x:c r="F12" s="13" t="s">
        <x:v>51</x:v>
      </x:c>
      <x:c r="G12" s="13" t="s">
        <x:v>108</x:v>
      </x:c>
      <x:c r="H12" s="13" t="s">
        <x:v>79</x:v>
      </x:c>
      <x:c r="I12" s="13"/>
      <x:c r="J12" s="13" t="s">
        <x:v>109</x:v>
      </x:c>
      <x:c r="K12" s="13" t="s">
        <x:v>55</x:v>
      </x:c>
      <x:c r="L12" s="14"/>
      <x:c r="M12" s="12" t="str">
        <x:f t="shared" si="0"/>
        <x:v>COMPLETE</x:v>
      </x:c>
      <x:c r="N12" s="12" t="s">
        <x:v>110</x:v>
      </x:c>
      <x:c r="O12" s="12" t="s">
        <x:v>73</x:v>
      </x:c>
      <x:c r="P12" s="12" t="s">
        <x:v>111</x:v>
      </x:c>
      <x:c r="Q12" s="12">
        <x:v>50</x:v>
      </x:c>
      <x:c r="R12" s="12" t="s">
        <x:v>59</x:v>
      </x:c>
      <x:c r="S12" s="15" t="s">
        <x:v>60</x:v>
      </x:c>
    </x:row>
    <x:row r="13" ht="78" customHeight="1">
      <x:c r="A13" s="10" t="s">
        <x:v>112</x:v>
      </x:c>
      <x:c r="B13" s="11" t="s">
        <x:v>113</x:v>
      </x:c>
      <x:c r="C13" s="12" t="s">
        <x:v>69</x:v>
      </x:c>
      <x:c r="D13" s="13" t="s">
        <x:v>70</x:v>
      </x:c>
      <x:c r="E13" s="13" t="s">
        <x:v>94</x:v>
      </x:c>
      <x:c r="F13" s="13" t="s">
        <x:v>51</x:v>
      </x:c>
      <x:c r="G13" s="13" t="s">
        <x:v>108</x:v>
      </x:c>
      <x:c r="H13" s="13" t="s">
        <x:v>79</x:v>
      </x:c>
      <x:c r="I13" s="13"/>
      <x:c r="J13" s="13" t="s">
        <x:v>109</x:v>
      </x:c>
      <x:c r="K13" s="13" t="s">
        <x:v>55</x:v>
      </x:c>
      <x:c r="L13" s="14"/>
      <x:c r="M13" s="12" t="str">
        <x:f t="shared" si="0"/>
        <x:v>COMPLETE</x:v>
      </x:c>
      <x:c r="N13" s="12" t="s">
        <x:v>72</x:v>
      </x:c>
      <x:c r="O13" s="12" t="s">
        <x:v>96</x:v>
      </x:c>
      <x:c r="P13" s="12" t="s">
        <x:v>74</x:v>
      </x:c>
      <x:c r="Q13" s="12">
        <x:v>80</x:v>
      </x:c>
      <x:c r="R13" s="12" t="s">
        <x:v>59</x:v>
      </x:c>
      <x:c r="S13" s="15" t="s">
        <x:v>60</x:v>
      </x:c>
    </x:row>
    <x:row r="14" ht="78" customHeight="1">
      <x:c r="A14" s="10" t="s">
        <x:v>114</x:v>
      </x:c>
      <x:c r="B14" s="11" t="s">
        <x:v>115</x:v>
      </x:c>
      <x:c r="C14" s="12" t="s">
        <x:v>116</x:v>
      </x:c>
      <x:c r="D14" s="13" t="s">
        <x:v>70</x:v>
      </x:c>
      <x:c r="E14" s="13" t="s">
        <x:v>94</x:v>
      </x:c>
      <x:c r="F14" s="13" t="s">
        <x:v>117</x:v>
      </x:c>
      <x:c r="G14" s="13" t="s">
        <x:v>51</x:v>
      </x:c>
      <x:c r="H14" s="13" t="s">
        <x:v>71</x:v>
      </x:c>
      <x:c r="I14" s="13"/>
      <x:c r="J14" s="13" t="s">
        <x:v>109</x:v>
      </x:c>
      <x:c r="K14" s="13" t="s">
        <x:v>55</x:v>
      </x:c>
      <x:c r="L14" s="14"/>
      <x:c r="M14" s="12" t="str">
        <x:f t="shared" si="0"/>
        <x:v>COMPLETE</x:v>
      </x:c>
      <x:c r="N14" s="12" t="s">
        <x:v>118</x:v>
      </x:c>
      <x:c r="O14" s="12" t="s">
        <x:v>119</x:v>
      </x:c>
      <x:c r="P14" s="12" t="s">
        <x:v>111</x:v>
      </x:c>
      <x:c r="Q14" s="12">
        <x:v>35</x:v>
      </x:c>
      <x:c r="R14" s="12" t="s">
        <x:v>120</x:v>
      </x:c>
      <x:c r="S14" s="15" t="s">
        <x:v>60</x:v>
      </x:c>
    </x:row>
    <x:row r="15" ht="78" customHeight="1">
      <x:c r="A15" s="10" t="s">
        <x:v>121</x:v>
      </x:c>
      <x:c r="B15" s="11" t="s">
        <x:v>122</x:v>
      </x:c>
      <x:c r="C15" s="12" t="s">
        <x:v>123</x:v>
      </x:c>
      <x:c r="D15" s="13" t="s">
        <x:v>70</x:v>
      </x:c>
      <x:c r="E15" s="13" t="s">
        <x:v>94</x:v>
      </x:c>
      <x:c r="F15" s="13" t="s">
        <x:v>70</x:v>
      </x:c>
      <x:c r="G15" s="13" t="s">
        <x:v>124</x:v>
      </x:c>
      <x:c r="H15" s="13" t="s">
        <x:v>71</x:v>
      </x:c>
      <x:c r="I15" s="13"/>
      <x:c r="J15" s="13" t="s">
        <x:v>54</x:v>
      </x:c>
      <x:c r="K15" s="13" t="s">
        <x:v>55</x:v>
      </x:c>
      <x:c r="L15" s="14"/>
      <x:c r="M15" s="12" t="str">
        <x:f t="shared" si="0"/>
        <x:v>COMPLETE</x:v>
      </x:c>
      <x:c r="N15" s="12" t="s">
        <x:v>125</x:v>
      </x:c>
      <x:c r="O15" s="12" t="s">
        <x:v>126</x:v>
      </x:c>
      <x:c r="P15" s="12" t="s">
        <x:v>127</x:v>
      </x:c>
      <x:c r="Q15" s="12">
        <x:v>20</x:v>
      </x:c>
      <x:c r="R15" s="12" t="s">
        <x:v>59</x:v>
      </x:c>
      <x:c r="S15" s="15" t="s">
        <x:v>60</x:v>
      </x:c>
    </x:row>
    <x:row r="16" ht="78" customHeight="1">
      <x:c r="A16" s="10" t="s">
        <x:v>128</x:v>
      </x:c>
      <x:c r="B16" s="11" t="s">
        <x:v>129</x:v>
      </x:c>
      <x:c r="C16" s="12" t="s">
        <x:v>130</x:v>
      </x:c>
      <x:c r="D16" s="13" t="s">
        <x:v>70</x:v>
      </x:c>
      <x:c r="E16" s="13" t="s">
        <x:v>49</x:v>
      </x:c>
      <x:c r="F16" s="13" t="s">
        <x:v>51</x:v>
      </x:c>
      <x:c r="G16" s="13" t="s">
        <x:v>78</x:v>
      </x:c>
      <x:c r="H16" s="13" t="s">
        <x:v>79</x:v>
      </x:c>
      <x:c r="I16" s="13"/>
      <x:c r="J16" s="13" t="s">
        <x:v>54</x:v>
      </x:c>
      <x:c r="K16" s="13" t="s">
        <x:v>55</x:v>
      </x:c>
      <x:c r="L16" s="14"/>
      <x:c r="M16" s="12" t="str">
        <x:f t="shared" si="0"/>
        <x:v>COMPLETE</x:v>
      </x:c>
      <x:c r="N16" s="12" t="s">
        <x:v>131</x:v>
      </x:c>
      <x:c r="O16" s="12" t="s">
        <x:v>96</x:v>
      </x:c>
      <x:c r="P16" s="12" t="s">
        <x:v>132</x:v>
      </x:c>
      <x:c r="Q16" s="12">
        <x:v>4</x:v>
      </x:c>
      <x:c r="R16" s="12" t="s">
        <x:v>59</x:v>
      </x:c>
      <x:c r="S16" s="15" t="s">
        <x:v>60</x:v>
      </x:c>
    </x:row>
    <x:row r="17" ht="78" customHeight="1">
      <x:c r="A17" s="10" t="s">
        <x:v>133</x:v>
      </x:c>
      <x:c r="B17" s="11" t="s">
        <x:v>134</x:v>
      </x:c>
      <x:c r="C17" s="12" t="s">
        <x:v>135</x:v>
      </x:c>
      <x:c r="D17" s="13" t="s">
        <x:v>70</x:v>
      </x:c>
      <x:c r="E17" s="13" t="s">
        <x:v>49</x:v>
      </x:c>
      <x:c r="F17" s="13" t="s">
        <x:v>70</x:v>
      </x:c>
      <x:c r="G17" s="13" t="s">
        <x:v>51</x:v>
      </x:c>
      <x:c r="H17" s="13" t="s">
        <x:v>71</x:v>
      </x:c>
      <x:c r="I17" s="13"/>
      <x:c r="J17" s="13" t="s">
        <x:v>54</x:v>
      </x:c>
      <x:c r="K17" s="13" t="s">
        <x:v>55</x:v>
      </x:c>
      <x:c r="L17" s="14"/>
      <x:c r="M17" s="12" t="str">
        <x:f t="shared" si="0"/>
        <x:v>COMPLETE</x:v>
      </x:c>
      <x:c r="N17" s="12" t="s">
        <x:v>136</x:v>
      </x:c>
      <x:c r="O17" s="12" t="s">
        <x:v>103</x:v>
      </x:c>
      <x:c r="P17" s="12" t="s">
        <x:v>74</x:v>
      </x:c>
      <x:c r="Q17" s="12">
        <x:v>48</x:v>
      </x:c>
      <x:c r="R17" s="12" t="s">
        <x:v>59</x:v>
      </x:c>
      <x:c r="S17" s="15" t="s">
        <x:v>60</x:v>
      </x:c>
    </x:row>
    <x:row r="18" ht="78" customHeight="1">
      <x:c r="A18" s="10" t="s">
        <x:v>137</x:v>
      </x:c>
      <x:c r="B18" s="11" t="s">
        <x:v>138</x:v>
      </x:c>
      <x:c r="C18" s="12" t="s">
        <x:v>139</x:v>
      </x:c>
      <x:c r="D18" s="13" t="s">
        <x:v>49</x:v>
      </x:c>
      <x:c r="E18" s="13" t="s">
        <x:v>49</x:v>
      </x:c>
      <x:c r="F18" s="13" t="s">
        <x:v>50</x:v>
      </x:c>
      <x:c r="G18" s="13" t="s">
        <x:v>51</x:v>
      </x:c>
      <x:c r="H18" s="13" t="s">
        <x:v>52</x:v>
      </x:c>
      <x:c r="I18" s="13" t="s">
        <x:v>140</x:v>
      </x:c>
      <x:c r="J18" s="13" t="s">
        <x:v>54</x:v>
      </x:c>
      <x:c r="K18" s="13" t="s">
        <x:v>55</x:v>
      </x:c>
      <x:c r="L18" s="14"/>
      <x:c r="M18" s="12" t="str">
        <x:f>IF(H18="","PENDING",IF(AND(H18="keep",I18=""),"CODE REQUIRED",IF(AND(H18="exclude",OR(G18="",G18="none")),"REASON REQUIRED",IF(K18="","INITIALS REQUIRED","COMPLETE"))))</x:f>
        <x:v>COMPLETE</x:v>
      </x:c>
      <x:c r="N18" s="12" t="s">
        <x:v>141</x:v>
      </x:c>
      <x:c r="O18" s="12" t="s">
        <x:v>142</x:v>
      </x:c>
      <x:c r="P18" s="12" t="s">
        <x:v>143</x:v>
      </x:c>
      <x:c r="Q18" s="12">
        <x:v>27</x:v>
      </x:c>
      <x:c r="R18" s="12" t="s">
        <x:v>59</x:v>
      </x:c>
      <x:c r="S18" s="15" t="s">
        <x:v>60</x:v>
      </x:c>
    </x:row>
    <x:row r="19" ht="78" customHeight="1">
      <x:c r="A19" s="10" t="s">
        <x:v>144</x:v>
      </x:c>
      <x:c r="B19" s="11" t="s">
        <x:v>145</x:v>
      </x:c>
      <x:c r="C19" s="12" t="s">
        <x:v>135</x:v>
      </x:c>
      <x:c r="D19" s="13" t="s">
        <x:v>70</x:v>
      </x:c>
      <x:c r="E19" s="13" t="s">
        <x:v>70</x:v>
      </x:c>
      <x:c r="F19" s="13" t="s">
        <x:v>70</x:v>
      </x:c>
      <x:c r="G19" s="13" t="s">
        <x:v>51</x:v>
      </x:c>
      <x:c r="H19" s="13" t="s">
        <x:v>71</x:v>
      </x:c>
      <x:c r="I19" s="13"/>
      <x:c r="J19" s="13" t="s">
        <x:v>54</x:v>
      </x:c>
      <x:c r="K19" s="13" t="s">
        <x:v>55</x:v>
      </x:c>
      <x:c r="L19" s="14"/>
      <x:c r="M19" s="12" t="str">
        <x:f t="shared" si="0"/>
        <x:v>COMPLETE</x:v>
      </x:c>
      <x:c r="N19" s="12" t="s">
        <x:v>136</x:v>
      </x:c>
      <x:c r="O19" s="12" t="s">
        <x:v>126</x:v>
      </x:c>
      <x:c r="P19" s="12" t="s">
        <x:v>74</x:v>
      </x:c>
      <x:c r="Q19" s="12">
        <x:v>48</x:v>
      </x:c>
      <x:c r="R19" s="12" t="s">
        <x:v>59</x:v>
      </x:c>
      <x:c r="S19" s="15" t="s">
        <x:v>60</x:v>
      </x:c>
    </x:row>
    <x:row r="20" ht="78" customHeight="1">
      <x:c r="A20" s="10" t="s">
        <x:v>146</x:v>
      </x:c>
      <x:c r="B20" s="11" t="s">
        <x:v>147</x:v>
      </x:c>
      <x:c r="C20" s="12" t="s">
        <x:v>148</x:v>
      </x:c>
      <x:c r="D20" s="13" t="s">
        <x:v>70</x:v>
      </x:c>
      <x:c r="E20" s="13" t="s">
        <x:v>49</x:v>
      </x:c>
      <x:c r="F20" s="13" t="s">
        <x:v>51</x:v>
      </x:c>
      <x:c r="G20" s="13" t="s">
        <x:v>149</x:v>
      </x:c>
      <x:c r="H20" s="13" t="s">
        <x:v>79</x:v>
      </x:c>
      <x:c r="I20" s="13"/>
      <x:c r="J20" s="13" t="s">
        <x:v>54</x:v>
      </x:c>
      <x:c r="K20" s="13" t="s">
        <x:v>55</x:v>
      </x:c>
      <x:c r="L20" s="14"/>
      <x:c r="M20" s="12" t="str">
        <x:f t="shared" si="0"/>
        <x:v>COMPLETE</x:v>
      </x:c>
      <x:c r="N20" s="12" t="s">
        <x:v>150</x:v>
      </x:c>
      <x:c r="O20" s="12" t="s">
        <x:v>142</x:v>
      </x:c>
      <x:c r="P20" s="12" t="s">
        <x:v>151</x:v>
      </x:c>
      <x:c r="Q20" s="12">
        <x:v>27</x:v>
      </x:c>
      <x:c r="R20" s="12" t="s">
        <x:v>59</x:v>
      </x:c>
      <x:c r="S20" s="15" t="s">
        <x:v>60</x:v>
      </x:c>
    </x:row>
    <x:row r="21" ht="78" customHeight="1">
      <x:c r="A21" s="10" t="s">
        <x:v>152</x:v>
      </x:c>
      <x:c r="B21" s="11" t="s">
        <x:v>153</x:v>
      </x:c>
      <x:c r="C21" s="12" t="s">
        <x:v>154</x:v>
      </x:c>
      <x:c r="D21" s="13" t="s">
        <x:v>49</x:v>
      </x:c>
      <x:c r="E21" s="13" t="s">
        <x:v>49</x:v>
      </x:c>
      <x:c r="F21" s="13" t="s">
        <x:v>155</x:v>
      </x:c>
      <x:c r="G21" s="13" t="s">
        <x:v>51</x:v>
      </x:c>
      <x:c r="H21" s="13" t="s">
        <x:v>52</x:v>
      </x:c>
      <x:c r="I21" s="13" t="s">
        <x:v>156</x:v>
      </x:c>
      <x:c r="J21" s="13" t="s">
        <x:v>54</x:v>
      </x:c>
      <x:c r="K21" s="13" t="s">
        <x:v>55</x:v>
      </x:c>
      <x:c r="L21" s="14" t="s">
        <x:v>157</x:v>
      </x:c>
      <x:c r="M21" s="12" t="str">
        <x:f t="shared" si="0"/>
        <x:v>COMPLETE</x:v>
      </x:c>
      <x:c r="N21" s="12" t="s">
        <x:v>158</x:v>
      </x:c>
      <x:c r="O21" s="12" t="s">
        <x:v>103</x:v>
      </x:c>
      <x:c r="P21" s="12" t="s">
        <x:v>82</x:v>
      </x:c>
      <x:c r="Q21" s="12">
        <x:v>11</x:v>
      </x:c>
      <x:c r="R21" s="12" t="s">
        <x:v>120</x:v>
      </x:c>
      <x:c r="S21" s="15" t="s">
        <x:v>84</x:v>
      </x:c>
    </x:row>
    <x:row r="22" ht="78" customHeight="1">
      <x:c r="A22" s="10" t="s">
        <x:v>159</x:v>
      </x:c>
      <x:c r="B22" s="11" t="s">
        <x:v>160</x:v>
      </x:c>
      <x:c r="C22" s="12" t="s">
        <x:v>139</x:v>
      </x:c>
      <x:c r="D22" s="13" t="s">
        <x:v>70</x:v>
      </x:c>
      <x:c r="E22" s="13" t="s">
        <x:v>94</x:v>
      </x:c>
      <x:c r="F22" s="13" t="s">
        <x:v>161</x:v>
      </x:c>
      <x:c r="G22" s="13" t="s">
        <x:v>51</x:v>
      </x:c>
      <x:c r="H22" s="13" t="s">
        <x:v>71</x:v>
      </x:c>
      <x:c r="I22" s="13" t="s">
        <x:v>162</x:v>
      </x:c>
      <x:c r="J22" s="13" t="s">
        <x:v>109</x:v>
      </x:c>
      <x:c r="K22" s="13" t="s">
        <x:v>55</x:v>
      </x:c>
      <x:c r="L22" s="14"/>
      <x:c r="M22" s="12" t="str">
        <x:f t="shared" si="0"/>
        <x:v>COMPLETE</x:v>
      </x:c>
      <x:c r="N22" s="12" t="s">
        <x:v>141</x:v>
      </x:c>
      <x:c r="O22" s="12" t="s">
        <x:v>81</x:v>
      </x:c>
      <x:c r="P22" s="12" t="s">
        <x:v>143</x:v>
      </x:c>
      <x:c r="Q22" s="12">
        <x:v>27</x:v>
      </x:c>
      <x:c r="R22" s="12" t="s">
        <x:v>59</x:v>
      </x:c>
      <x:c r="S22" s="15" t="s">
        <x:v>60</x:v>
      </x:c>
    </x:row>
    <x:row r="23" ht="78" customHeight="1">
      <x:c r="A23" s="10" t="s">
        <x:v>163</x:v>
      </x:c>
      <x:c r="B23" s="11" t="s">
        <x:v>164</x:v>
      </x:c>
      <x:c r="C23" s="12" t="s">
        <x:v>87</x:v>
      </x:c>
      <x:c r="D23" s="13" t="s">
        <x:v>49</x:v>
      </x:c>
      <x:c r="E23" s="13" t="s">
        <x:v>49</x:v>
      </x:c>
      <x:c r="F23" s="13" t="s">
        <x:v>70</x:v>
      </x:c>
      <x:c r="G23" s="13" t="s">
        <x:v>51</x:v>
      </x:c>
      <x:c r="H23" s="13" t="s">
        <x:v>52</x:v>
      </x:c>
      <x:c r="I23" s="13" t="s">
        <x:v>53</x:v>
      </x:c>
      <x:c r="J23" s="13" t="s">
        <x:v>54</x:v>
      </x:c>
      <x:c r="K23" s="13" t="s">
        <x:v>55</x:v>
      </x:c>
      <x:c r="L23" s="14"/>
      <x:c r="M23" s="12" t="str">
        <x:f t="shared" si="0"/>
        <x:v>COMPLETE</x:v>
      </x:c>
      <x:c r="N23" s="12" t="s">
        <x:v>89</x:v>
      </x:c>
      <x:c r="O23" s="12" t="s">
        <x:v>142</x:v>
      </x:c>
      <x:c r="P23" s="12" t="s">
        <x:v>90</x:v>
      </x:c>
      <x:c r="Q23" s="12">
        <x:v>18</x:v>
      </x:c>
      <x:c r="R23" s="12" t="s">
        <x:v>59</x:v>
      </x:c>
      <x:c r="S23" s="15" t="s">
        <x:v>60</x:v>
      </x:c>
    </x:row>
    <x:row r="24" ht="78" customHeight="1">
      <x:c r="A24" s="10" t="s">
        <x:v>165</x:v>
      </x:c>
      <x:c r="B24" s="11" t="s">
        <x:v>166</x:v>
      </x:c>
      <x:c r="C24" s="12" t="s">
        <x:v>69</x:v>
      </x:c>
      <x:c r="D24" s="13" t="s">
        <x:v>49</x:v>
      </x:c>
      <x:c r="E24" s="13" t="s">
        <x:v>49</x:v>
      </x:c>
      <x:c r="F24" s="13" t="s">
        <x:v>70</x:v>
      </x:c>
      <x:c r="G24" s="13" t="s">
        <x:v>51</x:v>
      </x:c>
      <x:c r="H24" s="13" t="s">
        <x:v>52</x:v>
      </x:c>
      <x:c r="I24" s="13" t="s">
        <x:v>167</x:v>
      </x:c>
      <x:c r="J24" s="13" t="s">
        <x:v>54</x:v>
      </x:c>
      <x:c r="K24" s="13" t="s">
        <x:v>55</x:v>
      </x:c>
      <x:c r="L24" s="14"/>
      <x:c r="M24" s="12" t="str">
        <x:f t="shared" si="0"/>
        <x:v>COMPLETE</x:v>
      </x:c>
      <x:c r="N24" s="12" t="s">
        <x:v>72</x:v>
      </x:c>
      <x:c r="O24" s="12" t="s">
        <x:v>126</x:v>
      </x:c>
      <x:c r="P24" s="12" t="s">
        <x:v>74</x:v>
      </x:c>
      <x:c r="Q24" s="12">
        <x:v>80</x:v>
      </x:c>
      <x:c r="R24" s="12" t="s">
        <x:v>59</x:v>
      </x:c>
      <x:c r="S24" s="15" t="s">
        <x:v>60</x:v>
      </x:c>
    </x:row>
    <x:row r="25" ht="78" customHeight="1">
      <x:c r="A25" s="10" t="s">
        <x:v>168</x:v>
      </x:c>
      <x:c r="B25" s="11" t="s">
        <x:v>169</x:v>
      </x:c>
      <x:c r="C25" s="12" t="s">
        <x:v>170</x:v>
      </x:c>
      <x:c r="D25" s="13" t="s">
        <x:v>49</x:v>
      </x:c>
      <x:c r="E25" s="13" t="s">
        <x:v>49</x:v>
      </x:c>
      <x:c r="F25" s="13" t="s">
        <x:v>51</x:v>
      </x:c>
      <x:c r="G25" s="13" t="s">
        <x:v>78</x:v>
      </x:c>
      <x:c r="H25" s="13" t="s">
        <x:v>79</x:v>
      </x:c>
      <x:c r="I25" s="13"/>
      <x:c r="J25" s="13" t="s">
        <x:v>54</x:v>
      </x:c>
      <x:c r="K25" s="13" t="s">
        <x:v>55</x:v>
      </x:c>
      <x:c r="L25" s="14"/>
      <x:c r="M25" s="12" t="str">
        <x:f t="shared" si="0"/>
        <x:v>COMPLETE</x:v>
      </x:c>
      <x:c r="N25" s="12" t="s">
        <x:v>171</x:v>
      </x:c>
      <x:c r="O25" s="12" t="s">
        <x:v>126</x:v>
      </x:c>
      <x:c r="P25" s="12" t="s">
        <x:v>172</x:v>
      </x:c>
      <x:c r="Q25" s="12">
        <x:v>10</x:v>
      </x:c>
      <x:c r="R25" s="12" t="s">
        <x:v>59</x:v>
      </x:c>
      <x:c r="S25" s="15" t="s">
        <x:v>60</x:v>
      </x:c>
    </x:row>
    <x:row r="26" ht="78" customHeight="1">
      <x:c r="A26" s="10" t="s">
        <x:v>173</x:v>
      </x:c>
      <x:c r="B26" s="11" t="s">
        <x:v>174</x:v>
      </x:c>
      <x:c r="C26" s="12" t="s">
        <x:v>116</x:v>
      </x:c>
      <x:c r="D26" s="13" t="s">
        <x:v>70</x:v>
      </x:c>
      <x:c r="E26" s="13" t="s">
        <x:v>94</x:v>
      </x:c>
      <x:c r="F26" s="13" t="s">
        <x:v>117</x:v>
      </x:c>
      <x:c r="G26" s="13" t="s">
        <x:v>51</x:v>
      </x:c>
      <x:c r="H26" s="13" t="s">
        <x:v>71</x:v>
      </x:c>
      <x:c r="I26" s="13"/>
      <x:c r="J26" s="13" t="s">
        <x:v>109</x:v>
      </x:c>
      <x:c r="K26" s="13" t="s">
        <x:v>55</x:v>
      </x:c>
      <x:c r="L26" s="14"/>
      <x:c r="M26" s="12" t="str">
        <x:f t="shared" si="0"/>
        <x:v>COMPLETE</x:v>
      </x:c>
      <x:c r="N26" s="12" t="s">
        <x:v>118</x:v>
      </x:c>
      <x:c r="O26" s="12" t="s">
        <x:v>81</x:v>
      </x:c>
      <x:c r="P26" s="12" t="s">
        <x:v>111</x:v>
      </x:c>
      <x:c r="Q26" s="12">
        <x:v>35</x:v>
      </x:c>
      <x:c r="R26" s="12" t="s">
        <x:v>120</x:v>
      </x:c>
      <x:c r="S26" s="15" t="s">
        <x:v>60</x:v>
      </x:c>
    </x:row>
    <x:row r="27" ht="78" customHeight="1">
      <x:c r="A27" s="10" t="s">
        <x:v>175</x:v>
      </x:c>
      <x:c r="B27" s="11" t="s">
        <x:v>176</x:v>
      </x:c>
      <x:c r="C27" s="12" t="s">
        <x:v>177</x:v>
      </x:c>
      <x:c r="D27" s="13" t="s">
        <x:v>49</x:v>
      </x:c>
      <x:c r="E27" s="13" t="s">
        <x:v>49</x:v>
      </x:c>
      <x:c r="F27" s="13" t="s">
        <x:v>51</x:v>
      </x:c>
      <x:c r="G27" s="13" t="s">
        <x:v>78</x:v>
      </x:c>
      <x:c r="H27" s="13" t="s">
        <x:v>79</x:v>
      </x:c>
      <x:c r="I27" s="13"/>
      <x:c r="J27" s="13" t="s">
        <x:v>54</x:v>
      </x:c>
      <x:c r="K27" s="13" t="s">
        <x:v>55</x:v>
      </x:c>
      <x:c r="L27" s="14"/>
      <x:c r="M27" s="12" t="str">
        <x:f t="shared" si="0"/>
        <x:v>COMPLETE</x:v>
      </x:c>
      <x:c r="N27" s="12" t="s">
        <x:v>178</x:v>
      </x:c>
      <x:c r="O27" s="12" t="s">
        <x:v>73</x:v>
      </x:c>
      <x:c r="P27" s="12" t="s">
        <x:v>179</x:v>
      </x:c>
      <x:c r="Q27" s="12">
        <x:v>2</x:v>
      </x:c>
      <x:c r="R27" s="12" t="s">
        <x:v>59</x:v>
      </x:c>
      <x:c r="S27" s="15" t="s">
        <x:v>60</x:v>
      </x:c>
    </x:row>
    <x:row r="28" ht="78" customHeight="1">
      <x:c r="A28" s="10" t="s">
        <x:v>180</x:v>
      </x:c>
      <x:c r="B28" s="11" t="s">
        <x:v>181</x:v>
      </x:c>
      <x:c r="C28" s="12" t="s">
        <x:v>63</x:v>
      </x:c>
      <x:c r="D28" s="13" t="s">
        <x:v>49</x:v>
      </x:c>
      <x:c r="E28" s="13" t="s">
        <x:v>49</x:v>
      </x:c>
      <x:c r="F28" s="13" t="s">
        <x:v>182</x:v>
      </x:c>
      <x:c r="G28" s="13" t="s">
        <x:v>51</x:v>
      </x:c>
      <x:c r="H28" s="13" t="s">
        <x:v>52</x:v>
      </x:c>
      <x:c r="I28" s="13" t="s">
        <x:v>64</x:v>
      </x:c>
      <x:c r="J28" s="13" t="s">
        <x:v>109</x:v>
      </x:c>
      <x:c r="K28" s="13" t="s">
        <x:v>55</x:v>
      </x:c>
      <x:c r="L28" s="14" t="s">
        <x:v>183</x:v>
      </x:c>
      <x:c r="M28" s="12" t="str">
        <x:f t="shared" si="0"/>
        <x:v>COMPLETE</x:v>
      </x:c>
      <x:c r="N28" s="12" t="s">
        <x:v>65</x:v>
      </x:c>
      <x:c r="O28" s="12" t="s">
        <x:v>96</x:v>
      </x:c>
      <x:c r="P28" s="12" t="s">
        <x:v>66</x:v>
      </x:c>
      <x:c r="Q28" s="12">
        <x:v>51</x:v>
      </x:c>
      <x:c r="R28" s="12" t="s">
        <x:v>59</x:v>
      </x:c>
      <x:c r="S28" s="15" t="s">
        <x:v>60</x:v>
      </x:c>
    </x:row>
    <x:row r="29" ht="78" customHeight="1">
      <x:c r="A29" s="10" t="s">
        <x:v>184</x:v>
      </x:c>
      <x:c r="B29" s="11" t="s">
        <x:v>185</x:v>
      </x:c>
      <x:c r="C29" s="12" t="s">
        <x:v>186</x:v>
      </x:c>
      <x:c r="D29" s="13" t="s">
        <x:v>70</x:v>
      </x:c>
      <x:c r="E29" s="13" t="s">
        <x:v>70</x:v>
      </x:c>
      <x:c r="F29" s="13" t="s">
        <x:v>70</x:v>
      </x:c>
      <x:c r="G29" s="13" t="s">
        <x:v>78</x:v>
      </x:c>
      <x:c r="H29" s="13" t="s">
        <x:v>79</x:v>
      </x:c>
      <x:c r="I29" s="13"/>
      <x:c r="J29" s="13" t="s">
        <x:v>109</x:v>
      </x:c>
      <x:c r="K29" s="13" t="s">
        <x:v>55</x:v>
      </x:c>
      <x:c r="L29" s="14"/>
      <x:c r="M29" s="12" t="str">
        <x:f t="shared" si="0"/>
        <x:v>COMPLETE</x:v>
      </x:c>
      <x:c r="N29" s="12" t="s">
        <x:v>187</x:v>
      </x:c>
      <x:c r="O29" s="12" t="s">
        <x:v>73</x:v>
      </x:c>
      <x:c r="P29" s="12" t="s">
        <x:v>97</x:v>
      </x:c>
      <x:c r="Q29" s="12">
        <x:v>101</x:v>
      </x:c>
      <x:c r="R29" s="12" t="s">
        <x:v>59</x:v>
      </x:c>
      <x:c r="S29" s="15" t="s">
        <x:v>60</x:v>
      </x:c>
    </x:row>
    <x:row r="30" ht="78" customHeight="1">
      <x:c r="A30" s="10" t="s">
        <x:v>188</x:v>
      </x:c>
      <x:c r="B30" s="11" t="s">
        <x:v>189</x:v>
      </x:c>
      <x:c r="C30" s="12" t="s">
        <x:v>190</x:v>
      </x:c>
      <x:c r="D30" s="13" t="s">
        <x:v>70</x:v>
      </x:c>
      <x:c r="E30" s="13" t="s">
        <x:v>94</x:v>
      </x:c>
      <x:c r="F30" s="13" t="s">
        <x:v>155</x:v>
      </x:c>
      <x:c r="G30" s="13" t="s">
        <x:v>51</x:v>
      </x:c>
      <x:c r="H30" s="13" t="s">
        <x:v>71</x:v>
      </x:c>
      <x:c r="I30" s="13"/>
      <x:c r="J30" s="13" t="s">
        <x:v>109</x:v>
      </x:c>
      <x:c r="K30" s="13" t="s">
        <x:v>55</x:v>
      </x:c>
      <x:c r="L30" s="14"/>
      <x:c r="M30" s="12" t="str">
        <x:f t="shared" si="0"/>
        <x:v>COMPLETE</x:v>
      </x:c>
      <x:c r="N30" s="12" t="s">
        <x:v>191</x:v>
      </x:c>
      <x:c r="O30" s="12" t="s">
        <x:v>96</x:v>
      </x:c>
      <x:c r="P30" s="12" t="s">
        <x:v>192</x:v>
      </x:c>
      <x:c r="Q30" s="12">
        <x:v>45</x:v>
      </x:c>
      <x:c r="R30" s="12" t="s">
        <x:v>59</x:v>
      </x:c>
      <x:c r="S30" s="15" t="s">
        <x:v>60</x:v>
      </x:c>
    </x:row>
    <x:row r="31" ht="78" customHeight="1">
      <x:c r="A31" s="10" t="s">
        <x:v>193</x:v>
      </x:c>
      <x:c r="B31" s="11" t="s">
        <x:v>194</x:v>
      </x:c>
      <x:c r="C31" s="12" t="s">
        <x:v>195</x:v>
      </x:c>
      <x:c r="D31" s="13" t="s">
        <x:v>49</x:v>
      </x:c>
      <x:c r="E31" s="13" t="s">
        <x:v>94</x:v>
      </x:c>
      <x:c r="F31" s="13" t="s">
        <x:v>50</x:v>
      </x:c>
      <x:c r="G31" s="13" t="s">
        <x:v>51</x:v>
      </x:c>
      <x:c r="H31" s="13" t="s">
        <x:v>52</x:v>
      </x:c>
      <x:c r="I31" s="13" t="s">
        <x:v>140</x:v>
      </x:c>
      <x:c r="J31" s="13" t="s">
        <x:v>54</x:v>
      </x:c>
      <x:c r="K31" s="13" t="s">
        <x:v>55</x:v>
      </x:c>
      <x:c r="L31" s="14"/>
      <x:c r="M31" s="12" t="str">
        <x:f t="shared" si="0"/>
        <x:v>COMPLETE</x:v>
      </x:c>
      <x:c r="N31" s="12" t="s">
        <x:v>196</x:v>
      </x:c>
      <x:c r="O31" s="12" t="s">
        <x:v>96</x:v>
      </x:c>
      <x:c r="P31" s="12" t="s">
        <x:v>197</x:v>
      </x:c>
      <x:c r="Q31" s="12">
        <x:v>23</x:v>
      </x:c>
      <x:c r="R31" s="12" t="s">
        <x:v>59</x:v>
      </x:c>
      <x:c r="S31" s="15" t="s">
        <x:v>60</x:v>
      </x:c>
    </x:row>
    <x:row r="32" ht="78" customHeight="1">
      <x:c r="A32" s="10" t="s">
        <x:v>198</x:v>
      </x:c>
      <x:c r="B32" s="11" t="s">
        <x:v>199</x:v>
      </x:c>
      <x:c r="C32" s="12" t="s">
        <x:v>200</x:v>
      </x:c>
      <x:c r="D32" s="13" t="s">
        <x:v>49</x:v>
      </x:c>
      <x:c r="E32" s="13" t="s">
        <x:v>94</x:v>
      </x:c>
      <x:c r="F32" s="13" t="s">
        <x:v>155</x:v>
      </x:c>
      <x:c r="G32" s="13" t="s">
        <x:v>51</x:v>
      </x:c>
      <x:c r="H32" s="13" t="s">
        <x:v>52</x:v>
      </x:c>
      <x:c r="I32" s="13" t="s">
        <x:v>201</x:v>
      </x:c>
      <x:c r="J32" s="13" t="s">
        <x:v>54</x:v>
      </x:c>
      <x:c r="K32" s="13" t="s">
        <x:v>55</x:v>
      </x:c>
      <x:c r="L32" s="14"/>
      <x:c r="M32" s="12" t="str">
        <x:f t="shared" si="0"/>
        <x:v>COMPLETE</x:v>
      </x:c>
      <x:c r="N32" s="12" t="s">
        <x:v>202</x:v>
      </x:c>
      <x:c r="O32" s="12" t="s">
        <x:v>57</x:v>
      </x:c>
      <x:c r="P32" s="12" t="s">
        <x:v>58</x:v>
      </x:c>
      <x:c r="Q32" s="12">
        <x:v>5</x:v>
      </x:c>
      <x:c r="R32" s="12" t="s">
        <x:v>59</x:v>
      </x:c>
      <x:c r="S32" s="15" t="s">
        <x:v>60</x:v>
      </x:c>
    </x:row>
    <x:row r="33" ht="78" customHeight="1">
      <x:c r="A33" s="10" t="s">
        <x:v>203</x:v>
      </x:c>
      <x:c r="B33" s="11" t="s">
        <x:v>204</x:v>
      </x:c>
      <x:c r="C33" s="12" t="s">
        <x:v>116</x:v>
      </x:c>
      <x:c r="D33" s="13" t="s">
        <x:v>49</x:v>
      </x:c>
      <x:c r="E33" s="13" t="s">
        <x:v>94</x:v>
      </x:c>
      <x:c r="F33" s="13" t="s">
        <x:v>51</x:v>
      </x:c>
      <x:c r="G33" s="13" t="s">
        <x:v>51</x:v>
      </x:c>
      <x:c r="H33" s="13" t="s">
        <x:v>52</x:v>
      </x:c>
      <x:c r="I33" s="13" t="s">
        <x:v>205</x:v>
      </x:c>
      <x:c r="J33" s="13" t="s">
        <x:v>109</x:v>
      </x:c>
      <x:c r="K33" s="13" t="s">
        <x:v>55</x:v>
      </x:c>
      <x:c r="L33" s="14"/>
      <x:c r="M33" s="12" t="str">
        <x:f t="shared" si="0"/>
        <x:v>COMPLETE</x:v>
      </x:c>
      <x:c r="N33" s="12" t="s">
        <x:v>118</x:v>
      </x:c>
      <x:c r="O33" s="12" t="s">
        <x:v>73</x:v>
      </x:c>
      <x:c r="P33" s="12" t="s">
        <x:v>111</x:v>
      </x:c>
      <x:c r="Q33" s="12">
        <x:v>35</x:v>
      </x:c>
      <x:c r="R33" s="12" t="s">
        <x:v>120</x:v>
      </x:c>
      <x:c r="S33" s="15" t="s">
        <x:v>60</x:v>
      </x:c>
    </x:row>
    <x:row r="34" ht="78" customHeight="1">
      <x:c r="A34" s="10" t="s">
        <x:v>206</x:v>
      </x:c>
      <x:c r="B34" s="11" t="s">
        <x:v>207</x:v>
      </x:c>
      <x:c r="C34" s="12" t="s">
        <x:v>208</x:v>
      </x:c>
      <x:c r="D34" s="13" t="s">
        <x:v>94</x:v>
      </x:c>
      <x:c r="E34" s="13" t="s">
        <x:v>49</x:v>
      </x:c>
      <x:c r="F34" s="13" t="s">
        <x:v>70</x:v>
      </x:c>
      <x:c r="G34" s="13" t="s">
        <x:v>78</x:v>
      </x:c>
      <x:c r="H34" s="13" t="s">
        <x:v>79</x:v>
      </x:c>
      <x:c r="I34" s="13"/>
      <x:c r="J34" s="13" t="s">
        <x:v>54</x:v>
      </x:c>
      <x:c r="K34" s="13" t="s">
        <x:v>55</x:v>
      </x:c>
      <x:c r="L34" s="14"/>
      <x:c r="M34" s="12" t="str">
        <x:f t="shared" si="0"/>
        <x:v>COMPLETE</x:v>
      </x:c>
      <x:c r="N34" s="12" t="s">
        <x:v>209</x:v>
      </x:c>
      <x:c r="O34" s="12" t="s">
        <x:v>81</x:v>
      </x:c>
      <x:c r="P34" s="12" t="s">
        <x:v>97</x:v>
      </x:c>
      <x:c r="Q34" s="12">
        <x:v>117</x:v>
      </x:c>
      <x:c r="R34" s="12" t="s">
        <x:v>59</x:v>
      </x:c>
      <x:c r="S34" s="15" t="s">
        <x:v>60</x:v>
      </x:c>
    </x:row>
    <x:row r="35" ht="78" customHeight="1">
      <x:c r="A35" s="10" t="s">
        <x:v>210</x:v>
      </x:c>
      <x:c r="B35" s="11" t="s">
        <x:v>211</x:v>
      </x:c>
      <x:c r="C35" s="12" t="s">
        <x:v>200</x:v>
      </x:c>
      <x:c r="D35" s="13" t="s">
        <x:v>49</x:v>
      </x:c>
      <x:c r="E35" s="13" t="s">
        <x:v>49</x:v>
      </x:c>
      <x:c r="F35" s="13" t="s">
        <x:v>51</x:v>
      </x:c>
      <x:c r="G35" s="13" t="s">
        <x:v>51</x:v>
      </x:c>
      <x:c r="H35" s="13" t="s">
        <x:v>52</x:v>
      </x:c>
      <x:c r="I35" s="13" t="s">
        <x:v>162</x:v>
      </x:c>
      <x:c r="J35" s="13" t="s">
        <x:v>54</x:v>
      </x:c>
      <x:c r="K35" s="13" t="s">
        <x:v>55</x:v>
      </x:c>
      <x:c r="L35" s="14"/>
      <x:c r="M35" s="12" t="str">
        <x:f t="shared" si="0"/>
        <x:v>COMPLETE</x:v>
      </x:c>
      <x:c r="N35" s="12" t="s">
        <x:v>202</x:v>
      </x:c>
      <x:c r="O35" s="12" t="s">
        <x:v>142</x:v>
      </x:c>
      <x:c r="P35" s="12" t="s">
        <x:v>58</x:v>
      </x:c>
      <x:c r="Q35" s="12">
        <x:v>5</x:v>
      </x:c>
      <x:c r="R35" s="12" t="s">
        <x:v>59</x:v>
      </x:c>
      <x:c r="S35" s="15" t="s">
        <x:v>60</x:v>
      </x:c>
    </x:row>
    <x:row r="36" ht="78" customHeight="1">
      <x:c r="A36" s="10" t="s">
        <x:v>212</x:v>
      </x:c>
      <x:c r="B36" s="11" t="s">
        <x:v>213</x:v>
      </x:c>
      <x:c r="C36" s="12" t="s">
        <x:v>154</x:v>
      </x:c>
      <x:c r="D36" s="13" t="s">
        <x:v>70</x:v>
      </x:c>
      <x:c r="E36" s="13" t="s">
        <x:v>94</x:v>
      </x:c>
      <x:c r="F36" s="13" t="s">
        <x:v>70</x:v>
      </x:c>
      <x:c r="G36" s="13" t="s">
        <x:v>78</x:v>
      </x:c>
      <x:c r="H36" s="13" t="s">
        <x:v>79</x:v>
      </x:c>
      <x:c r="I36" s="13"/>
      <x:c r="J36" s="13" t="s">
        <x:v>54</x:v>
      </x:c>
      <x:c r="K36" s="13" t="s">
        <x:v>55</x:v>
      </x:c>
      <x:c r="L36" s="14"/>
      <x:c r="M36" s="12" t="str">
        <x:f t="shared" si="0"/>
        <x:v>COMPLETE</x:v>
      </x:c>
      <x:c r="N36" s="12" t="s">
        <x:v>158</x:v>
      </x:c>
      <x:c r="O36" s="12" t="s">
        <x:v>57</x:v>
      </x:c>
      <x:c r="P36" s="12" t="s">
        <x:v>82</x:v>
      </x:c>
      <x:c r="Q36" s="12">
        <x:v>11</x:v>
      </x:c>
      <x:c r="R36" s="12" t="s">
        <x:v>120</x:v>
      </x:c>
      <x:c r="S36" s="15" t="s">
        <x:v>84</x:v>
      </x:c>
    </x:row>
    <x:row r="37" ht="78" customHeight="1">
      <x:c r="A37" s="10" t="s">
        <x:v>214</x:v>
      </x:c>
      <x:c r="B37" s="11" t="s">
        <x:v>215</x:v>
      </x:c>
      <x:c r="C37" s="12" t="s">
        <x:v>87</x:v>
      </x:c>
      <x:c r="D37" s="13" t="s">
        <x:v>49</x:v>
      </x:c>
      <x:c r="E37" s="13" t="s">
        <x:v>49</x:v>
      </x:c>
      <x:c r="F37" s="13" t="s">
        <x:v>155</x:v>
      </x:c>
      <x:c r="G37" s="13" t="s">
        <x:v>51</x:v>
      </x:c>
      <x:c r="H37" s="13" t="s">
        <x:v>52</x:v>
      </x:c>
      <x:c r="I37" s="13" t="s">
        <x:v>88</x:v>
      </x:c>
      <x:c r="J37" s="13" t="s">
        <x:v>54</x:v>
      </x:c>
      <x:c r="K37" s="13" t="s">
        <x:v>55</x:v>
      </x:c>
      <x:c r="L37" s="14"/>
      <x:c r="M37" s="12" t="str">
        <x:f t="shared" ref="M37:M73" si="1">IF(H37="","PENDING",IF(AND(H37="keep",I37=""),"CODE REQUIRED",IF(AND(H37="exclude",OR(G37="",G37="none")),"REASON REQUIRED",IF(K37="","INITIALS REQUIRED","COMPLETE"))))</x:f>
        <x:v>COMPLETE</x:v>
      </x:c>
      <x:c r="N37" s="12" t="s">
        <x:v>89</x:v>
      </x:c>
      <x:c r="O37" s="12" t="s">
        <x:v>103</x:v>
      </x:c>
      <x:c r="P37" s="12" t="s">
        <x:v>90</x:v>
      </x:c>
      <x:c r="Q37" s="12">
        <x:v>18</x:v>
      </x:c>
      <x:c r="R37" s="12" t="s">
        <x:v>59</x:v>
      </x:c>
      <x:c r="S37" s="15" t="s">
        <x:v>60</x:v>
      </x:c>
    </x:row>
    <x:row r="38" ht="78" customHeight="1">
      <x:c r="A38" s="10" t="s">
        <x:v>216</x:v>
      </x:c>
      <x:c r="B38" s="11" t="s">
        <x:v>217</x:v>
      </x:c>
      <x:c r="C38" s="12" t="s">
        <x:v>69</x:v>
      </x:c>
      <x:c r="D38" s="13" t="s">
        <x:v>70</x:v>
      </x:c>
      <x:c r="E38" s="13" t="s">
        <x:v>49</x:v>
      </x:c>
      <x:c r="F38" s="13" t="s">
        <x:v>50</x:v>
      </x:c>
      <x:c r="G38" s="13" t="s">
        <x:v>51</x:v>
      </x:c>
      <x:c r="H38" s="13" t="s">
        <x:v>52</x:v>
      </x:c>
      <x:c r="I38" s="13" t="s">
        <x:v>218</x:v>
      </x:c>
      <x:c r="J38" s="13" t="s">
        <x:v>54</x:v>
      </x:c>
      <x:c r="K38" s="13" t="s">
        <x:v>55</x:v>
      </x:c>
      <x:c r="L38" s="14"/>
      <x:c r="M38" s="12" t="str">
        <x:f t="shared" si="1"/>
        <x:v>COMPLETE</x:v>
      </x:c>
      <x:c r="N38" s="12" t="s">
        <x:v>72</x:v>
      </x:c>
      <x:c r="O38" s="12" t="s">
        <x:v>219</x:v>
      </x:c>
      <x:c r="P38" s="12" t="s">
        <x:v>74</x:v>
      </x:c>
      <x:c r="Q38" s="12">
        <x:v>80</x:v>
      </x:c>
      <x:c r="R38" s="12" t="s">
        <x:v>59</x:v>
      </x:c>
      <x:c r="S38" s="15" t="s">
        <x:v>60</x:v>
      </x:c>
    </x:row>
    <x:row r="39" ht="78" customHeight="1">
      <x:c r="A39" s="10" t="s">
        <x:v>220</x:v>
      </x:c>
      <x:c r="B39" s="11" t="s">
        <x:v>221</x:v>
      </x:c>
      <x:c r="C39" s="12" t="s">
        <x:v>107</x:v>
      </x:c>
      <x:c r="D39" s="13" t="s">
        <x:v>49</x:v>
      </x:c>
      <x:c r="E39" s="13" t="s">
        <x:v>94</x:v>
      </x:c>
      <x:c r="F39" s="13" t="s">
        <x:v>70</x:v>
      </x:c>
      <x:c r="G39" s="13" t="s">
        <x:v>78</x:v>
      </x:c>
      <x:c r="H39" s="13" t="s">
        <x:v>79</x:v>
      </x:c>
      <x:c r="J39" s="13" t="s">
        <x:v>54</x:v>
      </x:c>
      <x:c r="K39" s="13" t="s">
        <x:v>55</x:v>
      </x:c>
      <x:c r="L39" s="14"/>
      <x:c r="M39" s="12" t="str">
        <x:f>IF(H39="","PENDING",IF(AND(H39="keep",J39=""),"CODE REQUIRED",IF(AND(H39="exclude",OR(G39="",G39="none")),"REASON REQUIRED",IF(K39="","INITIALS REQUIRED","COMPLETE"))))</x:f>
        <x:v>COMPLETE</x:v>
      </x:c>
      <x:c r="N39" s="12" t="s">
        <x:v>110</x:v>
      </x:c>
      <x:c r="O39" s="12" t="s">
        <x:v>57</x:v>
      </x:c>
      <x:c r="P39" s="12" t="s">
        <x:v>111</x:v>
      </x:c>
      <x:c r="Q39" s="12">
        <x:v>50</x:v>
      </x:c>
      <x:c r="R39" s="12" t="s">
        <x:v>59</x:v>
      </x:c>
      <x:c r="S39" s="15" t="s">
        <x:v>60</x:v>
      </x:c>
    </x:row>
    <x:row r="40" ht="78" customHeight="1">
      <x:c r="A40" s="10" t="s">
        <x:v>222</x:v>
      </x:c>
      <x:c r="B40" s="11" t="s">
        <x:v>223</x:v>
      </x:c>
      <x:c r="C40" s="12" t="s">
        <x:v>148</x:v>
      </x:c>
      <x:c r="D40" s="13" t="s">
        <x:v>49</x:v>
      </x:c>
      <x:c r="E40" s="13" t="s">
        <x:v>49</x:v>
      </x:c>
      <x:c r="F40" s="13" t="s">
        <x:v>161</x:v>
      </x:c>
      <x:c r="G40" s="13" t="s">
        <x:v>149</x:v>
      </x:c>
      <x:c r="H40" s="13" t="s">
        <x:v>79</x:v>
      </x:c>
      <x:c r="I40" s="13"/>
      <x:c r="J40" s="13" t="s">
        <x:v>54</x:v>
      </x:c>
      <x:c r="K40" s="13" t="s">
        <x:v>55</x:v>
      </x:c>
      <x:c r="L40" s="14"/>
      <x:c r="M40" s="12" t="str">
        <x:f t="shared" si="1"/>
        <x:v>COMPLETE</x:v>
      </x:c>
      <x:c r="N40" s="12" t="s">
        <x:v>150</x:v>
      </x:c>
      <x:c r="O40" s="12" t="s">
        <x:v>57</x:v>
      </x:c>
      <x:c r="P40" s="12" t="s">
        <x:v>151</x:v>
      </x:c>
      <x:c r="Q40" s="12">
        <x:v>27</x:v>
      </x:c>
      <x:c r="R40" s="12" t="s">
        <x:v>59</x:v>
      </x:c>
      <x:c r="S40" s="15" t="s">
        <x:v>60</x:v>
      </x:c>
    </x:row>
    <x:row r="41" ht="78" customHeight="1">
      <x:c r="A41" s="10" t="s">
        <x:v>224</x:v>
      </x:c>
      <x:c r="B41" s="11" t="s">
        <x:v>225</x:v>
      </x:c>
      <x:c r="C41" s="12" t="s">
        <x:v>208</x:v>
      </x:c>
      <x:c r="D41" s="13" t="s">
        <x:v>94</x:v>
      </x:c>
      <x:c r="E41" s="13" t="s">
        <x:v>49</x:v>
      </x:c>
      <x:c r="F41" s="13" t="s">
        <x:v>51</x:v>
      </x:c>
      <x:c r="G41" s="13" t="s">
        <x:v>226</x:v>
      </x:c>
      <x:c r="H41" s="13" t="s">
        <x:v>79</x:v>
      </x:c>
      <x:c r="I41" s="13"/>
      <x:c r="J41" s="13" t="s">
        <x:v>54</x:v>
      </x:c>
      <x:c r="K41" s="13" t="s">
        <x:v>55</x:v>
      </x:c>
      <x:c r="L41" s="14"/>
      <x:c r="M41" s="12" t="str">
        <x:f t="shared" si="1"/>
        <x:v>COMPLETE</x:v>
      </x:c>
      <x:c r="N41" s="12" t="s">
        <x:v>209</x:v>
      </x:c>
      <x:c r="O41" s="12" t="s">
        <x:v>73</x:v>
      </x:c>
      <x:c r="P41" s="12" t="s">
        <x:v>97</x:v>
      </x:c>
      <x:c r="Q41" s="12">
        <x:v>117</x:v>
      </x:c>
      <x:c r="R41" s="12" t="s">
        <x:v>59</x:v>
      </x:c>
      <x:c r="S41" s="15" t="s">
        <x:v>60</x:v>
      </x:c>
    </x:row>
    <x:row r="42" ht="78" customHeight="1">
      <x:c r="A42" s="10" t="s">
        <x:v>227</x:v>
      </x:c>
      <x:c r="B42" s="11" t="s">
        <x:v>228</x:v>
      </x:c>
      <x:c r="C42" s="12" t="s">
        <x:v>186</x:v>
      </x:c>
      <x:c r="D42" s="13" t="s">
        <x:v>94</x:v>
      </x:c>
      <x:c r="E42" s="13" t="s">
        <x:v>49</x:v>
      </x:c>
      <x:c r="F42" s="13" t="s">
        <x:v>51</x:v>
      </x:c>
      <x:c r="G42" s="13" t="s">
        <x:v>226</x:v>
      </x:c>
      <x:c r="H42" s="13" t="s">
        <x:v>79</x:v>
      </x:c>
      <x:c r="I42" s="13"/>
      <x:c r="J42" s="13" t="s">
        <x:v>54</x:v>
      </x:c>
      <x:c r="K42" s="13" t="s">
        <x:v>55</x:v>
      </x:c>
      <x:c r="L42" s="14"/>
      <x:c r="M42" s="12" t="str">
        <x:f t="shared" si="1"/>
        <x:v>COMPLETE</x:v>
      </x:c>
      <x:c r="N42" s="12" t="s">
        <x:v>187</x:v>
      </x:c>
      <x:c r="O42" s="12" t="s">
        <x:v>142</x:v>
      </x:c>
      <x:c r="P42" s="12" t="s">
        <x:v>97</x:v>
      </x:c>
      <x:c r="Q42" s="12">
        <x:v>101</x:v>
      </x:c>
      <x:c r="R42" s="12" t="s">
        <x:v>59</x:v>
      </x:c>
      <x:c r="S42" s="15" t="s">
        <x:v>60</x:v>
      </x:c>
    </x:row>
    <x:row r="43" ht="78" customHeight="1">
      <x:c r="A43" s="10" t="s">
        <x:v>229</x:v>
      </x:c>
      <x:c r="B43" s="11" t="s">
        <x:v>230</x:v>
      </x:c>
      <x:c r="C43" s="12" t="s">
        <x:v>231</x:v>
      </x:c>
      <x:c r="D43" s="13" t="s">
        <x:v>49</x:v>
      </x:c>
      <x:c r="E43" s="13" t="s">
        <x:v>49</x:v>
      </x:c>
      <x:c r="F43" s="13" t="s">
        <x:v>50</x:v>
      </x:c>
      <x:c r="G43" s="13" t="s">
        <x:v>51</x:v>
      </x:c>
      <x:c r="H43" s="13" t="s">
        <x:v>52</x:v>
      </x:c>
      <x:c r="I43" s="13" t="s">
        <x:v>88</x:v>
      </x:c>
      <x:c r="J43" s="13" t="s">
        <x:v>54</x:v>
      </x:c>
      <x:c r="K43" s="13" t="s">
        <x:v>55</x:v>
      </x:c>
      <x:c r="L43" s="14"/>
      <x:c r="M43" s="12" t="str">
        <x:f t="shared" si="1"/>
        <x:v>COMPLETE</x:v>
      </x:c>
      <x:c r="N43" s="12" t="s">
        <x:v>232</x:v>
      </x:c>
      <x:c r="O43" s="12" t="s">
        <x:v>96</x:v>
      </x:c>
      <x:c r="P43" s="12" t="s">
        <x:v>233</x:v>
      </x:c>
      <x:c r="Q43" s="12">
        <x:v>35</x:v>
      </x:c>
      <x:c r="R43" s="12" t="s">
        <x:v>59</x:v>
      </x:c>
      <x:c r="S43" s="15" t="s">
        <x:v>60</x:v>
      </x:c>
    </x:row>
    <x:row r="44" ht="78" customHeight="1">
      <x:c r="A44" s="10" t="s">
        <x:v>234</x:v>
      </x:c>
      <x:c r="B44" s="11" t="s">
        <x:v>235</x:v>
      </x:c>
      <x:c r="C44" s="12" t="s">
        <x:v>236</x:v>
      </x:c>
      <x:c r="D44" s="13" t="s">
        <x:v>94</x:v>
      </x:c>
      <x:c r="E44" s="13" t="s">
        <x:v>49</x:v>
      </x:c>
      <x:c r="F44" s="13" t="s">
        <x:v>51</x:v>
      </x:c>
      <x:c r="G44" s="13" t="s">
        <x:v>226</x:v>
      </x:c>
      <x:c r="H44" s="13" t="s">
        <x:v>79</x:v>
      </x:c>
      <x:c r="I44" s="13"/>
      <x:c r="J44" s="13" t="s">
        <x:v>54</x:v>
      </x:c>
      <x:c r="K44" s="13" t="s">
        <x:v>55</x:v>
      </x:c>
      <x:c r="L44" s="14"/>
      <x:c r="M44" s="12" t="str">
        <x:f t="shared" si="1"/>
        <x:v>COMPLETE</x:v>
      </x:c>
      <x:c r="N44" s="12" t="s">
        <x:v>237</x:v>
      </x:c>
      <x:c r="O44" s="12" t="s">
        <x:v>81</x:v>
      </x:c>
      <x:c r="P44" s="12" t="s">
        <x:v>97</x:v>
      </x:c>
      <x:c r="Q44" s="12">
        <x:v>33</x:v>
      </x:c>
      <x:c r="R44" s="12" t="s">
        <x:v>59</x:v>
      </x:c>
      <x:c r="S44" s="15" t="s">
        <x:v>60</x:v>
      </x:c>
    </x:row>
    <x:row r="45" ht="78" customHeight="1">
      <x:c r="A45" s="10" t="s">
        <x:v>238</x:v>
      </x:c>
      <x:c r="B45" s="11" t="s">
        <x:v>239</x:v>
      </x:c>
      <x:c r="C45" s="12" t="s">
        <x:v>240</x:v>
      </x:c>
      <x:c r="D45" s="13" t="s">
        <x:v>49</x:v>
      </x:c>
      <x:c r="E45" s="13" t="s">
        <x:v>49</x:v>
      </x:c>
      <x:c r="F45" s="13" t="s">
        <x:v>70</x:v>
      </x:c>
      <x:c r="G45" s="13" t="s">
        <x:v>78</x:v>
      </x:c>
      <x:c r="H45" s="13" t="s">
        <x:v>79</x:v>
      </x:c>
      <x:c r="I45" s="13"/>
      <x:c r="J45" s="13" t="s">
        <x:v>54</x:v>
      </x:c>
      <x:c r="K45" s="13" t="s">
        <x:v>55</x:v>
      </x:c>
      <x:c r="L45" s="14"/>
      <x:c r="M45" s="12" t="str">
        <x:f t="shared" si="1"/>
        <x:v>COMPLETE</x:v>
      </x:c>
      <x:c r="N45" s="12" t="s">
        <x:v>241</x:v>
      </x:c>
      <x:c r="O45" s="12" t="s">
        <x:v>103</x:v>
      </x:c>
      <x:c r="P45" s="12" t="s">
        <x:v>242</x:v>
      </x:c>
      <x:c r="Q45" s="12">
        <x:v>34</x:v>
      </x:c>
      <x:c r="R45" s="12" t="s">
        <x:v>59</x:v>
      </x:c>
      <x:c r="S45" s="15" t="s">
        <x:v>60</x:v>
      </x:c>
    </x:row>
    <x:row r="46" ht="78" customHeight="1">
      <x:c r="A46" s="10" t="s">
        <x:v>243</x:v>
      </x:c>
      <x:c r="B46" s="11" t="s">
        <x:v>244</x:v>
      </x:c>
      <x:c r="C46" s="12" t="s">
        <x:v>154</x:v>
      </x:c>
      <x:c r="D46" s="13" t="s">
        <x:v>70</x:v>
      </x:c>
      <x:c r="E46" s="13" t="s">
        <x:v>49</x:v>
      </x:c>
      <x:c r="F46" s="13" t="s">
        <x:v>70</x:v>
      </x:c>
      <x:c r="G46" s="13" t="s">
        <x:v>78</x:v>
      </x:c>
      <x:c r="H46" s="13" t="s">
        <x:v>79</x:v>
      </x:c>
      <x:c r="I46" s="13"/>
      <x:c r="J46" s="13" t="s">
        <x:v>109</x:v>
      </x:c>
      <x:c r="K46" s="13" t="s">
        <x:v>55</x:v>
      </x:c>
      <x:c r="L46" s="14"/>
      <x:c r="M46" s="12" t="str">
        <x:f t="shared" si="1"/>
        <x:v>COMPLETE</x:v>
      </x:c>
      <x:c r="N46" s="12" t="s">
        <x:v>158</x:v>
      </x:c>
      <x:c r="O46" s="12" t="s">
        <x:v>81</x:v>
      </x:c>
      <x:c r="P46" s="12" t="s">
        <x:v>82</x:v>
      </x:c>
      <x:c r="Q46" s="12">
        <x:v>11</x:v>
      </x:c>
      <x:c r="R46" s="12" t="s">
        <x:v>120</x:v>
      </x:c>
      <x:c r="S46" s="15" t="s">
        <x:v>84</x:v>
      </x:c>
    </x:row>
    <x:row r="47" ht="78" customHeight="1">
      <x:c r="A47" s="10" t="s">
        <x:v>245</x:v>
      </x:c>
      <x:c r="B47" s="11" t="s">
        <x:v>246</x:v>
      </x:c>
      <x:c r="C47" s="12" t="s">
        <x:v>247</x:v>
      </x:c>
      <x:c r="D47" s="13" t="s">
        <x:v>49</x:v>
      </x:c>
      <x:c r="E47" s="13" t="s">
        <x:v>49</x:v>
      </x:c>
      <x:c r="F47" s="13" t="s">
        <x:v>161</x:v>
      </x:c>
      <x:c r="G47" s="13" t="s">
        <x:v>51</x:v>
      </x:c>
      <x:c r="H47" s="13" t="s">
        <x:v>52</x:v>
      </x:c>
      <x:c r="I47" s="13" t="s">
        <x:v>248</x:v>
      </x:c>
      <x:c r="J47" s="13" t="s">
        <x:v>54</x:v>
      </x:c>
      <x:c r="K47" s="13" t="s">
        <x:v>55</x:v>
      </x:c>
      <x:c r="L47" s="14"/>
      <x:c r="M47" s="12" t="str">
        <x:f t="shared" si="1"/>
        <x:v>COMPLETE</x:v>
      </x:c>
      <x:c r="N47" s="12" t="s">
        <x:v>249</x:v>
      </x:c>
      <x:c r="O47" s="12" t="s">
        <x:v>250</x:v>
      </x:c>
      <x:c r="P47" s="12" t="s">
        <x:v>251</x:v>
      </x:c>
      <x:c r="Q47" s="12">
        <x:v>31</x:v>
      </x:c>
      <x:c r="R47" s="12" t="s">
        <x:v>120</x:v>
      </x:c>
      <x:c r="S47" s="15" t="s">
        <x:v>60</x:v>
      </x:c>
    </x:row>
    <x:row r="48" ht="78" customHeight="1">
      <x:c r="A48" s="10" t="s">
        <x:v>252</x:v>
      </x:c>
      <x:c r="B48" s="11" t="s">
        <x:v>253</x:v>
      </x:c>
      <x:c r="C48" s="12" t="s">
        <x:v>135</x:v>
      </x:c>
      <x:c r="D48" s="13" t="s">
        <x:v>49</x:v>
      </x:c>
      <x:c r="E48" s="13" t="s">
        <x:v>94</x:v>
      </x:c>
      <x:c r="F48" s="13"/>
      <x:c r="G48" s="13" t="s">
        <x:v>51</x:v>
      </x:c>
      <x:c r="H48" s="13" t="s">
        <x:v>52</x:v>
      </x:c>
      <x:c r="I48" s="13" t="s">
        <x:v>88</x:v>
      </x:c>
      <x:c r="J48" s="13" t="s">
        <x:v>54</x:v>
      </x:c>
      <x:c r="K48" s="13" t="s">
        <x:v>55</x:v>
      </x:c>
      <x:c r="L48" s="14"/>
      <x:c r="M48" s="12" t="str">
        <x:f t="shared" si="1"/>
        <x:v>COMPLETE</x:v>
      </x:c>
      <x:c r="N48" s="12" t="s">
        <x:v>136</x:v>
      </x:c>
      <x:c r="O48" s="12" t="s">
        <x:v>96</x:v>
      </x:c>
      <x:c r="P48" s="12" t="s">
        <x:v>74</x:v>
      </x:c>
      <x:c r="Q48" s="12">
        <x:v>48</x:v>
      </x:c>
      <x:c r="R48" s="12" t="s">
        <x:v>59</x:v>
      </x:c>
      <x:c r="S48" s="15" t="s">
        <x:v>60</x:v>
      </x:c>
    </x:row>
    <x:row r="49" ht="78" customHeight="1">
      <x:c r="A49" s="10" t="s">
        <x:v>254</x:v>
      </x:c>
      <x:c r="B49" s="11" t="s">
        <x:v>255</x:v>
      </x:c>
      <x:c r="C49" s="12" t="s">
        <x:v>256</x:v>
      </x:c>
      <x:c r="D49" s="13" t="s">
        <x:v>49</x:v>
      </x:c>
      <x:c r="E49" s="13" t="s">
        <x:v>94</x:v>
      </x:c>
      <x:c r="F49" s="13" t="s">
        <x:v>50</x:v>
      </x:c>
      <x:c r="G49" s="13" t="s">
        <x:v>78</x:v>
      </x:c>
      <x:c r="H49" s="13" t="s">
        <x:v>79</x:v>
      </x:c>
      <x:c r="I49" s="13"/>
      <x:c r="J49" s="13" t="s">
        <x:v>54</x:v>
      </x:c>
      <x:c r="K49" s="13" t="s">
        <x:v>55</x:v>
      </x:c>
      <x:c r="L49" s="14"/>
      <x:c r="M49" s="12" t="str">
        <x:f t="shared" si="1"/>
        <x:v>COMPLETE</x:v>
      </x:c>
      <x:c r="N49" s="12" t="s">
        <x:v>257</x:v>
      </x:c>
      <x:c r="O49" s="12" t="s">
        <x:v>96</x:v>
      </x:c>
      <x:c r="P49" s="12" t="s">
        <x:v>258</x:v>
      </x:c>
      <x:c r="Q49" s="12">
        <x:v>5</x:v>
      </x:c>
      <x:c r="R49" s="12" t="s">
        <x:v>59</x:v>
      </x:c>
      <x:c r="S49" s="15" t="s">
        <x:v>60</x:v>
      </x:c>
    </x:row>
    <x:row r="50" ht="78" customHeight="1">
      <x:c r="A50" s="10" t="s">
        <x:v>259</x:v>
      </x:c>
      <x:c r="B50" s="11" t="s">
        <x:v>260</x:v>
      </x:c>
      <x:c r="C50" s="12" t="s">
        <x:v>186</x:v>
      </x:c>
      <x:c r="D50" s="13" t="s">
        <x:v>49</x:v>
      </x:c>
      <x:c r="E50" s="13" t="s">
        <x:v>49</x:v>
      </x:c>
      <x:c r="F50" s="13" t="s">
        <x:v>50</x:v>
      </x:c>
      <x:c r="G50" s="13" t="s">
        <x:v>51</x:v>
      </x:c>
      <x:c r="H50" s="13" t="s">
        <x:v>52</x:v>
      </x:c>
      <x:c r="I50" s="13" t="s">
        <x:v>261</x:v>
      </x:c>
      <x:c r="J50" s="13" t="s">
        <x:v>54</x:v>
      </x:c>
      <x:c r="K50" s="13" t="s">
        <x:v>55</x:v>
      </x:c>
      <x:c r="L50" s="14"/>
      <x:c r="M50" s="12" t="str">
        <x:f t="shared" si="1"/>
        <x:v>COMPLETE</x:v>
      </x:c>
      <x:c r="N50" s="12" t="s">
        <x:v>187</x:v>
      </x:c>
      <x:c r="O50" s="12" t="s">
        <x:v>57</x:v>
      </x:c>
      <x:c r="P50" s="12" t="s">
        <x:v>97</x:v>
      </x:c>
      <x:c r="Q50" s="12">
        <x:v>101</x:v>
      </x:c>
      <x:c r="R50" s="12" t="s">
        <x:v>59</x:v>
      </x:c>
      <x:c r="S50" s="15" t="s">
        <x:v>60</x:v>
      </x:c>
    </x:row>
    <x:row r="51" ht="78" customHeight="1">
      <x:c r="A51" s="10" t="s">
        <x:v>262</x:v>
      </x:c>
      <x:c r="B51" s="11" t="s">
        <x:v>263</x:v>
      </x:c>
      <x:c r="C51" s="12" t="s">
        <x:v>77</x:v>
      </x:c>
      <x:c r="D51" s="13" t="s">
        <x:v>49</x:v>
      </x:c>
      <x:c r="E51" s="13" t="s">
        <x:v>94</x:v>
      </x:c>
      <x:c r="F51" s="13" t="s">
        <x:v>51</x:v>
      </x:c>
      <x:c r="G51" s="13" t="s">
        <x:v>78</x:v>
      </x:c>
      <x:c r="H51" s="13" t="s">
        <x:v>79</x:v>
      </x:c>
      <x:c r="I51" s="13"/>
      <x:c r="J51" s="13" t="s">
        <x:v>54</x:v>
      </x:c>
      <x:c r="K51" s="13" t="s">
        <x:v>55</x:v>
      </x:c>
      <x:c r="L51" s="14"/>
      <x:c r="M51" s="12" t="str">
        <x:f t="shared" si="1"/>
        <x:v>COMPLETE</x:v>
      </x:c>
      <x:c r="N51" s="12" t="s">
        <x:v>80</x:v>
      </x:c>
      <x:c r="O51" s="12" t="s">
        <x:v>103</x:v>
      </x:c>
      <x:c r="P51" s="12" t="s">
        <x:v>82</x:v>
      </x:c>
      <x:c r="Q51" s="12">
        <x:v>10</x:v>
      </x:c>
      <x:c r="R51" s="12" t="s">
        <x:v>83</x:v>
      </x:c>
      <x:c r="S51" s="15" t="s">
        <x:v>84</x:v>
      </x:c>
    </x:row>
    <x:row r="52" ht="78" customHeight="1">
      <x:c r="A52" s="10" t="s">
        <x:v>264</x:v>
      </x:c>
      <x:c r="B52" s="11" t="s">
        <x:v>265</x:v>
      </x:c>
      <x:c r="C52" s="12" t="s">
        <x:v>77</x:v>
      </x:c>
      <x:c r="D52" s="13" t="s">
        <x:v>49</x:v>
      </x:c>
      <x:c r="E52" s="13" t="s">
        <x:v>49</x:v>
      </x:c>
      <x:c r="F52" s="13" t="s">
        <x:v>161</x:v>
      </x:c>
      <x:c r="G52" s="13" t="s">
        <x:v>51</x:v>
      </x:c>
      <x:c r="H52" s="13" t="s">
        <x:v>52</x:v>
      </x:c>
      <x:c r="I52" s="13" t="s">
        <x:v>162</x:v>
      </x:c>
      <x:c r="J52" s="13" t="s">
        <x:v>54</x:v>
      </x:c>
      <x:c r="K52" s="13" t="s">
        <x:v>55</x:v>
      </x:c>
      <x:c r="L52" s="14"/>
      <x:c r="M52" s="12" t="str">
        <x:f t="shared" si="1"/>
        <x:v>COMPLETE</x:v>
      </x:c>
      <x:c r="N52" s="12" t="s">
        <x:v>80</x:v>
      </x:c>
      <x:c r="O52" s="12" t="s">
        <x:v>119</x:v>
      </x:c>
      <x:c r="P52" s="12" t="s">
        <x:v>82</x:v>
      </x:c>
      <x:c r="Q52" s="12">
        <x:v>10</x:v>
      </x:c>
      <x:c r="R52" s="12" t="s">
        <x:v>83</x:v>
      </x:c>
      <x:c r="S52" s="15" t="s">
        <x:v>84</x:v>
      </x:c>
    </x:row>
    <x:row r="53" ht="78" customHeight="1">
      <x:c r="A53" s="10" t="s">
        <x:v>266</x:v>
      </x:c>
      <x:c r="B53" s="11" t="s">
        <x:v>267</x:v>
      </x:c>
      <x:c r="C53" s="12" t="s">
        <x:v>268</x:v>
      </x:c>
      <x:c r="D53" s="13" t="s">
        <x:v>49</x:v>
      </x:c>
      <x:c r="E53" s="13" t="s">
        <x:v>70</x:v>
      </x:c>
      <x:c r="F53" s="13" t="s">
        <x:v>155</x:v>
      </x:c>
      <x:c r="G53" s="13" t="s">
        <x:v>78</x:v>
      </x:c>
      <x:c r="H53" s="13" t="s">
        <x:v>79</x:v>
      </x:c>
      <x:c r="I53" s="13"/>
      <x:c r="J53" s="13" t="s">
        <x:v>54</x:v>
      </x:c>
      <x:c r="K53" s="13" t="s">
        <x:v>55</x:v>
      </x:c>
      <x:c r="L53" s="14"/>
      <x:c r="M53" s="12" t="str">
        <x:f t="shared" si="1"/>
        <x:v>COMPLETE</x:v>
      </x:c>
      <x:c r="N53" s="12" t="s">
        <x:v>269</x:v>
      </x:c>
      <x:c r="O53" s="12" t="s">
        <x:v>103</x:v>
      </x:c>
      <x:c r="P53" s="12" t="s">
        <x:v>97</x:v>
      </x:c>
      <x:c r="Q53" s="12">
        <x:v>197</x:v>
      </x:c>
      <x:c r="R53" s="12" t="s">
        <x:v>59</x:v>
      </x:c>
      <x:c r="S53" s="15" t="s">
        <x:v>60</x:v>
      </x:c>
    </x:row>
    <x:row r="54" ht="78" customHeight="1">
      <x:c r="A54" s="10" t="s">
        <x:v>270</x:v>
      </x:c>
      <x:c r="B54" s="11" t="s">
        <x:v>271</x:v>
      </x:c>
      <x:c r="C54" s="12" t="s">
        <x:v>247</x:v>
      </x:c>
      <x:c r="D54" s="13" t="s">
        <x:v>49</x:v>
      </x:c>
      <x:c r="E54" s="13" t="s">
        <x:v>49</x:v>
      </x:c>
      <x:c r="F54" s="13" t="s">
        <x:v>161</x:v>
      </x:c>
      <x:c r="G54" s="13" t="s">
        <x:v>78</x:v>
      </x:c>
      <x:c r="H54" s="13" t="s">
        <x:v>79</x:v>
      </x:c>
      <x:c r="I54" s="13"/>
      <x:c r="J54" s="13" t="s">
        <x:v>54</x:v>
      </x:c>
      <x:c r="K54" s="13" t="s">
        <x:v>55</x:v>
      </x:c>
      <x:c r="L54" s="14"/>
      <x:c r="M54" s="12" t="str">
        <x:f t="shared" si="1"/>
        <x:v>COMPLETE</x:v>
      </x:c>
      <x:c r="N54" s="12" t="s">
        <x:v>249</x:v>
      </x:c>
      <x:c r="O54" s="12" t="s">
        <x:v>126</x:v>
      </x:c>
      <x:c r="P54" s="12" t="s">
        <x:v>251</x:v>
      </x:c>
      <x:c r="Q54" s="12">
        <x:v>31</x:v>
      </x:c>
      <x:c r="R54" s="12" t="s">
        <x:v>120</x:v>
      </x:c>
      <x:c r="S54" s="15" t="s">
        <x:v>60</x:v>
      </x:c>
    </x:row>
    <x:row r="55" ht="78" customHeight="1">
      <x:c r="A55" s="10" t="s">
        <x:v>272</x:v>
      </x:c>
      <x:c r="B55" s="11" t="s">
        <x:v>273</x:v>
      </x:c>
      <x:c r="C55" s="12" t="s">
        <x:v>274</x:v>
      </x:c>
      <x:c r="D55" s="13" t="s">
        <x:v>49</x:v>
      </x:c>
      <x:c r="E55" s="13" t="s">
        <x:v>70</x:v>
      </x:c>
      <x:c r="F55" s="13"/>
      <x:c r="G55" s="13" t="s">
        <x:v>51</x:v>
      </x:c>
      <x:c r="H55" s="13" t="s">
        <x:v>52</x:v>
      </x:c>
      <x:c r="I55" s="13" t="s">
        <x:v>201</x:v>
      </x:c>
      <x:c r="J55" s="13" t="s">
        <x:v>54</x:v>
      </x:c>
      <x:c r="K55" s="13" t="s">
        <x:v>55</x:v>
      </x:c>
      <x:c r="L55" s="14"/>
      <x:c r="M55" s="12" t="str">
        <x:f t="shared" si="1"/>
        <x:v>COMPLETE</x:v>
      </x:c>
      <x:c r="N55" s="12" t="s">
        <x:v>275</x:v>
      </x:c>
      <x:c r="O55" s="12" t="s">
        <x:v>96</x:v>
      </x:c>
      <x:c r="P55" s="12" t="s">
        <x:v>276</x:v>
      </x:c>
      <x:c r="Q55" s="12">
        <x:v>33</x:v>
      </x:c>
      <x:c r="R55" s="12" t="s">
        <x:v>59</x:v>
      </x:c>
      <x:c r="S55" s="15" t="s">
        <x:v>60</x:v>
      </x:c>
    </x:row>
    <x:row r="56" ht="78" customHeight="1">
      <x:c r="A56" s="10" t="s">
        <x:v>277</x:v>
      </x:c>
      <x:c r="B56" s="11" t="s">
        <x:v>278</x:v>
      </x:c>
      <x:c r="C56" s="12" t="s">
        <x:v>279</x:v>
      </x:c>
      <x:c r="D56" s="13" t="s">
        <x:v>70</x:v>
      </x:c>
      <x:c r="E56" s="13" t="s">
        <x:v>70</x:v>
      </x:c>
      <x:c r="F56" s="13" t="s">
        <x:v>51</x:v>
      </x:c>
      <x:c r="G56" s="13" t="s">
        <x:v>124</x:v>
      </x:c>
      <x:c r="H56" s="13" t="s">
        <x:v>79</x:v>
      </x:c>
      <x:c r="I56" s="13"/>
      <x:c r="J56" s="13" t="s">
        <x:v>54</x:v>
      </x:c>
      <x:c r="K56" s="13" t="s">
        <x:v>55</x:v>
      </x:c>
      <x:c r="L56" s="14"/>
      <x:c r="M56" s="12" t="str">
        <x:f t="shared" si="1"/>
        <x:v>COMPLETE</x:v>
      </x:c>
      <x:c r="N56" s="12" t="s">
        <x:v>280</x:v>
      </x:c>
      <x:c r="O56" s="12" t="s">
        <x:v>81</x:v>
      </x:c>
      <x:c r="P56" s="12" t="s">
        <x:v>281</x:v>
      </x:c>
      <x:c r="Q56" s="12">
        <x:v>8</x:v>
      </x:c>
      <x:c r="R56" s="12" t="s">
        <x:v>59</x:v>
      </x:c>
      <x:c r="S56" s="15" t="s">
        <x:v>60</x:v>
      </x:c>
    </x:row>
    <x:row r="57" ht="78" customHeight="1">
      <x:c r="A57" s="10" t="s">
        <x:v>282</x:v>
      </x:c>
      <x:c r="B57" s="11" t="s">
        <x:v>283</x:v>
      </x:c>
      <x:c r="C57" s="12" t="s">
        <x:v>284</x:v>
      </x:c>
      <x:c r="D57" s="13" t="s">
        <x:v>94</x:v>
      </x:c>
      <x:c r="E57" s="13" t="s">
        <x:v>49</x:v>
      </x:c>
      <x:c r="F57" s="13" t="s">
        <x:v>51</x:v>
      </x:c>
      <x:c r="G57" s="13" t="s">
        <x:v>226</x:v>
      </x:c>
      <x:c r="H57" s="13" t="s">
        <x:v>79</x:v>
      </x:c>
      <x:c r="I57" s="13"/>
      <x:c r="J57" s="13" t="s">
        <x:v>54</x:v>
      </x:c>
      <x:c r="K57" s="13" t="s">
        <x:v>55</x:v>
      </x:c>
      <x:c r="L57" s="14"/>
      <x:c r="M57" s="12" t="str">
        <x:f t="shared" si="1"/>
        <x:v>COMPLETE</x:v>
      </x:c>
      <x:c r="N57" s="12" t="s">
        <x:v>285</x:v>
      </x:c>
      <x:c r="O57" s="12" t="s">
        <x:v>142</x:v>
      </x:c>
      <x:c r="P57" s="12" t="s">
        <x:v>97</x:v>
      </x:c>
      <x:c r="Q57" s="12">
        <x:v>36</x:v>
      </x:c>
      <x:c r="R57" s="12" t="s">
        <x:v>59</x:v>
      </x:c>
      <x:c r="S57" s="15" t="s">
        <x:v>60</x:v>
      </x:c>
    </x:row>
    <x:row r="58" ht="78" customHeight="1">
      <x:c r="A58" s="10" t="s">
        <x:v>286</x:v>
      </x:c>
      <x:c r="B58" s="11" t="s">
        <x:v>287</x:v>
      </x:c>
      <x:c r="C58" s="12" t="s">
        <x:v>284</x:v>
      </x:c>
      <x:c r="D58" s="13" t="s">
        <x:v>94</x:v>
      </x:c>
      <x:c r="E58" s="13" t="s">
        <x:v>49</x:v>
      </x:c>
      <x:c r="F58" s="13" t="s">
        <x:v>51</x:v>
      </x:c>
      <x:c r="G58" s="13" t="s">
        <x:v>226</x:v>
      </x:c>
      <x:c r="H58" s="13" t="s">
        <x:v>79</x:v>
      </x:c>
      <x:c r="I58" s="13"/>
      <x:c r="J58" s="13" t="s">
        <x:v>54</x:v>
      </x:c>
      <x:c r="K58" s="13" t="s">
        <x:v>55</x:v>
      </x:c>
      <x:c r="L58" s="14"/>
      <x:c r="M58" s="12" t="str">
        <x:f t="shared" si="1"/>
        <x:v>COMPLETE</x:v>
      </x:c>
      <x:c r="N58" s="12" t="s">
        <x:v>285</x:v>
      </x:c>
      <x:c r="O58" s="12" t="s">
        <x:v>103</x:v>
      </x:c>
      <x:c r="P58" s="12" t="s">
        <x:v>97</x:v>
      </x:c>
      <x:c r="Q58" s="12">
        <x:v>36</x:v>
      </x:c>
      <x:c r="R58" s="12" t="s">
        <x:v>59</x:v>
      </x:c>
      <x:c r="S58" s="15" t="s">
        <x:v>60</x:v>
      </x:c>
    </x:row>
    <x:row r="59" ht="78" customHeight="1">
      <x:c r="A59" s="10" t="s">
        <x:v>288</x:v>
      </x:c>
      <x:c r="B59" s="11" t="s">
        <x:v>289</x:v>
      </x:c>
      <x:c r="C59" s="12" t="s">
        <x:v>154</x:v>
      </x:c>
      <x:c r="D59" s="13" t="s">
        <x:v>70</x:v>
      </x:c>
      <x:c r="E59" s="13" t="s">
        <x:v>70</x:v>
      </x:c>
      <x:c r="F59" s="13" t="s">
        <x:v>51</x:v>
      </x:c>
      <x:c r="G59" s="13" t="s">
        <x:v>78</x:v>
      </x:c>
      <x:c r="H59" s="13" t="s">
        <x:v>79</x:v>
      </x:c>
      <x:c r="I59" s="13"/>
      <x:c r="J59" s="13" t="s">
        <x:v>54</x:v>
      </x:c>
      <x:c r="K59" s="13" t="s">
        <x:v>55</x:v>
      </x:c>
      <x:c r="L59" s="14"/>
      <x:c r="M59" s="12" t="str">
        <x:f t="shared" si="1"/>
        <x:v>COMPLETE</x:v>
      </x:c>
      <x:c r="N59" s="12" t="s">
        <x:v>158</x:v>
      </x:c>
      <x:c r="O59" s="12" t="s">
        <x:v>290</x:v>
      </x:c>
      <x:c r="P59" s="12" t="s">
        <x:v>82</x:v>
      </x:c>
      <x:c r="Q59" s="12">
        <x:v>11</x:v>
      </x:c>
      <x:c r="R59" s="12" t="s">
        <x:v>120</x:v>
      </x:c>
      <x:c r="S59" s="15" t="s">
        <x:v>84</x:v>
      </x:c>
    </x:row>
    <x:row r="60" ht="78" customHeight="1">
      <x:c r="A60" s="10" t="s">
        <x:v>291</x:v>
      </x:c>
      <x:c r="B60" s="11" t="s">
        <x:v>292</x:v>
      </x:c>
      <x:c r="C60" s="12" t="s">
        <x:v>116</x:v>
      </x:c>
      <x:c r="D60" s="13" t="s">
        <x:v>49</x:v>
      </x:c>
      <x:c r="E60" s="13" t="s">
        <x:v>49</x:v>
      </x:c>
      <x:c r="F60" s="13" t="s">
        <x:v>51</x:v>
      </x:c>
      <x:c r="G60" s="13" t="s">
        <x:v>78</x:v>
      </x:c>
      <x:c r="H60" s="13" t="s">
        <x:v>79</x:v>
      </x:c>
      <x:c r="I60" s="13"/>
      <x:c r="J60" s="13" t="s">
        <x:v>54</x:v>
      </x:c>
      <x:c r="K60" s="13" t="s">
        <x:v>55</x:v>
      </x:c>
      <x:c r="L60" s="14"/>
      <x:c r="M60" s="12" t="str">
        <x:f t="shared" si="1"/>
        <x:v>COMPLETE</x:v>
      </x:c>
      <x:c r="N60" s="12" t="s">
        <x:v>118</x:v>
      </x:c>
      <x:c r="O60" s="12" t="s">
        <x:v>96</x:v>
      </x:c>
      <x:c r="P60" s="12" t="s">
        <x:v>111</x:v>
      </x:c>
      <x:c r="Q60" s="12">
        <x:v>35</x:v>
      </x:c>
      <x:c r="R60" s="12" t="s">
        <x:v>120</x:v>
      </x:c>
      <x:c r="S60" s="15" t="s">
        <x:v>60</x:v>
      </x:c>
    </x:row>
    <x:row r="61" ht="78" customHeight="1">
      <x:c r="A61" s="10" t="s">
        <x:v>293</x:v>
      </x:c>
      <x:c r="B61" s="11" t="s">
        <x:v>294</x:v>
      </x:c>
      <x:c r="C61" s="12" t="s">
        <x:v>190</x:v>
      </x:c>
      <x:c r="D61" s="13" t="s">
        <x:v>49</x:v>
      </x:c>
      <x:c r="E61" s="13" t="s">
        <x:v>49</x:v>
      </x:c>
      <x:c r="F61" s="13"/>
      <x:c r="G61" s="13" t="s">
        <x:v>51</x:v>
      </x:c>
      <x:c r="H61" s="13" t="s">
        <x:v>52</x:v>
      </x:c>
      <x:c r="I61" s="13" t="s">
        <x:v>218</x:v>
      </x:c>
      <x:c r="J61" s="13" t="s">
        <x:v>54</x:v>
      </x:c>
      <x:c r="K61" s="13" t="s">
        <x:v>55</x:v>
      </x:c>
      <x:c r="L61" s="14"/>
      <x:c r="M61" s="12" t="str">
        <x:f t="shared" si="1"/>
        <x:v>COMPLETE</x:v>
      </x:c>
      <x:c r="N61" s="12" t="s">
        <x:v>191</x:v>
      </x:c>
      <x:c r="O61" s="12" t="s">
        <x:v>103</x:v>
      </x:c>
      <x:c r="P61" s="12" t="s">
        <x:v>192</x:v>
      </x:c>
      <x:c r="Q61" s="12">
        <x:v>45</x:v>
      </x:c>
      <x:c r="R61" s="12" t="s">
        <x:v>59</x:v>
      </x:c>
      <x:c r="S61" s="15" t="s">
        <x:v>60</x:v>
      </x:c>
    </x:row>
    <x:row r="62" ht="78" customHeight="1">
      <x:c r="A62" s="10" t="s">
        <x:v>295</x:v>
      </x:c>
      <x:c r="B62" s="11" t="s">
        <x:v>296</x:v>
      </x:c>
      <x:c r="C62" s="12" t="s">
        <x:v>116</x:v>
      </x:c>
      <x:c r="D62" s="13" t="s">
        <x:v>70</x:v>
      </x:c>
      <x:c r="E62" s="13" t="s">
        <x:v>70</x:v>
      </x:c>
      <x:c r="F62" s="13" t="s">
        <x:v>51</x:v>
      </x:c>
      <x:c r="G62" s="13" t="s">
        <x:v>78</x:v>
      </x:c>
      <x:c r="H62" s="13" t="s">
        <x:v>79</x:v>
      </x:c>
      <x:c r="I62" s="13"/>
      <x:c r="J62" s="13" t="s">
        <x:v>54</x:v>
      </x:c>
      <x:c r="K62" s="13" t="s">
        <x:v>55</x:v>
      </x:c>
      <x:c r="L62" s="14"/>
      <x:c r="M62" s="12" t="str">
        <x:f t="shared" si="1"/>
        <x:v>COMPLETE</x:v>
      </x:c>
      <x:c r="N62" s="12" t="s">
        <x:v>118</x:v>
      </x:c>
      <x:c r="O62" s="12" t="s">
        <x:v>297</x:v>
      </x:c>
      <x:c r="P62" s="12" t="s">
        <x:v>111</x:v>
      </x:c>
      <x:c r="Q62" s="12">
        <x:v>35</x:v>
      </x:c>
      <x:c r="R62" s="12" t="s">
        <x:v>120</x:v>
      </x:c>
      <x:c r="S62" s="15" t="s">
        <x:v>60</x:v>
      </x:c>
    </x:row>
    <x:row r="63" ht="78" customHeight="1">
      <x:c r="A63" s="10" t="s">
        <x:v>298</x:v>
      </x:c>
      <x:c r="B63" s="11" t="s">
        <x:v>299</x:v>
      </x:c>
      <x:c r="C63" s="12" t="s">
        <x:v>154</x:v>
      </x:c>
      <x:c r="D63" s="13" t="s">
        <x:v>49</x:v>
      </x:c>
      <x:c r="E63" s="13" t="s">
        <x:v>49</x:v>
      </x:c>
      <x:c r="F63" s="13" t="s">
        <x:v>161</x:v>
      </x:c>
      <x:c r="G63" s="13" t="s">
        <x:v>78</x:v>
      </x:c>
      <x:c r="H63" s="13" t="s">
        <x:v>79</x:v>
      </x:c>
      <x:c r="I63" s="13"/>
      <x:c r="J63" s="13" t="s">
        <x:v>54</x:v>
      </x:c>
      <x:c r="K63" s="13" t="s">
        <x:v>55</x:v>
      </x:c>
      <x:c r="L63" s="14"/>
      <x:c r="M63" s="12" t="str">
        <x:f t="shared" si="1"/>
        <x:v>COMPLETE</x:v>
      </x:c>
      <x:c r="N63" s="12" t="s">
        <x:v>158</x:v>
      </x:c>
      <x:c r="O63" s="12" t="s">
        <x:v>142</x:v>
      </x:c>
      <x:c r="P63" s="12" t="s">
        <x:v>82</x:v>
      </x:c>
      <x:c r="Q63" s="12">
        <x:v>11</x:v>
      </x:c>
      <x:c r="R63" s="12" t="s">
        <x:v>120</x:v>
      </x:c>
      <x:c r="S63" s="15" t="s">
        <x:v>84</x:v>
      </x:c>
    </x:row>
    <x:row r="64" ht="78" customHeight="1">
      <x:c r="A64" s="10" t="s">
        <x:v>300</x:v>
      </x:c>
      <x:c r="B64" s="11" t="s">
        <x:v>301</x:v>
      </x:c>
      <x:c r="C64" s="12" t="s">
        <x:v>302</x:v>
      </x:c>
      <x:c r="D64" s="13" t="s">
        <x:v>49</x:v>
      </x:c>
      <x:c r="E64" s="13" t="s">
        <x:v>49</x:v>
      </x:c>
      <x:c r="F64" s="13" t="s">
        <x:v>155</x:v>
      </x:c>
      <x:c r="G64" s="13" t="s">
        <x:v>51</x:v>
      </x:c>
      <x:c r="H64" s="13" t="s">
        <x:v>52</x:v>
      </x:c>
      <x:c r="I64" s="13" t="s">
        <x:v>88</x:v>
      </x:c>
      <x:c r="J64" s="13" t="s">
        <x:v>54</x:v>
      </x:c>
      <x:c r="K64" s="13" t="s">
        <x:v>55</x:v>
      </x:c>
      <x:c r="L64" s="14"/>
      <x:c r="M64" s="12" t="str">
        <x:f t="shared" si="1"/>
        <x:v>COMPLETE</x:v>
      </x:c>
      <x:c r="N64" s="12" t="s">
        <x:v>303</x:v>
      </x:c>
      <x:c r="O64" s="12" t="s">
        <x:v>142</x:v>
      </x:c>
      <x:c r="P64" s="12" t="s">
        <x:v>304</x:v>
      </x:c>
      <x:c r="Q64" s="12">
        <x:v>8</x:v>
      </x:c>
      <x:c r="R64" s="12" t="s">
        <x:v>59</x:v>
      </x:c>
      <x:c r="S64" s="15" t="s">
        <x:v>60</x:v>
      </x:c>
    </x:row>
    <x:row r="65" ht="78" customHeight="1">
      <x:c r="A65" s="10" t="s">
        <x:v>305</x:v>
      </x:c>
      <x:c r="B65" s="11" t="s">
        <x:v>306</x:v>
      </x:c>
      <x:c r="C65" s="12" t="s">
        <x:v>186</x:v>
      </x:c>
      <x:c r="D65" s="13" t="s">
        <x:v>94</x:v>
      </x:c>
      <x:c r="E65" s="13" t="s">
        <x:v>49</x:v>
      </x:c>
      <x:c r="F65" s="13" t="s">
        <x:v>51</x:v>
      </x:c>
      <x:c r="G65" s="13" t="s">
        <x:v>226</x:v>
      </x:c>
      <x:c r="H65" s="13" t="s">
        <x:v>79</x:v>
      </x:c>
      <x:c r="I65" s="13"/>
      <x:c r="J65" s="13" t="s">
        <x:v>54</x:v>
      </x:c>
      <x:c r="K65" s="13" t="s">
        <x:v>55</x:v>
      </x:c>
      <x:c r="L65" s="14"/>
      <x:c r="M65" s="12" t="str">
        <x:f t="shared" si="1"/>
        <x:v>COMPLETE</x:v>
      </x:c>
      <x:c r="N65" s="12" t="s">
        <x:v>187</x:v>
      </x:c>
      <x:c r="O65" s="12" t="s">
        <x:v>126</x:v>
      </x:c>
      <x:c r="P65" s="12" t="s">
        <x:v>97</x:v>
      </x:c>
      <x:c r="Q65" s="12">
        <x:v>101</x:v>
      </x:c>
      <x:c r="R65" s="12" t="s">
        <x:v>59</x:v>
      </x:c>
      <x:c r="S65" s="15" t="s">
        <x:v>60</x:v>
      </x:c>
    </x:row>
    <x:row r="66" ht="78" customHeight="1">
      <x:c r="A66" s="10" t="s">
        <x:v>307</x:v>
      </x:c>
      <x:c r="B66" s="11" t="s">
        <x:v>308</x:v>
      </x:c>
      <x:c r="C66" s="12" t="s">
        <x:v>309</x:v>
      </x:c>
      <x:c r="D66" s="13" t="s">
        <x:v>49</x:v>
      </x:c>
      <x:c r="E66" s="13" t="s">
        <x:v>49</x:v>
      </x:c>
      <x:c r="F66" s="13" t="s">
        <x:v>50</x:v>
      </x:c>
      <x:c r="G66" s="13" t="s">
        <x:v>51</x:v>
      </x:c>
      <x:c r="H66" s="13" t="s">
        <x:v>52</x:v>
      </x:c>
      <x:c r="I66" s="13" t="s">
        <x:v>167</x:v>
      </x:c>
      <x:c r="J66" s="13" t="s">
        <x:v>54</x:v>
      </x:c>
      <x:c r="K66" s="13" t="s">
        <x:v>55</x:v>
      </x:c>
      <x:c r="L66" s="14"/>
      <x:c r="M66" s="12" t="str">
        <x:f t="shared" si="1"/>
        <x:v>COMPLETE</x:v>
      </x:c>
      <x:c r="N66" s="12" t="s">
        <x:v>310</x:v>
      </x:c>
      <x:c r="O66" s="12" t="s">
        <x:v>96</x:v>
      </x:c>
      <x:c r="P66" s="12" t="s">
        <x:v>233</x:v>
      </x:c>
      <x:c r="Q66" s="12">
        <x:v>18</x:v>
      </x:c>
      <x:c r="R66" s="12" t="s">
        <x:v>59</x:v>
      </x:c>
      <x:c r="S66" s="15" t="s">
        <x:v>60</x:v>
      </x:c>
    </x:row>
    <x:row r="67" ht="78" customHeight="1">
      <x:c r="A67" s="10" t="s">
        <x:v>311</x:v>
      </x:c>
      <x:c r="B67" s="11" t="s">
        <x:v>312</x:v>
      </x:c>
      <x:c r="C67" s="12" t="s">
        <x:v>208</x:v>
      </x:c>
      <x:c r="D67" s="13" t="s">
        <x:v>94</x:v>
      </x:c>
      <x:c r="E67" s="13" t="s">
        <x:v>49</x:v>
      </x:c>
      <x:c r="F67" s="13" t="s">
        <x:v>51</x:v>
      </x:c>
      <x:c r="G67" s="13" t="s">
        <x:v>226</x:v>
      </x:c>
      <x:c r="H67" s="13" t="s">
        <x:v>79</x:v>
      </x:c>
      <x:c r="I67" s="13"/>
      <x:c r="J67" s="13" t="s">
        <x:v>54</x:v>
      </x:c>
      <x:c r="K67" s="13" t="s">
        <x:v>55</x:v>
      </x:c>
      <x:c r="L67" s="14"/>
      <x:c r="M67" s="12" t="str">
        <x:f t="shared" si="1"/>
        <x:v>COMPLETE</x:v>
      </x:c>
      <x:c r="N67" s="12" t="s">
        <x:v>209</x:v>
      </x:c>
      <x:c r="O67" s="12" t="s">
        <x:v>103</x:v>
      </x:c>
      <x:c r="P67" s="12" t="s">
        <x:v>97</x:v>
      </x:c>
      <x:c r="Q67" s="12">
        <x:v>117</x:v>
      </x:c>
      <x:c r="R67" s="12" t="s">
        <x:v>59</x:v>
      </x:c>
      <x:c r="S67" s="15" t="s">
        <x:v>60</x:v>
      </x:c>
    </x:row>
    <x:row r="68" ht="78" customHeight="1">
      <x:c r="A68" s="10" t="s">
        <x:v>313</x:v>
      </x:c>
      <x:c r="B68" s="11" t="s">
        <x:v>314</x:v>
      </x:c>
      <x:c r="C68" s="12" t="s">
        <x:v>69</x:v>
      </x:c>
      <x:c r="D68" s="13" t="s">
        <x:v>49</x:v>
      </x:c>
      <x:c r="E68" s="13" t="s">
        <x:v>94</x:v>
      </x:c>
      <x:c r="F68" s="13" t="s">
        <x:v>51</x:v>
      </x:c>
      <x:c r="G68" s="13" t="s">
        <x:v>124</x:v>
      </x:c>
      <x:c r="H68" s="13" t="s">
        <x:v>79</x:v>
      </x:c>
      <x:c r="I68" s="13"/>
      <x:c r="J68" s="13" t="s">
        <x:v>54</x:v>
      </x:c>
      <x:c r="K68" s="13" t="s">
        <x:v>55</x:v>
      </x:c>
      <x:c r="L68" s="14"/>
      <x:c r="M68" s="12" t="str">
        <x:f t="shared" si="1"/>
        <x:v>COMPLETE</x:v>
      </x:c>
      <x:c r="N68" s="12" t="s">
        <x:v>72</x:v>
      </x:c>
      <x:c r="O68" s="12" t="s">
        <x:v>103</x:v>
      </x:c>
      <x:c r="P68" s="12" t="s">
        <x:v>74</x:v>
      </x:c>
      <x:c r="Q68" s="12">
        <x:v>80</x:v>
      </x:c>
      <x:c r="R68" s="12" t="s">
        <x:v>59</x:v>
      </x:c>
      <x:c r="S68" s="15" t="s">
        <x:v>60</x:v>
      </x:c>
    </x:row>
    <x:row r="69" ht="78" customHeight="1">
      <x:c r="A69" s="10" t="s">
        <x:v>315</x:v>
      </x:c>
      <x:c r="B69" s="11" t="s">
        <x:v>316</x:v>
      </x:c>
      <x:c r="C69" s="12" t="s">
        <x:v>279</x:v>
      </x:c>
      <x:c r="D69" s="13" t="s">
        <x:v>49</x:v>
      </x:c>
      <x:c r="E69" s="13" t="s">
        <x:v>94</x:v>
      </x:c>
      <x:c r="F69" s="13" t="s">
        <x:v>50</x:v>
      </x:c>
      <x:c r="G69" s="13" t="s">
        <x:v>51</x:v>
      </x:c>
      <x:c r="H69" s="13" t="s">
        <x:v>52</x:v>
      </x:c>
      <x:c r="I69" s="13" t="s">
        <x:v>317</x:v>
      </x:c>
      <x:c r="J69" s="13" t="s">
        <x:v>109</x:v>
      </x:c>
      <x:c r="K69" s="13" t="s">
        <x:v>55</x:v>
      </x:c>
      <x:c r="L69" s="14"/>
      <x:c r="M69" s="12" t="str">
        <x:f t="shared" si="1"/>
        <x:v>COMPLETE</x:v>
      </x:c>
      <x:c r="N69" s="12" t="s">
        <x:v>280</x:v>
      </x:c>
      <x:c r="O69" s="12" t="s">
        <x:v>103</x:v>
      </x:c>
      <x:c r="P69" s="12" t="s">
        <x:v>281</x:v>
      </x:c>
      <x:c r="Q69" s="12">
        <x:v>8</x:v>
      </x:c>
      <x:c r="R69" s="12" t="s">
        <x:v>59</x:v>
      </x:c>
      <x:c r="S69" s="15" t="s">
        <x:v>60</x:v>
      </x:c>
    </x:row>
    <x:row r="70" ht="78" customHeight="1">
      <x:c r="A70" s="10" t="s">
        <x:v>318</x:v>
      </x:c>
      <x:c r="B70" s="11" t="s">
        <x:v>319</x:v>
      </x:c>
      <x:c r="C70" s="12" t="s">
        <x:v>231</x:v>
      </x:c>
      <x:c r="D70" s="13" t="s">
        <x:v>49</x:v>
      </x:c>
      <x:c r="E70" s="13" t="s">
        <x:v>49</x:v>
      </x:c>
      <x:c r="F70" s="13" t="s">
        <x:v>161</x:v>
      </x:c>
      <x:c r="G70" s="13" t="s">
        <x:v>78</x:v>
      </x:c>
      <x:c r="H70" s="13" t="s">
        <x:v>79</x:v>
      </x:c>
      <x:c r="I70" s="13"/>
      <x:c r="J70" s="13" t="s">
        <x:v>54</x:v>
      </x:c>
      <x:c r="K70" s="13" t="s">
        <x:v>55</x:v>
      </x:c>
      <x:c r="L70" s="14"/>
      <x:c r="M70" s="12" t="str">
        <x:f t="shared" si="1"/>
        <x:v>COMPLETE</x:v>
      </x:c>
      <x:c r="N70" s="12" t="s">
        <x:v>232</x:v>
      </x:c>
      <x:c r="O70" s="12" t="s">
        <x:v>142</x:v>
      </x:c>
      <x:c r="P70" s="12" t="s">
        <x:v>233</x:v>
      </x:c>
      <x:c r="Q70" s="12">
        <x:v>35</x:v>
      </x:c>
      <x:c r="R70" s="12" t="s">
        <x:v>59</x:v>
      </x:c>
      <x:c r="S70" s="15" t="s">
        <x:v>60</x:v>
      </x:c>
    </x:row>
    <x:row r="71" ht="78" customHeight="1">
      <x:c r="A71" s="10" t="s">
        <x:v>320</x:v>
      </x:c>
      <x:c r="B71" s="11" t="s">
        <x:v>321</x:v>
      </x:c>
      <x:c r="C71" s="12" t="s">
        <x:v>200</x:v>
      </x:c>
      <x:c r="D71" s="13" t="s">
        <x:v>70</x:v>
      </x:c>
      <x:c r="E71" s="13" t="s">
        <x:v>94</x:v>
      </x:c>
      <x:c r="F71" s="13" t="s">
        <x:v>51</x:v>
      </x:c>
      <x:c r="G71" s="13" t="s">
        <x:v>78</x:v>
      </x:c>
      <x:c r="H71" s="13" t="s">
        <x:v>79</x:v>
      </x:c>
      <x:c r="I71" s="13"/>
      <x:c r="J71" s="13" t="s">
        <x:v>54</x:v>
      </x:c>
      <x:c r="K71" s="13" t="s">
        <x:v>55</x:v>
      </x:c>
      <x:c r="L71" s="14"/>
      <x:c r="M71" s="12" t="str">
        <x:f t="shared" si="1"/>
        <x:v>COMPLETE</x:v>
      </x:c>
      <x:c r="N71" s="12" t="s">
        <x:v>202</x:v>
      </x:c>
      <x:c r="O71" s="12" t="s">
        <x:v>126</x:v>
      </x:c>
      <x:c r="P71" s="12" t="s">
        <x:v>58</x:v>
      </x:c>
      <x:c r="Q71" s="12">
        <x:v>5</x:v>
      </x:c>
      <x:c r="R71" s="12" t="s">
        <x:v>59</x:v>
      </x:c>
      <x:c r="S71" s="15" t="s">
        <x:v>60</x:v>
      </x:c>
    </x:row>
    <x:row r="72" ht="78" customHeight="1">
      <x:c r="A72" s="10" t="s">
        <x:v>322</x:v>
      </x:c>
      <x:c r="B72" s="11" t="s">
        <x:v>323</x:v>
      </x:c>
      <x:c r="C72" s="12" t="s">
        <x:v>123</x:v>
      </x:c>
      <x:c r="D72" s="13" t="s">
        <x:v>49</x:v>
      </x:c>
      <x:c r="E72" s="13" t="s">
        <x:v>94</x:v>
      </x:c>
      <x:c r="F72" s="13" t="s">
        <x:v>155</x:v>
      </x:c>
      <x:c r="G72" s="13" t="s">
        <x:v>51</x:v>
      </x:c>
      <x:c r="H72" s="13" t="s">
        <x:v>52</x:v>
      </x:c>
      <x:c r="I72" s="13" t="s">
        <x:v>64</x:v>
      </x:c>
      <x:c r="J72" s="13" t="s">
        <x:v>324</x:v>
      </x:c>
      <x:c r="K72" s="13" t="s">
        <x:v>55</x:v>
      </x:c>
      <x:c r="L72" s="14"/>
      <x:c r="M72" s="12" t="str">
        <x:f t="shared" si="1"/>
        <x:v>COMPLETE</x:v>
      </x:c>
      <x:c r="N72" s="12" t="s">
        <x:v>125</x:v>
      </x:c>
      <x:c r="O72" s="12" t="s">
        <x:v>96</x:v>
      </x:c>
      <x:c r="P72" s="12" t="s">
        <x:v>127</x:v>
      </x:c>
      <x:c r="Q72" s="12">
        <x:v>20</x:v>
      </x:c>
      <x:c r="R72" s="12" t="s">
        <x:v>59</x:v>
      </x:c>
      <x:c r="S72" s="15" t="s">
        <x:v>60</x:v>
      </x:c>
    </x:row>
    <x:row r="73" ht="78" customHeight="1">
      <x:c r="A73" s="16" t="s">
        <x:v>325</x:v>
      </x:c>
      <x:c r="B73" s="17" t="s">
        <x:v>326</x:v>
      </x:c>
      <x:c r="C73" s="18" t="s">
        <x:v>93</x:v>
      </x:c>
      <x:c r="D73" s="13" t="s">
        <x:v>94</x:v>
      </x:c>
      <x:c r="E73" s="13" t="s">
        <x:v>49</x:v>
      </x:c>
      <x:c r="F73" s="13" t="s">
        <x:v>51</x:v>
      </x:c>
      <x:c r="G73" s="13" t="s">
        <x:v>226</x:v>
      </x:c>
      <x:c r="H73" s="13" t="s">
        <x:v>79</x:v>
      </x:c>
      <x:c r="I73" s="13"/>
      <x:c r="J73" s="13" t="s">
        <x:v>54</x:v>
      </x:c>
      <x:c r="K73" s="13" t="s">
        <x:v>55</x:v>
      </x:c>
      <x:c r="L73" s="19"/>
      <x:c r="M73" s="18" t="str">
        <x:f t="shared" si="1"/>
        <x:v>COMPLETE</x:v>
      </x:c>
      <x:c r="N73" s="18" t="s">
        <x:v>95</x:v>
      </x:c>
      <x:c r="O73" s="18" t="s">
        <x:v>126</x:v>
      </x:c>
      <x:c r="P73" s="18" t="s">
        <x:v>97</x:v>
      </x:c>
      <x:c r="Q73" s="18">
        <x:v>57</x:v>
      </x:c>
      <x:c r="R73" s="18" t="s">
        <x:v>59</x:v>
      </x:c>
      <x:c r="S73" s="20" t="s">
        <x:v>60</x:v>
      </x:c>
    </x:row>
  </x:sheetData>
  <x:mergeCells>
    <x:mergeCell ref="A1:S1"/>
    <x:mergeCell ref="A2:S2"/>
  </x:mergeCells>
  <x:conditionalFormatting sqref="M5:M73">
    <x:cfRule type="containsText" dxfId="3" priority="1" operator="containsText" text="COMPLETE"/>
    <x:cfRule type="notContainsText" dxfId="2" priority="2" operator="notContains" text="COMPLETE"/>
  </x:conditionalFormatting>
  <x:dataValidations count="6">
    <x:dataValidation type="list" sqref="D5:E73">
      <x:formula1>"yes,no,unclear"</x:formula1>
    </x:dataValidation>
    <x:dataValidation type="list" sqref="G5:G73">
      <x:formula1>"none,foreign_or_cited_research,generic_context,future_research_or_open_question,stakeholder_or_consultant_not_adopted,glossary_heading_or_list,incomplete_fragment_or_ocr,non_cbdc_or_off_scope,other"</x:formula1>
    </x:dataValidation>
    <x:dataValidation type="list" sqref="H5:H73">
      <x:formula1>"keep,exclude,needs_context"</x:formula1>
    </x:dataValidation>
    <x:dataValidation type="list" sqref="J5:J73">
      <x:formula1>"high,medium,low"</x:formula1>
    </x:dataValidation>
    <x:dataValidation type="list" sqref="I5:I38 J39 I40:I73">
      <x:formula1>_xlfn._LONGTEXT("PRIV.ANON,PRIV.OFF,PRIV.MIN,PRIV.PET,PRIV.BAL,PRIV.CB.visibility.opaque,PRIV.CB.visibility.transparent,AML.LIMIT,AML.MON,AML.FATF,AML.RISK,KYC.TIER,KYC.IDV,KYC.INTERMED,TECH.DLT,TECH.TOKEN.decided_yes,TECH.TOKEN.decided_no,TECH.TOKEN.considered,PROG.remun","eration_yes,PROG.remuneration_no,PROG.remuneration_considered,PROG.restriction,PROG.generic,PROC.pilot_learning,LEGAL.basis,INST.mandate,OTHER.keep,INTEROP.domestic,INTEROP.crossborder,CASH.relation,ACCESS.universal,STAB.disintermediation,OPS.resilience,A","DOPT.experience,SYS.design")</x:formula1>
    </x:dataValidation>
    <x:dataValidation type="list" sqref="F5:F73">
      <x:formula1>"decision_or_commitment,explicit_proposal_or_preference,concrete_own_system_feature,executed_own_pilot_finding,supported_risk_tradeoff_requirement,none,unclear"</x:formula1>
    </x:dataValidation>
  </x:dataValidations>
  <x:pageMargins left="0.7" right="0.7" top="0.75" bottom="0.75" header="0.3" footer="0.3"/>
  <x:tableParts count="1">
    <x:tablePart xmlns:r="http://schemas.openxmlformats.org/officeDocument/2006/relationships" r:id="R7550f67ad021421c"/>
  </x:tableParts>
</x:worksheet>
</file>

<file path=xl/worksheets/sheet3.xml><?xml version="1.0" encoding="utf-8"?>
<x:worksheet xmlns:x="http://schemas.openxmlformats.org/spreadsheetml/2006/main">
  <x:sheetViews>
    <x:sheetView showGridLines="0" workbookViewId="0"/>
  </x:sheetViews>
  <x:sheetFormatPr defaultRowHeight="14"/>
  <x:cols>
    <x:col min="1" max="1" width="16" customWidth="1"/>
    <x:col min="2" max="2" width="40" customWidth="1"/>
    <x:col min="3" max="3" width="8" customWidth="1"/>
    <x:col min="4" max="4" width="12" customWidth="1"/>
    <x:col min="5" max="5" width="16" customWidth="1"/>
    <x:col min="6" max="6" width="120" customWidth="1"/>
    <x:col min="7" max="7" width="20" customWidth="1"/>
  </x:cols>
  <x:sheetData>
    <x:row r="1" ht="28" customHeight="1">
      <x:c r="A1" s="35" t="s">
        <x:v>327</x:v>
      </x:c>
      <x:c r="B1" s="35"/>
      <x:c r="C1" s="35"/>
      <x:c r="D1" s="35"/>
      <x:c r="E1" s="35"/>
      <x:c r="F1" s="35"/>
      <x:c r="G1" s="35"/>
    </x:row>
    <x:row r="3">
      <x:c r="A3" s="21" t="s">
        <x:v>29</x:v>
      </x:c>
      <x:c r="B3" s="22" t="s">
        <x:v>42</x:v>
      </x:c>
      <x:c r="C3" s="22" t="s">
        <x:v>43</x:v>
      </x:c>
      <x:c r="D3" s="22" t="s">
        <x:v>45</x:v>
      </x:c>
      <x:c r="E3" s="22" t="s">
        <x:v>328</x:v>
      </x:c>
      <x:c r="F3" s="22" t="s">
        <x:v>329</x:v>
      </x:c>
      <x:c r="G3" s="23" t="s">
        <x:v>330</x:v>
      </x:c>
    </x:row>
    <x:row r="4" ht="120" customHeight="1">
      <x:c r="A4" s="10" t="s">
        <x:v>93</x:v>
      </x:c>
      <x:c r="B4" s="12" t="s">
        <x:v>97</x:v>
      </x:c>
      <x:c r="C4" s="12">
        <x:v>57</x:v>
      </x:c>
      <x:c r="D4" s="12" t="s">
        <x:v>60</x:v>
      </x:c>
      <x:c r="E4" s="12" t="s">
        <x:v>331</x:v>
      </x:c>
      <x:c r="F4" s="11" t="s">
        <x:v>332</x:v>
      </x:c>
      <x:c r="G4" s="15"/>
    </x:row>
    <x:row r="5" ht="120" customHeight="1">
      <x:c r="A5" s="10" t="s">
        <x:v>139</x:v>
      </x:c>
      <x:c r="B5" s="12" t="s">
        <x:v>143</x:v>
      </x:c>
      <x:c r="C5" s="12">
        <x:v>27</x:v>
      </x:c>
      <x:c r="D5" s="12" t="s">
        <x:v>60</x:v>
      </x:c>
      <x:c r="E5" s="12" t="s">
        <x:v>331</x:v>
      </x:c>
      <x:c r="F5" s="11" t="s">
        <x:v>333</x:v>
      </x:c>
      <x:c r="G5" s="15"/>
    </x:row>
    <x:row r="6" ht="120" customHeight="1">
      <x:c r="A6" s="10" t="s">
        <x:v>107</x:v>
      </x:c>
      <x:c r="B6" s="12" t="s">
        <x:v>111</x:v>
      </x:c>
      <x:c r="C6" s="12">
        <x:v>50</x:v>
      </x:c>
      <x:c r="D6" s="12" t="s">
        <x:v>60</x:v>
      </x:c>
      <x:c r="E6" s="12" t="s">
        <x:v>331</x:v>
      </x:c>
      <x:c r="F6" s="11" t="s">
        <x:v>334</x:v>
      </x:c>
      <x:c r="G6" s="15"/>
    </x:row>
    <x:row r="7" ht="120" customHeight="1">
      <x:c r="A7" s="10" t="s">
        <x:v>195</x:v>
      </x:c>
      <x:c r="B7" s="12" t="s">
        <x:v>197</x:v>
      </x:c>
      <x:c r="C7" s="12">
        <x:v>23</x:v>
      </x:c>
      <x:c r="D7" s="12" t="s">
        <x:v>60</x:v>
      </x:c>
      <x:c r="E7" s="12" t="s">
        <x:v>331</x:v>
      </x:c>
      <x:c r="F7" s="11" t="s">
        <x:v>335</x:v>
      </x:c>
      <x:c r="G7" s="15"/>
    </x:row>
    <x:row r="8" ht="120" customHeight="1">
      <x:c r="A8" s="10" t="s">
        <x:v>256</x:v>
      </x:c>
      <x:c r="B8" s="12" t="s">
        <x:v>258</x:v>
      </x:c>
      <x:c r="C8" s="12">
        <x:v>5</x:v>
      </x:c>
      <x:c r="D8" s="12" t="s">
        <x:v>60</x:v>
      </x:c>
      <x:c r="E8" s="12" t="s">
        <x:v>331</x:v>
      </x:c>
      <x:c r="F8" s="11" t="s">
        <x:v>336</x:v>
      </x:c>
      <x:c r="G8" s="15"/>
    </x:row>
    <x:row r="9" ht="120" customHeight="1">
      <x:c r="A9" s="10" t="s">
        <x:v>302</x:v>
      </x:c>
      <x:c r="B9" s="12" t="s">
        <x:v>304</x:v>
      </x:c>
      <x:c r="C9" s="12">
        <x:v>8</x:v>
      </x:c>
      <x:c r="D9" s="12" t="s">
        <x:v>60</x:v>
      </x:c>
      <x:c r="E9" s="12" t="s">
        <x:v>331</x:v>
      </x:c>
      <x:c r="F9" s="11" t="s">
        <x:v>337</x:v>
      </x:c>
      <x:c r="G9" s="15"/>
    </x:row>
    <x:row r="10" ht="120" customHeight="1">
      <x:c r="A10" s="10" t="s">
        <x:v>170</x:v>
      </x:c>
      <x:c r="B10" s="12" t="s">
        <x:v>172</x:v>
      </x:c>
      <x:c r="C10" s="12">
        <x:v>10</x:v>
      </x:c>
      <x:c r="D10" s="12" t="s">
        <x:v>60</x:v>
      </x:c>
      <x:c r="E10" s="12" t="s">
        <x:v>331</x:v>
      </x:c>
      <x:c r="F10" s="11" t="s">
        <x:v>338</x:v>
      </x:c>
      <x:c r="G10" s="15"/>
    </x:row>
    <x:row r="11" ht="120" customHeight="1">
      <x:c r="A11" s="10" t="s">
        <x:v>63</x:v>
      </x:c>
      <x:c r="B11" s="12" t="s">
        <x:v>66</x:v>
      </x:c>
      <x:c r="C11" s="12">
        <x:v>51</x:v>
      </x:c>
      <x:c r="D11" s="12" t="s">
        <x:v>60</x:v>
      </x:c>
      <x:c r="E11" s="12" t="s">
        <x:v>331</x:v>
      </x:c>
      <x:c r="F11" s="11" t="s">
        <x:v>339</x:v>
      </x:c>
      <x:c r="G11" s="15"/>
    </x:row>
    <x:row r="12" ht="120" customHeight="1">
      <x:c r="A12" s="10" t="s">
        <x:v>190</x:v>
      </x:c>
      <x:c r="B12" s="12" t="s">
        <x:v>192</x:v>
      </x:c>
      <x:c r="C12" s="12">
        <x:v>45</x:v>
      </x:c>
      <x:c r="D12" s="12" t="s">
        <x:v>60</x:v>
      </x:c>
      <x:c r="E12" s="12" t="s">
        <x:v>331</x:v>
      </x:c>
      <x:c r="F12" s="11" t="s">
        <x:v>340</x:v>
      </x:c>
      <x:c r="G12" s="15"/>
    </x:row>
    <x:row r="13" ht="120" customHeight="1">
      <x:c r="A13" s="10" t="s">
        <x:v>148</x:v>
      </x:c>
      <x:c r="B13" s="12" t="s">
        <x:v>151</x:v>
      </x:c>
      <x:c r="C13" s="12">
        <x:v>27</x:v>
      </x:c>
      <x:c r="D13" s="12" t="s">
        <x:v>60</x:v>
      </x:c>
      <x:c r="E13" s="12" t="s">
        <x:v>331</x:v>
      </x:c>
      <x:c r="F13" s="11" t="s">
        <x:v>341</x:v>
      </x:c>
      <x:c r="G13" s="15"/>
    </x:row>
    <x:row r="14" ht="120" customHeight="1">
      <x:c r="A14" s="10" t="s">
        <x:v>240</x:v>
      </x:c>
      <x:c r="B14" s="12" t="s">
        <x:v>242</x:v>
      </x:c>
      <x:c r="C14" s="12">
        <x:v>34</x:v>
      </x:c>
      <x:c r="D14" s="12" t="s">
        <x:v>60</x:v>
      </x:c>
      <x:c r="E14" s="12" t="s">
        <x:v>331</x:v>
      </x:c>
      <x:c r="F14" s="11" t="s">
        <x:v>342</x:v>
      </x:c>
      <x:c r="G14" s="15"/>
    </x:row>
    <x:row r="15" ht="120" customHeight="1">
      <x:c r="A15" s="10" t="s">
        <x:v>268</x:v>
      </x:c>
      <x:c r="B15" s="12" t="s">
        <x:v>97</x:v>
      </x:c>
      <x:c r="C15" s="12">
        <x:v>197</x:v>
      </x:c>
      <x:c r="D15" s="12" t="s">
        <x:v>60</x:v>
      </x:c>
      <x:c r="E15" s="12" t="s">
        <x:v>331</x:v>
      </x:c>
      <x:c r="F15" s="11" t="s">
        <x:v>343</x:v>
      </x:c>
      <x:c r="G15" s="15"/>
    </x:row>
    <x:row r="16" ht="120" customHeight="1">
      <x:c r="A16" s="10" t="s">
        <x:v>208</x:v>
      </x:c>
      <x:c r="B16" s="12" t="s">
        <x:v>97</x:v>
      </x:c>
      <x:c r="C16" s="12">
        <x:v>117</x:v>
      </x:c>
      <x:c r="D16" s="12" t="s">
        <x:v>60</x:v>
      </x:c>
      <x:c r="E16" s="12" t="s">
        <x:v>331</x:v>
      </x:c>
      <x:c r="F16" s="11" t="s">
        <x:v>344</x:v>
      </x:c>
      <x:c r="G16" s="15"/>
    </x:row>
    <x:row r="17" ht="120" customHeight="1">
      <x:c r="A17" s="10" t="s">
        <x:v>135</x:v>
      </x:c>
      <x:c r="B17" s="12" t="s">
        <x:v>74</x:v>
      </x:c>
      <x:c r="C17" s="12">
        <x:v>48</x:v>
      </x:c>
      <x:c r="D17" s="12" t="s">
        <x:v>60</x:v>
      </x:c>
      <x:c r="E17" s="12" t="s">
        <x:v>331</x:v>
      </x:c>
      <x:c r="F17" s="11" t="s">
        <x:v>345</x:v>
      </x:c>
      <x:c r="G17" s="15"/>
    </x:row>
    <x:row r="18" ht="120" customHeight="1">
      <x:c r="A18" s="10" t="s">
        <x:v>130</x:v>
      </x:c>
      <x:c r="B18" s="12" t="s">
        <x:v>132</x:v>
      </x:c>
      <x:c r="C18" s="12">
        <x:v>4</x:v>
      </x:c>
      <x:c r="D18" s="12" t="s">
        <x:v>60</x:v>
      </x:c>
      <x:c r="E18" s="12" t="s">
        <x:v>331</x:v>
      </x:c>
      <x:c r="F18" s="11" t="s">
        <x:v>346</x:v>
      </x:c>
      <x:c r="G18" s="15"/>
    </x:row>
    <x:row r="19" ht="120" customHeight="1">
      <x:c r="A19" s="10" t="s">
        <x:v>177</x:v>
      </x:c>
      <x:c r="B19" s="12" t="s">
        <x:v>179</x:v>
      </x:c>
      <x:c r="C19" s="12">
        <x:v>2</x:v>
      </x:c>
      <x:c r="D19" s="12" t="s">
        <x:v>60</x:v>
      </x:c>
      <x:c r="E19" s="12" t="s">
        <x:v>331</x:v>
      </x:c>
      <x:c r="F19" s="11" t="s">
        <x:v>347</x:v>
      </x:c>
      <x:c r="G19" s="15"/>
    </x:row>
    <x:row r="20" ht="120" customHeight="1">
      <x:c r="A20" s="10" t="s">
        <x:v>186</x:v>
      </x:c>
      <x:c r="B20" s="12" t="s">
        <x:v>97</x:v>
      </x:c>
      <x:c r="C20" s="12">
        <x:v>101</x:v>
      </x:c>
      <x:c r="D20" s="12" t="s">
        <x:v>60</x:v>
      </x:c>
      <x:c r="E20" s="12" t="s">
        <x:v>331</x:v>
      </x:c>
      <x:c r="F20" s="11" t="s">
        <x:v>348</x:v>
      </x:c>
      <x:c r="G20" s="15"/>
    </x:row>
    <x:row r="21" ht="120" customHeight="1">
      <x:c r="A21" s="10" t="s">
        <x:v>236</x:v>
      </x:c>
      <x:c r="B21" s="12" t="s">
        <x:v>97</x:v>
      </x:c>
      <x:c r="C21" s="12">
        <x:v>33</x:v>
      </x:c>
      <x:c r="D21" s="12" t="s">
        <x:v>60</x:v>
      </x:c>
      <x:c r="E21" s="12" t="s">
        <x:v>331</x:v>
      </x:c>
      <x:c r="F21" s="11" t="s">
        <x:v>349</x:v>
      </x:c>
      <x:c r="G21" s="15"/>
    </x:row>
    <x:row r="22" ht="120" customHeight="1">
      <x:c r="A22" s="10" t="s">
        <x:v>69</x:v>
      </x:c>
      <x:c r="B22" s="12" t="s">
        <x:v>74</x:v>
      </x:c>
      <x:c r="C22" s="12">
        <x:v>80</x:v>
      </x:c>
      <x:c r="D22" s="12" t="s">
        <x:v>60</x:v>
      </x:c>
      <x:c r="E22" s="12" t="s">
        <x:v>331</x:v>
      </x:c>
      <x:c r="F22" s="11" t="s">
        <x:v>350</x:v>
      </x:c>
      <x:c r="G22" s="15"/>
    </x:row>
    <x:row r="23" ht="120" customHeight="1">
      <x:c r="A23" s="10" t="s">
        <x:v>231</x:v>
      </x:c>
      <x:c r="B23" s="12" t="s">
        <x:v>233</x:v>
      </x:c>
      <x:c r="C23" s="12">
        <x:v>35</x:v>
      </x:c>
      <x:c r="D23" s="12" t="s">
        <x:v>60</x:v>
      </x:c>
      <x:c r="E23" s="12" t="s">
        <x:v>331</x:v>
      </x:c>
      <x:c r="F23" s="11" t="s">
        <x:v>351</x:v>
      </x:c>
      <x:c r="G23" s="15"/>
    </x:row>
    <x:row r="24" ht="120" customHeight="1">
      <x:c r="A24" s="10" t="s">
        <x:v>100</x:v>
      </x:c>
      <x:c r="B24" s="12" t="s">
        <x:v>104</x:v>
      </x:c>
      <x:c r="C24" s="12">
        <x:v>41</x:v>
      </x:c>
      <x:c r="D24" s="12" t="s">
        <x:v>60</x:v>
      </x:c>
      <x:c r="E24" s="12" t="s">
        <x:v>331</x:v>
      </x:c>
      <x:c r="F24" s="11" t="s">
        <x:v>352</x:v>
      </x:c>
      <x:c r="G24" s="15"/>
    </x:row>
    <x:row r="25" ht="120" customHeight="1">
      <x:c r="A25" s="10" t="s">
        <x:v>48</x:v>
      </x:c>
      <x:c r="B25" s="12" t="s">
        <x:v>58</x:v>
      </x:c>
      <x:c r="C25" s="12">
        <x:v>19</x:v>
      </x:c>
      <x:c r="D25" s="12" t="s">
        <x:v>60</x:v>
      </x:c>
      <x:c r="E25" s="12" t="s">
        <x:v>331</x:v>
      </x:c>
      <x:c r="F25" s="11" t="s">
        <x:v>353</x:v>
      </x:c>
      <x:c r="G25" s="15"/>
    </x:row>
    <x:row r="26" ht="120" customHeight="1">
      <x:c r="A26" s="10" t="s">
        <x:v>87</x:v>
      </x:c>
      <x:c r="B26" s="12" t="s">
        <x:v>90</x:v>
      </x:c>
      <x:c r="C26" s="12">
        <x:v>18</x:v>
      </x:c>
      <x:c r="D26" s="12" t="s">
        <x:v>60</x:v>
      </x:c>
      <x:c r="E26" s="12" t="s">
        <x:v>331</x:v>
      </x:c>
      <x:c r="F26" s="11" t="s">
        <x:v>354</x:v>
      </x:c>
      <x:c r="G26" s="15"/>
    </x:row>
    <x:row r="27" ht="120" customHeight="1">
      <x:c r="A27" s="10" t="s">
        <x:v>284</x:v>
      </x:c>
      <x:c r="B27" s="12" t="s">
        <x:v>97</x:v>
      </x:c>
      <x:c r="C27" s="12">
        <x:v>36</x:v>
      </x:c>
      <x:c r="D27" s="12" t="s">
        <x:v>60</x:v>
      </x:c>
      <x:c r="E27" s="12" t="s">
        <x:v>331</x:v>
      </x:c>
      <x:c r="F27" s="11" t="s">
        <x:v>355</x:v>
      </x:c>
      <x:c r="G27" s="15"/>
    </x:row>
    <x:row r="28" ht="120" customHeight="1">
      <x:c r="A28" s="10" t="s">
        <x:v>279</x:v>
      </x:c>
      <x:c r="B28" s="12" t="s">
        <x:v>281</x:v>
      </x:c>
      <x:c r="C28" s="12">
        <x:v>8</x:v>
      </x:c>
      <x:c r="D28" s="12" t="s">
        <x:v>60</x:v>
      </x:c>
      <x:c r="E28" s="12" t="s">
        <x:v>331</x:v>
      </x:c>
      <x:c r="F28" s="11" t="s">
        <x:v>356</x:v>
      </x:c>
      <x:c r="G28" s="15"/>
    </x:row>
    <x:row r="29" ht="120" customHeight="1">
      <x:c r="A29" s="10" t="s">
        <x:v>123</x:v>
      </x:c>
      <x:c r="B29" s="12" t="s">
        <x:v>127</x:v>
      </x:c>
      <x:c r="C29" s="12">
        <x:v>20</x:v>
      </x:c>
      <x:c r="D29" s="12" t="s">
        <x:v>60</x:v>
      </x:c>
      <x:c r="E29" s="12" t="s">
        <x:v>331</x:v>
      </x:c>
      <x:c r="F29" s="11" t="s">
        <x:v>357</x:v>
      </x:c>
      <x:c r="G29" s="15"/>
    </x:row>
    <x:row r="30" ht="120" customHeight="1">
      <x:c r="A30" s="10" t="s">
        <x:v>274</x:v>
      </x:c>
      <x:c r="B30" s="12" t="s">
        <x:v>276</x:v>
      </x:c>
      <x:c r="C30" s="12">
        <x:v>33</x:v>
      </x:c>
      <x:c r="D30" s="12" t="s">
        <x:v>60</x:v>
      </x:c>
      <x:c r="E30" s="12" t="s">
        <x:v>331</x:v>
      </x:c>
      <x:c r="F30" s="11" t="s">
        <x:v>358</x:v>
      </x:c>
      <x:c r="G30" s="15"/>
    </x:row>
    <x:row r="31" ht="120" customHeight="1">
      <x:c r="A31" s="10" t="s">
        <x:v>200</x:v>
      </x:c>
      <x:c r="B31" s="12" t="s">
        <x:v>58</x:v>
      </x:c>
      <x:c r="C31" s="12">
        <x:v>5</x:v>
      </x:c>
      <x:c r="D31" s="12" t="s">
        <x:v>60</x:v>
      </x:c>
      <x:c r="E31" s="12" t="s">
        <x:v>331</x:v>
      </x:c>
      <x:c r="F31" s="11" t="s">
        <x:v>359</x:v>
      </x:c>
      <x:c r="G31" s="15"/>
    </x:row>
    <x:row r="32" ht="120" customHeight="1">
      <x:c r="A32" s="10" t="s">
        <x:v>309</x:v>
      </x:c>
      <x:c r="B32" s="12" t="s">
        <x:v>233</x:v>
      </x:c>
      <x:c r="C32" s="12">
        <x:v>18</x:v>
      </x:c>
      <x:c r="D32" s="12" t="s">
        <x:v>60</x:v>
      </x:c>
      <x:c r="E32" s="12" t="s">
        <x:v>331</x:v>
      </x:c>
      <x:c r="F32" s="11" t="s">
        <x:v>360</x:v>
      </x:c>
      <x:c r="G32" s="15"/>
    </x:row>
    <x:row r="33" ht="120" customHeight="1">
      <x:c r="A33" s="10" t="s">
        <x:v>77</x:v>
      </x:c>
      <x:c r="B33" s="12" t="s">
        <x:v>82</x:v>
      </x:c>
      <x:c r="C33" s="12">
        <x:v>10</x:v>
      </x:c>
      <x:c r="D33" s="12" t="s">
        <x:v>84</x:v>
      </x:c>
      <x:c r="E33" s="12" t="s">
        <x:v>331</x:v>
      </x:c>
      <x:c r="F33" s="11" t="s">
        <x:v>361</x:v>
      </x:c>
      <x:c r="G33" s="15"/>
    </x:row>
    <x:row r="34" ht="120" customHeight="1">
      <x:c r="A34" s="10" t="s">
        <x:v>116</x:v>
      </x:c>
      <x:c r="B34" s="12" t="s">
        <x:v>111</x:v>
      </x:c>
      <x:c r="C34" s="12">
        <x:v>35</x:v>
      </x:c>
      <x:c r="D34" s="12" t="s">
        <x:v>60</x:v>
      </x:c>
      <x:c r="E34" s="12" t="s">
        <x:v>331</x:v>
      </x:c>
      <x:c r="F34" s="11" t="s">
        <x:v>362</x:v>
      </x:c>
      <x:c r="G34" s="15"/>
    </x:row>
    <x:row r="35" ht="120" customHeight="1">
      <x:c r="A35" s="10" t="s">
        <x:v>154</x:v>
      </x:c>
      <x:c r="B35" s="12" t="s">
        <x:v>82</x:v>
      </x:c>
      <x:c r="C35" s="12">
        <x:v>11</x:v>
      </x:c>
      <x:c r="D35" s="12" t="s">
        <x:v>84</x:v>
      </x:c>
      <x:c r="E35" s="12" t="s">
        <x:v>331</x:v>
      </x:c>
      <x:c r="F35" s="11" t="s">
        <x:v>363</x:v>
      </x:c>
      <x:c r="G35" s="15"/>
    </x:row>
    <x:row r="36" ht="120" customHeight="1">
      <x:c r="A36" s="16" t="s">
        <x:v>247</x:v>
      </x:c>
      <x:c r="B36" s="18" t="s">
        <x:v>251</x:v>
      </x:c>
      <x:c r="C36" s="18">
        <x:v>31</x:v>
      </x:c>
      <x:c r="D36" s="18" t="s">
        <x:v>60</x:v>
      </x:c>
      <x:c r="E36" s="18" t="s">
        <x:v>331</x:v>
      </x:c>
      <x:c r="F36" s="17" t="s">
        <x:v>364</x:v>
      </x:c>
      <x:c r="G36" s="20"/>
    </x:row>
  </x:sheetData>
  <x:mergeCells>
    <x:mergeCell ref="A1:G1"/>
  </x:mergeCells>
  <x:pageMargins left="0.7" right="0.7" top="0.75" bottom="0.75" header="0.3" footer="0.3"/>
  <x:tableParts count="1">
    <x:tablePart xmlns:r="http://schemas.openxmlformats.org/officeDocument/2006/relationships" r:id="Rd87fc9e50fef49b0"/>
  </x:tableParts>
</x:worksheet>
</file>

<file path=xl/worksheets/sheet4.xml><?xml version="1.0" encoding="utf-8"?>
<x:worksheet xmlns:x="http://schemas.openxmlformats.org/spreadsheetml/2006/main">
  <x:sheetViews>
    <x:sheetView showGridLines="0" workbookViewId="0"/>
  </x:sheetViews>
  <x:sheetFormatPr defaultRowHeight="14"/>
  <x:cols>
    <x:col min="1" max="1" width="24.6640625" customWidth="1"/>
    <x:col min="2" max="2" width="7.1640625" customWidth="1"/>
    <x:col min="3" max="3" width="41.5" customWidth="1"/>
    <x:col min="4" max="6" width="55" customWidth="1"/>
    <x:col min="7" max="7" width="8.6640625" style="34" customWidth="0"/>
  </x:cols>
  <x:sheetData>
    <x:row r="1" ht="28" customHeight="1">
      <x:c r="A1" s="35" t="s">
        <x:v>365</x:v>
      </x:c>
      <x:c r="B1" s="35"/>
      <x:c r="C1" s="35"/>
      <x:c r="D1" s="35"/>
      <x:c r="E1" s="35"/>
      <x:c r="F1" s="35"/>
    </x:row>
    <x:row r="3">
      <x:c r="A3" s="7" t="s">
        <x:v>366</x:v>
      </x:c>
      <x:c r="B3" s="8" t="s">
        <x:v>367</x:v>
      </x:c>
      <x:c r="C3" s="8" t="s">
        <x:v>368</x:v>
      </x:c>
      <x:c r="D3" s="8" t="s">
        <x:v>369</x:v>
      </x:c>
      <x:c r="E3" s="8" t="s">
        <x:v>370</x:v>
      </x:c>
      <x:c r="F3" s="9" t="s">
        <x:v>371</x:v>
      </x:c>
      <x:c r="G3" s="34" t="s">
        <x:v>372</x:v>
      </x:c>
    </x:row>
    <x:row r="4" ht="56">
      <x:c r="A4" s="24" t="s">
        <x:v>373</x:v>
      </x:c>
      <x:c r="B4" s="25" t="s">
        <x:v>374</x:v>
      </x:c>
      <x:c r="C4" s="25" t="s">
        <x:v>375</x:v>
      </x:c>
      <x:c r="D4" s="25" t="s">
        <x:v>376</x:v>
      </x:c>
      <x:c r="E4" s="25" t="s">
        <x:v>377</x:v>
      </x:c>
      <x:c r="F4" s="26" t="s">
        <x:v>378</x:v>
      </x:c>
    </x:row>
    <x:row r="5" ht="28">
      <x:c r="A5" s="24" t="s">
        <x:v>379</x:v>
      </x:c>
      <x:c r="B5" s="25" t="s">
        <x:v>374</x:v>
      </x:c>
      <x:c r="C5" s="25" t="s">
        <x:v>380</x:v>
      </x:c>
      <x:c r="D5" s="25" t="s">
        <x:v>381</x:v>
      </x:c>
      <x:c r="E5" s="25" t="s">
        <x:v>382</x:v>
      </x:c>
      <x:c r="F5" s="26" t="s">
        <x:v>383</x:v>
      </x:c>
    </x:row>
    <x:row r="6" ht="42">
      <x:c r="A6" s="24" t="s">
        <x:v>218</x:v>
      </x:c>
      <x:c r="B6" s="25" t="s">
        <x:v>374</x:v>
      </x:c>
      <x:c r="C6" s="25" t="s">
        <x:v>384</x:v>
      </x:c>
      <x:c r="D6" s="25" t="s">
        <x:v>385</x:v>
      </x:c>
      <x:c r="E6" s="25" t="s">
        <x:v>386</x:v>
      </x:c>
      <x:c r="F6" s="26" t="s">
        <x:v>387</x:v>
      </x:c>
    </x:row>
    <x:row r="7" ht="42">
      <x:c r="A7" s="24" t="s">
        <x:v>388</x:v>
      </x:c>
      <x:c r="B7" s="25" t="s">
        <x:v>374</x:v>
      </x:c>
      <x:c r="C7" s="25" t="s">
        <x:v>389</x:v>
      </x:c>
      <x:c r="D7" s="25" t="s">
        <x:v>390</x:v>
      </x:c>
      <x:c r="E7" s="25" t="s">
        <x:v>391</x:v>
      </x:c>
      <x:c r="F7" s="26" t="s">
        <x:v>392</x:v>
      </x:c>
    </x:row>
    <x:row r="8" ht="42">
      <x:c r="A8" s="24" t="s">
        <x:v>167</x:v>
      </x:c>
      <x:c r="B8" s="25" t="s">
        <x:v>374</x:v>
      </x:c>
      <x:c r="C8" s="25" t="s">
        <x:v>393</x:v>
      </x:c>
      <x:c r="D8" s="25" t="s">
        <x:v>394</x:v>
      </x:c>
      <x:c r="E8" s="25" t="s">
        <x:v>395</x:v>
      </x:c>
      <x:c r="F8" s="26" t="s">
        <x:v>396</x:v>
      </x:c>
    </x:row>
    <x:row r="9" ht="42">
      <x:c r="A9" s="24" t="s">
        <x:v>397</x:v>
      </x:c>
      <x:c r="B9" s="25" t="s">
        <x:v>374</x:v>
      </x:c>
      <x:c r="C9" s="25" t="s">
        <x:v>398</x:v>
      </x:c>
      <x:c r="D9" s="25" t="s">
        <x:v>399</x:v>
      </x:c>
      <x:c r="E9" s="25" t="s">
        <x:v>400</x:v>
      </x:c>
      <x:c r="F9" s="26" t="s">
        <x:v>401</x:v>
      </x:c>
    </x:row>
    <x:row r="10" ht="42">
      <x:c r="A10" s="24" t="s">
        <x:v>402</x:v>
      </x:c>
      <x:c r="B10" s="25" t="s">
        <x:v>374</x:v>
      </x:c>
      <x:c r="C10" s="25" t="s">
        <x:v>403</x:v>
      </x:c>
      <x:c r="D10" s="25" t="s">
        <x:v>404</x:v>
      </x:c>
      <x:c r="E10" s="25" t="s">
        <x:v>405</x:v>
      </x:c>
      <x:c r="F10" s="26" t="s">
        <x:v>406</x:v>
      </x:c>
    </x:row>
    <x:row r="11" ht="28">
      <x:c r="A11" s="24" t="s">
        <x:v>407</x:v>
      </x:c>
      <x:c r="B11" s="25" t="s">
        <x:v>408</x:v>
      </x:c>
      <x:c r="C11" s="25" t="s">
        <x:v>409</x:v>
      </x:c>
      <x:c r="D11" s="25" t="s">
        <x:v>410</x:v>
      </x:c>
      <x:c r="E11" s="25" t="s">
        <x:v>411</x:v>
      </x:c>
      <x:c r="F11" s="26" t="s">
        <x:v>412</x:v>
      </x:c>
    </x:row>
    <x:row r="12" ht="28">
      <x:c r="A12" s="24" t="s">
        <x:v>201</x:v>
      </x:c>
      <x:c r="B12" s="25" t="s">
        <x:v>408</x:v>
      </x:c>
      <x:c r="C12" s="25" t="s">
        <x:v>413</x:v>
      </x:c>
      <x:c r="D12" s="25" t="s">
        <x:v>414</x:v>
      </x:c>
      <x:c r="E12" s="25" t="s">
        <x:v>415</x:v>
      </x:c>
      <x:c r="F12" s="26" t="s">
        <x:v>416</x:v>
      </x:c>
    </x:row>
    <x:row r="13" ht="42">
      <x:c r="A13" s="24" t="s">
        <x:v>417</x:v>
      </x:c>
      <x:c r="B13" s="25" t="s">
        <x:v>408</x:v>
      </x:c>
      <x:c r="C13" s="25" t="s">
        <x:v>418</x:v>
      </x:c>
      <x:c r="D13" s="25" t="s">
        <x:v>419</x:v>
      </x:c>
      <x:c r="E13" s="25" t="s">
        <x:v>420</x:v>
      </x:c>
      <x:c r="F13" s="26" t="s">
        <x:v>421</x:v>
      </x:c>
    </x:row>
    <x:row r="14" ht="28">
      <x:c r="A14" s="24" t="s">
        <x:v>422</x:v>
      </x:c>
      <x:c r="B14" s="25" t="s">
        <x:v>408</x:v>
      </x:c>
      <x:c r="C14" s="25" t="s">
        <x:v>423</x:v>
      </x:c>
      <x:c r="D14" s="25" t="s">
        <x:v>424</x:v>
      </x:c>
      <x:c r="E14" s="25" t="s">
        <x:v>425</x:v>
      </x:c>
      <x:c r="F14" s="26" t="s">
        <x:v>426</x:v>
      </x:c>
    </x:row>
    <x:row r="15" ht="42">
      <x:c r="A15" s="24" t="s">
        <x:v>317</x:v>
      </x:c>
      <x:c r="B15" s="25" t="s">
        <x:v>427</x:v>
      </x:c>
      <x:c r="C15" s="25" t="s">
        <x:v>428</x:v>
      </x:c>
      <x:c r="D15" s="25" t="s">
        <x:v>429</x:v>
      </x:c>
      <x:c r="E15" s="25" t="s">
        <x:v>430</x:v>
      </x:c>
      <x:c r="F15" s="26" t="s">
        <x:v>431</x:v>
      </x:c>
    </x:row>
    <x:row r="16" ht="28">
      <x:c r="A16" s="24" t="s">
        <x:v>432</x:v>
      </x:c>
      <x:c r="B16" s="25" t="s">
        <x:v>427</x:v>
      </x:c>
      <x:c r="C16" s="25" t="s">
        <x:v>433</x:v>
      </x:c>
      <x:c r="D16" s="25" t="s">
        <x:v>434</x:v>
      </x:c>
      <x:c r="E16" s="25" t="s">
        <x:v>435</x:v>
      </x:c>
      <x:c r="F16" s="26" t="s">
        <x:v>436</x:v>
      </x:c>
    </x:row>
    <x:row r="17" ht="28">
      <x:c r="A17" s="24" t="s">
        <x:v>53</x:v>
      </x:c>
      <x:c r="B17" s="25" t="s">
        <x:v>427</x:v>
      </x:c>
      <x:c r="C17" s="25" t="s">
        <x:v>437</x:v>
      </x:c>
      <x:c r="D17" s="25" t="s">
        <x:v>438</x:v>
      </x:c>
      <x:c r="E17" s="25" t="s">
        <x:v>439</x:v>
      </x:c>
      <x:c r="F17" s="26" t="s">
        <x:v>440</x:v>
      </x:c>
    </x:row>
    <x:row r="18" ht="42">
      <x:c r="A18" s="24" t="s">
        <x:v>248</x:v>
      </x:c>
      <x:c r="B18" s="25" t="s">
        <x:v>441</x:v>
      </x:c>
      <x:c r="C18" s="25" t="s">
        <x:v>442</x:v>
      </x:c>
      <x:c r="D18" s="25" t="s">
        <x:v>443</x:v>
      </x:c>
      <x:c r="E18" s="25" t="s">
        <x:v>444</x:v>
      </x:c>
      <x:c r="F18" s="26" t="s">
        <x:v>445</x:v>
      </x:c>
    </x:row>
    <x:row r="19" ht="28">
      <x:c r="A19" s="24" t="s">
        <x:v>446</x:v>
      </x:c>
      <x:c r="B19" s="25" t="s">
        <x:v>441</x:v>
      </x:c>
      <x:c r="C19" s="25" t="s">
        <x:v>447</x:v>
      </x:c>
      <x:c r="D19" s="25" t="s">
        <x:v>448</x:v>
      </x:c>
      <x:c r="E19" s="25" t="s">
        <x:v>449</x:v>
      </x:c>
      <x:c r="F19" s="26" t="s">
        <x:v>450</x:v>
      </x:c>
    </x:row>
    <x:row r="20" ht="28">
      <x:c r="A20" s="24" t="s">
        <x:v>261</x:v>
      </x:c>
      <x:c r="B20" s="25" t="s">
        <x:v>441</x:v>
      </x:c>
      <x:c r="C20" s="25" t="s">
        <x:v>451</x:v>
      </x:c>
      <x:c r="D20" s="25" t="s">
        <x:v>452</x:v>
      </x:c>
      <x:c r="E20" s="25" t="s">
        <x:v>453</x:v>
      </x:c>
      <x:c r="F20" s="26" t="s">
        <x:v>454</x:v>
      </x:c>
    </x:row>
    <x:row r="21" ht="28">
      <x:c r="A21" s="24" t="s">
        <x:v>162</x:v>
      </x:c>
      <x:c r="B21" s="25" t="s">
        <x:v>441</x:v>
      </x:c>
      <x:c r="C21" s="25" t="s">
        <x:v>455</x:v>
      </x:c>
      <x:c r="D21" s="25" t="s">
        <x:v>456</x:v>
      </x:c>
      <x:c r="E21" s="25" t="s">
        <x:v>457</x:v>
      </x:c>
      <x:c r="F21" s="26" t="s">
        <x:v>458</x:v>
      </x:c>
    </x:row>
    <x:row r="22">
      <x:c r="A22" s="24" t="s">
        <x:v>459</x:v>
      </x:c>
      <x:c r="B22" s="25" t="s">
        <x:v>460</x:v>
      </x:c>
      <x:c r="C22" s="25" t="s">
        <x:v>461</x:v>
      </x:c>
      <x:c r="D22" s="25" t="s">
        <x:v>462</x:v>
      </x:c>
      <x:c r="E22" s="25"/>
      <x:c r="F22" s="26"/>
    </x:row>
    <x:row r="23">
      <x:c r="A23" s="24" t="s">
        <x:v>463</x:v>
      </x:c>
      <x:c r="B23" s="25" t="s">
        <x:v>460</x:v>
      </x:c>
      <x:c r="C23" s="25" t="s">
        <x:v>464</x:v>
      </x:c>
      <x:c r="D23" s="25" t="s">
        <x:v>465</x:v>
      </x:c>
      <x:c r="E23" s="25"/>
      <x:c r="F23" s="26"/>
    </x:row>
    <x:row r="24" ht="28">
      <x:c r="A24" s="24" t="s">
        <x:v>466</x:v>
      </x:c>
      <x:c r="B24" s="25" t="s">
        <x:v>460</x:v>
      </x:c>
      <x:c r="C24" s="25" t="s">
        <x:v>467</x:v>
      </x:c>
      <x:c r="D24" s="25" t="s">
        <x:v>468</x:v>
      </x:c>
      <x:c r="E24" s="25"/>
      <x:c r="F24" s="26"/>
    </x:row>
    <x:row r="25" ht="28">
      <x:c r="A25" s="24" t="s">
        <x:v>469</x:v>
      </x:c>
      <x:c r="B25" s="25" t="s">
        <x:v>460</x:v>
      </x:c>
      <x:c r="C25" s="25" t="s">
        <x:v>470</x:v>
      </x:c>
      <x:c r="D25" s="25" t="s">
        <x:v>471</x:v>
      </x:c>
      <x:c r="E25" s="25"/>
      <x:c r="F25" s="26"/>
    </x:row>
    <x:row r="26" ht="42">
      <x:c r="A26" s="24" t="s">
        <x:v>472</x:v>
      </x:c>
      <x:c r="B26" s="25" t="s">
        <x:v>460</x:v>
      </x:c>
      <x:c r="C26" s="25" t="s">
        <x:v>473</x:v>
      </x:c>
      <x:c r="D26" s="25" t="s">
        <x:v>474</x:v>
      </x:c>
      <x:c r="E26" s="25" t="s">
        <x:v>475</x:v>
      </x:c>
      <x:c r="F26" s="26" t="s">
        <x:v>476</x:v>
      </x:c>
    </x:row>
    <x:row r="27" ht="28">
      <x:c r="A27" s="24" t="s">
        <x:v>477</x:v>
      </x:c>
      <x:c r="B27" s="25" t="s">
        <x:v>478</x:v>
      </x:c>
      <x:c r="C27" s="25" t="s">
        <x:v>479</x:v>
      </x:c>
      <x:c r="D27" s="25" t="s">
        <x:v>480</x:v>
      </x:c>
      <x:c r="E27" s="25" t="s">
        <x:v>481</x:v>
      </x:c>
      <x:c r="F27" s="26" t="s">
        <x:v>482</x:v>
      </x:c>
    </x:row>
    <x:row r="28">
      <x:c r="A28" s="24" t="s">
        <x:v>156</x:v>
      </x:c>
      <x:c r="B28" s="25" t="s">
        <x:v>483</x:v>
      </x:c>
      <x:c r="C28" s="25" t="s">
        <x:v>484</x:v>
      </x:c>
      <x:c r="D28" s="25" t="s">
        <x:v>485</x:v>
      </x:c>
      <x:c r="E28" s="25"/>
      <x:c r="F28" s="26"/>
    </x:row>
    <x:row r="29">
      <x:c r="A29" s="24" t="s">
        <x:v>486</x:v>
      </x:c>
      <x:c r="B29" s="25" t="s">
        <x:v>487</x:v>
      </x:c>
      <x:c r="C29" s="25" t="s">
        <x:v>488</x:v>
      </x:c>
      <x:c r="D29" s="25" t="s">
        <x:v>489</x:v>
      </x:c>
      <x:c r="E29" s="25"/>
      <x:c r="F29" s="26"/>
    </x:row>
    <x:row r="30" ht="28">
      <x:c r="A30" s="24" t="s">
        <x:v>490</x:v>
      </x:c>
      <x:c r="B30" s="25" t="s">
        <x:v>491</x:v>
      </x:c>
      <x:c r="C30" s="25" t="s">
        <x:v>492</x:v>
      </x:c>
      <x:c r="D30" s="25" t="s">
        <x:v>493</x:v>
      </x:c>
      <x:c r="E30" s="25"/>
      <x:c r="F30" s="26"/>
    </x:row>
    <x:row r="31" ht="28">
      <x:c r="A31" s="24" t="s">
        <x:v>101</x:v>
      </x:c>
      <x:c r="B31" s="25" t="s">
        <x:v>494</x:v>
      </x:c>
      <x:c r="C31" s="25" t="s">
        <x:v>495</x:v>
      </x:c>
      <x:c r="D31" s="25" t="s">
        <x:v>496</x:v>
      </x:c>
      <x:c r="E31" s="25"/>
      <x:c r="F31" s="26"/>
    </x:row>
    <x:row r="32" ht="28">
      <x:c r="A32" s="24" t="s">
        <x:v>64</x:v>
      </x:c>
      <x:c r="B32" s="25" t="s">
        <x:v>494</x:v>
      </x:c>
      <x:c r="C32" s="25" t="s">
        <x:v>497</x:v>
      </x:c>
      <x:c r="D32" s="25" t="s">
        <x:v>498</x:v>
      </x:c>
      <x:c r="E32" s="25"/>
      <x:c r="F32" s="26"/>
    </x:row>
    <x:row r="33" ht="28">
      <x:c r="A33" s="24" t="s">
        <x:v>140</x:v>
      </x:c>
      <x:c r="B33" s="25" t="s">
        <x:v>499</x:v>
      </x:c>
      <x:c r="C33" s="25" t="s">
        <x:v>500</x:v>
      </x:c>
      <x:c r="D33" s="25" t="s">
        <x:v>501</x:v>
      </x:c>
      <x:c r="E33" s="25"/>
      <x:c r="F33" s="26"/>
    </x:row>
    <x:row r="34" ht="28">
      <x:c r="A34" s="24" t="s">
        <x:v>205</x:v>
      </x:c>
      <x:c r="B34" s="25" t="s">
        <x:v>502</x:v>
      </x:c>
      <x:c r="C34" s="25" t="s">
        <x:v>503</x:v>
      </x:c>
      <x:c r="D34" s="25" t="s">
        <x:v>504</x:v>
      </x:c>
      <x:c r="E34" s="25"/>
      <x:c r="F34" s="26"/>
    </x:row>
    <x:row r="35">
      <x:c r="A35" s="24" t="s">
        <x:v>505</x:v>
      </x:c>
      <x:c r="B35" s="25" t="s">
        <x:v>506</x:v>
      </x:c>
      <x:c r="C35" s="25" t="s">
        <x:v>507</x:v>
      </x:c>
      <x:c r="D35" s="25" t="s">
        <x:v>508</x:v>
      </x:c>
      <x:c r="E35" s="25"/>
      <x:c r="F35" s="26"/>
      <x:c r="G35" s="34" t="s">
        <x:v>509</x:v>
      </x:c>
    </x:row>
    <x:row r="36">
      <x:c r="A36" s="24" t="s">
        <x:v>510</x:v>
      </x:c>
      <x:c r="B36" s="25" t="s">
        <x:v>511</x:v>
      </x:c>
      <x:c r="C36" s="25" t="s">
        <x:v>512</x:v>
      </x:c>
      <x:c r="D36" s="25" t="s">
        <x:v>513</x:v>
      </x:c>
      <x:c r="E36" s="25"/>
      <x:c r="F36" s="26"/>
    </x:row>
    <x:row r="37" ht="28">
      <x:c r="A37" s="24" t="s">
        <x:v>88</x:v>
      </x:c>
      <x:c r="B37" s="25" t="s">
        <x:v>514</x:v>
      </x:c>
      <x:c r="C37" s="25" t="s">
        <x:v>515</x:v>
      </x:c>
      <x:c r="D37" s="25" t="s">
        <x:v>516</x:v>
      </x:c>
      <x:c r="E37" s="25"/>
      <x:c r="F37" s="26"/>
      <x:c r="G37" s="34" t="s">
        <x:v>517</x:v>
      </x:c>
    </x:row>
    <x:row r="38" ht="28">
      <x:c r="A38" s="27" t="s">
        <x:v>518</x:v>
      </x:c>
      <x:c r="B38" s="28" t="s">
        <x:v>519</x:v>
      </x:c>
      <x:c r="C38" s="28" t="s">
        <x:v>520</x:v>
      </x:c>
      <x:c r="D38" s="28" t="s">
        <x:v>521</x:v>
      </x:c>
      <x:c r="E38" s="28"/>
      <x:c r="F38" s="29"/>
    </x:row>
  </x:sheetData>
  <x:mergeCells>
    <x:mergeCell ref="A1:F1"/>
  </x:mergeCells>
  <x:pageMargins left="0.7" right="0.7" top="0.75" bottom="0.75" header="0.3" footer="0.3"/>
  <x:tableParts count="1">
    <x:tablePart xmlns:r="http://schemas.openxmlformats.org/officeDocument/2006/relationships" r:id="R3c8c0ac90bc64a00"/>
  </x:tableParts>
</x:worksheet>
</file>

<file path=xl/worksheets/sheet5.xml><?xml version="1.0" encoding="utf-8"?>
<x:worksheet xmlns:x="http://schemas.openxmlformats.org/spreadsheetml/2006/main">
  <x:sheetViews>
    <x:sheetView showGridLines="0" workbookViewId="0"/>
  </x:sheetViews>
  <x:sheetFormatPr defaultRowHeight="14"/>
  <x:cols>
    <x:col min="1" max="1" width="26" customWidth="1"/>
    <x:col min="2" max="2" width="16" customWidth="1"/>
  </x:cols>
  <x:sheetData>
    <x:row r="1" ht="28" customHeight="1">
      <x:c r="A1" s="35" t="s">
        <x:v>522</x:v>
      </x:c>
      <x:c r="B1" s="35"/>
      <x:c r="C1" s="35"/>
      <x:c r="D1" s="35"/>
    </x:row>
    <x:row r="3">
      <x:c r="A3" s="21" t="s">
        <x:v>523</x:v>
      </x:c>
      <x:c r="B3" s="23" t="s">
        <x:v>524</x:v>
      </x:c>
    </x:row>
    <x:row r="4">
      <x:c r="A4" s="30" t="s">
        <x:v>525</x:v>
      </x:c>
      <x:c r="B4" s="32" t="n">
        <x:f>COUNTA(Review!$A$5:$A$73)</x:f>
        <x:v>69</x:v>
      </x:c>
    </x:row>
    <x:row r="5">
      <x:c r="A5" s="30" t="s">
        <x:v>526</x:v>
      </x:c>
      <x:c r="B5" s="32" t="n">
        <x:f>COUNTIF(Review!$M$5:$M$73,"COMPLETE")</x:f>
        <x:v>69</x:v>
      </x:c>
    </x:row>
    <x:row r="6">
      <x:c r="A6" s="30" t="s">
        <x:v>527</x:v>
      </x:c>
      <x:c r="B6" s="32" t="n">
        <x:f>B4-B5</x:f>
        <x:v>0</x:v>
      </x:c>
    </x:row>
    <x:row r="7">
      <x:c r="A7" s="30" t="s">
        <x:v>528</x:v>
      </x:c>
      <x:c r="B7" s="32" t="n">
        <x:f>COUNTIF(Review!$H$5:$H$73,"keep")</x:f>
        <x:v>26</x:v>
      </x:c>
    </x:row>
    <x:row r="8">
      <x:c r="A8" s="30" t="s">
        <x:v>9</x:v>
      </x:c>
      <x:c r="B8" s="32" t="n">
        <x:f>COUNTIF(Review!$H$5:$H$73,"exclude")</x:f>
        <x:v>35</x:v>
      </x:c>
    </x:row>
    <x:row r="9">
      <x:c r="A9" s="30" t="s">
        <x:v>529</x:v>
      </x:c>
      <x:c r="B9" s="32" t="n">
        <x:f>COUNTIF(Review!$H$5:$H$73,"needs_context")</x:f>
        <x:v>8</x:v>
      </x:c>
    </x:row>
    <x:row r="10">
      <x:c r="A10" s="30" t="s">
        <x:v>530</x:v>
      </x:c>
      <x:c r="B10" s="32" t="n">
        <x:f>COUNTIF(Review!$M$5:$M$73,"CODE REQUIRED")</x:f>
        <x:v>0</x:v>
      </x:c>
    </x:row>
    <x:row r="11">
      <x:c r="A11" s="31" t="s">
        <x:v>531</x:v>
      </x:c>
      <x:c r="B11" s="33" t="n">
        <x:f>COUNTIF(Review!$M$5:$M$73,"REASON REQUIRED")</x:f>
        <x:v>0</x:v>
      </x:c>
    </x:row>
  </x:sheetData>
  <x:mergeCells>
    <x:mergeCell ref="A1:D1"/>
  </x:mergeCells>
  <x:conditionalFormatting sqref="B5:B5">
    <x:cfRule type="cellIs" dxfId="1" priority="1" operator="equal">
      <x:formula>69</x:formula>
    </x:cfRule>
  </x:conditionalFormatting>
  <x:conditionalFormatting sqref="B6:B6">
    <x:cfRule type="cellIs" dxfId="0" priority="2" operator="greaterThan">
      <x:formula>0</x:formula>
    </x:cfRule>
  </x:conditionalFormatting>
  <x:pageMargins left="0.7" right="0.7" top="0.75" bottom="0.75" header="0.3" footer="0.3"/>
</x:worksheet>
</file>