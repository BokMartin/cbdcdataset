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5ddd8bc5b944700" /></Relationships>
</file>

<file path=xl/workbook.xml><?xml version="1.0" encoding="utf-8"?>
<x:workbook xmlns:x="http://schemas.openxmlformats.org/spreadsheetml/2006/main">
  <x:sheets>
    <x:sheet xmlns:r="http://schemas.openxmlformats.org/officeDocument/2006/relationships" name="Instructions" sheetId="1" r:id="Ref8b4ed902e34ca2"/>
    <x:sheet xmlns:r="http://schemas.openxmlformats.org/officeDocument/2006/relationships" name="Candidate Review" sheetId="2" r:id="R92742f23337f417e"/>
    <x:sheet xmlns:r="http://schemas.openxmlformats.org/officeDocument/2006/relationships" name="Dual Empty Audit" sheetId="3" r:id="R72f951c1d5484a17"/>
    <x:sheet xmlns:r="http://schemas.openxmlformats.org/officeDocument/2006/relationships" name="Empty Supplements" sheetId="4" r:id="Rc1d5d3ddf6eb4da7"/>
    <x:sheet xmlns:r="http://schemas.openxmlformats.org/officeDocument/2006/relationships" name="Contexts" sheetId="5" r:id="R46c3bfd8b1f847f7"/>
    <x:sheet xmlns:r="http://schemas.openxmlformats.org/officeDocument/2006/relationships" name="Codebook" sheetId="6" r:id="Ra3ed1f0ab15941bd"/>
    <x:sheet xmlns:r="http://schemas.openxmlformats.org/officeDocument/2006/relationships" name="QC Summary" sheetId="7" r:id="R02425e1a3b894d05"/>
    <x:sheet xmlns:r="http://schemas.openxmlformats.org/officeDocument/2006/relationships" name="Lists" sheetId="8" r:id="R84ca70bfd3664942"/>
    <x:sheet xmlns:r="http://schemas.openxmlformats.org/officeDocument/2006/relationships" name="Metadata" sheetId="9" r:id="R4ade31d5a5004396"/>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8">
    <x:font>
      <x:sz val="11"/>
      <x:name val="Carlito"/>
    </x:font>
    <x:font>
      <x:b/>
      <x:sz val="16"/>
      <x:color rgb="FFFFFFFF"/>
      <x:name val="Carlito"/>
    </x:font>
    <x:font>
      <x:i/>
      <x:sz val="11"/>
      <x:color rgb="FF1F2937"/>
      <x:name val="Carlito"/>
    </x:font>
    <x:font>
      <x:b/>
      <x:sz val="11"/>
      <x:color rgb="FFFFFFFF"/>
      <x:name val="Carlito"/>
    </x:font>
    <x:font>
      <x:b/>
      <x:sz val="11"/>
      <x:color rgb="FF1F2937"/>
      <x:name val="Carlito"/>
    </x:font>
    <x:font>
      <x:b/>
      <x:sz val="11"/>
      <x:name val="Carlito"/>
    </x:font>
    <x:font>
      <x:b/>
      <x:sz val="11"/>
      <x:color rgb="FF17365D"/>
      <x:name val="Carlito"/>
    </x:font>
    <x:font>
      <x:sz val="11"/>
      <x:color rgb="FF1F2937"/>
      <x:name val="Carlito"/>
    </x:font>
  </x:fonts>
  <x:fills count="9">
    <x:fill>
      <x:patternFill patternType="none"/>
    </x:fill>
    <x:fill>
      <x:patternFill patternType="gray125"/>
    </x:fill>
    <x:fill>
      <x:patternFill patternType="solid">
        <x:fgColor rgb="FF17365D"/>
      </x:patternFill>
    </x:fill>
    <x:fill>
      <x:patternFill patternType="solid">
        <x:fgColor rgb="FFDDEBF7"/>
      </x:patternFill>
    </x:fill>
    <x:fill>
      <x:patternFill patternType="solid">
        <x:fgColor rgb="FF0F6B78"/>
      </x:patternFill>
    </x:fill>
    <x:fill>
      <x:patternFill patternType="solid">
        <x:fgColor rgb="FFFFF2CC"/>
      </x:patternFill>
    </x:fill>
    <x:fill>
      <x:patternFill patternType="solid">
        <x:fgColor rgb="FFEAF3F8"/>
      </x:patternFill>
    </x:fill>
    <x:fill>
      <x:patternFill patternType="solid">
        <x:fgColor rgb="FFFFFFFF"/>
      </x:patternFill>
    </x:fill>
    <x:fill>
      <x:patternFill patternType="solid">
        <x:fgColor rgb="FFF2F2F2"/>
      </x:patternFill>
    </x:fill>
  </x:fills>
  <x:borders count="2">
    <x:border/>
    <x:border>
      <x:left style="thin">
        <x:color rgb="FFCBD5E1"/>
      </x:left>
      <x:right style="thin">
        <x:color rgb="FFCBD5E1"/>
      </x:right>
      <x:top style="thin">
        <x:color rgb="FFCBD5E1"/>
      </x:top>
      <x:bottom style="thin">
        <x:color rgb="FFCBD5E1"/>
      </x:bottom>
    </x:border>
  </x:borders>
  <x:cellStyleXfs count="1">
    <x:xf numFmtId="0" fontId="0" fillId="0" borderId="0"/>
  </x:cellStyleXfs>
  <x:cellXfs count="6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horizontal="center"/>
    </x:xf>
    <x:xf numFmtId="0" fontId="0" fillId="6" borderId="0" xfId="0" applyNumberFormat="1" applyFont="1" applyFill="1" applyBorder="1"/>
    <x:xf numFmtId="0" fontId="5" fillId="6" borderId="0"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center"/>
    </x:xf>
    <x:xf numFmtId="0" fontId="6" fillId="3" borderId="0" xfId="0" applyNumberFormat="1" applyFont="1" applyFill="1" applyBorder="1"/>
    <x:xf numFmtId="0" fontId="6" fillId="3" borderId="1" xfId="0" applyNumberFormat="1" applyFont="1" applyFill="1" applyBorder="1"/>
    <x:xf numFmtId="0" fontId="6" fillId="3" borderId="1" xfId="0" applyNumberFormat="1" applyFont="1" applyFill="1" applyBorder="1" applyAlignment="1">
      <x:alignment wrapText="1"/>
    </x:xf>
    <x:xf numFmtId="0" fontId="6" fillId="3" borderId="1" xfId="0" applyNumberFormat="1" applyFont="1" applyFill="1" applyBorder="1" applyAlignment="1">
      <x:alignment vertical="top" wrapText="1"/>
    </x:xf>
    <x:xf numFmtId="0" fontId="0" fillId="7" borderId="0" xfId="0" applyNumberFormat="1" applyFont="1" applyFill="1" applyBorder="1"/>
    <x:xf numFmtId="0" fontId="7" fillId="7" borderId="0" xfId="0" applyNumberFormat="1" applyFont="1" applyFill="1" applyBorder="1"/>
    <x:xf numFmtId="0" fontId="7" fillId="7" borderId="1" xfId="0" applyNumberFormat="1" applyFont="1" applyFill="1" applyBorder="1"/>
    <x:xf numFmtId="0" fontId="7" fillId="7" borderId="1" xfId="0" applyNumberFormat="1" applyFont="1" applyFill="1" applyBorder="1" applyAlignment="1">
      <x:alignment wrapText="1"/>
    </x:xf>
    <x:xf numFmtId="0" fontId="7" fillId="7" borderId="1" xfId="0" applyNumberFormat="1" applyFont="1" applyFill="1" applyBorder="1" applyAlignment="1">
      <x:alignment vertical="top" wrapText="1"/>
    </x:xf>
    <x:xf numFmtId="0" fontId="7" fillId="6" borderId="0" xfId="0" applyNumberFormat="1" applyFont="1" applyFill="1" applyBorder="1"/>
    <x:xf numFmtId="0" fontId="7" fillId="6" borderId="1" xfId="0" applyNumberFormat="1" applyFont="1" applyFill="1" applyBorder="1"/>
    <x:xf numFmtId="0" fontId="7" fillId="6" borderId="1" xfId="0" applyNumberFormat="1" applyFont="1" applyFill="1" applyBorder="1" applyAlignment="1">
      <x:alignment wrapText="1"/>
    </x:xf>
    <x:xf numFmtId="0" fontId="7" fillId="6" borderId="1" xfId="0" applyNumberFormat="1" applyFont="1" applyFill="1" applyBorder="1" applyAlignment="1">
      <x:alignment vertical="top" wrapText="1"/>
    </x:xf>
    <x:xf numFmtId="0" fontId="7" fillId="5" borderId="0" xfId="0" applyNumberFormat="1" applyFont="1" applyFill="1" applyBorder="1"/>
    <x:xf numFmtId="0" fontId="7" fillId="5" borderId="1" xfId="0" applyNumberFormat="1" applyFont="1" applyFill="1" applyBorder="1"/>
    <x:xf numFmtId="0" fontId="7" fillId="5" borderId="1" xfId="0" applyNumberFormat="1" applyFont="1" applyFill="1" applyBorder="1" applyAlignment="1">
      <x:alignment wrapText="1"/>
    </x:xf>
    <x:xf numFmtId="0" fontId="7" fillId="5" borderId="1" xfId="0" applyNumberFormat="1" applyFont="1" applyFill="1" applyBorder="1" applyAlignment="1">
      <x:alignment vertical="top" wrapText="1"/>
    </x:xf>
    <x:xf numFmtId="0" fontId="0" fillId="8" borderId="0" xfId="0" applyNumberFormat="1" applyFont="1" applyFill="1" applyBorder="1"/>
    <x:xf numFmtId="0" fontId="7" fillId="8" borderId="0" xfId="0" applyNumberFormat="1" applyFont="1" applyFill="1" applyBorder="1"/>
    <x:xf numFmtId="0" fontId="7" fillId="8" borderId="1" xfId="0" applyNumberFormat="1" applyFont="1" applyFill="1" applyBorder="1"/>
    <x:xf numFmtId="0" fontId="7" fillId="8" borderId="1" xfId="0" applyNumberFormat="1" applyFont="1" applyFill="1" applyBorder="1" applyAlignment="1">
      <x:alignment wrapText="1"/>
    </x:xf>
    <x:xf numFmtId="0" fontId="7" fillId="8" borderId="1" xfId="0" applyNumberFormat="1" applyFont="1" applyFill="1" applyBorder="1" applyAlignment="1">
      <x:alignment vertical="top" wrapText="1"/>
    </x:xf>
    <x:xf numFmtId="0" fontId="0" fillId="6" borderId="1" xfId="0" applyNumberFormat="1" applyFont="1" applyFill="1" applyBorder="1"/>
    <x:xf numFmtId="0" fontId="0" fillId="6" borderId="1" xfId="0" applyNumberFormat="1" applyFont="1" applyFill="1" applyBorder="1" applyAlignment="1">
      <x:alignment wrapText="1"/>
    </x:xf>
    <x:xf numFmtId="0" fontId="0" fillId="6" borderId="1" xfId="0" applyNumberFormat="1" applyFont="1" applyFill="1" applyBorder="1" applyAlignment="1">
      <x:alignment vertical="top"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0" fontId="0" fillId="8" borderId="1" xfId="0" applyNumberFormat="1" applyFont="1" applyFill="1" applyBorder="1"/>
    <x:xf numFmtId="0" fontId="0" fillId="8" borderId="1" xfId="0" applyNumberFormat="1" applyFont="1" applyFill="1" applyBorder="1" applyAlignment="1">
      <x:alignment wrapText="1"/>
    </x:xf>
    <x:xf numFmtId="0" fontId="0" fillId="8" borderId="1" xfId="0" applyNumberFormat="1" applyFont="1" applyFill="1" applyBorder="1" applyAlignment="1">
      <x:alignment vertical="top" wrapText="1"/>
    </x:xf>
    <x:xf numFmtId="0" fontId="0" fillId="6" borderId="1" xfId="0" applyNumberFormat="1" applyFont="1" applyFill="1" applyBorder="1" applyAlignment="1">
      <x:alignment vertical="top"/>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center" wrapText="1"/>
    </x:xf>
    <x:xf numFmtId="0" fontId="0" fillId="3" borderId="1" xfId="0" applyNumberFormat="1" applyFont="1" applyFill="1" applyBorder="1" applyAlignment="1">
      <x:alignment vertical="center" wrapText="1"/>
    </x:xf>
    <x:xf numFmtId="0" fontId="0" fillId="5" borderId="1" xfId="0" applyNumberFormat="1" applyFont="1" applyFill="1" applyBorder="1" applyAlignment="1">
      <x:alignment vertical="center" wrapText="1"/>
    </x:xf>
    <x:xf numFmtId="0" fontId="0" fillId="8" borderId="1" xfId="0" applyNumberFormat="1" applyFont="1" applyFill="1" applyBorder="1" applyAlignment="1">
      <x:alignment vertical="center" wrapText="1"/>
    </x:xf>
    <x:xf numFmtId="200" fontId="0" fillId="5" borderId="1" xfId="0" applyNumberFormat="1" applyFont="1" applyFill="1" applyBorder="1" applyAlignment="1">
      <x:alignment vertical="center" wrapText="1"/>
    </x:xf>
    <x:xf numFmtId="201" fontId="0" fillId="6" borderId="1" xfId="0" applyNumberFormat="1" applyFont="1" applyFill="1" applyBorder="1" applyAlignment="1">
      <x:alignment vertical="top" wrapText="1"/>
    </x:xf>
  </x:cellXfs>
  <x:cellStyles count="1">
    <x:cellStyle name="Normal" xfId="0"/>
  </x:cellStyles>
  <x:dxfs count="28">
    <x:dxf>
      <x:font>
        <x:b/>
        <x:color rgb="FF2E5E18"/>
      </x:font>
      <x:fill>
        <x:patternFill patternType="solid">
          <x:bgColor rgb="FFE2F0D9"/>
        </x:patternFill>
      </x:fill>
    </x:dxf>
    <x:dxf>
      <x:font>
        <x:color rgb="FF7F6000"/>
      </x:font>
      <x:fill>
        <x:patternFill patternType="solid">
          <x:bgColor rgb="FFFFF2CC"/>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7F6000"/>
      </x:font>
      <x:fill>
        <x:patternFill patternType="solid">
          <x:bgColor rgb="FFFFF2CC"/>
        </x:patternFill>
      </x:fill>
    </x:dxf>
    <x:dxf>
      <x:font>
        <x:b/>
        <x:color rgb="FF2E5E18"/>
      </x:font>
      <x:fill>
        <x:patternFill patternType="solid">
          <x:bgColor rgb="FFE2F0D9"/>
        </x:patternFill>
      </x:fill>
    </x:dxf>
    <x:dxf>
      <x:font>
        <x:color rgb="FF7F6000"/>
      </x:font>
      <x:fill>
        <x:patternFill patternType="solid">
          <x:bgColor rgb="FFFFF2CC"/>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7F6000"/>
      </x:font>
      <x:fill>
        <x:patternFill patternType="solid">
          <x:bgColor rgb="FFFFF2CC"/>
        </x:patternFill>
      </x:fill>
    </x:dxf>
    <x:dxf>
      <x:font>
        <x:b/>
        <x:color rgb="FF2E5E18"/>
      </x:font>
      <x:fill>
        <x:patternFill patternType="solid">
          <x:bgColor rgb="FFE2F0D9"/>
        </x:patternFill>
      </x:fill>
    </x:dxf>
    <x:dxf>
      <x:font>
        <x:color rgb="FF7F6000"/>
      </x:font>
      <x:fill>
        <x:patternFill patternType="solid">
          <x:bgColor rgb="FFFFF2CC"/>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7F6000"/>
      </x:font>
      <x:fill>
        <x:patternFill patternType="solid">
          <x:bgColor rgb="FFFFF2CC"/>
        </x:patternFill>
      </x:fill>
    </x:dxf>
    <x:dxf>
      <x:font>
        <x:b/>
        <x:color rgb="FF2E5E18"/>
      </x:font>
      <x:fill>
        <x:patternFill patternType="solid">
          <x:bgColor rgb="FFE2F0D9"/>
        </x:patternFill>
      </x:fill>
    </x:dxf>
    <x:dxf>
      <x:font>
        <x:b/>
        <x:color rgb="FF9C0006"/>
      </x:font>
      <x:fill>
        <x:patternFill patternType="solid">
          <x:bgColor rgb="FFFCE4D6"/>
        </x:patternFill>
      </x:fill>
    </x:dxf>
    <x:dxf>
      <x:font>
        <x:b/>
        <x:color rgb="FF2E5E18"/>
      </x:font>
      <x:fill>
        <x:patternFill patternType="solid">
          <x:bgColor rgb="FFE2F0D9"/>
        </x:patternFill>
      </x:fill>
    </x:dxf>
    <x:dxf>
      <x:font>
        <x:b/>
        <x:color rgb="FF9C0006"/>
      </x:font>
      <x:fill>
        <x:patternFill patternType="solid">
          <x:bgColor rgb="FFFCE4D6"/>
        </x:patternFill>
      </x:fill>
    </x:dxf>
    <x:dxf>
      <x:font>
        <x:b/>
        <x:color rgb="FF2E5E18"/>
      </x:font>
      <x:fill>
        <x:patternFill patternType="solid">
          <x:bgColor rgb="FFE2F0D9"/>
        </x:patternFill>
      </x:fill>
    </x:dxf>
    <x:dxf>
      <x:font>
        <x:b/>
        <x:color rgb="FF9C0006"/>
      </x:font>
      <x:fill>
        <x:patternFill patternType="solid">
          <x:bgColor rgb="FFFCE4D6"/>
        </x:patternFill>
      </x:fill>
    </x:dxf>
    <x:dxf>
      <x:font>
        <x:b/>
        <x:color rgb="FF2E5E18"/>
      </x:font>
      <x:fill>
        <x:patternFill patternType="solid">
          <x:bgColor rgb="FFE2F0D9"/>
        </x:patternFill>
      </x:fill>
    </x:dxf>
    <x:dxf>
      <x:font>
        <x:b/>
        <x:color rgb="FF9C0006"/>
      </x:font>
      <x:fill>
        <x:patternFill patternType="solid">
          <x:bgColor rgb="FFFCE4D6"/>
        </x:patternFill>
      </x:fill>
    </x:dxf>
    <x:dxf>
      <x:font>
        <x:b/>
        <x:color rgb="FF2E5E18"/>
      </x:font>
      <x:fill>
        <x:patternFill patternType="solid">
          <x:bgColor rgb="FFE2F0D9"/>
        </x:patternFill>
      </x:fill>
    </x:dxf>
    <x:dxf>
      <x:font>
        <x:b/>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ed0b81e93984f8f" /><Relationship Type="http://schemas.openxmlformats.org/officeDocument/2006/relationships/theme" Target="/xl/theme/theme1.xml" Id="R189abb71ad65416d" /><Relationship Type="http://schemas.openxmlformats.org/officeDocument/2006/relationships/sharedStrings" Target="/xl/sharedStrings.xml" Id="R3e1c95fc42194be0" /><Relationship Type="http://schemas.openxmlformats.org/officeDocument/2006/relationships/worksheet" Target="/xl/worksheets/sheet1.xml" Id="Ref8b4ed902e34ca2" /><Relationship Type="http://schemas.openxmlformats.org/officeDocument/2006/relationships/worksheet" Target="/xl/worksheets/sheet2.xml" Id="R92742f23337f417e" /><Relationship Type="http://schemas.openxmlformats.org/officeDocument/2006/relationships/worksheet" Target="/xl/worksheets/sheet3.xml" Id="R72f951c1d5484a17" /><Relationship Type="http://schemas.openxmlformats.org/officeDocument/2006/relationships/worksheet" Target="/xl/worksheets/sheet4.xml" Id="Rc1d5d3ddf6eb4da7" /><Relationship Type="http://schemas.openxmlformats.org/officeDocument/2006/relationships/worksheet" Target="/xl/worksheets/sheet5.xml" Id="R46c3bfd8b1f847f7" /><Relationship Type="http://schemas.openxmlformats.org/officeDocument/2006/relationships/worksheet" Target="/xl/worksheets/sheet6.xml" Id="Ra3ed1f0ab15941bd" /><Relationship Type="http://schemas.openxmlformats.org/officeDocument/2006/relationships/worksheet" Target="/xl/worksheets/sheet7.xml" Id="R02425e1a3b894d05" /><Relationship Type="http://schemas.openxmlformats.org/officeDocument/2006/relationships/worksheet" Target="/xl/worksheets/sheet8.xml" Id="R84ca70bfd3664942" /><Relationship Type="http://schemas.openxmlformats.org/officeDocument/2006/relationships/worksheet" Target="/xl/worksheets/sheet9.xml" Id="R4ade31d5a5004396" /></Relationships>
</file>

<file path=xl/tables/table1.xml><?xml version="1.0" encoding="utf-8"?>
<x:table xmlns:x="http://schemas.openxmlformats.org/spreadsheetml/2006/main" id="1" name="CandidateReviewMartin" displayName="CandidateReviewMartin" ref="A3:AB368" headerRowCount="1" totalsRowCount="0" totalsRowShown="0">
  <x:tableColumns count="28">
    <x:tableColumn id="1" name="candidate_id"/>
    <x:tableColumn id="2" name="candidate_span"/>
    <x:tableColumn id="3" name="candidate_translation"/>
    <x:tableColumn id="4" name="alternate_span"/>
    <x:tableColumn id="5" name="alternate_translation"/>
    <x:tableColumn id="6" name="source_excerpt"/>
    <x:tableColumn id="7" name="context_unit_id"/>
    <x:tableColumn id="8" name="alternate_context_unit_id"/>
    <x:tableColumn id="9" name="doc_id"/>
    <x:tableColumn id="10" name="page"/>
    <x:tableColumn id="11" name="language"/>
    <x:tableColumn id="12" name="project_owner"/>
    <x:tableColumn id="13" name="authority_note"/>
    <x:tableColumn id="14" name="source_mode"/>
    <x:tableColumn id="15" name="render_file"/>
    <x:tableColumn id="16" name="inclusion_decision"/>
    <x:tableColumn id="17" name="final_code1"/>
    <x:tableColumn id="18" name="final_odr"/>
    <x:tableColumn id="19" name="privacy_direction"/>
    <x:tableColumn id="20" name="privacy_relation"/>
    <x:tableColumn id="21" name="strength"/>
    <x:tableColumn id="22" name="exclusion_reason"/>
    <x:tableColumn id="23" name="confidence"/>
    <x:tableColumn id="24" name="final_span_override"/>
    <x:tableColumn id="25" name="quote_en_override"/>
    <x:tableColumn id="26" name="notes"/>
    <x:tableColumn id="27" name="reviewer_initials"/>
    <x:tableColumn id="28" name="qc_status"/>
  </x:tableColumns>
  <x:tableStyleInfo name="TableStyleMedium2" showFirstColumn="0" showLastColumn="0" showRowStripes="1" showColumnStripes="0"/>
</x:table>
</file>

<file path=xl/tables/table2.xml><?xml version="1.0" encoding="utf-8"?>
<x:table xmlns:x="http://schemas.openxmlformats.org/spreadsheetml/2006/main" id="2" name="DualEmptyMartin" displayName="DualEmptyMartin" ref="A3:O39" headerRowCount="1" totalsRowCount="0" totalsRowShown="0">
  <x:tableColumns count="15">
    <x:tableColumn id="1" name="empty_case_id"/>
    <x:tableColumn id="2" name="unit_id"/>
    <x:tableColumn id="3" name="doc_id"/>
    <x:tableColumn id="4" name="page"/>
    <x:tableColumn id="5" name="language"/>
    <x:tableColumn id="6" name="project_owner"/>
    <x:tableColumn id="7" name="authority_note"/>
    <x:tableColumn id="8" name="source_mode"/>
    <x:tableColumn id="9" name="render_file"/>
    <x:tableColumn id="10" name="source_text"/>
    <x:tableColumn id="11" name="missed_claims"/>
    <x:tableColumn id="12" name="confidence"/>
    <x:tableColumn id="13" name="notes"/>
    <x:tableColumn id="14" name="reviewer_initials"/>
    <x:tableColumn id="15" name="qc_status"/>
  </x:tableColumns>
  <x:tableStyleInfo name="TableStyleMedium2" showFirstColumn="0" showLastColumn="0" showRowStripes="1" showColumnStripes="0"/>
</x:table>
</file>

<file path=xl/tables/table3.xml><?xml version="1.0" encoding="utf-8"?>
<x:table xmlns:x="http://schemas.openxmlformats.org/spreadsheetml/2006/main" id="3" name="EmptySupplementsMartin" displayName="EmptySupplementsMartin" ref="A3:M183" headerRowCount="1" totalsRowCount="0" totalsRowShown="0">
  <x:tableColumns count="13">
    <x:tableColumn id="1" name="empty_case_id"/>
    <x:tableColumn id="2" name="unit_id"/>
    <x:tableColumn id="3" name="slot"/>
    <x:tableColumn id="4" name="exact_span"/>
    <x:tableColumn id="5" name="quote_en"/>
    <x:tableColumn id="6" name="final_code1"/>
    <x:tableColumn id="7" name="final_odr"/>
    <x:tableColumn id="8" name="privacy_direction"/>
    <x:tableColumn id="9" name="privacy_relation"/>
    <x:tableColumn id="10" name="strength"/>
    <x:tableColumn id="11" name="notes"/>
    <x:tableColumn id="12" name="reviewer_initials"/>
    <x:tableColumn id="13" name="qc_status"/>
  </x:tableColumns>
  <x:tableStyleInfo name="TableStyleMedium2" showFirstColumn="0" showLastColumn="0" showRowStripes="1" showColumnStripes="0"/>
</x:table>
</file>

<file path=xl/tables/table4.xml><?xml version="1.0" encoding="utf-8"?>
<x:table xmlns:x="http://schemas.openxmlformats.org/spreadsheetml/2006/main" id="4" name="ContextsMartin" displayName="ContextsMartin" ref="A3:G368" headerRowCount="1" totalsRowCount="0" totalsRowShown="0">
  <x:tableColumns count="7">
    <x:tableColumn id="1" name="context_unit_id"/>
    <x:tableColumn id="2" name="doc_id"/>
    <x:tableColumn id="3" name="page"/>
    <x:tableColumn id="4" name="language"/>
    <x:tableColumn id="5" name="source_mode"/>
    <x:tableColumn id="6" name="render_file"/>
    <x:tableColumn id="7" name="source_text"/>
  </x:tableColumns>
  <x:tableStyleInfo name="TableStyleMedium2" showFirstColumn="0" showLastColumn="0" showRowStripes="1" showColumnStripes="0"/>
</x:table>
</file>

<file path=xl/tables/table5.xml><?xml version="1.0" encoding="utf-8"?>
<x:table xmlns:x="http://schemas.openxmlformats.org/spreadsheetml/2006/main" id="5" name="CodebookMartin" displayName="CodebookMartin" ref="A3:F38" headerRowCount="1" totalsRowCount="0" totalsRowShown="0">
  <x:tableColumns count="6">
    <x:tableColumn id="1" name="code"/>
    <x:tableColumn id="2" name="family"/>
    <x:tableColumn id="3" name="label"/>
    <x:tableColumn id="4" name="definition"/>
    <x:tableColumn id="5" name="code_when"/>
    <x:tableColumn id="6" name="dont_code_whe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69c0921c037490c" /></Relationships>
</file>

<file path=xl/worksheets/_rels/sheet3.xml.rels>&#65279;<?xml version="1.0" encoding="utf-8"?><Relationships xmlns="http://schemas.openxmlformats.org/package/2006/relationships"><Relationship Type="http://schemas.openxmlformats.org/officeDocument/2006/relationships/table" Target="/xl/tables/table2.xml" Id="R746cd0eeb86e414a" /></Relationships>
</file>

<file path=xl/worksheets/_rels/sheet4.xml.rels>&#65279;<?xml version="1.0" encoding="utf-8"?><Relationships xmlns="http://schemas.openxmlformats.org/package/2006/relationships"><Relationship Type="http://schemas.openxmlformats.org/officeDocument/2006/relationships/table" Target="/xl/tables/table3.xml" Id="R1bef513f9b1c42c0" /></Relationships>
</file>

<file path=xl/worksheets/_rels/sheet5.xml.rels>&#65279;<?xml version="1.0" encoding="utf-8"?><Relationships xmlns="http://schemas.openxmlformats.org/package/2006/relationships"><Relationship Type="http://schemas.openxmlformats.org/officeDocument/2006/relationships/table" Target="/xl/tables/table4.xml" Id="R84eaeb2e03e54ad4" /></Relationships>
</file>

<file path=xl/worksheets/_rels/sheet6.xml.rels>&#65279;<?xml version="1.0" encoding="utf-8"?><Relationships xmlns="http://schemas.openxmlformats.org/package/2006/relationships"><Relationship Type="http://schemas.openxmlformats.org/officeDocument/2006/relationships/table" Target="/xl/tables/table5.xml" Id="R3e85b0fca68a49e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2" hidden="0" customWidth="1"/>
    <x:col min="3" max="3" width="3" hidden="0" customWidth="1"/>
    <x:col min="4" max="4" width="22" hidden="0" customWidth="1"/>
    <x:col min="5" max="5" width="16" hidden="0" customWidth="1"/>
    <x:col min="6" max="6" width="3" hidden="0" customWidth="1"/>
  </x:cols>
  <x:sheetData>
    <x:row r="1" ht="30" customHeight="1">
      <x:c r="A1" s="3" t="str">
        <x:v>CBDC v10.2e — blind probability validation sample — Martin</x:v>
      </x:c>
      <x:c r="B1" s="3"/>
      <x:c r="C1" s="3"/>
      <x:c r="D1" s="3"/>
      <x:c r="E1" s="3"/>
      <x:c r="F1" s="3"/>
    </x:row>
    <x:row r="2">
      <x:c r="A2" s="7" t="str">
        <x:v>Vyplňuj pouze žlutá pole. Oba hodnotitelé kódují tentýž zmrazený pravděpodobnostní vzorek; identita modelu, jeho kód i výběrová vrstva jsou skryté.</x:v>
      </x:c>
      <x:c r="B2" s="7"/>
      <x:c r="C2" s="7"/>
      <x:c r="D2" s="7"/>
      <x:c r="E2" s="7"/>
      <x:c r="F2" s="7"/>
    </x:row>
    <x:row r="3">
      <x:c r="A3" s="13" t="str">
        <x:v>Reviewer initials</x:v>
      </x:c>
      <x:c r="B3" s="17" t="str"/>
      <x:c r="D3" s="13" t="str">
        <x:v>Candidate rows</x:v>
      </x:c>
      <x:c r="E3" s="21" t="n">
        <x:v>365</x:v>
      </x:c>
    </x:row>
    <x:row r="4">
      <x:c r="D4" s="13" t="str">
        <x:v>Dual-empty rows</x:v>
      </x:c>
      <x:c r="E4" s="21" t="n">
        <x:v>36</x:v>
      </x:c>
    </x:row>
    <x:row r="6" ht="52" customHeight="1">
      <x:c r="A6" s="25" t="str">
        <x:v>1. Candidate Review</x:v>
      </x:c>
      <x:c r="B6" s="30" t="str">
        <x:v>Rozhodni keep / exclude / needs_context. Keep znamená konkrétní, zdrojem podložené rozhodnutí, návrh nebo zjištění dané autority k jejímu CBDC. Obecný kontext, cizí projekty, citovaný výzkum a neadoptované názory vyřaď.</x:v>
      </x:c>
    </x:row>
    <x:row r="7" ht="52" customHeight="1">
      <x:c r="A7" s="25" t="str">
        <x:v>2. Kódování keep</x:v>
      </x:c>
      <x:c r="B7" s="30" t="str">
        <x:v>Vyplň final_code1, final_odr, privacy_direction, privacy_relation, strength a confidence. final_span_override použij jen pokud je zobrazený span příliš široký nebo nepřesný; vlož přesný podřetězec zdroje.</x:v>
      </x:c>
    </x:row>
    <x:row r="8" ht="52" customHeight="1">
      <x:c r="A8" s="25" t="str">
        <x:v>3. Kódování exclude</x:v>
      </x:c>
      <x:c r="B8" s="30" t="str">
        <x:v>Vyplň exclusion_reason a confidence. Pole s kódy mohou zůstat prázdná.</x:v>
      </x:c>
    </x:row>
    <x:row r="9" ht="52" customHeight="1">
      <x:c r="A9" s="25" t="str">
        <x:v>4. needs_context</x:v>
      </x:c>
      <x:c r="B9" s="30" t="str">
        <x:v>Použij jen když nelze rozhodnout ani po otevření plného textu na listu Contexts nebo odpovídajícího obrázku stránky.</x:v>
      </x:c>
    </x:row>
    <x:row r="10" ht="52" customHeight="1">
      <x:c r="A10" s="25" t="str">
        <x:v>5. Dual Empty Audit</x:v>
      </x:c>
      <x:c r="B10" s="30" t="str">
        <x:v>Jde o zvláštní zaslepený vzorek jednotek, kde oba modely nevrátily kandidáta. Odhaduje pouze výskyt přehlédnutých tvrzení mezi dual-empty jednotkami, nikoli recall celé produkce.</x:v>
      </x:c>
    </x:row>
    <x:row r="11" ht="52" customHeight="1">
      <x:c r="A11" s="25" t="str">
        <x:v>6. Empty Supplements</x:v>
      </x:c>
      <x:c r="B11" s="30" t="str">
        <x:v>Pokud v Dual Empty Audit zvolíš yes, přepiš každý chybějící přesný span do samostatného slotu a vyplň jeho finální kódování. Připraveno je pět slotů na jednotku.</x:v>
      </x:c>
    </x:row>
    <x:row r="12" ht="52" customHeight="1">
      <x:c r="A12" s="25" t="str">
        <x:v>7. Jazyk a obrázky</x:v>
      </x:c>
      <x:c r="B12" s="30" t="str">
        <x:v>U cizojazyčného zdroje kóduj jen tehdy, když mu rozumíš nebo máš spolehlivý překlad. render_file je relativní cesta v přiložené složce renders.</x:v>
      </x:c>
    </x:row>
    <x:row r="13" ht="52" customHeight="1">
      <x:c r="A13" s="25" t="str">
        <x:v>8. Dokončení</x:v>
      </x:c>
      <x:c r="B13" s="30" t="str">
        <x:v>QC Summary musí mít Candidate incomplete = 0, Candidate pending = 0, Empty incomplete = 0 a Empty pending = 0. needs_context musí být vyřešeno před konsensem.</x:v>
      </x:c>
    </x:row>
    <x:row r="14" ht="52" customHeight="1">
      <x:c r="A14" s="25" t="str">
        <x:v>9. Neotevírat rezervu</x:v>
      </x:c>
      <x:c r="B14" s="30" t="str">
        <x:v>Nepracuj s held-out reserve materiálem. Tento sešit patří jen k produkční kandidátní unii a předem zmrazenému dual-empty vzorku.</x:v>
      </x:c>
    </x:row>
    <x:row r="15" ht="52" customHeight="1">
      <x:c r="A15" s="25" t="str">
        <x:v>10. Co vzorek měří</x:v>
      </x:c>
      <x:c r="B15" s="30" t="str">
        <x:v>Vzorek slouží k odhadu validity kandidátů a shody kódování. Produkční recall se z něj neodhaduje; v článku zůstává samostatný zmrazený kalibrační odhad.</x:v>
      </x:c>
    </x:row>
    <x:row r="16" ht="52" customHeight="1">
      <x:c r="A16" s="25" t="str">
        <x:v>11. Nezávislost</x:v>
      </x:c>
      <x:c r="B16" s="30" t="str">
        <x:v>S druhým hodnotitelem neporovnávej rozhodnutí, dokud oba neodevzdáte uzamčené kopie. Poté se konsensem řeší jen neshody.</x:v>
      </x:c>
    </x:row>
  </x:sheetData>
  <x:mergeCells>
    <x:mergeCell ref="A1:F1"/>
    <x:mergeCell ref="A2:F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48" hidden="0" customWidth="1"/>
    <x:col min="3" max="3" width="38" hidden="0" customWidth="1"/>
    <x:col min="4" max="4" width="43" hidden="0" customWidth="1"/>
    <x:col min="5" max="5" width="34" hidden="0" customWidth="1"/>
    <x:col min="6" max="6" width="72" hidden="0" customWidth="1"/>
    <x:col min="7" max="7" width="22" hidden="0" customWidth="1"/>
    <x:col min="8" max="8" width="22" hidden="0" customWidth="1"/>
    <x:col min="9" max="9" width="27" hidden="0" customWidth="1"/>
    <x:col min="10" max="10" width="8" hidden="0" customWidth="1"/>
    <x:col min="11" max="11" width="10" hidden="0" customWidth="1"/>
    <x:col min="12" max="12" width="32" hidden="0" customWidth="1"/>
    <x:col min="13" max="13" width="49" hidden="0" customWidth="1"/>
    <x:col min="14" max="14" width="13" hidden="0" customWidth="1"/>
    <x:col min="15" max="15" width="30" hidden="0" customWidth="1"/>
    <x:col min="16" max="16" width="18" hidden="0" customWidth="1"/>
    <x:col min="17" max="17" width="21" hidden="0" customWidth="1"/>
    <x:col min="18" max="18" width="13" hidden="0" customWidth="1"/>
    <x:col min="19" max="19" width="17" hidden="0" customWidth="1"/>
    <x:col min="20" max="20" width="19" hidden="0" customWidth="1"/>
    <x:col min="21" max="21" width="9" hidden="0" customWidth="1"/>
    <x:col min="22" max="22" width="28" hidden="0" customWidth="1"/>
    <x:col min="23" max="23" width="12" hidden="0" customWidth="1"/>
    <x:col min="24" max="24" width="48" hidden="0" customWidth="1"/>
    <x:col min="25" max="25" width="38" hidden="0" customWidth="1"/>
    <x:col min="26" max="26" width="38" hidden="0" customWidth="1"/>
    <x:col min="27" max="27" width="16" hidden="0" customWidth="1"/>
    <x:col min="28" max="28" width="21" hidden="0" customWidth="1"/>
  </x:cols>
  <x:sheetData>
    <x:row r="1" ht="30" customHeight="1">
      <x:c r="A1" s="3" t="str">
        <x:v>Candidate Validation Sample — Martin</x:v>
      </x:c>
      <x:c r="B1" s="3"/>
      <x:c r="C1" s="3"/>
      <x:c r="D1" s="3"/>
      <x:c r="E1" s="3"/>
      <x:c r="F1" s="3"/>
      <x:c r="G1" s="3"/>
      <x:c r="H1" s="3"/>
      <x:c r="I1" s="3"/>
      <x:c r="J1" s="3"/>
      <x:c r="K1" s="3"/>
      <x:c r="L1" s="3"/>
      <x:c r="M1" s="3"/>
      <x:c r="N1" s="3"/>
      <x:c r="O1" s="3"/>
      <x:c r="P1" s="3"/>
      <x:c r="Q1" s="3"/>
      <x:c r="R1" s="3"/>
      <x:c r="S1" s="3"/>
      <x:c r="T1" s="3"/>
      <x:c r="U1" s="3"/>
      <x:c r="V1" s="3"/>
      <x:c r="W1" s="3"/>
      <x:c r="X1" s="3"/>
      <x:c r="Y1" s="3"/>
      <x:c r="Z1" s="3"/>
      <x:c r="AA1" s="3"/>
      <x:c r="AB1" s="3"/>
    </x:row>
    <x:row r="2" ht="34" customHeight="1">
      <x:c r="A2" s="7" t="str">
        <x:v>Každý řádek je kandidát z téhož zmrazeného pravděpodobnostního vzorku pro oba hodnotitele. Nejprve rozhodni P; žlutá pole Q–Z vyplň podle rozhodnutí. Zdroj a kontext neměň.</x:v>
      </x:c>
      <x:c r="B2" s="7"/>
      <x:c r="C2" s="7"/>
      <x:c r="D2" s="7"/>
      <x:c r="E2" s="7"/>
      <x:c r="F2" s="7"/>
      <x:c r="G2" s="7"/>
      <x:c r="H2" s="7"/>
      <x:c r="I2" s="7"/>
      <x:c r="J2" s="7"/>
      <x:c r="K2" s="7"/>
      <x:c r="L2" s="7"/>
      <x:c r="M2" s="7"/>
      <x:c r="N2" s="7"/>
      <x:c r="O2" s="7"/>
      <x:c r="P2" s="7"/>
      <x:c r="Q2" s="7"/>
      <x:c r="R2" s="7"/>
      <x:c r="S2" s="7"/>
      <x:c r="T2" s="7"/>
      <x:c r="U2" s="7"/>
      <x:c r="V2" s="7"/>
      <x:c r="W2" s="7"/>
      <x:c r="X2" s="7"/>
      <x:c r="Y2" s="7"/>
      <x:c r="Z2" s="7"/>
      <x:c r="AA2" s="7"/>
      <x:c r="AB2" s="7"/>
    </x:row>
    <x:row r="3" ht="42" customHeight="1">
      <x:c r="A3" s="13" t="str">
        <x:v>candidate_id</x:v>
      </x:c>
      <x:c r="B3" s="13" t="str">
        <x:v>candidate_span</x:v>
      </x:c>
      <x:c r="C3" s="13" t="str">
        <x:v>candidate_translation</x:v>
      </x:c>
      <x:c r="D3" s="13" t="str">
        <x:v>alternate_span</x:v>
      </x:c>
      <x:c r="E3" s="13" t="str">
        <x:v>alternate_translation</x:v>
      </x:c>
      <x:c r="F3" s="13" t="str">
        <x:v>source_excerpt</x:v>
      </x:c>
      <x:c r="G3" s="13" t="str">
        <x:v>context_unit_id</x:v>
      </x:c>
      <x:c r="H3" s="13" t="str">
        <x:v>alternate_context_unit_id</x:v>
      </x:c>
      <x:c r="I3" s="13" t="str">
        <x:v>doc_id</x:v>
      </x:c>
      <x:c r="J3" s="13" t="str">
        <x:v>page</x:v>
      </x:c>
      <x:c r="K3" s="13" t="str">
        <x:v>language</x:v>
      </x:c>
      <x:c r="L3" s="13" t="str">
        <x:v>project_owner</x:v>
      </x:c>
      <x:c r="M3" s="13" t="str">
        <x:v>authority_note</x:v>
      </x:c>
      <x:c r="N3" s="13" t="str">
        <x:v>source_mode</x:v>
      </x:c>
      <x:c r="O3" s="13" t="str">
        <x:v>render_file</x:v>
      </x:c>
      <x:c r="P3" s="13" t="str">
        <x:v>inclusion_decision</x:v>
      </x:c>
      <x:c r="Q3" s="13" t="str">
        <x:v>final_code1</x:v>
      </x:c>
      <x:c r="R3" s="13" t="str">
        <x:v>final_odr</x:v>
      </x:c>
      <x:c r="S3" s="13" t="str">
        <x:v>privacy_direction</x:v>
      </x:c>
      <x:c r="T3" s="13" t="str">
        <x:v>privacy_relation</x:v>
      </x:c>
      <x:c r="U3" s="13" t="str">
        <x:v>strength</x:v>
      </x:c>
      <x:c r="V3" s="13" t="str">
        <x:v>exclusion_reason</x:v>
      </x:c>
      <x:c r="W3" s="13" t="str">
        <x:v>confidence</x:v>
      </x:c>
      <x:c r="X3" s="13" t="str">
        <x:v>final_span_override</x:v>
      </x:c>
      <x:c r="Y3" s="13" t="str">
        <x:v>quote_en_override</x:v>
      </x:c>
      <x:c r="Z3" s="13" t="str">
        <x:v>notes</x:v>
      </x:c>
      <x:c r="AA3" s="13" t="str">
        <x:v>reviewer_initials</x:v>
      </x:c>
      <x:c r="AB3" s="13" t="str">
        <x:v>qc_status</x:v>
      </x:c>
    </x:row>
    <x:row r="4" ht="62" customHeight="1">
      <x:c r="A4" s="34" t="str">
        <x:v>SV-0001</x:v>
      </x:c>
      <x:c r="B4" s="34" t="str">
        <x:v>As the full -scale implementation of e -hryvnia in Ukraine’s 
payment market would require amendments to both current 
laws of Ukraine and NBU regulations, a decision was made 
for the period of the Pilot Project to act under the framework 
regulating the circulation of electronic money in Ukraine as a 
sufficient one for studying technologies and opportunities for 
the NBU to implement similar solutions.</x:v>
      </x:c>
      <x:c r="C4" s="34" t="str"/>
      <x:c r="D4" s="34" t="str"/>
      <x:c r="E4" s="34" t="str"/>
      <x:c r="F4" s="34" t="str">
        <x:v>… d to the Issuer’s 
income accounts. 
Agents se rvicing e -hryvnia transactions may receive 
commission for distribution/repayment of e-hryvnia as a fixed 
amount plus a percentage of the transaction amount without 
using the Platform. 
Since project participants and the NBU had not agreed on e-
hryvnia tariff/commission model in the course of respective 
consultations, zero commission fees  were set for all e -
hryvnia transactions for the period of pilot testing. 
3.6 Legal Grounds for E-Hryvnia Implementation and Pilot Project Methodology 
As the full -scale implementation of e -hryvnia in Ukraine’s 
payment market would require amendments to both current 
laws of Ukraine and NBU regulations, a decision was made 
for the period of the Pilot Project to act under the framework 
regulating the circulation of electronic money in Ukraine as a 
sufficient one for studying technologies and opportunities for 
the NBU to implement similar solutions.  
The Pilot Project was implemented in line with the Laws of 
Ukraine On the National Bank of Ukraine , On Payment 
Systems and Money Transfer in Ukraine, On Banks and 
Banking and the Regulation On Electronic Money in Ukraine 
approved by NBU Board Resolution No.  481 dated 4 
November 2010 (as amended), as well as other laws of 
Ukraine and NBU regulations. 
The NBU’s legal grounds for the Pilot Project on 
implementation of the Platform and e-hryvnia 
Pursuant to Article 7 of the Law of Ukraine On the National 
Bank of Ukraine , the NBU sha …</x:v>
      </x:c>
      <x:c r="G4" s="34" t="str">
        <x:v>PRD-0074-P0024-U01</x:v>
      </x:c>
      <x:c r="H4" s="34" t="str"/>
      <x:c r="I4" s="34" t="str">
        <x:v>UA_NBU_E-hryvnia_2019</x:v>
      </x:c>
      <x:c r="J4" s="34" t="n">
        <x:v>24</x:v>
      </x:c>
      <x:c r="K4" s="34" t="str">
        <x:v>en</x:v>
      </x:c>
      <x:c r="L4" s="34" t="str">
        <x:v>National Bank of Ukraine (e-hryvnia pilot)</x:v>
      </x:c>
      <x:c r="M4" s="34" t="str">
        <x:v>Retain NBU own-pilot findings and resulting decisions/requirements. Prefer a specific substantive code over PROC.pilot_learning.</x:v>
      </x:c>
      <x:c r="N4" s="34" t="str">
        <x:v>text</x:v>
      </x:c>
      <x:c r="O4" s="34" t="str"/>
      <x:c r="P4" s="38" t="str"/>
      <x:c r="Q4" s="38" t="str"/>
      <x:c r="R4" s="38" t="str"/>
      <x:c r="S4" s="38" t="str"/>
      <x:c r="T4" s="38" t="str"/>
      <x:c r="U4" s="38" t="str"/>
      <x:c r="V4" s="38" t="str"/>
      <x:c r="W4" s="38" t="str"/>
      <x:c r="X4" s="38" t="str"/>
      <x:c r="Y4" s="38" t="str"/>
      <x:c r="Z4" s="38" t="str"/>
      <x:c r="AA4" s="43" t="str">
        <x:f>IF('Instructions'!$B$3="","",'Instructions'!$B$3)</x:f>
      </x:c>
      <x:c r="AB4" s="43" t="str">
        <x:f>IF(P4="","PENDING",IF('Instructions'!$B$3="","SET_INITIALS",IF(P4="keep",IF(OR(Q4="",R4="",S4="",T4="",U4="",W4=""),"INCOMPLETE_KEEP","COMPLETE"),IF(P4="exclude",IF(OR(V4="",W4=""),"INCOMPLETE_EXCLUDE","COMPLETE"),"NEEDS_CONTEXT"))))</x:f>
        <x:v>PENDING</x:v>
      </x:c>
    </x:row>
    <x:row r="5" ht="62" customHeight="1">
      <x:c r="A5" s="34" t="str">
        <x:v>SV-0002</x:v>
      </x:c>
      <x:c r="B5" s="34" t="str">
        <x:v>The most important design decision for CBDC would be whether to remunerate, ie pay interest on CBDC balances.</x:v>
      </x:c>
      <x:c r="C5" s="34" t="str"/>
      <x:c r="D5" s="34" t="str"/>
      <x:c r="E5" s="34" t="str"/>
      <x:c r="F5" s="34" t="str">
        <x:v>… tiering and structure 
of that remuneration, and limits on the amount of CBDC that could be held.
While the central bank would have direct control over these economic design choices, it would have to be aware 
that it might have only indirect control of features offered by Payment Interface Providers that could also affect 
the final attractiveness of CBDC. For instance, user‑friendly design, loyalty schemes or other financial products 
being bundled with CBDC could make holding CBDC more attractive to the public.
Design choice 1: Remuneration
The most important design decision for CBDC would be whether to remunerate, ie pay interest on CBDC balances. 
A CBDC could be unremunerated (non‑interest bearing) like banknotes, or remunerated (interest bearing) like 
central bank reserves, bank deposits and many other financial assets. In stable economic conditions, the rate of 
remuneration would be a key determinant of how attractive CBDC would be relative to other forms of money, 
how widely it would be adopted, the extent of any disintermediation it might cause, and how it might impact 
monetary and financial stability.
Unremunerated CBDC
An unremunerated CBDC would essentially be a digital ver …</x:v>
      </x:c>
      <x:c r="G5" s="34" t="str">
        <x:v>PRD-0075-P0039-U01</x:v>
      </x:c>
      <x:c r="H5" s="34" t="str"/>
      <x:c r="I5" s="34" t="str">
        <x:v>UK_BoE_2020_OpportChall</x:v>
      </x:c>
      <x:c r="J5" s="34" t="n">
        <x:v>39</x:v>
      </x:c>
      <x:c r="K5" s="34" t="str">
        <x:v>en</x:v>
      </x:c>
      <x:c r="L5" s="34" t="str">
        <x:v>Bank of England and HM Treasury (digital pound)</x:v>
      </x:c>
      <x:c r="M5" s="34" t="str">
        <x:v>Retain the named authority's own CBDC decisions, explicit proposals, requirements, features, and executed findings. Exclude generic context, literature, foreign projects, and stakeholder views not explicitly adopted by the authority.</x:v>
      </x:c>
      <x:c r="N5" s="34" t="str">
        <x:v>text</x:v>
      </x:c>
      <x:c r="O5" s="34" t="str"/>
      <x:c r="P5" s="38" t="str"/>
      <x:c r="Q5" s="38" t="str"/>
      <x:c r="R5" s="38" t="str"/>
      <x:c r="S5" s="38" t="str"/>
      <x:c r="T5" s="38" t="str"/>
      <x:c r="U5" s="38" t="str"/>
      <x:c r="V5" s="38" t="str"/>
      <x:c r="W5" s="38" t="str"/>
      <x:c r="X5" s="38" t="str"/>
      <x:c r="Y5" s="38" t="str"/>
      <x:c r="Z5" s="38" t="str"/>
      <x:c r="AA5" s="43" t="str">
        <x:f>IF('Instructions'!$B$3="","",'Instructions'!$B$3)</x:f>
      </x:c>
      <x:c r="AB5" s="43" t="str">
        <x:f>IF(P5="","PENDING",IF('Instructions'!$B$3="","SET_INITIALS",IF(P5="keep",IF(OR(Q5="",R5="",S5="",T5="",U5="",W5=""),"INCOMPLETE_KEEP","COMPLETE"),IF(P5="exclude",IF(OR(V5="",W5=""),"INCOMPLETE_EXCLUDE","COMPLETE"),"NEEDS_CONTEXT"))))</x:f>
        <x:v>PENDING</x:v>
      </x:c>
    </x:row>
    <x:row r="6" ht="62" customHeight="1">
      <x:c r="A6" s="34" t="str">
        <x:v>SV-0003</x:v>
      </x:c>
      <x:c r="B6" s="34" t="str">
        <x:v>our 
assessment is that run risk for banks in Hong Kong would be very low given depositors ’ 
confidence in the Deposit Protection Scheme and the HKMA ’s prudential regulations 
and oversight, and e-HKD would not change the picture.</x:v>
      </x:c>
      <x:c r="C6" s="34" t="str"/>
      <x:c r="D6" s="34" t="str"/>
      <x:c r="E6" s="34" t="str"/>
      <x:c r="F6" s="34" t="str">
        <x:v>… a bank run during a financial 
crisis period, especially if the rCBDC is remunerated. As rCBDC is free of credit risk, 
customers seeking safe-haven assets may convert their bank deposits into rCBDC. 
While a similar run risk also exists with physical cash, the introduction of rCBDC may 
increase the risk as (a) it would be easier and faster to obtain than cash or other safe 
assets; and (b) the associated costs (as compared, for example, to the costs of storing 
and securing cash) of holding large sums of rCBDC would be negligible. That said, our 
assessment is that run risk for banks in Hong Kong would be very low given depositors ’ 
confidence in the Deposit Protection Scheme and the HKMA ’s prudential regulations 
and oversight, and e-HKD would not change the picture.
To further mitigate these adverse impacts, safeguards and design choices such as 
maximum account balance, daily conversion and transaction limits of rCBDC could be 
implemented. Such restrictions could be permanent/transitional and vary according to 
individuals/businesses. 11 Designing such safeguards, however, could be a challenging 
task and would require in-depth consideration of various aspects. While imposing 
more stringent rules would certainly help mitigate the abovementioned risks, an overly 
restrictive scheme could discourage pote …</x:v>
      </x:c>
      <x:c r="G6" s="34" t="str">
        <x:v>PRD-0090-P0022-U01</x:v>
      </x:c>
      <x:c r="H6" s="34" t="str"/>
      <x:c r="I6" s="34" t="str">
        <x:v>HK_HKMA_eHKD_PolicyDesign</x:v>
      </x:c>
      <x:c r="J6" s="34" t="n">
        <x:v>22</x:v>
      </x:c>
      <x:c r="K6" s="34" t="str">
        <x:v>en</x:v>
      </x:c>
      <x:c r="L6" s="34" t="str">
        <x:v>Hong Kong Monetary Authority (e-HKD)</x:v>
      </x:c>
      <x:c r="M6" s="34" t="str">
        <x:v>Retain HKMA policy/design positions for e-HKD; exclude generic literature and open questions.</x:v>
      </x:c>
      <x:c r="N6" s="34" t="str">
        <x:v>text</x:v>
      </x:c>
      <x:c r="O6" s="34" t="str"/>
      <x:c r="P6" s="38" t="str"/>
      <x:c r="Q6" s="38" t="str"/>
      <x:c r="R6" s="38" t="str"/>
      <x:c r="S6" s="38" t="str"/>
      <x:c r="T6" s="38" t="str"/>
      <x:c r="U6" s="38" t="str"/>
      <x:c r="V6" s="38" t="str"/>
      <x:c r="W6" s="38" t="str"/>
      <x:c r="X6" s="38" t="str"/>
      <x:c r="Y6" s="38" t="str"/>
      <x:c r="Z6" s="38" t="str"/>
      <x:c r="AA6" s="43" t="str">
        <x:f>IF('Instructions'!$B$3="","",'Instructions'!$B$3)</x:f>
      </x:c>
      <x:c r="AB6" s="43" t="str">
        <x:f>IF(P6="","PENDING",IF('Instructions'!$B$3="","SET_INITIALS",IF(P6="keep",IF(OR(Q6="",R6="",S6="",T6="",U6="",W6=""),"INCOMPLETE_KEEP","COMPLETE"),IF(P6="exclude",IF(OR(V6="",W6=""),"INCOMPLETE_EXCLUDE","COMPLETE"),"NEEDS_CONTEXT"))))</x:f>
        <x:v>PENDING</x:v>
      </x:c>
    </x:row>
    <x:row r="7" ht="62" customHeight="1">
      <x:c r="A7" s="34" t="str">
        <x:v>SV-0004</x:v>
      </x:c>
      <x:c r="B7" s="34" t="str">
        <x:v>A disposable alias, as the name suggests, is used for a short period of time. It is useful where 
a user wants to be able to conduct a transaction in private and not allow the recipient a 
record of their identity.</x:v>
      </x:c>
      <x:c r="C7" s="34" t="str"/>
      <x:c r="D7" s="34" t="str"/>
      <x:c r="E7" s="34" t="str"/>
      <x:c r="F7" s="34" t="str">
        <x:v>… let details so they can be paid again in the future. PIPs, rather than 
the Bank, would be responsible for implementing user-privacy preferences of this sort. 
To meet these requirements, a CBDC might have both a well-known and a disposable 
alias. 
A well-known alias changes rarely and is something the wallet holder is happy to be shared 
with, and stored by, third parties. For example, users may choose to link their mobile phone 
numbers to their wallets so that a messaging service might use their phone numbers to 
facilitate CBDC payments. 
A disposable alias, as the name suggests, is used for a short period of time. It is useful where 
a user wants to be able to conduct a transaction in private and not allow the recipient a 
record of their identity. For example, when buying groceries or coffee, users may elect to use 
a disposable alias. Disposable aliases would constantly change, so they may need to be 
recycled or archived after an appropriate amount of time to reduce the volume of information 
stored in the alias service. As increased volume could slow the performance of the alias 
service, managing the scaling and recycling of aliases would be critical.  
A wallet holder might have both well-known and disposable aliases on their wallet at the 
same time. They should always have at lea …</x:v>
      </x:c>
      <x:c r="G7" s="34" t="str">
        <x:v>PRD-0076-P0056-U01</x:v>
      </x:c>
      <x:c r="H7" s="34" t="str"/>
      <x:c r="I7" s="34" t="str">
        <x:v>UK_BoE_2023_TechWP</x:v>
      </x:c>
      <x:c r="J7" s="34" t="n">
        <x:v>56</x:v>
      </x:c>
      <x:c r="K7" s="34" t="str">
        <x:v>en</x:v>
      </x:c>
      <x:c r="L7" s="34" t="str">
        <x:v>Bank of England and HM Treasury (digital pound)</x:v>
      </x:c>
      <x:c r="M7" s="34" t="str">
        <x:v>Retain the named authority's own CBDC decisions, explicit proposals, requirements, features, and executed findings. Exclude generic context, literature, foreign projects, and stakeholder views not explicitly adopted by the authority.</x:v>
      </x:c>
      <x:c r="N7" s="34" t="str">
        <x:v>text</x:v>
      </x:c>
      <x:c r="O7" s="34" t="str"/>
      <x:c r="P7" s="38" t="str"/>
      <x:c r="Q7" s="38" t="str"/>
      <x:c r="R7" s="38" t="str"/>
      <x:c r="S7" s="38" t="str"/>
      <x:c r="T7" s="38" t="str"/>
      <x:c r="U7" s="38" t="str"/>
      <x:c r="V7" s="38" t="str"/>
      <x:c r="W7" s="38" t="str"/>
      <x:c r="X7" s="38" t="str"/>
      <x:c r="Y7" s="38" t="str"/>
      <x:c r="Z7" s="38" t="str"/>
      <x:c r="AA7" s="43" t="str">
        <x:f>IF('Instructions'!$B$3="","",'Instructions'!$B$3)</x:f>
      </x:c>
      <x:c r="AB7" s="43" t="str">
        <x:f>IF(P7="","PENDING",IF('Instructions'!$B$3="","SET_INITIALS",IF(P7="keep",IF(OR(Q7="",R7="",S7="",T7="",U7="",W7=""),"INCOMPLETE_KEEP","COMPLETE"),IF(P7="exclude",IF(OR(V7="",W7=""),"INCOMPLETE_EXCLUDE","COMPLETE"),"NEEDS_CONTEXT"))))</x:f>
        <x:v>PENDING</x:v>
      </x:c>
    </x:row>
    <x:row r="8" ht="62" customHeight="1">
      <x:c r="A8" s="34" t="str">
        <x:v>SV-0005</x:v>
      </x:c>
      <x:c r="B8" s="34" t="str">
        <x:v>The CBE keeps 
in mind the importance of a resilient CBDC solution, thereby focussing on both 
online and offline solutions.</x:v>
      </x:c>
      <x:c r="C8" s="34" t="str"/>
      <x:c r="D8" s="34" t="str"/>
      <x:c r="E8" s="34" t="str"/>
      <x:c r="F8" s="34" t="str">
        <x:v>… Cases and Accessibility: As outlined in the Initial Digital Lilangeni Design 
Paper, the CBE aimed to test both major use cases, online and offline CBDC 
payments. For a digital currency to be truly inclusive and offer a form factor for 
all demographics of the Eswatini society, it turned out that the offline use case 
was very viable for Eswatini. Swaziland Building Society as the Financial Service 
Provider within the pilot ecosystem even worked on a solution to print out a 
static QR-Code to provide it as a wallet with CBDC “stored” on it.  The CBE keeps 
in mind the importance of a resilient CBDC solution, thereby focussing on both 
online and offline solutions. This should enable every Eswatini citizen to access 
the potential Digital Lilangeni, thus making it a fully financial inclusive means of 
payment. Furthermore, although it was not tested during the pilot projects, the 
CBE still considers the value of the CBDC integration into a USSD based system 
for any further potential CBDC engagement.  
• Non-interest bearing and legal tender: The pilot project tested a non -interest 
bearing Digital Lilangeni which should act as a legal tender in the country. The 
outcome of the pilot projects has not …</x:v>
      </x:c>
      <x:c r="G8" s="34" t="str">
        <x:v>PRD-0069-P0036-U01</x:v>
      </x:c>
      <x:c r="H8" s="34" t="str"/>
      <x:c r="I8" s="34" t="str">
        <x:v>SZ_Eswatini_2024-Fintech-Digital-Lilangeni-Design-Paper</x:v>
      </x:c>
      <x:c r="J8" s="34" t="n">
        <x:v>36</x:v>
      </x:c>
      <x:c r="K8" s="34" t="str">
        <x:v>en</x:v>
      </x:c>
      <x:c r="L8" s="34" t="str">
        <x:v>Central Bank of Eswatini (Digital Lilangeni)</x:v>
      </x:c>
      <x:c r="M8" s="34" t="str">
        <x:v>Retain Central Bank of Eswatini design decisions, proposals, features, and requirements; use the supplied render when text is sparse.</x:v>
      </x:c>
      <x:c r="N8" s="34" t="str">
        <x:v>text</x:v>
      </x:c>
      <x:c r="O8" s="34" t="str"/>
      <x:c r="P8" s="38" t="str"/>
      <x:c r="Q8" s="38" t="str"/>
      <x:c r="R8" s="38" t="str"/>
      <x:c r="S8" s="38" t="str"/>
      <x:c r="T8" s="38" t="str"/>
      <x:c r="U8" s="38" t="str"/>
      <x:c r="V8" s="38" t="str"/>
      <x:c r="W8" s="38" t="str"/>
      <x:c r="X8" s="38" t="str"/>
      <x:c r="Y8" s="38" t="str"/>
      <x:c r="Z8" s="38" t="str"/>
      <x:c r="AA8" s="43" t="str">
        <x:f>IF('Instructions'!$B$3="","",'Instructions'!$B$3)</x:f>
      </x:c>
      <x:c r="AB8" s="43" t="str">
        <x:f>IF(P8="","PENDING",IF('Instructions'!$B$3="","SET_INITIALS",IF(P8="keep",IF(OR(Q8="",R8="",S8="",T8="",U8="",W8=""),"INCOMPLETE_KEEP","COMPLETE"),IF(P8="exclude",IF(OR(V8="",W8=""),"INCOMPLETE_EXCLUDE","COMPLETE"),"NEEDS_CONTEXT"))))</x:f>
        <x:v>PENDING</x:v>
      </x:c>
    </x:row>
    <x:row r="9" ht="62" customHeight="1">
      <x:c r="A9" s="34" t="str">
        <x:v>SV-0006</x:v>
      </x:c>
      <x:c r="B9" s="34" t="str">
        <x:v>These	risks	would	be	tackled	through 	
stronger capital provisioning. Measures 
ranging from minimum capital 
requirements, systemic capital surcharge, 
to the establishment of a more prudent 
liquidity cushion will be taken as an integral 
part of Digital Rupiah design.</x:v>
      </x:c>
      <x:c r="C9" s="34" t="str"/>
      <x:c r="D9" s="34" t="str"/>
      <x:c r="E9" s="34" t="str"/>
      <x:c r="F9" s="34" t="str">
        <x:v>… o 
be complemented by certain parameters 
that have the ability to limit such exposure, 
e.g., capping and tiering.
Risks	could	also	emerge	from 	
interconnectivity	of	Digital	Rupiah	platform.  
Interconnectivity across infrastructures in 
Digital Rupiah platform and between Digital 
Rupiah platform with other traditional 
infrastructures may escalate the risks. 
Moreover, wider scope of participation 
arrangements in Digital Rupiah which 
includes non-banks institutions, will further 
increase operational exposures, as well as 
systemic risk.
These	risks	would	be	tackled	through 	
stronger capital provisioning. Measures 
ranging from minimum capital 
requirements, systemic capital surcharge, 
to the establishment of a more prudent 
liquidity cushion will be taken as an integral 
part of Digital Rupiah design.
Bank Indonesia will also strengthen 
supervisory	technology	(suptech) 	
to mitigate risks emerging from 
interconnection. Supported by real-time 
data, suptech is intended to improve 
surveillance capabilities and pre-emptive/
forward-looking analysis. All of these 
qualities might increase Bank Indonesia 
capabilities in promptly responding to 
vulnerabilities as well as financial shocks 
materialized, including systemic risk. 
Digital	Rupiah,	especially	r-Digital	Rupiah 	
will be equipped with features that can 
support financial inclusion.  …</x:v>
      </x:c>
      <x:c r="G9" s="34" t="str">
        <x:v>PRD-0035-P0047-U01</x:v>
      </x:c>
      <x:c r="H9" s="34" t="str"/>
      <x:c r="I9" s="34" t="str">
        <x:v>ID_Indonesia_2022</x:v>
      </x:c>
      <x:c r="J9" s="34" t="n">
        <x:v>47</x:v>
      </x:c>
      <x:c r="K9" s="34" t="str">
        <x:v>en</x:v>
      </x:c>
      <x:c r="L9" s="34" t="str">
        <x:v>Bank Indonesia (Digital Rupiah)</x:v>
      </x:c>
      <x:c r="M9" s="34" t="str">
        <x:v>Retain Bank Indonesia Digital Rupiah decisions, roadmap commitments, features, and requirements.</x:v>
      </x:c>
      <x:c r="N9" s="34" t="str">
        <x:v>text</x:v>
      </x:c>
      <x:c r="O9" s="34" t="str"/>
      <x:c r="P9" s="38" t="str"/>
      <x:c r="Q9" s="38" t="str"/>
      <x:c r="R9" s="38" t="str"/>
      <x:c r="S9" s="38" t="str"/>
      <x:c r="T9" s="38" t="str"/>
      <x:c r="U9" s="38" t="str"/>
      <x:c r="V9" s="38" t="str"/>
      <x:c r="W9" s="38" t="str"/>
      <x:c r="X9" s="38" t="str"/>
      <x:c r="Y9" s="38" t="str"/>
      <x:c r="Z9" s="38" t="str"/>
      <x:c r="AA9" s="43" t="str">
        <x:f>IF('Instructions'!$B$3="","",'Instructions'!$B$3)</x:f>
      </x:c>
      <x:c r="AB9" s="43" t="str">
        <x:f>IF(P9="","PENDING",IF('Instructions'!$B$3="","SET_INITIALS",IF(P9="keep",IF(OR(Q9="",R9="",S9="",T9="",U9="",W9=""),"INCOMPLETE_KEEP","COMPLETE"),IF(P9="exclude",IF(OR(V9="",W9=""),"INCOMPLETE_EXCLUDE","COMPLETE"),"NEEDS_CONTEXT"))))</x:f>
        <x:v>PENDING</x:v>
      </x:c>
    </x:row>
    <x:row r="10" ht="62" customHeight="1">
      <x:c r="A10" s="34" t="str">
        <x:v>SV-0007</x:v>
      </x:c>
      <x:c r="B10" s="34" t="str">
        <x:v>There will need 
to be a unit within MMA (possibly two or three people) to deal with customer 
complaints and disputes.</x:v>
      </x:c>
      <x:c r="C10" s="34" t="str"/>
      <x:c r="D10" s="34" t="str"/>
      <x:c r="E10" s="34" t="str"/>
      <x:c r="F10" s="34" t="str">
        <x:v>… rency (resulting in an excess of 
currency notes); or risk of consumers dumping Digital Currency if there is a 
differential in interest rates for the CBDC vs commercial bank money, leav ing the 
CBDC illiquid . This would have to  be managed using limits on digit currency 
balances and spending velocity limits.  
(5) Risk of the banking industry seeing the Central Bank as a disintermediation 
threat (although a 2-tier system is likely for retail CBDC in most jurisdictions). 
(6) The liabilities of MMA could increase with the launch of a CBDC. There will need 
to be a unit within MMA (possibly two or three people) to deal with customer 
complaints and disputes. 
(7) The issuance of a CBDC will incr ease the size of the MMA balance sheet as an 
unknown proportion  of customers’ account activity previously conducted in 
commercial bank money will now be conducted in Central Bank money. This will 
need careful consideration and monitoring. 
(8) With the introduction of CBDC , demand for USD may decrease, (less Rufiyaa 
exchanged for USD), and if so, the consequences for foreign exchange rates may 
be negative. 
(9) Security risks: 
a. attacks on individual accounts (possible account take -over or spoofi …</x:v>
      </x:c>
      <x:c r="G10" s="34" t="str">
        <x:v>PRD-0079-P0015-U01</x:v>
      </x:c>
      <x:c r="H10" s="34" t="str"/>
      <x:c r="I10" s="34" t="str">
        <x:v>UN_ESCAP_ESCAP-2022-RP-National-study-central-bank-digital-currency-stablecoin-Maldives</x:v>
      </x:c>
      <x:c r="J10" s="34" t="n">
        <x:v>15</x:v>
      </x:c>
      <x:c r="K10" s="34" t="str">
        <x:v>en</x:v>
      </x:c>
      <x:c r="L10" s="34" t="str">
        <x:v>Maldives Monetary Authority / Maldives CBDC policy study</x:v>
      </x:c>
      <x:c r="M10" s="34" t="str">
        <x:v>UN ESCAP study: retain only concrete recommendations, findings, or positions explicitly tied to the Maldives Monetary Authority or Maldives CBDC project. Exclude literature and foreign examples.</x:v>
      </x:c>
      <x:c r="N10" s="34" t="str">
        <x:v>text</x:v>
      </x:c>
      <x:c r="O10" s="34" t="str"/>
      <x:c r="P10" s="38" t="str"/>
      <x:c r="Q10" s="38" t="str"/>
      <x:c r="R10" s="38" t="str"/>
      <x:c r="S10" s="38" t="str"/>
      <x:c r="T10" s="38" t="str"/>
      <x:c r="U10" s="38" t="str"/>
      <x:c r="V10" s="38" t="str"/>
      <x:c r="W10" s="38" t="str"/>
      <x:c r="X10" s="38" t="str"/>
      <x:c r="Y10" s="38" t="str"/>
      <x:c r="Z10" s="38" t="str"/>
      <x:c r="AA10" s="43" t="str">
        <x:f>IF('Instructions'!$B$3="","",'Instructions'!$B$3)</x:f>
      </x:c>
      <x:c r="AB10" s="43" t="str">
        <x:f>IF(P10="","PENDING",IF('Instructions'!$B$3="","SET_INITIALS",IF(P10="keep",IF(OR(Q10="",R10="",S10="",T10="",U10="",W10=""),"INCOMPLETE_KEEP","COMPLETE"),IF(P10="exclude",IF(OR(V10="",W10=""),"INCOMPLETE_EXCLUDE","COMPLETE"),"NEEDS_CONTEXT"))))</x:f>
        <x:v>PENDING</x:v>
      </x:c>
    </x:row>
    <x:row r="11" ht="62" customHeight="1">
      <x:c r="A11" s="34" t="str">
        <x:v>SV-0008</x:v>
      </x:c>
      <x:c r="B11" s="34" t="str">
        <x:v>After the orchestration system calculates the amount in excess of the holding limit s and 
identifies user attributes, such as corporate or individual, it sends an automatic acceptance 
instruction to convert the subject amount to bank deposits, etc., to the ledger and the 
intermediary mockup.</x:v>
      </x:c>
      <x:c r="C11" s="34" t="str"/>
      <x:c r="D11" s="34" t="str"/>
      <x:c r="E11" s="34" t="str"/>
      <x:c r="F11" s="34" t="str">
        <x:v>… unction was implemented in the experimental 
environment as follows. 
Various limits 
The orchestration system conducts the process while referring to the information  in other 
systems for limit checking (i.e., the CBDC balance managed by the ledger system and the 
transaction record managed by the transaction record management system). After the 
checking process, the same remittance processing as the basic function implemented in 
Phase 1 is performed on the ledger, and the transaction record is updated after the ledger is 
updated. 
Swing 
After the orchestration system calculates the amount in excess of the holding limit s and 
identifies user attributes, such as corporate or individual, it sends an automatic acceptance 
instruction to convert the subject amount to bank deposits, etc., to the ledger and the 
intermediary mockup. 
Interest application 
Interest receipt and payment are exempted from the transaction amount /number limits. 
Therefore, it is set to proceed without checking whether there is a violation of the transaction 
amount/number limits and is implemented using the scheduled remittance mechanism 
described below.7  
Scheduled remittance 
The implementation is based on the premise that the remittance instructions to be executed 
in the future are registered in advance in the scheduled transaction management system. The 
remittance instructions are sent …</x:v>
      </x:c>
      <x:c r="G11" s="34" t="str">
        <x:v>PRD-0046-P0008-U01</x:v>
      </x:c>
      <x:c r="H11" s="34" t="str"/>
      <x:c r="I11" s="34" t="str">
        <x:v>JP_BoJ_PoC2</x:v>
      </x:c>
      <x:c r="J11" s="34" t="n">
        <x:v>8</x:v>
      </x:c>
      <x:c r="K11" s="34" t="str">
        <x:v>en</x:v>
      </x:c>
      <x:c r="L11" s="34" t="str">
        <x:v>Bank of Japan</x:v>
      </x:c>
      <x:c r="M11" s="34" t="str">
        <x:v>Retain the named authority's own CBDC decisions, explicit proposals, requirements, features, and executed findings. Exclude generic context, literature, foreign projects, and stakeholder views not explicitly adopted by the authority.</x:v>
      </x:c>
      <x:c r="N11" s="34" t="str">
        <x:v>text</x:v>
      </x:c>
      <x:c r="O11" s="34" t="str"/>
      <x:c r="P11" s="38" t="str"/>
      <x:c r="Q11" s="38" t="str"/>
      <x:c r="R11" s="38" t="str"/>
      <x:c r="S11" s="38" t="str"/>
      <x:c r="T11" s="38" t="str"/>
      <x:c r="U11" s="38" t="str"/>
      <x:c r="V11" s="38" t="str"/>
      <x:c r="W11" s="38" t="str"/>
      <x:c r="X11" s="38" t="str"/>
      <x:c r="Y11" s="38" t="str"/>
      <x:c r="Z11" s="38" t="str"/>
      <x:c r="AA11" s="43" t="str">
        <x:f>IF('Instructions'!$B$3="","",'Instructions'!$B$3)</x:f>
      </x:c>
      <x:c r="AB11" s="43" t="str">
        <x:f>IF(P11="","PENDING",IF('Instructions'!$B$3="","SET_INITIALS",IF(P11="keep",IF(OR(Q11="",R11="",S11="",T11="",U11="",W11=""),"INCOMPLETE_KEEP","COMPLETE"),IF(P11="exclude",IF(OR(V11="",W11=""),"INCOMPLETE_EXCLUDE","COMPLETE"),"NEEDS_CONTEXT"))))</x:f>
        <x:v>PENDING</x:v>
      </x:c>
    </x:row>
    <x:row r="12" ht="62" customHeight="1">
      <x:c r="A12" s="34" t="str">
        <x:v>SV-0009</x:v>
      </x:c>
      <x:c r="B12" s="34" t="str">
        <x:v>Consumers shou ld be 
able to make a payment in fewer and simple steps familiar to them and with no need for 
advanced digital literacy.</x:v>
      </x:c>
      <x:c r="C12" s="34" t="str"/>
      <x:c r="D12" s="34" t="str"/>
      <x:c r="E12" s="34" t="str"/>
      <x:c r="F12" s="34" t="str">
        <x:v>… or simp ly in 
certain rural areas. Some payments with - and wallets that store - Digital Lilangeni can be 
equipped with programmability features for value -added and innovative use case 
scenarios. The Digital Lilangeni has to be designed such that it is able to sup port cross-
border functionality.   
The functional design of the Digital Lilangeni should ensure appropriate user experience 
and inclusiveness to foster broad acceptance. From a consumer perspective, the usage 
of Digital Lilangeni needs to be as easy and intuitive as possible. Consumers shou ld be 
able to make a payment in fewer and simple steps familiar to them and with no need for 
advanced digital literacy.</x:v>
      </x:c>
      <x:c r="G12" s="34" t="str">
        <x:v>PRD-0069-P0003-U01</x:v>
      </x:c>
      <x:c r="H12" s="34" t="str"/>
      <x:c r="I12" s="34" t="str">
        <x:v>SZ_Eswatini_2024-Fintech-Digital-Lilangeni-Design-Paper</x:v>
      </x:c>
      <x:c r="J12" s="34" t="n">
        <x:v>3</x:v>
      </x:c>
      <x:c r="K12" s="34" t="str">
        <x:v>en</x:v>
      </x:c>
      <x:c r="L12" s="34" t="str">
        <x:v>Central Bank of Eswatini (Digital Lilangeni)</x:v>
      </x:c>
      <x:c r="M12" s="34" t="str">
        <x:v>Retain Central Bank of Eswatini design decisions, proposals, features, and requirements; use the supplied render when text is sparse.</x:v>
      </x:c>
      <x:c r="N12" s="34" t="str">
        <x:v>text</x:v>
      </x:c>
      <x:c r="O12" s="34" t="str"/>
      <x:c r="P12" s="38" t="str"/>
      <x:c r="Q12" s="38" t="str"/>
      <x:c r="R12" s="38" t="str"/>
      <x:c r="S12" s="38" t="str"/>
      <x:c r="T12" s="38" t="str"/>
      <x:c r="U12" s="38" t="str"/>
      <x:c r="V12" s="38" t="str"/>
      <x:c r="W12" s="38" t="str"/>
      <x:c r="X12" s="38" t="str"/>
      <x:c r="Y12" s="38" t="str"/>
      <x:c r="Z12" s="38" t="str"/>
      <x:c r="AA12" s="43" t="str">
        <x:f>IF('Instructions'!$B$3="","",'Instructions'!$B$3)</x:f>
      </x:c>
      <x:c r="AB12" s="43" t="str">
        <x:f>IF(P12="","PENDING",IF('Instructions'!$B$3="","SET_INITIALS",IF(P12="keep",IF(OR(Q12="",R12="",S12="",T12="",U12="",W12=""),"INCOMPLETE_KEEP","COMPLETE"),IF(P12="exclude",IF(OR(V12="",W12=""),"INCOMPLETE_EXCLUDE","COMPLETE"),"NEEDS_CONTEXT"))))</x:f>
        <x:v>PENDING</x:v>
      </x:c>
    </x:row>
    <x:row r="13" ht="62" customHeight="1">
      <x:c r="A13" s="34" t="str">
        <x:v>SV-0010</x:v>
      </x:c>
      <x:c r="B13" s="34" t="str">
        <x:v>In the 
wRD technology architecture, Bank Indonesia can 
manage 2 (two) types of digital assets: the Rupiah 
Digital and the digital securities.</x:v>
      </x:c>
      <x:c r="C13" s="34" t="str"/>
      <x:c r="D13" s="34" t="str"/>
      <x:c r="E13" s="34" t="str"/>
      <x:c r="F13" s="34" t="str">
        <x:v>… ants. In contrast, on Kaleido Hyperledger 
Besu, participants have identical data on the ledger, 
but this data is stored in encrypted form. Only 
the parties involved can decrypt and access the 
transaction data. Therefore, a monitoring solution 
that can be implemented on both platforms while 
maintaining the confidentiality of participant 
transactions is necessary.
Monitoring solutions to maintain transaction 
confidentiality involve adding a node with 
The digital asset layer represents the digital 
assets transacting on the wRD platform. In the 
wRD technology architecture, Bank Indonesia can 
manage 2 (two) types of digital assets: the Rupiah 
Digital and the digital securities. The existence 
of various digital assets on a single platform is 
known as a unified ledger. The use of a unified 
ledger optimizes automation and customization of 
asset (programmability), integration of one asset 
with another (composability), and simultaneous 
settlement of multiple assets (atomic settlement).
The Immediate State phase PoC focuses on 
developing the Rupiah Digital (cash ledger) 
assets across all test scenarios. Digital securities 
assets are developed in a limited manner within 
the Delivery Versus Payment (DVP)
16 scenari …</x:v>
      </x:c>
      <x:c r="G13" s="34" t="str">
        <x:v>PRD-0037-P0021-U01</x:v>
      </x:c>
      <x:c r="H13" s="34" t="str"/>
      <x:c r="I13" s="34" t="str">
        <x:v>ID_Indonesia_2024</x:v>
      </x:c>
      <x:c r="J13" s="34" t="n">
        <x:v>21</x:v>
      </x:c>
      <x:c r="K13" s="34" t="str">
        <x:v>en</x:v>
      </x:c>
      <x:c r="L13" s="34" t="str">
        <x:v>Bank Indonesia (Digital Rupiah)</x:v>
      </x:c>
      <x:c r="M13" s="34" t="str">
        <x:v>Retain the named authority's own CBDC decisions, explicit proposals, requirements, features, and executed findings. Exclude generic context, literature, foreign projects, and stakeholder views not explicitly adopted by the authority.</x:v>
      </x:c>
      <x:c r="N13" s="34" t="str">
        <x:v>text</x:v>
      </x:c>
      <x:c r="O13" s="34" t="str"/>
      <x:c r="P13" s="38" t="str"/>
      <x:c r="Q13" s="38" t="str"/>
      <x:c r="R13" s="38" t="str"/>
      <x:c r="S13" s="38" t="str"/>
      <x:c r="T13" s="38" t="str"/>
      <x:c r="U13" s="38" t="str"/>
      <x:c r="V13" s="38" t="str"/>
      <x:c r="W13" s="38" t="str"/>
      <x:c r="X13" s="38" t="str"/>
      <x:c r="Y13" s="38" t="str"/>
      <x:c r="Z13" s="38" t="str"/>
      <x:c r="AA13" s="43" t="str">
        <x:f>IF('Instructions'!$B$3="","",'Instructions'!$B$3)</x:f>
      </x:c>
      <x:c r="AB13" s="43" t="str">
        <x:f>IF(P13="","PENDING",IF('Instructions'!$B$3="","SET_INITIALS",IF(P13="keep",IF(OR(Q13="",R13="",S13="",T13="",U13="",W13=""),"INCOMPLETE_KEEP","COMPLETE"),IF(P13="exclude",IF(OR(V13="",W13=""),"INCOMPLETE_EXCLUDE","COMPLETE"),"NEEDS_CONTEXT"))))</x:f>
        <x:v>PENDING</x:v>
      </x:c>
    </x:row>
    <x:row r="14" ht="62" customHeight="1">
      <x:c r="A14" s="34" t="str">
        <x:v>SV-0011</x:v>
      </x:c>
      <x:c r="B14" s="34" t="str">
        <x:v>Payment service providers 
(PSPs) would be able to use the digital euro infrastructure to create new payment 
services, which would in turn increase innovation and competition in the European 
payments sector.</x:v>
      </x:c>
      <x:c r="C14" s="34" t="str"/>
      <x:c r="D14" s="34" t="str"/>
      <x:c r="E14" s="34" t="str"/>
      <x:c r="F14" s="34" t="str">
        <x:v>… tal euro would 
bring the valued features of banknotes into the digital sphere. The aim of a digital 
euro is to bring value to consumers, merchants and intermediaries, while reducing 
Europe’s dependence on international card schemes and non-European digital 
payment wallet providers. A digital euro would complement cash by providing a 
digital payment option for consumers that is free, safe and easy to use. It would 
facilitate electronic payments everywhere in the euro area and increase 
competitiveness in the payments market for merchants. Payment service providers 
(PSPs) would be able to use the digital euro infrastructure to create new payment 
services, which would in turn increase innovation and competition in the European 
payments sector. A digital euro would also help regional and domestic European 
schemes to scale up the provision of their payment services in commercial bank 
money to a European scale by using the digital euro acceptance network. It would 
also expand the offer of private and public means of payment at the European level, 
thus supporting monetary sovereignty and strategic autonomy. 
On 1 November 2023 a two-year preparation phase was launched, which is 
currently laying the groundwork for the potential issuance of a digital euro. 
The primary objectives dur …</x:v>
      </x:c>
      <x:c r="G14" s="34" t="str">
        <x:v>PRD-0028-P0001-U01</x:v>
      </x:c>
      <x:c r="H14" s="34" t="str"/>
      <x:c r="I14" s="34" t="str">
        <x:v>EU_ECB_2024</x:v>
      </x:c>
      <x:c r="J14" s="34" t="n">
        <x:v>1</x:v>
      </x:c>
      <x:c r="K14" s="34" t="str">
        <x:v>en</x:v>
      </x:c>
      <x:c r="L14" s="34" t="str">
        <x:v>European Central Bank / Eurosystem (digital euro)</x:v>
      </x:c>
      <x:c r="M14" s="34" t="str">
        <x:v>Retain Eurosystem digital-euro decisions, commitments, requirements, and reported findings; exclude process updates without a substantive claim.</x:v>
      </x:c>
      <x:c r="N14" s="34" t="str">
        <x:v>text</x:v>
      </x:c>
      <x:c r="O14" s="34" t="str"/>
      <x:c r="P14" s="38" t="str"/>
      <x:c r="Q14" s="38" t="str"/>
      <x:c r="R14" s="38" t="str"/>
      <x:c r="S14" s="38" t="str"/>
      <x:c r="T14" s="38" t="str"/>
      <x:c r="U14" s="38" t="str"/>
      <x:c r="V14" s="38" t="str"/>
      <x:c r="W14" s="38" t="str"/>
      <x:c r="X14" s="38" t="str"/>
      <x:c r="Y14" s="38" t="str"/>
      <x:c r="Z14" s="38" t="str"/>
      <x:c r="AA14" s="43" t="str">
        <x:f>IF('Instructions'!$B$3="","",'Instructions'!$B$3)</x:f>
      </x:c>
      <x:c r="AB14" s="43" t="str">
        <x:f>IF(P14="","PENDING",IF('Instructions'!$B$3="","SET_INITIALS",IF(P14="keep",IF(OR(Q14="",R14="",S14="",T14="",U14="",W14=""),"INCOMPLETE_KEEP","COMPLETE"),IF(P14="exclude",IF(OR(V14="",W14=""),"INCOMPLETE_EXCLUDE","COMPLETE"),"NEEDS_CONTEXT"))))</x:f>
        <x:v>PENDING</x:v>
      </x:c>
    </x:row>
    <x:row r="15" ht="62" customHeight="1">
      <x:c r="A15" s="34" t="str">
        <x:v>SV-0012</x:v>
      </x:c>
      <x:c r="B15" s="34" t="str">
        <x:v>the Bank and relevant regulators would need to set standards to ensure that Payment Interface 
Providers build systems that support inclusion and avoid barriers that arise as a result of technical literacy, 
disabilities or reliance on more expensive hardware (such as smartphones).</x:v>
      </x:c>
      <x:c r="C15" s="34" t="str"/>
      <x:c r="D15" s="34" t="str"/>
      <x:c r="E15" s="34" t="str"/>
      <x:c r="F15" s="34" t="str">
        <x:v>… h would possibly prevent users making 
payments. Therefore, the Bank would need to set minimum standards for operational resilience.
• Secure: the Bank should also set minimum standards for cyber‑security and user authentication.
• Transparent: policies for other authorities would be needed to ensure that the cost of CBDC was transparent.
• User‑friendly: private sector Payment Interface Providers could design the user interface for CBDC payment 
systems, with the most user‑friendly services likely to have a competitive advantage.
• Inclusive: the Bank and relevant regulators would need to set standards to ensure that Payment Interface 
Providers build systems that support inclusion and avoid barriers that arise as a result of technical literacy, 
disabilities or reliance on more expensive hardware (such as smartphones).</x:v>
      </x:c>
      <x:c r="G15" s="34" t="str">
        <x:v>PRD-0075-P0034-U01</x:v>
      </x:c>
      <x:c r="H15" s="34" t="str"/>
      <x:c r="I15" s="34" t="str">
        <x:v>UK_BoE_2020_OpportChall</x:v>
      </x:c>
      <x:c r="J15" s="34" t="n">
        <x:v>34</x:v>
      </x:c>
      <x:c r="K15" s="34" t="str">
        <x:v>en</x:v>
      </x:c>
      <x:c r="L15" s="34" t="str">
        <x:v>Bank of England and HM Treasury (digital pound)</x:v>
      </x:c>
      <x:c r="M15" s="34" t="str">
        <x:v>Retain the named authority's own CBDC decisions, explicit proposals, requirements, features, and executed findings. Exclude generic context, literature, foreign projects, and stakeholder views not explicitly adopted by the authority.</x:v>
      </x:c>
      <x:c r="N15" s="34" t="str">
        <x:v>text</x:v>
      </x:c>
      <x:c r="O15" s="34" t="str"/>
      <x:c r="P15" s="38" t="str"/>
      <x:c r="Q15" s="38" t="str"/>
      <x:c r="R15" s="38" t="str"/>
      <x:c r="S15" s="38" t="str"/>
      <x:c r="T15" s="38" t="str"/>
      <x:c r="U15" s="38" t="str"/>
      <x:c r="V15" s="38" t="str"/>
      <x:c r="W15" s="38" t="str"/>
      <x:c r="X15" s="38" t="str"/>
      <x:c r="Y15" s="38" t="str"/>
      <x:c r="Z15" s="38" t="str"/>
      <x:c r="AA15" s="43" t="str">
        <x:f>IF('Instructions'!$B$3="","",'Instructions'!$B$3)</x:f>
      </x:c>
      <x:c r="AB15" s="43" t="str">
        <x:f>IF(P15="","PENDING",IF('Instructions'!$B$3="","SET_INITIALS",IF(P15="keep",IF(OR(Q15="",R15="",S15="",T15="",U15="",W15=""),"INCOMPLETE_KEEP","COMPLETE"),IF(P15="exclude",IF(OR(V15="",W15=""),"INCOMPLETE_EXCLUDE","COMPLETE"),"NEEDS_CONTEXT"))))</x:f>
        <x:v>PENDING</x:v>
      </x:c>
    </x:row>
    <x:row r="16" ht="62" customHeight="1">
      <x:c r="A16" s="34" t="str">
        <x:v>SV-0013</x:v>
      </x:c>
      <x:c r="B16" s="34" t="str">
        <x:v>Managed issuance: A CBDC should be issued and governed by the Reserve Bank in a manner that 
avoids unnecessary disruption to the cash system, the wider financial system and monetary policy 
settings</x:v>
      </x:c>
      <x:c r="C16" s="34" t="str"/>
      <x:c r="D16" s="34" t="str"/>
      <x:c r="E16" s="34" t="str"/>
      <x:c r="F16" s="34" t="str">
        <x:v>… re financially and digitally excluded.  
3. Cash-like: A CBDC should facilitate autonomy and privacy in paying and saving, provide a personal 
back-up form of payment, and enable peer-to-peer payments. 
4. Innovative: A CBDC should be modern, be interoperable and drive innovation in New Zealand’s 
money and payments ecosystem, and provide a potential new monetary policy tool. 
5. Integrity: A CBDC should be unquestionably operationally resilient, avoid double-spending, provide 
near-instant final settlement and comply with all regulations. 
6. Managed issuance: A CBDC should be issued and governed by the Reserve Bank in a manner that 
avoids unnecessary disruption to the cash system, the wider financial system and monetary policy 
settings 
Note: The shaded rows denote principles that on balance address the opportunities of a CBDC, and the white area 
denotes principles that on net address the challenges of a CBDC. In practice, some principles address both opportunities 
and challenges raised in this paper. 
We are seeking public feedback on the opportunities, challenges and indicative design principles. 
Following public engagement on the issues outlined in this paper, and subject to that feedback, we 
will conduct a detailed design and scenario analysis to understand the perfo …</x:v>
      </x:c>
      <x:c r="G16" s="34" t="str">
        <x:v>PRD-0057-P0034-U01</x:v>
      </x:c>
      <x:c r="H16" s="34" t="str"/>
      <x:c r="I16" s="34" t="str">
        <x:v>NZ_RBNZ_CBDCIssuesPaper_2021</x:v>
      </x:c>
      <x:c r="J16" s="34" t="n">
        <x:v>34</x:v>
      </x:c>
      <x:c r="K16" s="34" t="str">
        <x:v>en</x:v>
      </x:c>
      <x:c r="L16" s="34" t="str">
        <x:v>Reserve Bank of New Zealand</x:v>
      </x:c>
      <x:c r="M16" s="34" t="str">
        <x:v>Retain the named authority's own CBDC decisions, explicit proposals, requirements, features, and executed findings. Exclude generic context, literature, foreign projects, and stakeholder views not explicitly adopted by the authority.</x:v>
      </x:c>
      <x:c r="N16" s="34" t="str">
        <x:v>text</x:v>
      </x:c>
      <x:c r="O16" s="34" t="str"/>
      <x:c r="P16" s="38" t="str"/>
      <x:c r="Q16" s="38" t="str"/>
      <x:c r="R16" s="38" t="str"/>
      <x:c r="S16" s="38" t="str"/>
      <x:c r="T16" s="38" t="str"/>
      <x:c r="U16" s="38" t="str"/>
      <x:c r="V16" s="38" t="str"/>
      <x:c r="W16" s="38" t="str"/>
      <x:c r="X16" s="38" t="str"/>
      <x:c r="Y16" s="38" t="str"/>
      <x:c r="Z16" s="38" t="str"/>
      <x:c r="AA16" s="43" t="str">
        <x:f>IF('Instructions'!$B$3="","",'Instructions'!$B$3)</x:f>
      </x:c>
      <x:c r="AB16" s="43" t="str">
        <x:f>IF(P16="","PENDING",IF('Instructions'!$B$3="","SET_INITIALS",IF(P16="keep",IF(OR(Q16="",R16="",S16="",T16="",U16="",W16=""),"INCOMPLETE_KEEP","COMPLETE"),IF(P16="exclude",IF(OR(V16="",W16=""),"INCOMPLETE_EXCLUDE","COMPLETE"),"NEEDS_CONTEXT"))))</x:f>
        <x:v>PENDING</x:v>
      </x:c>
    </x:row>
    <x:row r="17" ht="62" customHeight="1">
      <x:c r="A17" s="34" t="str">
        <x:v>SV-0014</x:v>
      </x:c>
      <x:c r="B17" s="34" t="str">
        <x:v>The Phase 1 solution was also not integrated with any 
external systems (including collateral management 
capabilities) and relied on a prefunded account, which 
is very inefficient and, if adopted, would substantially 
increase settlement costs for FI participants.</x:v>
      </x:c>
      <x:c r="C17" s="34" t="str"/>
      <x:c r="D17" s="34" t="str"/>
      <x:c r="E17" s="34" t="str"/>
      <x:c r="F17" s="34" t="str">
        <x:v>… s  
consensus method could not provide the throughput  
required as volumes increased. As well, the Ethere-
um solution provided full visibility into the central  
ledger for all participants in the system. Although this 
transparency was helpful for monitoring the status of 
all participants in the system, the platform did not 
support participant requirements for data privacy. 
In a proof-of-work solution, it is unclear when settle-
ment finality has been achieved, if ever . From a policy 
perspective, this presents a substantial challenge. 
The Phase 1 solution was also not integrated with any 
external systems (including collateral management 
capabilities) and relied on a prefunded account, which 
is very inefficient and, if adopted, would substantially 
increase settlement costs for FI participants.  
DLT is a distributed technology, and the existing set-
tlement process relies on centralized infrastructure.  
As a result, there were several design challenges to 
overcome in adapting the existing centralized settle-
ment process for Project Jasper . It was unclear if a 
central bank settlement model could be supported 
15 Launched in 2013, Ethereum is a general-purpose DLT platform that 
allows any type of digital asset to be defined, created and traded. It also 
enables smart contracts, which allow a DLT to execute the terms of a 
contra …</x:v>
      </x:c>
      <x:c r="G17" s="34" t="str">
        <x:v>PRD-0015-P0011-U01</x:v>
      </x:c>
      <x:c r="H17" s="34" t="str"/>
      <x:c r="I17" s="34" t="str">
        <x:v>CA_Jasper_Phase12_2017</x:v>
      </x:c>
      <x:c r="J17" s="34" t="n">
        <x:v>11</x:v>
      </x:c>
      <x:c r="K17" s="34" t="str">
        <x:v>en</x:v>
      </x:c>
      <x:c r="L17" s="34" t="str">
        <x:v>Bank of Canada and Payments Canada (Project Jasper)</x:v>
      </x:c>
      <x:c r="M17" s="34" t="str">
        <x:v>Retain executed Project Jasper design choices and findings. Exclude general DLT literature and external examples.</x:v>
      </x:c>
      <x:c r="N17" s="34" t="str">
        <x:v>text</x:v>
      </x:c>
      <x:c r="O17" s="34" t="str"/>
      <x:c r="P17" s="38" t="str"/>
      <x:c r="Q17" s="38" t="str"/>
      <x:c r="R17" s="38" t="str"/>
      <x:c r="S17" s="38" t="str"/>
      <x:c r="T17" s="38" t="str"/>
      <x:c r="U17" s="38" t="str"/>
      <x:c r="V17" s="38" t="str"/>
      <x:c r="W17" s="38" t="str"/>
      <x:c r="X17" s="38" t="str"/>
      <x:c r="Y17" s="38" t="str"/>
      <x:c r="Z17" s="38" t="str"/>
      <x:c r="AA17" s="43" t="str">
        <x:f>IF('Instructions'!$B$3="","",'Instructions'!$B$3)</x:f>
      </x:c>
      <x:c r="AB17" s="43" t="str">
        <x:f>IF(P17="","PENDING",IF('Instructions'!$B$3="","SET_INITIALS",IF(P17="keep",IF(OR(Q17="",R17="",S17="",T17="",U17="",W17=""),"INCOMPLETE_KEEP","COMPLETE"),IF(P17="exclude",IF(OR(V17="",W17=""),"INCOMPLETE_EXCLUDE","COMPLETE"),"NEEDS_CONTEXT"))))</x:f>
        <x:v>PENDING</x:v>
      </x:c>
    </x:row>
    <x:row r="18" ht="62" customHeight="1">
      <x:c r="A18" s="34" t="str">
        <x:v>SV-0015</x:v>
      </x:c>
      <x:c r="B18" s="34" t="str">
        <x:v>The Reserve Bank has high requirements for the reliability, scalability, 
throughput and resilience of its existing systemically important payments and settlement systems, 
and these would also apply to a CBDC.</x:v>
      </x:c>
      <x:c r="C18" s="34" t="str"/>
      <x:c r="D18" s="34" t="str"/>
      <x:c r="E18" s="34" t="str"/>
      <x:c r="F18" s="34" t="str">
        <x:v>… nal costs and complexity. These policy costs and 
risks are explored in more detail below. 
5.1 Operational complexities and risks 
A CBDC, like all electronic payment systems, would be exposed to cyber security threats, 
operational outages and data privacy breaches. These risks could be elevated if the CBDC were 
built on a new or untested system, such as a distributed ledger, or if it became a target of cyber 
criminals. The realisation of any of these risks could have significant impacts on public trust in the 
CBDC and the Reserve Bank. The Reserve Bank has high requirements for the reliability, scalability, 
throughput and resilience of its existing systemically important payments and settlement systems, 
and these would also apply to a CBDC. 
As a form of digital currency, a CBDC should not be able to be ‘double-spent’. This means people 
should only be able to spend the CBDC that they own and it should not be possible to 
manufacture fraudulent CBDC balances. This is similar to existing expectations of bank transaction 
accounts and cash.  
A CBDC would also need to comply with relevant regulations and restrictions. In particular, the 
distribution of a CBDC would need to comply with AML/CFT requirements as well as financial 
market infrastructure and consumer protection regulati …</x:v>
      </x:c>
      <x:c r="G18" s="34" t="str">
        <x:v>PRD-0057-P0026-U01</x:v>
      </x:c>
      <x:c r="H18" s="34" t="str"/>
      <x:c r="I18" s="34" t="str">
        <x:v>NZ_RBNZ_CBDCIssuesPaper_2021</x:v>
      </x:c>
      <x:c r="J18" s="34" t="n">
        <x:v>26</x:v>
      </x:c>
      <x:c r="K18" s="34" t="str">
        <x:v>en</x:v>
      </x:c>
      <x:c r="L18" s="34" t="str">
        <x:v>Reserve Bank of New Zealand</x:v>
      </x:c>
      <x:c r="M18" s="34" t="str">
        <x:v>Retain the named authority's own CBDC decisions, explicit proposals, requirements, features, and executed findings. Exclude generic context, literature, foreign projects, and stakeholder views not explicitly adopted by the authority.</x:v>
      </x:c>
      <x:c r="N18" s="34" t="str">
        <x:v>text</x:v>
      </x:c>
      <x:c r="O18" s="34" t="str"/>
      <x:c r="P18" s="38" t="str"/>
      <x:c r="Q18" s="38" t="str"/>
      <x:c r="R18" s="38" t="str"/>
      <x:c r="S18" s="38" t="str"/>
      <x:c r="T18" s="38" t="str"/>
      <x:c r="U18" s="38" t="str"/>
      <x:c r="V18" s="38" t="str"/>
      <x:c r="W18" s="38" t="str"/>
      <x:c r="X18" s="38" t="str"/>
      <x:c r="Y18" s="38" t="str"/>
      <x:c r="Z18" s="38" t="str"/>
      <x:c r="AA18" s="43" t="str">
        <x:f>IF('Instructions'!$B$3="","",'Instructions'!$B$3)</x:f>
      </x:c>
      <x:c r="AB18" s="43" t="str">
        <x:f>IF(P18="","PENDING",IF('Instructions'!$B$3="","SET_INITIALS",IF(P18="keep",IF(OR(Q18="",R18="",S18="",T18="",U18="",W18=""),"INCOMPLETE_KEEP","COMPLETE"),IF(P18="exclude",IF(OR(V18="",W18=""),"INCOMPLETE_EXCLUDE","COMPLETE"),"NEEDS_CONTEXT"))))</x:f>
        <x:v>PENDING</x:v>
      </x:c>
    </x:row>
    <x:row r="19" ht="62" customHeight="1">
      <x:c r="A19" s="34" t="str">
        <x:v>SV-0016</x:v>
      </x:c>
      <x:c r="B19" s="34" t="str">
        <x:v>The wCBDC and wToken implemented in the PK2 PoC, 
for example, could be limited in their usage to selected participants (e.g. only 
licensed banks) who had been placed on an approved participant list, that is 
white listed, by the SARB.</x:v>
      </x:c>
      <x:c r="C19" s="34" t="str"/>
      <x:c r="D19" s="34" t="str"/>
      <x:c r="E19" s="34" t="str"/>
      <x:c r="F19" s="34" t="str">
        <x:v>… ance 
of DLT-based token markets is achieved in a different way from the governance 
arrangements in respect of incumbent systems, which could potentially be 
partially replaced. The application of good governance generally serves as an 
enabler for compliance, security, transparency and trust. 
Tokens can, to some degree, have governance elements programmed into their 
design, in that they can be configured so that they are limited in their issuance 
and operation, and can be linked to the segregated roles set up within the 
governance model. The wCBDC and wToken implemented in the PK2 PoC, 
for example, could be limited in their usage to selected participants (e.g. only 
licensed banks) who had been placed on an approved participant list, that is 
white listed, by the SARB. The benefits of DLT’s immutable record management 
presents a real advantage for governing entities needing to supervise the 
activities performed on the network. Compliance in DLT-based markets may be, 
at least partially, automated using smart contracts and real-time access to data 
on the DLT-network, enabling automatic monitoring as part of the regulatory 
framework which is referred to as ‘embedded supervision’ (Auer, 2019).  
IMPLICATIONS</x:v>
      </x:c>
      <x:c r="G19" s="34" t="str">
        <x:v>PRD-0085-P0037-U01</x:v>
      </x:c>
      <x:c r="H19" s="34" t="str"/>
      <x:c r="I19" s="34" t="str">
        <x:v>ZA_SARB_Project_Khokha_2_Full_Report_6_April_2022</x:v>
      </x:c>
      <x:c r="J19" s="34" t="n">
        <x:v>37</x:v>
      </x:c>
      <x:c r="K19" s="34" t="str">
        <x:v>en</x:v>
      </x:c>
      <x:c r="L19" s="34" t="str">
        <x:v>South African Reserve Bank</x:v>
      </x:c>
      <x:c r="M19" s="34" t="str">
        <x:v>Retain the named authority's own CBDC decisions, explicit proposals, requirements, features, and executed findings. Exclude generic context, literature, foreign projects, and stakeholder views not explicitly adopted by the authority.</x:v>
      </x:c>
      <x:c r="N19" s="34" t="str">
        <x:v>text</x:v>
      </x:c>
      <x:c r="O19" s="34" t="str"/>
      <x:c r="P19" s="38" t="str"/>
      <x:c r="Q19" s="38" t="str"/>
      <x:c r="R19" s="38" t="str"/>
      <x:c r="S19" s="38" t="str"/>
      <x:c r="T19" s="38" t="str"/>
      <x:c r="U19" s="38" t="str"/>
      <x:c r="V19" s="38" t="str"/>
      <x:c r="W19" s="38" t="str"/>
      <x:c r="X19" s="38" t="str"/>
      <x:c r="Y19" s="38" t="str"/>
      <x:c r="Z19" s="38" t="str"/>
      <x:c r="AA19" s="43" t="str">
        <x:f>IF('Instructions'!$B$3="","",'Instructions'!$B$3)</x:f>
      </x:c>
      <x:c r="AB19" s="43" t="str">
        <x:f>IF(P19="","PENDING",IF('Instructions'!$B$3="","SET_INITIALS",IF(P19="keep",IF(OR(Q19="",R19="",S19="",T19="",U19="",W19=""),"INCOMPLETE_KEEP","COMPLETE"),IF(P19="exclude",IF(OR(V19="",W19=""),"INCOMPLETE_EXCLUDE","COMPLETE"),"NEEDS_CONTEXT"))))</x:f>
        <x:v>PENDING</x:v>
      </x:c>
    </x:row>
    <x:row r="20" ht="62" customHeight="1">
      <x:c r="A20" s="34" t="str">
        <x:v>SV-0017</x:v>
      </x:c>
      <x:c r="B20" s="34" t="str">
        <x:v>The implementation of the above functions will be
facilitated by smart contract.</x:v>
      </x:c>
      <x:c r="C20" s="34" t="str"/>
      <x:c r="D20" s="34" t="str"/>
      <x:c r="E20" s="34" t="str"/>
      <x:c r="F20" s="34" t="str">
        <x:v>… s on the w-Digital
Rupiah platform refers to the best practices
applied in wholesale payment system. In this
regard, transaction settlement has two main
functions, namely (i) real-time and gross
transaction processing (including submission,
validation, conditionality, and settlement
functions) and (ii) liquidity saving mechanisms
which includes queue mechanism (queue
arrangement, queue reordering, queue
cancellation) and gridlock resolution. Payments in
w-Digital Rupiah will be settled in real-time if the
sender has sufficient funds/liquidity.
The implementation of the above functions will be
facilitated by smart contract. This feature allows
various activities in the network to be carried out
automatically without human intervention. It is
used to determine the business logic of a
transaction. For example, the transaction
processing flow in a traditional system can be
moved into a smart contract so that it could be
executed by each participating node
(decentralized).
Smart contracts could also be used for liquidity
management, including queuing and gridlock
resolution mechanisms. Implementation of both
mechanisms on the w-Digital Rupiah platform
Gridlock resolu …</x:v>
      </x:c>
      <x:c r="G20" s="34" t="str">
        <x:v>PRD-0036-P0012-U01</x:v>
      </x:c>
      <x:c r="H20" s="34" t="str"/>
      <x:c r="I20" s="34" t="str">
        <x:v>ID_Indonesia_2023a</x:v>
      </x:c>
      <x:c r="J20" s="34" t="n">
        <x:v>12</x:v>
      </x:c>
      <x:c r="K20" s="34" t="str">
        <x:v>en</x:v>
      </x:c>
      <x:c r="L20" s="34" t="str">
        <x:v>Bank Indonesia (Digital Rupiah)</x:v>
      </x:c>
      <x:c r="M20" s="34" t="str">
        <x:v>Retain Bank Indonesia Digital Rupiah decisions, roadmap commitments, features, and requirements.</x:v>
      </x:c>
      <x:c r="N20" s="34" t="str">
        <x:v>text</x:v>
      </x:c>
      <x:c r="O20" s="34" t="str"/>
      <x:c r="P20" s="38" t="str"/>
      <x:c r="Q20" s="38" t="str"/>
      <x:c r="R20" s="38" t="str"/>
      <x:c r="S20" s="38" t="str"/>
      <x:c r="T20" s="38" t="str"/>
      <x:c r="U20" s="38" t="str"/>
      <x:c r="V20" s="38" t="str"/>
      <x:c r="W20" s="38" t="str"/>
      <x:c r="X20" s="38" t="str"/>
      <x:c r="Y20" s="38" t="str"/>
      <x:c r="Z20" s="38" t="str"/>
      <x:c r="AA20" s="43" t="str">
        <x:f>IF('Instructions'!$B$3="","",'Instructions'!$B$3)</x:f>
      </x:c>
      <x:c r="AB20" s="43" t="str">
        <x:f>IF(P20="","PENDING",IF('Instructions'!$B$3="","SET_INITIALS",IF(P20="keep",IF(OR(Q20="",R20="",S20="",T20="",U20="",W20=""),"INCOMPLETE_KEEP","COMPLETE"),IF(P20="exclude",IF(OR(V20="",W20=""),"INCOMPLETE_EXCLUDE","COMPLETE"),"NEEDS_CONTEXT"))))</x:f>
        <x:v>PENDING</x:v>
      </x:c>
    </x:row>
    <x:row r="21" ht="62" customHeight="1">
      <x:c r="A21" s="34" t="str">
        <x:v>SV-0018</x:v>
      </x:c>
      <x:c r="B21" s="34" t="str">
        <x:v>Potential legal concern on retail CBDC issuance</x:v>
      </x:c>
      <x:c r="C21" s="34" t="str"/>
      <x:c r="D21" s="34" t="str"/>
      <x:c r="E21" s="34" t="str"/>
      <x:c r="F21" s="34" t="str">
        <x:v>… es
• Liquidity Management
* These areas include settlement, liquidity and default management, and effectiveness
Assessing the value of CBDC In Summary
Wholesale Payments Retail Payments
• Account-based CBDCs may not yield much value compared
to current retail payment instruments in the Philippines.
• Broader payments digitalization and financial inclusion are 
being achieved by the National Retail Payment System, 
similar to the expected benefits of a retail CBDC.
• Other potential rCBDC applications include: offline 
payments, 24/7 payments
• Potential legal concern on retail CBDC issuance
Classification: GENERAL</x:v>
      </x:c>
      <x:c r="G21" s="34" t="str">
        <x:v>PRD-0060-P0005-U01</x:v>
      </x:c>
      <x:c r="H21" s="34" t="str"/>
      <x:c r="I21" s="34" t="str">
        <x:v>PH_Philippines_EFLP2024_1_2c</x:v>
      </x:c>
      <x:c r="J21" s="34" t="n">
        <x:v>5</x:v>
      </x:c>
      <x:c r="K21" s="34" t="str">
        <x:v>en</x:v>
      </x:c>
      <x:c r="L21" s="34" t="str">
        <x:v>Bangko Sentral ng Pilipinas</x:v>
      </x:c>
      <x:c r="M21" s="34" t="str">
        <x:v>Retain the named authority's own CBDC decisions, explicit proposals, requirements, features, and executed findings. Exclude generic context, literature, foreign projects, and stakeholder views not explicitly adopted by the authority.</x:v>
      </x:c>
      <x:c r="N21" s="34" t="str">
        <x:v>text</x:v>
      </x:c>
      <x:c r="O21" s="34" t="str"/>
      <x:c r="P21" s="38" t="str"/>
      <x:c r="Q21" s="38" t="str"/>
      <x:c r="R21" s="38" t="str"/>
      <x:c r="S21" s="38" t="str"/>
      <x:c r="T21" s="38" t="str"/>
      <x:c r="U21" s="38" t="str"/>
      <x:c r="V21" s="38" t="str"/>
      <x:c r="W21" s="38" t="str"/>
      <x:c r="X21" s="38" t="str"/>
      <x:c r="Y21" s="38" t="str"/>
      <x:c r="Z21" s="38" t="str"/>
      <x:c r="AA21" s="43" t="str">
        <x:f>IF('Instructions'!$B$3="","",'Instructions'!$B$3)</x:f>
      </x:c>
      <x:c r="AB21" s="43" t="str">
        <x:f>IF(P21="","PENDING",IF('Instructions'!$B$3="","SET_INITIALS",IF(P21="keep",IF(OR(Q21="",R21="",S21="",T21="",U21="",W21=""),"INCOMPLETE_KEEP","COMPLETE"),IF(P21="exclude",IF(OR(V21="",W21=""),"INCOMPLETE_EXCLUDE","COMPLETE"),"NEEDS_CONTEXT"))))</x:f>
        <x:v>PENDING</x:v>
      </x:c>
    </x:row>
    <x:row r="22" ht="62" customHeight="1">
      <x:c r="A22" s="34" t="str">
        <x:v>SV-0019</x:v>
      </x:c>
      <x:c r="B22" s="34" t="str">
        <x:v>Merchant 
acceptance ✓</x:v>
      </x:c>
      <x:c r="C22" s="34" t="str"/>
      <x:c r="D22" s="34" t="str"/>
      <x:c r="E22" s="34" t="str"/>
      <x:c r="F22" s="34" t="str">
        <x:v>16
e-HKD: A Policy and Design Perspective
Cash e-HKD Existing SVFs Bank channels 
(via FPS)
Free of credit &amp; 
liquidity risks ✓ ✓
✓*
(statutory and 
supervisory 
requirements in 
respect of float 
protection)
✓*
(up to HK$500,000 
under the Deposit 
Protection 
Scheme)
Resilient to 
network outage ✓
✓*
(if offline payment 
is supported)
✗*
(except for 
Octopus as it 
supports offline 
payment)
✗
Merchant 
acceptance ✓
✓*
(subject to 
service charge 
consideration)
✓*
(subject to 
service charge 
consideration)
✓*
(subject to 
service charge 
consideration)
Anonymity ✓
✓*
(assumed for 
small-value 
transactions)
✓*
(small-value 
domestic 
payments may be 
made by unverified 
accounts)
✗
Universally 
accessible ✓ ✓ ✓ ✓
Table 1: Comparison between e-HKD and other payment methods</x:v>
      </x:c>
      <x:c r="G22" s="34" t="str">
        <x:v>PRD-0090-P0017-U01</x:v>
      </x:c>
      <x:c r="H22" s="34" t="str"/>
      <x:c r="I22" s="34" t="str">
        <x:v>HK_HKMA_eHKD_PolicyDesign</x:v>
      </x:c>
      <x:c r="J22" s="34" t="n">
        <x:v>17</x:v>
      </x:c>
      <x:c r="K22" s="34" t="str">
        <x:v>en</x:v>
      </x:c>
      <x:c r="L22" s="34" t="str">
        <x:v>Hong Kong Monetary Authority (e-HKD)</x:v>
      </x:c>
      <x:c r="M22" s="34" t="str">
        <x:v>Retain HKMA policy/design positions for e-HKD; exclude generic literature and open questions.</x:v>
      </x:c>
      <x:c r="N22" s="34" t="str">
        <x:v>text</x:v>
      </x:c>
      <x:c r="O22" s="34" t="str"/>
      <x:c r="P22" s="38" t="str"/>
      <x:c r="Q22" s="38" t="str"/>
      <x:c r="R22" s="38" t="str"/>
      <x:c r="S22" s="38" t="str"/>
      <x:c r="T22" s="38" t="str"/>
      <x:c r="U22" s="38" t="str"/>
      <x:c r="V22" s="38" t="str"/>
      <x:c r="W22" s="38" t="str"/>
      <x:c r="X22" s="38" t="str"/>
      <x:c r="Y22" s="38" t="str"/>
      <x:c r="Z22" s="38" t="str"/>
      <x:c r="AA22" s="43" t="str">
        <x:f>IF('Instructions'!$B$3="","",'Instructions'!$B$3)</x:f>
      </x:c>
      <x:c r="AB22" s="43" t="str">
        <x:f>IF(P22="","PENDING",IF('Instructions'!$B$3="","SET_INITIALS",IF(P22="keep",IF(OR(Q22="",R22="",S22="",T22="",U22="",W22=""),"INCOMPLETE_KEEP","COMPLETE"),IF(P22="exclude",IF(OR(V22="",W22=""),"INCOMPLETE_EXCLUDE","COMPLETE"),"NEEDS_CONTEXT"))))</x:f>
        <x:v>PENDING</x:v>
      </x:c>
    </x:row>
    <x:row r="23" ht="62" customHeight="1">
      <x:c r="A23" s="34" t="str">
        <x:v>SV-0020</x:v>
      </x:c>
      <x:c r="B23" s="34" t="str">
        <x:v>the introduction of a limit on the amount of funds to be transferred between an online wallet and 
an offline device;</x:v>
      </x:c>
      <x:c r="C23" s="34" t="str"/>
      <x:c r="D23" s="34" t="str"/>
      <x:c r="E23" s="34" t="str"/>
      <x:c r="F23" s="34" t="str">
        <x:v>… ffline CBDC transactions.
If the possibility of offline digital ruble payments for legal entities and transfers between users is 
implemented, specific measures should be considered to ensure the protection of digital rubles and users’ 
interests. These measures might include:
 ‒ the introduction of a limit on the amount of a single transaction, as well as on the total amount of 
transactions within a specified period;
 ‒ the introduction of a limit on the number of transactions / operations that can be performed within 
a specified period;
 ‒ the introduction of a limit on the amount of funds to be transferred between an online wallet and 
an offline device;
 ‒ the introduction of a requirement to provide for the possibility of transferring a CBDC to a device 
that allows offline payments to only be made to users that have online wallets.</x:v>
      </x:c>
      <x:c r="G23" s="34" t="str">
        <x:v>PRD-0064-P0015-U01</x:v>
      </x:c>
      <x:c r="H23" s="34" t="str"/>
      <x:c r="I23" s="34" t="str">
        <x:v>RU_Russia_consultation_paper_201013</x:v>
      </x:c>
      <x:c r="J23" s="34" t="n">
        <x:v>15</x:v>
      </x:c>
      <x:c r="K23" s="34" t="str">
        <x:v>en</x:v>
      </x:c>
      <x:c r="L23" s="34" t="str">
        <x:v>Bank of Russia (digital ruble)</x:v>
      </x:c>
      <x:c r="M23" s="34" t="str">
        <x:v>Retain explicit Bank of Russia proposals, preferences, and requirements. Exclude open questions and future research without a position.</x:v>
      </x:c>
      <x:c r="N23" s="34" t="str">
        <x:v>text</x:v>
      </x:c>
      <x:c r="O23" s="34" t="str"/>
      <x:c r="P23" s="38" t="str"/>
      <x:c r="Q23" s="38" t="str"/>
      <x:c r="R23" s="38" t="str"/>
      <x:c r="S23" s="38" t="str"/>
      <x:c r="T23" s="38" t="str"/>
      <x:c r="U23" s="38" t="str"/>
      <x:c r="V23" s="38" t="str"/>
      <x:c r="W23" s="38" t="str"/>
      <x:c r="X23" s="38" t="str"/>
      <x:c r="Y23" s="38" t="str"/>
      <x:c r="Z23" s="38" t="str"/>
      <x:c r="AA23" s="43" t="str">
        <x:f>IF('Instructions'!$B$3="","",'Instructions'!$B$3)</x:f>
      </x:c>
      <x:c r="AB23" s="43" t="str">
        <x:f>IF(P23="","PENDING",IF('Instructions'!$B$3="","SET_INITIALS",IF(P23="keep",IF(OR(Q23="",R23="",S23="",T23="",U23="",W23=""),"INCOMPLETE_KEEP","COMPLETE"),IF(P23="exclude",IF(OR(V23="",W23=""),"INCOMPLETE_EXCLUDE","COMPLETE"),"NEEDS_CONTEXT"))))</x:f>
        <x:v>PENDING</x:v>
      </x:c>
    </x:row>
    <x:row r="24" ht="62" customHeight="1">
      <x:c r="A24" s="34" t="str">
        <x:v>SV-0021</x:v>
      </x:c>
      <x:c r="B24" s="34" t="str">
        <x:v>Det vurderes ikke som nødvendig at DSP skal 
gi samme grad av anonymitet som kontanter.</x:v>
      </x:c>
      <x:c r="C24" s="34" t="str"/>
      <x:c r="D24" s="34" t="str"/>
      <x:c r="E24" s="34" t="str"/>
      <x:c r="F24" s="34" t="str">
        <x:v>… er  
- Tilfredsstiller krav til teknisk uavhengighet  
- Kundekommunikasjon og -kontroll foretas av tredjeparter 
Ønskelige egenskaper  
I tillegg til de nødvendige egenskapene DSP må ha, kan det være en rekke 
egenskaper DSP bør ha eller som det er ønskelig at DSP skal ha. Nedenfor følger en 
ikke-uttømmende gjennomgang av ønskede egenskaper.  
DSP bør ha tilstrekkelig fleksibilitet til å kunne gi ønsket grad av personvern.  
Personvernet må som et minstekrav være i samsvar med kravene i EØS-regelverket, 
siden dette er en nødvendig egenskap. Det vurderes ikke som nødvendig at DSP skal 
gi samme grad av anonymitet som kontanter.  
Mulighet for offline-betalinger er ønskelig. Avhengig av kravet til teknisk 
uavhengighet vil dette kunne være en nødvendig egenskap, men mulighet for offline -
betalinger vurderes uansett som ønskelig. Mulighet for offline-betalinger kan 
gjennomføres på flere måter. Det kan være innebygget i løsningen, eller systemet kan 
designes slik at tredjepartsaktører kan tilby løsninger for offline-betalinger på toppen 
av DSP.  
Det er ønskelig at DSP kan utgjøre en plattform for tredjepartstilbydere. Formålet 
er at tredjepartsaktører skal kunne i …</x:v>
      </x:c>
      <x:c r="G24" s="34" t="str">
        <x:v>PRD-0052-P0017-U01</x:v>
      </x:c>
      <x:c r="H24" s="34" t="str"/>
      <x:c r="I24" s="34" t="str">
        <x:v>NO_Norway_nb_memo_2_19_dsp</x:v>
      </x:c>
      <x:c r="J24" s="34" t="n">
        <x:v>17</x:v>
      </x:c>
      <x:c r="K24" s="34" t="str">
        <x:v>en</x:v>
      </x:c>
      <x:c r="L24" s="34" t="str">
        <x:v>Norges Bank (Norwegian CBDC work)</x:v>
      </x:c>
      <x:c r="M24" s="34" t="str">
        <x:v>Retain Norges Bank CBDC analysis only when it states an issuer proposal, preference, requirement, or own-project finding; exclude cited theory.</x:v>
      </x:c>
      <x:c r="N24" s="34" t="str">
        <x:v>text</x:v>
      </x:c>
      <x:c r="O24" s="34" t="str"/>
      <x:c r="P24" s="38" t="str"/>
      <x:c r="Q24" s="38" t="str"/>
      <x:c r="R24" s="38" t="str"/>
      <x:c r="S24" s="38" t="str"/>
      <x:c r="T24" s="38" t="str"/>
      <x:c r="U24" s="38" t="str"/>
      <x:c r="V24" s="38" t="str"/>
      <x:c r="W24" s="38" t="str"/>
      <x:c r="X24" s="38" t="str"/>
      <x:c r="Y24" s="38" t="str"/>
      <x:c r="Z24" s="38" t="str"/>
      <x:c r="AA24" s="43" t="str">
        <x:f>IF('Instructions'!$B$3="","",'Instructions'!$B$3)</x:f>
      </x:c>
      <x:c r="AB24" s="43" t="str">
        <x:f>IF(P24="","PENDING",IF('Instructions'!$B$3="","SET_INITIALS",IF(P24="keep",IF(OR(Q24="",R24="",S24="",T24="",U24="",W24=""),"INCOMPLETE_KEEP","COMPLETE"),IF(P24="exclude",IF(OR(V24="",W24=""),"INCOMPLETE_EXCLUDE","COMPLETE"),"NEEDS_CONTEXT"))))</x:f>
        <x:v>PENDING</x:v>
      </x:c>
    </x:row>
    <x:row r="25" ht="62" customHeight="1">
      <x:c r="A25" s="34" t="str">
        <x:v>SV-0022</x:v>
      </x:c>
      <x:c r="B25" s="34" t="str">
        <x:v>This policy paper advises central banks 
to decentralize the customer-facing duties (retail payments 
clearing, KYC checks) to foster competition in the payments 
system.</x:v>
      </x:c>
      <x:c r="C25" s="34" t="str"/>
      <x:c r="D25" s="34" t="str"/>
      <x:c r="E25" s="34" t="str"/>
      <x:c r="F25" s="34" t="str">
        <x:v>…  at the 
moment of writing) provided they have a verified phone number 
and a National Identification Number (NIN). Besides those two 
requirements, banked customers require a Bank Verification 
Number (BVN) to conduct high-value transactions. The BVN 
also prevents offenders from hacking into the system, a feature 
relevant to financial stability. 
Another benefit of a retail CBDC is potentially fostering 
competition, thereby quickening the responsiveness of 
businesses to dynamic consumer needs. These efforts relate to 
financial inclusion. This policy paper advises central banks 
to decentralize the customer-facing duties (retail payments 
clearing, KYC checks) to foster competition in the payments 
system. Such a design would be consistent with either an 
indirect or a hybrid CBDC, allowing for a permissioned DLT-
based CBDC (Section 4). 
In terms of minimizing the risks, this policy paper urges 
a cap on digital florin holdings and a non-interest-
bearing CBDC. These measures prevent large outflows 
from commercial bank deposits to digital florins, also easing 
concerns of (unlikely) runs on Aruban banks. In the end, these 
measures benefit monetary and financial stability. Further, 
this policy paper advises, for the time being
12, against 
cr …</x:v>
      </x:c>
      <x:c r="G25" s="34" t="str">
        <x:v>PRD-0008-P0118-U01</x:v>
      </x:c>
      <x:c r="H25" s="34" t="str"/>
      <x:c r="I25" s="34" t="str">
        <x:v>AW_ARU_001</x:v>
      </x:c>
      <x:c r="J25" s="34" t="n">
        <x:v>118</x:v>
      </x:c>
      <x:c r="K25" s="34" t="str">
        <x:v>en</x:v>
      </x:c>
      <x:c r="L25" s="34" t="str">
        <x:v>Aruba policy study / Central Bank of Aruba</x:v>
      </x:c>
      <x:c r="M25" s="34" t="str">
        <x:v>This is a broad Aruba policy report. Retain only explicit Aruba CBDC recommendations or findings; exclude external literature and non-CBDC chapters.</x:v>
      </x:c>
      <x:c r="N25" s="34" t="str">
        <x:v>text</x:v>
      </x:c>
      <x:c r="O25" s="34" t="str"/>
      <x:c r="P25" s="38" t="str"/>
      <x:c r="Q25" s="38" t="str"/>
      <x:c r="R25" s="38" t="str"/>
      <x:c r="S25" s="38" t="str"/>
      <x:c r="T25" s="38" t="str"/>
      <x:c r="U25" s="38" t="str"/>
      <x:c r="V25" s="38" t="str"/>
      <x:c r="W25" s="38" t="str"/>
      <x:c r="X25" s="38" t="str"/>
      <x:c r="Y25" s="38" t="str"/>
      <x:c r="Z25" s="38" t="str"/>
      <x:c r="AA25" s="43" t="str">
        <x:f>IF('Instructions'!$B$3="","",'Instructions'!$B$3)</x:f>
      </x:c>
      <x:c r="AB25" s="43" t="str">
        <x:f>IF(P25="","PENDING",IF('Instructions'!$B$3="","SET_INITIALS",IF(P25="keep",IF(OR(Q25="",R25="",S25="",T25="",U25="",W25=""),"INCOMPLETE_KEEP","COMPLETE"),IF(P25="exclude",IF(OR(V25="",W25=""),"INCOMPLETE_EXCLUDE","COMPLETE"),"NEEDS_CONTEXT"))))</x:f>
        <x:v>PENDING</x:v>
      </x:c>
    </x:row>
    <x:row r="26" ht="62" customHeight="1">
      <x:c r="A26" s="34" t="str">
        <x:v>SV-0023</x:v>
      </x:c>
      <x:c r="B26" s="34" t="str">
        <x:v>we also looked at resistance to security risks 
and availability, but did not see any significant differences arising from the variation in the 
designs.</x:v>
      </x:c>
      <x:c r="C26" s="34" t="str"/>
      <x:c r="D26" s="34" t="str"/>
      <x:c r="E26" s="34" t="str"/>
      <x:c r="F26" s="34" t="str">
        <x:v>… need to consider solutions such as split records and different business process flows 
to address these issues. 
Design 3 required more resources than Designs 1 and 2 to process the same transactions. 
Designs 1 and 2 will be constrained by resources if the number of transaction requests is up 
significantly. In a production-ready system, Design 3 in particular would need greatly expanded 
resources, either through scaling up or scaling out  of database servers , with the additional 
optimizations. 
Apart from these performance considerations, we also looked at resistance to security risks 
and availability, but did not see any significant differences arising from the variation in the 
designs. In terms of fault tolerance, Design 2 seems to have a relatively small expected impact 
area for faults, but at the same time there are many potential points of failure, and the integrity</x:v>
      </x:c>
      <x:c r="G26" s="34" t="str">
        <x:v>PRD-0043-P0014-U01</x:v>
      </x:c>
      <x:c r="H26" s="34" t="str"/>
      <x:c r="I26" s="34" t="str">
        <x:v>JP_BoJ_2022</x:v>
      </x:c>
      <x:c r="J26" s="34" t="n">
        <x:v>14</x:v>
      </x:c>
      <x:c r="K26" s="34" t="str">
        <x:v>en</x:v>
      </x:c>
      <x:c r="L26" s="34" t="str">
        <x:v>Bank of Japan</x:v>
      </x:c>
      <x:c r="M26" s="34" t="str">
        <x:v>Retain the named authority's own CBDC decisions, explicit proposals, requirements, features, and executed findings. Exclude generic context, literature, foreign projects, and stakeholder views not explicitly adopted by the authority.</x:v>
      </x:c>
      <x:c r="N26" s="34" t="str">
        <x:v>text</x:v>
      </x:c>
      <x:c r="O26" s="34" t="str"/>
      <x:c r="P26" s="38" t="str"/>
      <x:c r="Q26" s="38" t="str"/>
      <x:c r="R26" s="38" t="str"/>
      <x:c r="S26" s="38" t="str"/>
      <x:c r="T26" s="38" t="str"/>
      <x:c r="U26" s="38" t="str"/>
      <x:c r="V26" s="38" t="str"/>
      <x:c r="W26" s="38" t="str"/>
      <x:c r="X26" s="38" t="str"/>
      <x:c r="Y26" s="38" t="str"/>
      <x:c r="Z26" s="38" t="str"/>
      <x:c r="AA26" s="43" t="str">
        <x:f>IF('Instructions'!$B$3="","",'Instructions'!$B$3)</x:f>
      </x:c>
      <x:c r="AB26" s="43" t="str">
        <x:f>IF(P26="","PENDING",IF('Instructions'!$B$3="","SET_INITIALS",IF(P26="keep",IF(OR(Q26="",R26="",S26="",T26="",U26="",W26=""),"INCOMPLETE_KEEP","COMPLETE"),IF(P26="exclude",IF(OR(V26="",W26=""),"INCOMPLETE_EXCLUDE","COMPLETE"),"NEEDS_CONTEXT"))))</x:f>
        <x:v>PENDING</x:v>
      </x:c>
    </x:row>
    <x:row r="27" ht="62" customHeight="1">
      <x:c r="A27" s="34" t="str">
        <x:v>SV-0024</x:v>
      </x:c>
      <x:c r="B27" s="34" t="str">
        <x:v>The digital shekel system will also suppor t a model of an indirect PSP – an entity that 
provides end users with all the services that a PSP provides but is not directly connected 
technologically to the system , rather it  provides the services based on the technological 
connection of another PSP.</x:v>
      </x:c>
      <x:c r="C27" s="34" t="str"/>
      <x:c r="D27" s="34" t="str"/>
      <x:c r="E27" s="34" t="str"/>
      <x:c r="F27" s="34" t="str">
        <x:v>… th a PSP. The digital shekel will 
operate within a two-tier model – while the digital shekel is a liability of the Bank of Israel to 
the end user holding it, end users will not have a direct interface with the Bank of Israel, but 
only with the PSPs – the payment service providers. It should be emphasised that at no stag e 
do PSPs hold the end user's funds (this configuration was examined in "Project Sela"). 20 A 
digital shekel in the hands of the end user is always a financial liability of the Bank of Israel 
to the user, not of the PSP. 
The digital shekel system will also suppor t a model of an indirect PSP – an entity that 
provides end users with all the services that a PSP provides but is not directly connected 
technologically to the system , rather it  provides the services based on the technological 
connection of another PSP. 
PSPs will perform all the necessary  processes for end users – technological, business, and 
regulatory. They will handle the onboarding process of the end user to the system after a 
"know your customer" process, provide the end user with access technology (app, website, 
POS, smart card, etc., according to the standards defined by the system manager, see section 
4.2), transmit payment commands to the system on behalf of end users, support wallet 
funding/defunding processes, provide customer service, and more. 
PSPs will have several poten …</x:v>
      </x:c>
      <x:c r="G27" s="34" t="str">
        <x:v>PRD-0038-P0041-U01</x:v>
      </x:c>
      <x:c r="H27" s="34" t="str"/>
      <x:c r="I27" s="34" t="str">
        <x:v>IL_BoI_2024</x:v>
      </x:c>
      <x:c r="J27" s="34" t="n">
        <x:v>41</x:v>
      </x:c>
      <x:c r="K27" s="34" t="str">
        <x:v>en</x:v>
      </x:c>
      <x:c r="L27" s="34" t="str">
        <x:v>Bank of Israel (digital shekel)</x:v>
      </x:c>
      <x:c r="M27" s="34" t="str">
        <x:v>Retain the named authority's own CBDC decisions, explicit proposals, requirements, features, and executed findings. Exclude generic context, literature, foreign projects, and stakeholder views not explicitly adopted by the authority.</x:v>
      </x:c>
      <x:c r="N27" s="34" t="str">
        <x:v>text</x:v>
      </x:c>
      <x:c r="O27" s="34" t="str"/>
      <x:c r="P27" s="38" t="str"/>
      <x:c r="Q27" s="38" t="str"/>
      <x:c r="R27" s="38" t="str"/>
      <x:c r="S27" s="38" t="str"/>
      <x:c r="T27" s="38" t="str"/>
      <x:c r="U27" s="38" t="str"/>
      <x:c r="V27" s="38" t="str"/>
      <x:c r="W27" s="38" t="str"/>
      <x:c r="X27" s="38" t="str"/>
      <x:c r="Y27" s="38" t="str"/>
      <x:c r="Z27" s="38" t="str"/>
      <x:c r="AA27" s="43" t="str">
        <x:f>IF('Instructions'!$B$3="","",'Instructions'!$B$3)</x:f>
      </x:c>
      <x:c r="AB27" s="43" t="str">
        <x:f>IF(P27="","PENDING",IF('Instructions'!$B$3="","SET_INITIALS",IF(P27="keep",IF(OR(Q27="",R27="",S27="",T27="",U27="",W27=""),"INCOMPLETE_KEEP","COMPLETE"),IF(P27="exclude",IF(OR(V27="",W27=""),"INCOMPLETE_EXCLUDE","COMPLETE"),"NEEDS_CONTEXT"))))</x:f>
        <x:v>PENDING</x:v>
      </x:c>
    </x:row>
    <x:row r="28" ht="62" customHeight="1">
      <x:c r="A28" s="34" t="str">
        <x:v>SV-0025</x:v>
      </x:c>
      <x:c r="B28" s="34" t="str">
        <x:v>Macro-partitioned systems are less flexible than micro-partitioned systems 
because they do not support custody by end users.</x:v>
      </x:c>
      <x:c r="C28" s="34" t="str"/>
      <x:c r="D28" s="34" t="str"/>
      <x:c r="E28" s="34" t="str"/>
      <x:c r="F28" s="34" t="str">
        <x:v>7 
Table 3: Conceivable system architectures for an online ret ail central bank digital 
currency 
Funds model 
Archetype 
Account 
UTXO 
Bill7 
Centralized 
The account model fits 
well with centralized 
systems. 
Leaderless 
Leaderless systems have a weak governance fit to the central bank’s role 
and lack the ability to scale for an online CBDC. 
Macro-partitioned 
Macro-partitioned systems are less flexible than micro-partitioned systems 
because they do not support custody by end users. 
Micro-partitioned 
 Micro-partitioned 
systems based on 
UTXO are well-suited 
for basic payments. 
Direct 
 Direct systems offer the central bank limited visibility for an online CBDC. 
Note: UTXO means unspent transaction output. The shaded architecture is a promising candidate for an 
online retail CBDC system and the subject of the analysis in this report.  
Among the combinations, we  highlight one that is a promising candidate for an online retail 
CBDC since it is well-suited for basic payments (shown as the shaded box in Table 3 …</x:v>
      </x:c>
      <x:c r="G28" s="34" t="str">
        <x:v>PRD-0108-P0010-U01</x:v>
      </x:c>
      <x:c r="H28" s="34" t="str"/>
      <x:c r="I28" s="34" t="str">
        <x:v>CA_BoC_RetailFeasibility_SDP2025_9</x:v>
      </x:c>
      <x:c r="J28" s="34" t="n">
        <x:v>10</x:v>
      </x:c>
      <x:c r="K28" s="34" t="str">
        <x:v>en</x:v>
      </x:c>
      <x:c r="L28" s="34" t="str">
        <x:v>Bank of Canada research on retail CBDC feasibility</x:v>
      </x:c>
      <x:c r="M28" s="34" t="str">
        <x:v>Staff research is not an adopted design. Retain empirical findings or explicit Bank of Canada conclusions tied to its potential CBDC; exclude model assumptions and literature.</x:v>
      </x:c>
      <x:c r="N28" s="34" t="str">
        <x:v>text</x:v>
      </x:c>
      <x:c r="O28" s="34" t="str"/>
      <x:c r="P28" s="38" t="str"/>
      <x:c r="Q28" s="38" t="str"/>
      <x:c r="R28" s="38" t="str"/>
      <x:c r="S28" s="38" t="str"/>
      <x:c r="T28" s="38" t="str"/>
      <x:c r="U28" s="38" t="str"/>
      <x:c r="V28" s="38" t="str"/>
      <x:c r="W28" s="38" t="str"/>
      <x:c r="X28" s="38" t="str"/>
      <x:c r="Y28" s="38" t="str"/>
      <x:c r="Z28" s="38" t="str"/>
      <x:c r="AA28" s="43" t="str">
        <x:f>IF('Instructions'!$B$3="","",'Instructions'!$B$3)</x:f>
      </x:c>
      <x:c r="AB28" s="43" t="str">
        <x:f>IF(P28="","PENDING",IF('Instructions'!$B$3="","SET_INITIALS",IF(P28="keep",IF(OR(Q28="",R28="",S28="",T28="",U28="",W28=""),"INCOMPLETE_KEEP","COMPLETE"),IF(P28="exclude",IF(OR(V28="",W28=""),"INCOMPLETE_EXCLUDE","COMPLETE"),"NEEDS_CONTEXT"))))</x:f>
        <x:v>PENDING</x:v>
      </x:c>
    </x:row>
    <x:row r="29" ht="62" customHeight="1">
      <x:c r="A29" s="34" t="str">
        <x:v>SV-0026</x:v>
      </x:c>
      <x:c r="B29" s="34" t="str">
        <x:v>Interoperability — Connectivity with other systems</x:v>
      </x:c>
      <x:c r="C29" s="34" t="str"/>
      <x:c r="D29" s="34" t="str"/>
      <x:c r="E29" s="34" t="str"/>
      <x:c r="F29" s="34" t="str">
        <x:v>APPENDIX
H. poc SCENARIO TOPICS
Table 4. PoC Scenario Topics
38
Project Garuda: Proof of Concept Report   |  DECEMBER 2024
© Bank Indonesia 2024. All rights reserved.</x:v>
      </x:c>
      <x:c r="G29" s="34" t="str">
        <x:v>PRD-0037-P0047-U01</x:v>
      </x:c>
      <x:c r="H29" s="34" t="str"/>
      <x:c r="I29" s="34" t="str">
        <x:v>ID_Indonesia_2024</x:v>
      </x:c>
      <x:c r="J29" s="34" t="n">
        <x:v>47</x:v>
      </x:c>
      <x:c r="K29" s="34" t="str">
        <x:v>en</x:v>
      </x:c>
      <x:c r="L29" s="34" t="str">
        <x:v>Bank Indonesia (Digital Rupiah)</x:v>
      </x:c>
      <x:c r="M29" s="34" t="str">
        <x:v>Retain the named authority's own CBDC decisions, explicit proposals, requirements, features, and executed findings. Exclude generic context, literature, foreign projects, and stakeholder views not explicitly adopted by the authority.</x:v>
      </x:c>
      <x:c r="N29" s="34" t="str">
        <x:v>text_and_render</x:v>
      </x:c>
      <x:c r="O29" s="34" t="str">
        <x:v>renders/PRD-0037-P0047.jpg</x:v>
      </x:c>
      <x:c r="P29" s="38" t="str"/>
      <x:c r="Q29" s="38" t="str"/>
      <x:c r="R29" s="38" t="str"/>
      <x:c r="S29" s="38" t="str"/>
      <x:c r="T29" s="38" t="str"/>
      <x:c r="U29" s="38" t="str"/>
      <x:c r="V29" s="38" t="str"/>
      <x:c r="W29" s="38" t="str"/>
      <x:c r="X29" s="38" t="str"/>
      <x:c r="Y29" s="38" t="str"/>
      <x:c r="Z29" s="38" t="str"/>
      <x:c r="AA29" s="43" t="str">
        <x:f>IF('Instructions'!$B$3="","",'Instructions'!$B$3)</x:f>
      </x:c>
      <x:c r="AB29" s="43" t="str">
        <x:f>IF(P29="","PENDING",IF('Instructions'!$B$3="","SET_INITIALS",IF(P29="keep",IF(OR(Q29="",R29="",S29="",T29="",U29="",W29=""),"INCOMPLETE_KEEP","COMPLETE"),IF(P29="exclude",IF(OR(V29="",W29=""),"INCOMPLETE_EXCLUDE","COMPLETE"),"NEEDS_CONTEXT"))))</x:f>
        <x:v>PENDING</x:v>
      </x:c>
    </x:row>
    <x:row r="30" ht="62" customHeight="1">
      <x:c r="A30" s="34" t="str">
        <x:v>SV-0027</x:v>
      </x:c>
      <x:c r="B30" s="34" t="str">
        <x:v>Den direkte virkningen på bankenes finansieringskostnader av at publikum 
erstatter noe bankinnskudd med DSP, er lik differansen mellom den renten 
bankene betaler på innskudd og renten de vil betale på lån i sentralbanken, jf 
figur 10.</x:v>
      </x:c>
      <x:c r="C30" s="34" t="str"/>
      <x:c r="D30" s="34" t="str"/>
      <x:c r="E30" s="34" t="str"/>
      <x:c r="F30" s="34" t="str">
        <x:v>… nken velger å låne ut mer til bankene, eller kjøpe andre 
papirer, vil imidlertid sentralbankens balanse øke. Hvordan dette skal 
gjennomføres er ikke vurdert i denne rapporten. 
Lån fra sentralbanken til bankene ytes mot sikkerhet, og bankene har 
begrenset beholdning av statspapirer og andre aktiva som lett kan pantsettes. 
Men hvis Norges Bank kjøper papirer av andre, vil ikke bankenes 
beholdninger av aktiva som ikke er stilt som sikkerheter være samme knappe 
faktor, Bindseil (2020).  
7.2. Virkningene på bankenes 
finansieringskostnader 
Den direkte virkningen på bankenes finansieringskostnader av at publikum 
erstatter noe bankinnskudd med DSP, er lik differansen mellom den renten 
bankene betaler på innskudd og renten de vil betale på lån i sentralbanken, jf 
figur 10. Historisk har denne differansen vært liten eller til og med negativ. 
Hvis sentralbanken tar en normal rente på lån blir virkningen av at innskudd 
erstattes av sentralbanklån derfor nokså begrenset. Trolig vil renten på 
sentralbanklån måtte settes høyere enn normalt blant annet på grunn av 
løpetider og sikkerheter som stilles. Se Bindseil (2020) for et konkret 
regneeksempel basert på europeiske banker og Alstadheim og Søvik (2021) 
for en tilsvarende utregning for norske rentedifferanser. 
De gjenværende innskuddene kan bli mer rentesensit …</x:v>
      </x:c>
      <x:c r="G30" s="34" t="str">
        <x:v>PRD-0054-P0055-U01</x:v>
      </x:c>
      <x:c r="H30" s="34" t="str"/>
      <x:c r="I30" s="34" t="str">
        <x:v>NO_Norway_norges-bank-memo-1-2021</x:v>
      </x:c>
      <x:c r="J30" s="34" t="n">
        <x:v>55</x:v>
      </x:c>
      <x:c r="K30" s="34" t="str">
        <x:v>en</x:v>
      </x:c>
      <x:c r="L30" s="34" t="str">
        <x:v>Norges Bank (Norwegian CBDC work)</x:v>
      </x:c>
      <x:c r="M30" s="34" t="str">
        <x:v>Retain Norges Bank CBDC positions and requirements; exclude generic or cited research.</x:v>
      </x:c>
      <x:c r="N30" s="34" t="str">
        <x:v>text</x:v>
      </x:c>
      <x:c r="O30" s="34" t="str"/>
      <x:c r="P30" s="38" t="str"/>
      <x:c r="Q30" s="38" t="str"/>
      <x:c r="R30" s="38" t="str"/>
      <x:c r="S30" s="38" t="str"/>
      <x:c r="T30" s="38" t="str"/>
      <x:c r="U30" s="38" t="str"/>
      <x:c r="V30" s="38" t="str"/>
      <x:c r="W30" s="38" t="str"/>
      <x:c r="X30" s="38" t="str"/>
      <x:c r="Y30" s="38" t="str"/>
      <x:c r="Z30" s="38" t="str"/>
      <x:c r="AA30" s="43" t="str">
        <x:f>IF('Instructions'!$B$3="","",'Instructions'!$B$3)</x:f>
      </x:c>
      <x:c r="AB30" s="43" t="str">
        <x:f>IF(P30="","PENDING",IF('Instructions'!$B$3="","SET_INITIALS",IF(P30="keep",IF(OR(Q30="",R30="",S30="",T30="",U30="",W30=""),"INCOMPLETE_KEEP","COMPLETE"),IF(P30="exclude",IF(OR(V30="",W30=""),"INCOMPLETE_EXCLUDE","COMPLETE"),"NEEDS_CONTEXT"))))</x:f>
        <x:v>PENDING</x:v>
      </x:c>
    </x:row>
    <x:row r="31" ht="62" customHeight="1">
      <x:c r="A31" s="34" t="str">
        <x:v>SV-0028</x:v>
      </x:c>
      <x:c r="B31" s="34" t="str">
        <x:v>As with the online use case, people are granted convertibility to physical Lilangeni at any 
time</x:v>
      </x:c>
      <x:c r="C31" s="34" t="str"/>
      <x:c r="D31" s="34" t="str"/>
      <x:c r="E31" s="34" t="str"/>
      <x:c r="F31" s="34" t="str">
        <x:v>… t support the execut ion of offline 
payments, can be topped up with physical Lilangeni or bank deposits. The interface for 
this can be either the user's own smartphone with NFC features or the POS terminal of a 
merchant, who can perform the top -up process with Digital Lilangen i in exchange for 
physical Lilangeni. 
The devices (Smart card or any other device with offline function/NFC) can now be used 
in face -to-face transactions in offline mode at the merchant via the POS terminal or 
between persons via an NFC-enabled offline device.  
As with the online use case, people are granted convertibility to physical Lilangeni at any 
time (see "Convertibility of Digital Lilangeni to physical Lilangeni," Figure 5). To illustrate 
which entity the citizen of Eswatini interacts with during the onboarding and transaction 
process, the respective institution/citizen is indicated in the dark blue boxes in the graph. 
FIGURE 5: EXEMPLARY USER EXPERIENCE TOWARDS THE OFFLINE USE OF DIGITAL LILANGENI  
The CBE has carried out a technical test for this specific use case within the Canteen Pilot 
Project. It took place within the premises of the Central Bank itself, more precisely in …</x:v>
      </x:c>
      <x:c r="G31" s="34" t="str">
        <x:v>PRD-0069-P0019-U01</x:v>
      </x:c>
      <x:c r="H31" s="34" t="str"/>
      <x:c r="I31" s="34" t="str">
        <x:v>SZ_Eswatini_2024-Fintech-Digital-Lilangeni-Design-Paper</x:v>
      </x:c>
      <x:c r="J31" s="34" t="n">
        <x:v>19</x:v>
      </x:c>
      <x:c r="K31" s="34" t="str">
        <x:v>en</x:v>
      </x:c>
      <x:c r="L31" s="34" t="str">
        <x:v>Central Bank of Eswatini (Digital Lilangeni)</x:v>
      </x:c>
      <x:c r="M31" s="34" t="str">
        <x:v>Retain Central Bank of Eswatini design decisions, proposals, features, and requirements; use the supplied render when text is sparse.</x:v>
      </x:c>
      <x:c r="N31" s="34" t="str">
        <x:v>text</x:v>
      </x:c>
      <x:c r="O31" s="34" t="str"/>
      <x:c r="P31" s="38" t="str"/>
      <x:c r="Q31" s="38" t="str"/>
      <x:c r="R31" s="38" t="str"/>
      <x:c r="S31" s="38" t="str"/>
      <x:c r="T31" s="38" t="str"/>
      <x:c r="U31" s="38" t="str"/>
      <x:c r="V31" s="38" t="str"/>
      <x:c r="W31" s="38" t="str"/>
      <x:c r="X31" s="38" t="str"/>
      <x:c r="Y31" s="38" t="str"/>
      <x:c r="Z31" s="38" t="str"/>
      <x:c r="AA31" s="43" t="str">
        <x:f>IF('Instructions'!$B$3="","",'Instructions'!$B$3)</x:f>
      </x:c>
      <x:c r="AB31" s="43" t="str">
        <x:f>IF(P31="","PENDING",IF('Instructions'!$B$3="","SET_INITIALS",IF(P31="keep",IF(OR(Q31="",R31="",S31="",T31="",U31="",W31=""),"INCOMPLETE_KEEP","COMPLETE"),IF(P31="exclude",IF(OR(V31="",W31=""),"INCOMPLETE_EXCLUDE","COMPLETE"),"NEEDS_CONTEXT"))))</x:f>
        <x:v>PENDING</x:v>
      </x:c>
    </x:row>
    <x:row r="32" ht="62" customHeight="1">
      <x:c r="A32" s="34" t="str">
        <x:v>SV-0029</x:v>
      </x:c>
      <x:c r="B32" s="34" t="str">
        <x:v>This will be a stand-alone 
platform solely for the issuance and transactional operation of the pilot CBDC.</x:v>
      </x:c>
      <x:c r="C32" s="34" t="str"/>
      <x:c r="D32" s="34" t="str"/>
      <x:c r="E32" s="34" t="str"/>
      <x:c r="F32" s="34" t="str">
        <x:v>The DFCRC will implement the pilot CBDC platform, with the RBA responsible for issuance and 
redemption of the pilot CBDC and other oversight and regulatory functions. This will be a stand-alone 
platform solely for the issuance and transactional operation of the pilot CBDC.
Use case providers will be industry participants responsible for the design and operation of their own 
technical platforms to implement their approved use case applications in the project. Note that use case 
providers will not be permitted to deploy any code or smart contracts on the pilot CBDC platform.
KYC providers will attest that holders of pilot CBDC have been identity-verified via an interface into the 
pilot CBDC platform. Use case providers may also act as KYC providers for their own end users.
The pilot CBDC platform will offer int …</x:v>
      </x:c>
      <x:c r="G32" s="34" t="str">
        <x:v>PRD-0006-P0007-U01</x:v>
      </x:c>
      <x:c r="H32" s="34" t="str"/>
      <x:c r="I32" s="34" t="str">
        <x:v>AU_RBA_002</x:v>
      </x:c>
      <x:c r="J32" s="34" t="n">
        <x:v>7</x:v>
      </x:c>
      <x:c r="K32" s="34" t="str">
        <x:v>en</x:v>
      </x:c>
      <x:c r="L32" s="34" t="str">
        <x:v>Reserve Bank of Australia and Digital Finance CRC (Australian CBDC pilot)</x:v>
      </x:c>
      <x:c r="M32" s="34" t="str">
        <x:v>Retain explicit joint-project design choices and requirements. Exclude prospective use cases and participant views not adopted by the project.</x:v>
      </x:c>
      <x:c r="N32" s="34" t="str">
        <x:v>text</x:v>
      </x:c>
      <x:c r="O32" s="34" t="str"/>
      <x:c r="P32" s="38" t="str"/>
      <x:c r="Q32" s="38" t="str"/>
      <x:c r="R32" s="38" t="str"/>
      <x:c r="S32" s="38" t="str"/>
      <x:c r="T32" s="38" t="str"/>
      <x:c r="U32" s="38" t="str"/>
      <x:c r="V32" s="38" t="str"/>
      <x:c r="W32" s="38" t="str"/>
      <x:c r="X32" s="38" t="str"/>
      <x:c r="Y32" s="38" t="str"/>
      <x:c r="Z32" s="38" t="str"/>
      <x:c r="AA32" s="43" t="str">
        <x:f>IF('Instructions'!$B$3="","",'Instructions'!$B$3)</x:f>
      </x:c>
      <x:c r="AB32" s="43" t="str">
        <x:f>IF(P32="","PENDING",IF('Instructions'!$B$3="","SET_INITIALS",IF(P32="keep",IF(OR(Q32="",R32="",S32="",T32="",U32="",W32=""),"INCOMPLETE_KEEP","COMPLETE"),IF(P32="exclude",IF(OR(V32="",W32=""),"INCOMPLETE_EXCLUDE","COMPLETE"),"NEEDS_CONTEXT"))))</x:f>
        <x:v>PENDING</x:v>
      </x:c>
    </x:row>
    <x:row r="33" ht="62" customHeight="1">
      <x:c r="A33" s="34" t="str">
        <x:v>SV-0030</x:v>
      </x:c>
      <x:c r="B33" s="34" t="str">
        <x:v>as a 
fully convertible currency, the design of e-MOP respects the policies 
and legal frameworks, as well as the monetary sovereignty, exchange 
rate regimes, and relevant exchange and remittance rules of other 
jurisdictions, in an endeavour to fulfill their regulatory and compliance 
requirements.</x:v>
      </x:c>
      <x:c r="C33" s="34" t="str"/>
      <x:c r="D33" s="34" t="str"/>
      <x:c r="E33" s="34" t="str"/>
      <x:c r="F33" s="34" t="str">
        <x:v>… on 
scenarios, offering services across multiple platforms.  In retail 
scenarios, research will focus on replicating certain convenient 
features of physical cash, such as the ability to function without a 
bank account or internet connection, so as to enhance payment 
inclusivity.
4.11. The design of e-MOP aims to facilitate faster and more cost-
effective cross-border payments, in alignment with the principles and 
recommendations advocated by international organisations regarding 
exchange measures and regulations for CBDCs.  Concurrently, as a 
fully convertible currency, the design of e-MOP respects the policies 
and legal frameworks, as well as the monetary sovereignty, exchange 
rate regimes, and relevant exchange and remittance rules of other 
jurisdictions, in an endeavour to fulfill their regulatory and compliance 
requirements.
4.12. e-MOP supports financial inclusion.  e-MOP can seamlessly 
interoperate with electronic payment systems, enabling connectivity 
between wallet apps of designated authorised operators, e-MOP 
wallets and bank accounts, with an overarching vision to foster 
financial inclusion.</x:v>
      </x:c>
      <x:c r="G33" s="34" t="str">
        <x:v>PRD-0050-P0032-U01</x:v>
      </x:c>
      <x:c r="H33" s="34" t="str"/>
      <x:c r="I33" s="34" t="str">
        <x:v>MO_AMCM_eMOP_WP</x:v>
      </x:c>
      <x:c r="J33" s="34" t="n">
        <x:v>32</x:v>
      </x:c>
      <x:c r="K33" s="34" t="str">
        <x:v>en</x:v>
      </x:c>
      <x:c r="L33" s="34" t="str">
        <x:v>Monetary Authority of Macao (e-MOP)</x:v>
      </x:c>
      <x:c r="M33" s="34" t="str">
        <x:v>Retain AMCM e-MOP decisions, aims, features, and requirements. Exclude incomplete OCR fragments.</x:v>
      </x:c>
      <x:c r="N33" s="34" t="str">
        <x:v>text</x:v>
      </x:c>
      <x:c r="O33" s="34" t="str"/>
      <x:c r="P33" s="38" t="str"/>
      <x:c r="Q33" s="38" t="str"/>
      <x:c r="R33" s="38" t="str"/>
      <x:c r="S33" s="38" t="str"/>
      <x:c r="T33" s="38" t="str"/>
      <x:c r="U33" s="38" t="str"/>
      <x:c r="V33" s="38" t="str"/>
      <x:c r="W33" s="38" t="str"/>
      <x:c r="X33" s="38" t="str"/>
      <x:c r="Y33" s="38" t="str"/>
      <x:c r="Z33" s="38" t="str"/>
      <x:c r="AA33" s="43" t="str">
        <x:f>IF('Instructions'!$B$3="","",'Instructions'!$B$3)</x:f>
      </x:c>
      <x:c r="AB33" s="43" t="str">
        <x:f>IF(P33="","PENDING",IF('Instructions'!$B$3="","SET_INITIALS",IF(P33="keep",IF(OR(Q33="",R33="",S33="",T33="",U33="",W33=""),"INCOMPLETE_KEEP","COMPLETE"),IF(P33="exclude",IF(OR(V33="",W33=""),"INCOMPLETE_EXCLUDE","COMPLETE"),"NEEDS_CONTEXT"))))</x:f>
        <x:v>PENDING</x:v>
      </x:c>
    </x:row>
    <x:row r="34" ht="62" customHeight="1">
      <x:c r="A34" s="34" t="str">
        <x:v>SV-0031</x:v>
      </x:c>
      <x:c r="B34" s="34" t="str">
        <x:v>On the premise of preserving 
the functions of currency, smart contracts with tamper-proof features 
and mechanisms to guarantee execution will be embedded into the 
system.</x:v>
      </x:c>
      <x:c r="C34" s="34" t="str"/>
      <x:c r="D34" s="34" t="str"/>
      <x:c r="E34" s="34" t="str"/>
      <x:c r="F34" s="34" t="str">
        <x:v>36363636PB
White Paper on Macao Special Administrative Region’s e-MOP
5.11. e-MOP will support programmability.  On the premise of preserving 
the functions of currency, smart contracts with tamper-proof features 
and mechanisms to guarantee execution will be embedded into the 
system.  Smart contracts are system protocols whose conditions 
are pre-determined, which are immutable during execution.  The 
system is able to automatically conduct compliance checks and 
verify the terms specified in the contract, while transactions may 
be automatically completed without human intervention.  Given the 
merits of smart contracts, including transparency, trustworthiness, 
automatic execution and obligatory performance, they are well suited 
to facilitate the monetary functions of e-MOP, fostering ongoing 
innovation in business and …</x:v>
      </x:c>
      <x:c r="G34" s="34" t="str">
        <x:v>PRD-0050-P0040-U01</x:v>
      </x:c>
      <x:c r="H34" s="34" t="str"/>
      <x:c r="I34" s="34" t="str">
        <x:v>MO_AMCM_eMOP_WP</x:v>
      </x:c>
      <x:c r="J34" s="34" t="n">
        <x:v>40</x:v>
      </x:c>
      <x:c r="K34" s="34" t="str">
        <x:v>en</x:v>
      </x:c>
      <x:c r="L34" s="34" t="str">
        <x:v>Monetary Authority of Macao (e-MOP)</x:v>
      </x:c>
      <x:c r="M34" s="34" t="str">
        <x:v>Retain AMCM e-MOP decisions, aims, features, and requirements. Exclude incomplete OCR fragments.</x:v>
      </x:c>
      <x:c r="N34" s="34" t="str">
        <x:v>text</x:v>
      </x:c>
      <x:c r="O34" s="34" t="str"/>
      <x:c r="P34" s="38" t="str"/>
      <x:c r="Q34" s="38" t="str"/>
      <x:c r="R34" s="38" t="str"/>
      <x:c r="S34" s="38" t="str"/>
      <x:c r="T34" s="38" t="str"/>
      <x:c r="U34" s="38" t="str"/>
      <x:c r="V34" s="38" t="str"/>
      <x:c r="W34" s="38" t="str"/>
      <x:c r="X34" s="38" t="str"/>
      <x:c r="Y34" s="38" t="str"/>
      <x:c r="Z34" s="38" t="str"/>
      <x:c r="AA34" s="43" t="str">
        <x:f>IF('Instructions'!$B$3="","",'Instructions'!$B$3)</x:f>
      </x:c>
      <x:c r="AB34" s="43" t="str">
        <x:f>IF(P34="","PENDING",IF('Instructions'!$B$3="","SET_INITIALS",IF(P34="keep",IF(OR(Q34="",R34="",S34="",T34="",U34="",W34=""),"INCOMPLETE_KEEP","COMPLETE"),IF(P34="exclude",IF(OR(V34="",W34=""),"INCOMPLETE_EXCLUDE","COMPLETE"),"NEEDS_CONTEXT"))))</x:f>
        <x:v>PENDING</x:v>
      </x:c>
    </x:row>
    <x:row r="35" ht="62" customHeight="1">
      <x:c r="A35" s="34" t="str">
        <x:v>SV-0032</x:v>
      </x:c>
      <x:c r="B35" s="34" t="str">
        <x:v>The exhale process in the Jasper LSM option involves 
the Bank of Canada paying out the pooled DDR  
balance that it accumulated during the inhale step to 
each participant in accordance with the outcome of 
the offsetting process.</x:v>
      </x:c>
      <x:c r="C35" s="34" t="str"/>
      <x:c r="D35" s="34" t="str"/>
      <x:c r="E35" s="34" t="str"/>
      <x:c r="F35" s="34" t="str">
        <x:v>… stributed Ledger Technology for Domestic Interbank Payments Settlement
participant with the largest violation of the liquidity 
condition. Payments not matched by the algorithm 
remain in the queue unless otherwise removed by 
the participant during the next cycle.  It also follows 
that summing across all participants’ net settlement 
obligations following the offset will produce a  
balance of zero.
For further clarity, a numerical example of the  
procedures invoked during each matching cycle is 
provided in Appendix 2.
The “Exhale” Process
The exhale process in the Jasper LSM option involves 
the Bank of Canada paying out the pooled DDR  
balance that it accumulated during the inhale step to 
each participant in accordance with the outcome of 
the offsetting process. Again, if a participant ended 
the offset with a negative net settlement obligation, 
then it will be paid out the difference between the 
value of its limit and the absolute value of its net  
settlement obligation. On the other hand, if a partici-
pant ended the offset with a positive net settlement 
obligation, then it will be paid out the value of this 
position plus the full value of its limit. In this way, the 
pooled DDR balance accumulated during the inhale 
process is fully paid out via redistribution among  
participants based on the …</x:v>
      </x:c>
      <x:c r="G35" s="34" t="str">
        <x:v>PRD-0015-P0029-U01</x:v>
      </x:c>
      <x:c r="H35" s="34" t="str"/>
      <x:c r="I35" s="34" t="str">
        <x:v>CA_Jasper_Phase12_2017</x:v>
      </x:c>
      <x:c r="J35" s="34" t="n">
        <x:v>29</x:v>
      </x:c>
      <x:c r="K35" s="34" t="str">
        <x:v>en</x:v>
      </x:c>
      <x:c r="L35" s="34" t="str">
        <x:v>Bank of Canada and Payments Canada (Project Jasper)</x:v>
      </x:c>
      <x:c r="M35" s="34" t="str">
        <x:v>Retain executed Project Jasper design choices and findings. Exclude general DLT literature and external examples.</x:v>
      </x:c>
      <x:c r="N35" s="34" t="str">
        <x:v>text</x:v>
      </x:c>
      <x:c r="O35" s="34" t="str"/>
      <x:c r="P35" s="38" t="str"/>
      <x:c r="Q35" s="38" t="str"/>
      <x:c r="R35" s="38" t="str"/>
      <x:c r="S35" s="38" t="str"/>
      <x:c r="T35" s="38" t="str"/>
      <x:c r="U35" s="38" t="str"/>
      <x:c r="V35" s="38" t="str"/>
      <x:c r="W35" s="38" t="str"/>
      <x:c r="X35" s="38" t="str"/>
      <x:c r="Y35" s="38" t="str"/>
      <x:c r="Z35" s="38" t="str"/>
      <x:c r="AA35" s="43" t="str">
        <x:f>IF('Instructions'!$B$3="","",'Instructions'!$B$3)</x:f>
      </x:c>
      <x:c r="AB35" s="43" t="str">
        <x:f>IF(P35="","PENDING",IF('Instructions'!$B$3="","SET_INITIALS",IF(P35="keep",IF(OR(Q35="",R35="",S35="",T35="",U35="",W35=""),"INCOMPLETE_KEEP","COMPLETE"),IF(P35="exclude",IF(OR(V35="",W35=""),"INCOMPLETE_EXCLUDE","COMPLETE"),"NEEDS_CONTEXT"))))</x:f>
        <x:v>PENDING</x:v>
      </x:c>
    </x:row>
    <x:row r="36" ht="62" customHeight="1">
      <x:c r="A36" s="34" t="str">
        <x:v>SV-0033</x:v>
      </x:c>
      <x:c r="B36" s="34" t="str">
        <x:v>Designs and developments have been made to detect attacks as soon as offline money is 
converted into online balance.</x:v>
      </x:c>
      <x:c r="C36" s="34" t="str"/>
      <x:c r="D36" s="34" t="str"/>
      <x:c r="E36" s="34" t="str"/>
      <x:c r="F36" s="34" t="str">
        <x:v>… gress Report | November 24, 2025   8  
4.2. Security 
The offline payment design is based on cryptographic operations using public and private 
key pairs. 
The Digital Turkish Lira Project employs tamper-resistant smart cards. This safeguards the 
private key from unauthorized access and ensures that balance details within the smart 
card application cannot be altered. 
Along with cryptographic measures that guard against attacks like double spending, 
identification of potential cyberattacks is considered to be a part of security measures. 
Designs and developments have been made to detect attacks as soon as offline money is 
converted into online balance. 
5. Interoperability and Integration 
The Digital Turkish Lira System is being designed to interoperate with both current and 
prospective components of digital ecosystems, featuring a modular architecture. Here, 
interconnection with the existing financial infrastructure is an important requirement. This 
connection is expected to be established through the Service Layer and, by extension, 
financial intermediaries. 
As a user-centric approach to digital identity, the Digital Turkish Lira System has adopted 
the SSI model starting from the fi …</x:v>
      </x:c>
      <x:c r="G36" s="34" t="str">
        <x:v>PRD-0101-P0010-U01</x:v>
      </x:c>
      <x:c r="H36" s="34" t="str"/>
      <x:c r="I36" s="34" t="str">
        <x:v>TR_DigitalLira_Phase2_2025</x:v>
      </x:c>
      <x:c r="J36" s="34" t="n">
        <x:v>10</x:v>
      </x:c>
      <x:c r="K36" s="34" t="str">
        <x:v>en</x:v>
      </x:c>
      <x:c r="L36" s="34" t="str">
        <x:v>Central Bank of the Republic of Turkiye (Digital Turkish Lira)</x:v>
      </x:c>
      <x:c r="M36" s="34" t="str">
        <x:v>Retain the named authority's own CBDC decisions, explicit proposals, requirements, features, and executed findings. Exclude generic context, literature, foreign projects, and stakeholder views not explicitly adopted by the authority.</x:v>
      </x:c>
      <x:c r="N36" s="34" t="str">
        <x:v>text</x:v>
      </x:c>
      <x:c r="O36" s="34" t="str"/>
      <x:c r="P36" s="38" t="str"/>
      <x:c r="Q36" s="38" t="str"/>
      <x:c r="R36" s="38" t="str"/>
      <x:c r="S36" s="38" t="str"/>
      <x:c r="T36" s="38" t="str"/>
      <x:c r="U36" s="38" t="str"/>
      <x:c r="V36" s="38" t="str"/>
      <x:c r="W36" s="38" t="str"/>
      <x:c r="X36" s="38" t="str"/>
      <x:c r="Y36" s="38" t="str"/>
      <x:c r="Z36" s="38" t="str"/>
      <x:c r="AA36" s="43" t="str">
        <x:f>IF('Instructions'!$B$3="","",'Instructions'!$B$3)</x:f>
      </x:c>
      <x:c r="AB36" s="43" t="str">
        <x:f>IF(P36="","PENDING",IF('Instructions'!$B$3="","SET_INITIALS",IF(P36="keep",IF(OR(Q36="",R36="",S36="",T36="",U36="",W36=""),"INCOMPLETE_KEEP","COMPLETE"),IF(P36="exclude",IF(OR(V36="",W36=""),"INCOMPLETE_EXCLUDE","COMPLETE"),"NEEDS_CONTEXT"))))</x:f>
        <x:v>PENDING</x:v>
      </x:c>
    </x:row>
    <x:row r="37" ht="62" customHeight="1">
      <x:c r="A37" s="34" t="str">
        <x:v>SV-0034</x:v>
      </x:c>
      <x:c r="B37" s="34" t="str">
        <x:v>The design decision of a token -based CBDC that involves the transfer of a token directly 
between wallets has worked properly in many ways</x:v>
      </x:c>
      <x:c r="C37" s="34" t="str"/>
      <x:c r="D37" s="34" t="str"/>
      <x:c r="E37" s="34" t="str"/>
      <x:c r="F37" s="34" t="str">
        <x:v>8 
this new power have pros and cons for the use of money and challenge the legal 
framework. 
5. Tokens as a solution 
The design decision of a token -based CBDC that involves the transfer of a token directly 
between wallets has worked properly in many ways 3.  The verification process  to test a 
genuine token, and that the e-Peso is not duplicated, was proven successfully. The mobile 
wallet app had no failed operations a nd in all cases the users could do paymen ts without 
delay or inconvenience . This design not only was interesting for those parts of the 
population with limited  access to bank accounts , it was also  used f or small payments, 
mostly related to everyday needs.  
All the evidence of the e -peso pilot plan shoes that the mobile phone was a helpful 
instrument to implement a  …</x:v>
      </x:c>
      <x:c r="G37" s="34" t="str">
        <x:v>PRD-0083-P0008-U01</x:v>
      </x:c>
      <x:c r="H37" s="34" t="str"/>
      <x:c r="I37" s="34" t="str">
        <x:v>UY_BCU_Seven_Lessons_2022</x:v>
      </x:c>
      <x:c r="J37" s="34" t="n">
        <x:v>8</x:v>
      </x:c>
      <x:c r="K37" s="34" t="str">
        <x:v>en</x:v>
      </x:c>
      <x:c r="L37" s="34" t="str">
        <x:v>Banco Central del Uruguay (e-Peso pilot)</x:v>
      </x:c>
      <x:c r="M37" s="34" t="str">
        <x:v>Retain BCU own-pilot findings and resulting design lessons; exclude cited literature.</x:v>
      </x:c>
      <x:c r="N37" s="34" t="str">
        <x:v>text</x:v>
      </x:c>
      <x:c r="O37" s="34" t="str"/>
      <x:c r="P37" s="38" t="str"/>
      <x:c r="Q37" s="38" t="str"/>
      <x:c r="R37" s="38" t="str"/>
      <x:c r="S37" s="38" t="str"/>
      <x:c r="T37" s="38" t="str"/>
      <x:c r="U37" s="38" t="str"/>
      <x:c r="V37" s="38" t="str"/>
      <x:c r="W37" s="38" t="str"/>
      <x:c r="X37" s="38" t="str"/>
      <x:c r="Y37" s="38" t="str"/>
      <x:c r="Z37" s="38" t="str"/>
      <x:c r="AA37" s="43" t="str">
        <x:f>IF('Instructions'!$B$3="","",'Instructions'!$B$3)</x:f>
      </x:c>
      <x:c r="AB37" s="43" t="str">
        <x:f>IF(P37="","PENDING",IF('Instructions'!$B$3="","SET_INITIALS",IF(P37="keep",IF(OR(Q37="",R37="",S37="",T37="",U37="",W37=""),"INCOMPLETE_KEEP","COMPLETE"),IF(P37="exclude",IF(OR(V37="",W37=""),"INCOMPLETE_EXCLUDE","COMPLETE"),"NEEDS_CONTEXT"))))</x:f>
        <x:v>PENDING</x:v>
      </x:c>
    </x:row>
    <x:row r="38" ht="62" customHeight="1">
      <x:c r="A38" s="34" t="str">
        <x:v>SV-0035</x:v>
      </x:c>
      <x:c r="B38" s="34" t="str">
        <x:v>81.3% of the respondents find ATM withdrawals the most valuable savings in using PSC. 55% 
consider other transactions fees savings most valuable</x:v>
      </x:c>
      <x:c r="C38" s="34" t="str"/>
      <x:c r="D38" s="34" t="str"/>
      <x:c r="E38" s="34" t="str"/>
      <x:c r="F38" s="34" t="str">
        <x:v>…  convenience factors reported 
by the respondents 
● The top 3 use cases found most valuable for future deployment of the PSC were: 
○ Retail purchases, selected by 87.8% of the respondents 
○ Wallet to Wallet transfer (Peer to Peer), selected by 67.1% of respondents 
○ Cross border transfers (i.e. remittances), selected by 61% of respondents 
● Among the top 3 use cases above, A significant portion of the respondents would be willing to pay 
a transaction fee for: 
○ Remittances (66.7%) 
○ Online purchases (55.1%) 
○ Retail purchases (50%) 
● 81.3% of the respondents find ATM withdrawals the most valuable savings in using PSC. 55% 
consider other transactions fees savings most valuable 
● Most respondents (79.6%) were reasonably concerned to very concerned about the security and 
privacy of their information when using mobile wallets 
● The top 3 reported incentives that would drive the national adoption of the PSC are: 
○ Availability at a wide range of merchants (72.5%) 
○ Discounts and cashbacks (66.3%) 
○ Education and Training (56.3%) 
● The top 3 selected features to be available in the next deployment phase of the PSC: 
○ Banking Services (link between wallet and online account) (70.4%) 
○ QR Code payments (74.1%) 
○  …</x:v>
      </x:c>
      <x:c r="G38" s="34" t="str">
        <x:v>PRD-0061-P0013-U01</x:v>
      </x:c>
      <x:c r="H38" s="34" t="str"/>
      <x:c r="I38" s="34" t="str">
        <x:v>PW_Palau_Phase1_Report</x:v>
      </x:c>
      <x:c r="J38" s="34" t="n">
        <x:v>13</x:v>
      </x:c>
      <x:c r="K38" s="34" t="str">
        <x:v>en</x:v>
      </x:c>
      <x:c r="L38" s="34" t="str">
        <x:v>Republic of Palau (Palau Stablecoin programme)</x:v>
      </x:c>
      <x:c r="M38" s="34" t="str">
        <x:v>Retain executed programme design choices and Phase 1 findings. Preserve that this is a government stablecoin programme rather than central-bank-issued CBDC.</x:v>
      </x:c>
      <x:c r="N38" s="34" t="str">
        <x:v>text</x:v>
      </x:c>
      <x:c r="O38" s="34" t="str"/>
      <x:c r="P38" s="38" t="str"/>
      <x:c r="Q38" s="38" t="str"/>
      <x:c r="R38" s="38" t="str"/>
      <x:c r="S38" s="38" t="str"/>
      <x:c r="T38" s="38" t="str"/>
      <x:c r="U38" s="38" t="str"/>
      <x:c r="V38" s="38" t="str"/>
      <x:c r="W38" s="38" t="str"/>
      <x:c r="X38" s="38" t="str"/>
      <x:c r="Y38" s="38" t="str"/>
      <x:c r="Z38" s="38" t="str"/>
      <x:c r="AA38" s="43" t="str">
        <x:f>IF('Instructions'!$B$3="","",'Instructions'!$B$3)</x:f>
      </x:c>
      <x:c r="AB38" s="43" t="str">
        <x:f>IF(P38="","PENDING",IF('Instructions'!$B$3="","SET_INITIALS",IF(P38="keep",IF(OR(Q38="",R38="",S38="",T38="",U38="",W38=""),"INCOMPLETE_KEEP","COMPLETE"),IF(P38="exclude",IF(OR(V38="",W38=""),"INCOMPLETE_EXCLUDE","COMPLETE"),"NEEDS_CONTEXT"))))</x:f>
        <x:v>PENDING</x:v>
      </x:c>
    </x:row>
    <x:row r="39" ht="62" customHeight="1">
      <x:c r="A39" s="34" t="str">
        <x:v>SV-0036</x:v>
      </x:c>
      <x:c r="B39" s="34" t="str">
        <x:v>Not everyone has a smart device or finds it easy to use one, so 
users could also have physical card options for CBDC payments.</x:v>
      </x:c>
      <x:c r="C39" s="34" t="str"/>
      <x:c r="D39" s="34" t="str"/>
      <x:c r="E39" s="34" t="str"/>
      <x:c r="F39" s="34" t="str">
        <x:v>…  split, and micropayments are additional 
payment types that could help to support innovation and meet user needs. 
CBDC would be accessed via smart devices and cards. 
The digital pound CP outlines how users would interact with their CBDC holdings. Users 
could access CBDC through wallets on smart devices. This means that they would be able to 
open a wallet using these devices, which would enable them to manage their balance and 
make payments. Smart devices might include smartphones, laptops, Internet of Things (IoT) 
devices and wearables. Not everyone has a smart device or finds it easy to use one, so 
users could also have physical card options for CBDC payments.  
It should be fast and easy to transfer between CBDC and other forms of money, 
including cash and bank deposits. 
Households and businesses currently make payments using a mix of bank deposits and 
cash. It should be simple, fast and convenient to move between CBDC and other forms of 
money, particularly cash4 and bank deposits.  
A UK CBDC should implement economic design choices as set out in the digital 
pound CP. 
The digital pound CP sets out economic design choices for a UK CBDC. Two of those 
choices have particular implications for t …</x:v>
      </x:c>
      <x:c r="G39" s="34" t="str">
        <x:v>PRD-0076-P0017-U01</x:v>
      </x:c>
      <x:c r="H39" s="34" t="str"/>
      <x:c r="I39" s="34" t="str">
        <x:v>UK_BoE_2023_TechWP</x:v>
      </x:c>
      <x:c r="J39" s="34" t="n">
        <x:v>17</x:v>
      </x:c>
      <x:c r="K39" s="34" t="str">
        <x:v>en</x:v>
      </x:c>
      <x:c r="L39" s="34" t="str">
        <x:v>Bank of England and HM Treasury (digital pound)</x:v>
      </x:c>
      <x:c r="M39" s="34" t="str">
        <x:v>Retain the named authority's own CBDC decisions, explicit proposals, requirements, features, and executed findings. Exclude generic context, literature, foreign projects, and stakeholder views not explicitly adopted by the authority.</x:v>
      </x:c>
      <x:c r="N39" s="34" t="str">
        <x:v>text</x:v>
      </x:c>
      <x:c r="O39" s="34" t="str"/>
      <x:c r="P39" s="38" t="str"/>
      <x:c r="Q39" s="38" t="str"/>
      <x:c r="R39" s="38" t="str"/>
      <x:c r="S39" s="38" t="str"/>
      <x:c r="T39" s="38" t="str"/>
      <x:c r="U39" s="38" t="str"/>
      <x:c r="V39" s="38" t="str"/>
      <x:c r="W39" s="38" t="str"/>
      <x:c r="X39" s="38" t="str"/>
      <x:c r="Y39" s="38" t="str"/>
      <x:c r="Z39" s="38" t="str"/>
      <x:c r="AA39" s="43" t="str">
        <x:f>IF('Instructions'!$B$3="","",'Instructions'!$B$3)</x:f>
      </x:c>
      <x:c r="AB39" s="43" t="str">
        <x:f>IF(P39="","PENDING",IF('Instructions'!$B$3="","SET_INITIALS",IF(P39="keep",IF(OR(Q39="",R39="",S39="",T39="",U39="",W39=""),"INCOMPLETE_KEEP","COMPLETE"),IF(P39="exclude",IF(OR(V39="",W39=""),"INCOMPLETE_EXCLUDE","COMPLETE"),"NEEDS_CONTEXT"))))</x:f>
        <x:v>PENDING</x:v>
      </x:c>
    </x:row>
    <x:row r="40" ht="62" customHeight="1">
      <x:c r="A40" s="34" t="str">
        <x:v>SV-0037</x:v>
      </x:c>
      <x:c r="B40" s="34" t="str">
        <x:v>The Central Bank will vary these limits over time as may be necessary to satisfy the robustness of 
the AML/CFT regime, under the p rinciple that the more elevated due -diligence would always 
enable accounts to operate with higher transactions limits.</x:v>
      </x:c>
      <x:c r="C40" s="34" t="str"/>
      <x:c r="D40" s="34" t="str"/>
      <x:c r="E40" s="34" t="str"/>
      <x:c r="F40" s="34" t="str">
        <x:v>… al accounts , which undergo more enhanced due diligence around 
identification, verification of contact , would be enabled to operate within a maximum holding 
amount of $5,000 and subject to an annual transactions limit of $100,000 (or $10,000 per month).  
Personal wallets, once connected to deposit accounts at financial institutions, would be enabled 
to undertake higher total transactions value, on the condition that the transactions flow through 
deposit accounts, since the maximum amount of digital currency holdings would remain capped. 
The Central Bank will vary these limits over time as may be necessary to satisfy the robustness of 
the AML/CFT regime, under the p rinciple that the more elevated due -diligence would always 
enable accounts to operate with higher transactions limits. 
The wallet establishment process is intended to be simplified, and reliant upon procedures 
established by the Central Bank ; and the appro ved KYC system of banks and payment services 
providers.  It will be possible to initiate the process through banks (eventually credit unions), PSPs 
or MTBs, but in all cases using Central Bank pre-established account codes.  16  Users would be 
able to download the Sand Dollar app to mobile iOS (Apple) or android devices and then complete 
the account setup process through a licensed service provider. A …</x:v>
      </x:c>
      <x:c r="G40" s="34" t="str">
        <x:v>PRD-0012-P0014-U01</x:v>
      </x:c>
      <x:c r="H40" s="34" t="str"/>
      <x:c r="I40" s="34" t="str">
        <x:v>BS_Bahamas_SandDollar_2019</x:v>
      </x:c>
      <x:c r="J40" s="34" t="n">
        <x:v>14</x:v>
      </x:c>
      <x:c r="K40" s="34" t="str">
        <x:v>en</x:v>
      </x:c>
      <x:c r="L40" s="34" t="str">
        <x:v>Central Bank of The Bahamas (Sand Dollar)</x:v>
      </x:c>
      <x:c r="M40" s="34" t="str">
        <x:v>Retain Sand Dollar project decisions and executed project research/findings. Exclude non-CBDC survey facts unless the text states a CBDC adoption implication.</x:v>
      </x:c>
      <x:c r="N40" s="34" t="str">
        <x:v>text</x:v>
      </x:c>
      <x:c r="O40" s="34" t="str"/>
      <x:c r="P40" s="38" t="str"/>
      <x:c r="Q40" s="38" t="str"/>
      <x:c r="R40" s="38" t="str"/>
      <x:c r="S40" s="38" t="str"/>
      <x:c r="T40" s="38" t="str"/>
      <x:c r="U40" s="38" t="str"/>
      <x:c r="V40" s="38" t="str"/>
      <x:c r="W40" s="38" t="str"/>
      <x:c r="X40" s="38" t="str"/>
      <x:c r="Y40" s="38" t="str"/>
      <x:c r="Z40" s="38" t="str"/>
      <x:c r="AA40" s="43" t="str">
        <x:f>IF('Instructions'!$B$3="","",'Instructions'!$B$3)</x:f>
      </x:c>
      <x:c r="AB40" s="43" t="str">
        <x:f>IF(P40="","PENDING",IF('Instructions'!$B$3="","SET_INITIALS",IF(P40="keep",IF(OR(Q40="",R40="",S40="",T40="",U40="",W40=""),"INCOMPLETE_KEEP","COMPLETE"),IF(P40="exclude",IF(OR(V40="",W40=""),"INCOMPLETE_EXCLUDE","COMPLETE"),"NEEDS_CONTEXT"))))</x:f>
        <x:v>PENDING</x:v>
      </x:c>
    </x:row>
    <x:row r="41" ht="62" customHeight="1">
      <x:c r="A41" s="34" t="str">
        <x:v>SV-0038</x:v>
      </x:c>
      <x:c r="B41" s="34" t="str">
        <x:v>It
would ensure that PSPs deliver consistent basic digital euro services, enabling a uniform user
experience regardless of the country or PSP involved.</x:v>
      </x:c>
      <x:c r="C41" s="34" t="str"/>
      <x:c r="D41" s="34" t="str"/>
      <x:c r="E41" s="34" t="str"/>
      <x:c r="F41" s="34" t="str">
        <x:v>…  The ECB Governing Council’s possible decision on whether to issue a
digital euro, and on what date, will only be taken once the Regulation on the establishment of the digital
euro[ ] has been adopted.
2 Development of a draft digital euro scheme
rulebook
A key focus during the two-year preparation phase of the digital euro project was the further
development of the draft digital euro scheme rulebook. The rulebook aims to define a single set of
rules, standards and procedures for the provision of digital euro payments throughout the euro area. It
would ensure that PSPs deliver consistent basic digital euro services, enabling a uniform user
experience regardless of the country or PSP involved. The rulebook would thus provide the basis for
the development of further innovative services, supporting interoperability.
The rulebook is being developed in a collaborative and iterative process with the support of the
digital euro scheme’s Rulebook Development Group (RDG). The RDG includes representatives
from consumers, merchants, banks and non-bank PSPs, as well as third-party service providers from
the European retail payments market, alongside observers from Eurosystem NCBs and EU institutions.
digital euro payments.
Select potential pro …</x:v>
      </x:c>
      <x:c r="G41" s="34" t="str">
        <x:v>PRD-0091-P0010-U01</x:v>
      </x:c>
      <x:c r="H41" s="34" t="str"/>
      <x:c r="I41" s="34" t="str">
        <x:v>EU_ECB_ClosingReport_2025</x:v>
      </x:c>
      <x:c r="J41" s="34" t="n">
        <x:v>10</x:v>
      </x:c>
      <x:c r="K41" s="34" t="str">
        <x:v>en</x:v>
      </x:c>
      <x:c r="L41" s="34" t="str">
        <x:v>European Central Bank / Eurosystem (digital euro)</x:v>
      </x:c>
      <x:c r="M41" s="34" t="str">
        <x:v>Retain the named authority's own CBDC decisions, explicit proposals, requirements, features, and executed findings. Exclude generic context, literature, foreign projects, and stakeholder views not explicitly adopted by the authority.</x:v>
      </x:c>
      <x:c r="N41" s="34" t="str">
        <x:v>text</x:v>
      </x:c>
      <x:c r="O41" s="34" t="str"/>
      <x:c r="P41" s="38" t="str"/>
      <x:c r="Q41" s="38" t="str"/>
      <x:c r="R41" s="38" t="str"/>
      <x:c r="S41" s="38" t="str"/>
      <x:c r="T41" s="38" t="str"/>
      <x:c r="U41" s="38" t="str"/>
      <x:c r="V41" s="38" t="str"/>
      <x:c r="W41" s="38" t="str"/>
      <x:c r="X41" s="38" t="str"/>
      <x:c r="Y41" s="38" t="str"/>
      <x:c r="Z41" s="38" t="str"/>
      <x:c r="AA41" s="43" t="str">
        <x:f>IF('Instructions'!$B$3="","",'Instructions'!$B$3)</x:f>
      </x:c>
      <x:c r="AB41" s="43" t="str">
        <x:f>IF(P41="","PENDING",IF('Instructions'!$B$3="","SET_INITIALS",IF(P41="keep",IF(OR(Q41="",R41="",S41="",T41="",U41="",W41=""),"INCOMPLETE_KEEP","COMPLETE"),IF(P41="exclude",IF(OR(V41="",W41=""),"INCOMPLETE_EXCLUDE","COMPLETE"),"NEEDS_CONTEXT"))))</x:f>
        <x:v>PENDING</x:v>
      </x:c>
    </x:row>
    <x:row r="42" ht="62" customHeight="1">
      <x:c r="A42" s="34" t="str">
        <x:v>SV-0039</x:v>
      </x:c>
      <x:c r="B42" s="34" t="str">
        <x:v>Once created, those wallets were then registered in the CBDC Platform (i.e. 
the PSC issuer &amp; distribution system) with both user registration and PSC distribution managed by the 
MOF staff.</x:v>
      </x:c>
      <x:c r="C42" s="34" t="str"/>
      <x:c r="D42" s="34" t="str"/>
      <x:c r="E42" s="34" t="str"/>
      <x:c r="F42" s="34" t="str">
        <x:v>Ministry of Finance Republic of Palau Stablecoin Program: Phase 1 Report                         7
The creation of the wallet address to receive and transact with PSC was done using the wallet app. Early 
feedback led to establishing a one -time, single-use access code to restrict creation of a single wallet by 
authorized individuals, only.  Once created, those wallets were then registered in the CBDC Platform (i.e. 
the PSC issuer &amp; distribution system) with both user registration and PSC distribution managed by the 
MOF staff. 
A detailed solution design captured the overall process, key volunteers, and the PSC pilot lifecycle aligned 
amongst the pilot project volunteers. The below diagram summarizes the overall workflow: 
5. Program Management Team 
The following is a list of key personnel and their respective roles: 
Palau Government Team 
● Minister of Finance / Project Sponsor: Kaleb Udui Jr. 
● Program Director / PSC Distribution: Jay Anson</x:v>
      </x:c>
      <x:c r="G42" s="34" t="str">
        <x:v>PRD-0061-P0007-U01</x:v>
      </x:c>
      <x:c r="H42" s="34" t="str"/>
      <x:c r="I42" s="34" t="str">
        <x:v>PW_Palau_Phase1_Report</x:v>
      </x:c>
      <x:c r="J42" s="34" t="n">
        <x:v>7</x:v>
      </x:c>
      <x:c r="K42" s="34" t="str">
        <x:v>en</x:v>
      </x:c>
      <x:c r="L42" s="34" t="str">
        <x:v>Republic of Palau (Palau Stablecoin programme)</x:v>
      </x:c>
      <x:c r="M42" s="34" t="str">
        <x:v>Retain executed programme design choices and Phase 1 findings. Preserve that this is a government stablecoin programme rather than central-bank-issued CBDC.</x:v>
      </x:c>
      <x:c r="N42" s="34" t="str">
        <x:v>text</x:v>
      </x:c>
      <x:c r="O42" s="34" t="str"/>
      <x:c r="P42" s="38" t="str"/>
      <x:c r="Q42" s="38" t="str"/>
      <x:c r="R42" s="38" t="str"/>
      <x:c r="S42" s="38" t="str"/>
      <x:c r="T42" s="38" t="str"/>
      <x:c r="U42" s="38" t="str"/>
      <x:c r="V42" s="38" t="str"/>
      <x:c r="W42" s="38" t="str"/>
      <x:c r="X42" s="38" t="str"/>
      <x:c r="Y42" s="38" t="str"/>
      <x:c r="Z42" s="38" t="str"/>
      <x:c r="AA42" s="43" t="str">
        <x:f>IF('Instructions'!$B$3="","",'Instructions'!$B$3)</x:f>
      </x:c>
      <x:c r="AB42" s="43" t="str">
        <x:f>IF(P42="","PENDING",IF('Instructions'!$B$3="","SET_INITIALS",IF(P42="keep",IF(OR(Q42="",R42="",S42="",T42="",U42="",W42=""),"INCOMPLETE_KEEP","COMPLETE"),IF(P42="exclude",IF(OR(V42="",W42=""),"INCOMPLETE_EXCLUDE","COMPLETE"),"NEEDS_CONTEXT"))))</x:f>
        <x:v>PENDING</x:v>
      </x:c>
    </x:row>
    <x:row r="43" ht="62" customHeight="1">
      <x:c r="A43" s="34" t="str">
        <x:v>SV-0040</x:v>
      </x:c>
      <x:c r="B43" s="34" t="str">
        <x:v>The introduction of offline payments for payment resilience in the event of 
network disruption introduces the double spend risk (Section 4.8).</x:v>
      </x:c>
      <x:c r="C43" s="34" t="str"/>
      <x:c r="D43" s="34" t="str"/>
      <x:c r="E43" s="34" t="str"/>
      <x:c r="F43" s="34" t="str">
        <x:v>… might offer resilience 
and availability benefits, but the increased number of ecosystem entities participating in 
system governance could increase the system attack surface. The implementation of security 
controls to minimise these access control risks might impact system performance, and its 
usability and adoption. Aspects of DLT might be useful in delivering resilience in the CBDC 
system, although further analysis is required. 
Additionally, functionality that provides payment resilience benefits could in turn introduce 
security risks. The introduction of offline payments for payment resilience in the event of 
network disruption introduces the double spend risk (Section 4.8).  
24 Recovery Time Objective. 
25 Recovery Point Objective.</x:v>
      </x:c>
      <x:c r="G43" s="34" t="str">
        <x:v>PRD-0076-P0038-U01</x:v>
      </x:c>
      <x:c r="H43" s="34" t="str"/>
      <x:c r="I43" s="34" t="str">
        <x:v>UK_BoE_2023_TechWP</x:v>
      </x:c>
      <x:c r="J43" s="34" t="n">
        <x:v>38</x:v>
      </x:c>
      <x:c r="K43" s="34" t="str">
        <x:v>en</x:v>
      </x:c>
      <x:c r="L43" s="34" t="str">
        <x:v>Bank of England and HM Treasury (digital pound)</x:v>
      </x:c>
      <x:c r="M43" s="34" t="str">
        <x:v>Retain the named authority's own CBDC decisions, explicit proposals, requirements, features, and executed findings. Exclude generic context, literature, foreign projects, and stakeholder views not explicitly adopted by the authority.</x:v>
      </x:c>
      <x:c r="N43" s="34" t="str">
        <x:v>text</x:v>
      </x:c>
      <x:c r="O43" s="34" t="str"/>
      <x:c r="P43" s="38" t="str"/>
      <x:c r="Q43" s="38" t="str"/>
      <x:c r="R43" s="38" t="str"/>
      <x:c r="S43" s="38" t="str"/>
      <x:c r="T43" s="38" t="str"/>
      <x:c r="U43" s="38" t="str"/>
      <x:c r="V43" s="38" t="str"/>
      <x:c r="W43" s="38" t="str"/>
      <x:c r="X43" s="38" t="str"/>
      <x:c r="Y43" s="38" t="str"/>
      <x:c r="Z43" s="38" t="str"/>
      <x:c r="AA43" s="43" t="str">
        <x:f>IF('Instructions'!$B$3="","",'Instructions'!$B$3)</x:f>
      </x:c>
      <x:c r="AB43" s="43" t="str">
        <x:f>IF(P43="","PENDING",IF('Instructions'!$B$3="","SET_INITIALS",IF(P43="keep",IF(OR(Q43="",R43="",S43="",T43="",U43="",W43=""),"INCOMPLETE_KEEP","COMPLETE"),IF(P43="exclude",IF(OR(V43="",W43=""),"INCOMPLETE_EXCLUDE","COMPLETE"),"NEEDS_CONTEXT"))))</x:f>
        <x:v>PENDING</x:v>
      </x:c>
    </x:row>
    <x:row r="44" ht="62" customHeight="1">
      <x:c r="A44" s="34" t="str">
        <x:v>SV-0041</x:v>
      </x:c>
      <x:c r="B44" s="34" t="str">
        <x:v>At least one dedicated payment service that is independent of banks' systems.</x:v>
      </x:c>
      <x:c r="C44" s="34" t="str"/>
      <x:c r="D44" s="34" t="str"/>
      <x:c r="E44" s="34" t="str"/>
      <x:c r="F44" s="34" t="str">
        <x:v>… ework. This means:  
• Analyse, identify and determine fundamental requirements and characteristics of a 
Norwegian CBDC solution. 
• Develop a requirement specification (functional, security-related and technical 
requirements) for the infrastructure, which includes, among other things: 
• Core infrastructure (primarily ledger/account system, schemes for issuing and 
confiscating CBDC and interfaces with, inter alia, Norges Bank's settlement 
system). 
• Link to payment services from private banks and other suppliers to end 
customers. 
• At least one dedicated payment service that is independent of banks' systems.  
• Develop a regulation/framework ("scheme") for a full-scale CBDC solution. One should 
develop a set of rules, guidelines, requirements for/approval of service providers (possibly a 
requirement to have a relevant licence and be subject to supervision) and agreements 
describing the roles of the actors involved in a CBDC solution, rights and obligations and set 
standards for payment notifications, among other things. The framework shall provide an 
appropriate incentive structure for the stakeholders involved and must be based on an 
ass …</x:v>
      </x:c>
      <x:c r="G44" s="34" t="str">
        <x:v>PRD-0056-P0016-U01</x:v>
      </x:c>
      <x:c r="H44" s="34" t="str"/>
      <x:c r="I44" s="34" t="str">
        <x:v>NO_Norway_norges-bank-papers-2---phase-4---final-report</x:v>
      </x:c>
      <x:c r="J44" s="34" t="n">
        <x:v>16</x:v>
      </x:c>
      <x:c r="K44" s="34" t="str">
        <x:v>en</x:v>
      </x:c>
      <x:c r="L44" s="34" t="str">
        <x:v>Norges Bank</x:v>
      </x:c>
      <x:c r="M44" s="34" t="str">
        <x:v>Retain the named authority's own CBDC decisions, explicit proposals, requirements, features, and executed findings. Exclude generic context, literature, foreign projects, and stakeholder views not explicitly adopted by the authority.</x:v>
      </x:c>
      <x:c r="N44" s="34" t="str">
        <x:v>text</x:v>
      </x:c>
      <x:c r="O44" s="34" t="str"/>
      <x:c r="P44" s="38" t="str"/>
      <x:c r="Q44" s="38" t="str"/>
      <x:c r="R44" s="38" t="str"/>
      <x:c r="S44" s="38" t="str"/>
      <x:c r="T44" s="38" t="str"/>
      <x:c r="U44" s="38" t="str"/>
      <x:c r="V44" s="38" t="str"/>
      <x:c r="W44" s="38" t="str"/>
      <x:c r="X44" s="38" t="str"/>
      <x:c r="Y44" s="38" t="str"/>
      <x:c r="Z44" s="38" t="str"/>
      <x:c r="AA44" s="43" t="str">
        <x:f>IF('Instructions'!$B$3="","",'Instructions'!$B$3)</x:f>
      </x:c>
      <x:c r="AB44" s="43" t="str">
        <x:f>IF(P44="","PENDING",IF('Instructions'!$B$3="","SET_INITIALS",IF(P44="keep",IF(OR(Q44="",R44="",S44="",T44="",U44="",W44=""),"INCOMPLETE_KEEP","COMPLETE"),IF(P44="exclude",IF(OR(V44="",W44=""),"INCOMPLETE_EXCLUDE","COMPLETE"),"NEEDS_CONTEXT"))))</x:f>
        <x:v>PENDING</x:v>
      </x:c>
    </x:row>
    <x:row r="45" ht="62" customHeight="1">
      <x:c r="A45" s="34" t="str">
        <x:v>SV-0042</x:v>
      </x:c>
      <x:c r="B45" s="34" t="str">
        <x:v>The customer protection 
framework for CBDC must consider the 
variations in the digital l iteracy of consumers 
and ways to increase consumer understanding 
and transparency so that an informed choice is 
made by them while adopting the CBDC.</x:v>
      </x:c>
      <x:c r="C45" s="34" t="str"/>
      <x:c r="D45" s="34" t="str"/>
      <x:c r="E45" s="34" t="str"/>
      <x:c r="F45" s="34" t="str">
        <x:v>… ch can 
indirectly cause consumer risk. 
(iii)       Accountability Risk: The 
identification of who is accountabl e to 
consumers in case of loss is crucial and a 
core issue in respect of the consumer 
protections associated risk. 
6.3.2 The consumer protection is an important 
pillar of the financial stability as it aids in building 
and maintaining consumer confidence and trust 
in financial markets and helps to promote 
efficiency and stability which in turn create 
positive outcomes for both financial institutions 
and their customers. The customer protection 
framework for CBDC must consider the 
variations in the digital l iteracy of consumers 
and ways to increase consumer understanding 
and transparency so that an informed choice is 
made by them while adopting the CBDC. The 
central bank must ensure that both the 
infrastructure and participants of a CBDC 
system should be extr emely resistant to cyber -
attacks and other threats. This should also 
include ensuring effective protection from 
counterfeiting. 
 6.3.3 With an objective to maintain the trust of 
the public in the CBDC, it is essential that the  
CBDC system of the country is scalable enough 
to meet the demands of the CBDC by public . 
The intermediaries should also be able to fulfil 
their obligations of meeting the demand.. 
Further, the access …</x:v>
      </x:c>
      <x:c r="G45" s="34" t="str">
        <x:v>PRD-0088-P0040-U01</x:v>
      </x:c>
      <x:c r="H45" s="34" t="str"/>
      <x:c r="I45" s="34" t="str">
        <x:v>IN_RBI_ConceptNote_2022</x:v>
      </x:c>
      <x:c r="J45" s="34" t="n">
        <x:v>40</x:v>
      </x:c>
      <x:c r="K45" s="34" t="str">
        <x:v>en</x:v>
      </x:c>
      <x:c r="L45" s="34" t="str">
        <x:v>Reserve Bank of India (digital rupee)</x:v>
      </x:c>
      <x:c r="M45" s="34" t="str">
        <x:v>Retain RBI proposals, decisions, requirements, and operating-model claims for the digital rupee.</x:v>
      </x:c>
      <x:c r="N45" s="34" t="str">
        <x:v>text</x:v>
      </x:c>
      <x:c r="O45" s="34" t="str"/>
      <x:c r="P45" s="38" t="str"/>
      <x:c r="Q45" s="38" t="str"/>
      <x:c r="R45" s="38" t="str"/>
      <x:c r="S45" s="38" t="str"/>
      <x:c r="T45" s="38" t="str"/>
      <x:c r="U45" s="38" t="str"/>
      <x:c r="V45" s="38" t="str"/>
      <x:c r="W45" s="38" t="str"/>
      <x:c r="X45" s="38" t="str"/>
      <x:c r="Y45" s="38" t="str"/>
      <x:c r="Z45" s="38" t="str"/>
      <x:c r="AA45" s="43" t="str">
        <x:f>IF('Instructions'!$B$3="","",'Instructions'!$B$3)</x:f>
      </x:c>
      <x:c r="AB45" s="43" t="str">
        <x:f>IF(P45="","PENDING",IF('Instructions'!$B$3="","SET_INITIALS",IF(P45="keep",IF(OR(Q45="",R45="",S45="",T45="",U45="",W45=""),"INCOMPLETE_KEEP","COMPLETE"),IF(P45="exclude",IF(OR(V45="",W45=""),"INCOMPLETE_EXCLUDE","COMPLETE"),"NEEDS_CONTEXT"))))</x:f>
        <x:v>PENDING</x:v>
      </x:c>
    </x:row>
    <x:row r="46" ht="62" customHeight="1">
      <x:c r="A46" s="34" t="str">
        <x:v>SV-0043</x:v>
      </x:c>
      <x:c r="B46" s="34" t="str">
        <x:v>One 
of the eCedi’s technical solutions addressing cyber-
attack prevention is the separation of the issuance 
and distribution modules of the core infrastructure.</x:v>
      </x:c>
      <x:c r="C46" s="34" t="str"/>
      <x:c r="D46" s="34" t="str"/>
      <x:c r="E46" s="34" t="str"/>
      <x:c r="F46" s="34" t="str">
        <x:v>…  the 
programmability of the currency itself.
7.4. Infrastructure
One of the primary BoG policy objectives requires 
that CBDC should be reliable and resilient 5. This 
provides that eCedi infrastructure needs to be 
secure, resilient, available, and scalable.
7.4.1. Highest IT security standards
The eCedi fulfils the highest standards of cyber 
security against fraud and cyber attacks. It is 
designed with no single point of failure. There are 
clear policies developed around who is responsible 
for redress in the case of fraudulent payments. One 
of the eCedi’s technical solutions addressing cyber-
attack prevention is the separation of the issuance 
and distribution modules of the core infrastructure.</x:v>
      </x:c>
      <x:c r="G46" s="34" t="str">
        <x:v>PRD-0030-P0029-U01</x:v>
      </x:c>
      <x:c r="H46" s="34" t="str"/>
      <x:c r="I46" s="34" t="str">
        <x:v>GH_Ghana_2021</x:v>
      </x:c>
      <x:c r="J46" s="34" t="n">
        <x:v>29</x:v>
      </x:c>
      <x:c r="K46" s="34" t="str">
        <x:v>en</x:v>
      </x:c>
      <x:c r="L46" s="34" t="str">
        <x:v>Bank of Ghana (eCedi)</x:v>
      </x:c>
      <x:c r="M46" s="34" t="str">
        <x:v>Retain Bank of Ghana eCedi design positions and requirements; exclude general CBDC literature.</x:v>
      </x:c>
      <x:c r="N46" s="34" t="str">
        <x:v>text</x:v>
      </x:c>
      <x:c r="O46" s="34" t="str"/>
      <x:c r="P46" s="38" t="str"/>
      <x:c r="Q46" s="38" t="str"/>
      <x:c r="R46" s="38" t="str"/>
      <x:c r="S46" s="38" t="str"/>
      <x:c r="T46" s="38" t="str"/>
      <x:c r="U46" s="38" t="str"/>
      <x:c r="V46" s="38" t="str"/>
      <x:c r="W46" s="38" t="str"/>
      <x:c r="X46" s="38" t="str"/>
      <x:c r="Y46" s="38" t="str"/>
      <x:c r="Z46" s="38" t="str"/>
      <x:c r="AA46" s="43" t="str">
        <x:f>IF('Instructions'!$B$3="","",'Instructions'!$B$3)</x:f>
      </x:c>
      <x:c r="AB46" s="43" t="str">
        <x:f>IF(P46="","PENDING",IF('Instructions'!$B$3="","SET_INITIALS",IF(P46="keep",IF(OR(Q46="",R46="",S46="",T46="",U46="",W46=""),"INCOMPLETE_KEEP","COMPLETE"),IF(P46="exclude",IF(OR(V46="",W46=""),"INCOMPLETE_EXCLUDE","COMPLETE"),"NEEDS_CONTEXT"))))</x:f>
        <x:v>PENDING</x:v>
      </x:c>
    </x:row>
    <x:row r="47" ht="62" customHeight="1">
      <x:c r="A47" s="34" t="str">
        <x:v>SV-0044</x:v>
      </x:c>
      <x:c r="B47" s="34" t="str">
        <x:v>The KYC regime for eCedi will be risk-based and 
therefore provide for tiered KYC access criteria 
to meet the needs of diverse user groups. In this 
regard, eCedi wallets with different requirements 
for the identification checks depending on the 
thresholds and daily/aggregate transaction limits, 
and maximum account balances will be available.</x:v>
      </x:c>
      <x:c r="C47" s="34" t="str"/>
      <x:c r="D47" s="34" t="str"/>
      <x:c r="E47" s="34" t="str"/>
      <x:c r="F47" s="34" t="str">
        <x:v>BANK OF GHANA | DESIGN P APER OF THE DIGIT AL CEDI (eCEDI)
27
The KYC regime for eCedi will be risk-based and 
therefore provide for tiered KYC access criteria 
to meet the needs of diverse user groups. In this 
regard, eCedi wallets with different requirements 
for the identification checks depending on the 
thresholds and daily/aggregate transaction limits, 
and maximum account balances will be available.
Such an approach ensures access to the eCedi 
for all Ghanaian citizens regardless of social 
status. A specific focus on the financially excluded 
(low income) population with the possibility of 
minimum KYC is therefore essential.
7.1.3. Monitoring and reporting
In line with the two-tier architecture of the eCedi, 
banks, SDIs and payment service providers will 
be responsible for monitoring of eCedi payment 
transactions and reporting of activities, including 
fraud and suspicious transactions to the Financial 
Intelligence Centre and BoG.  …</x:v>
      </x:c>
      <x:c r="G47" s="34" t="str">
        <x:v>PRD-0030-P0027-U01</x:v>
      </x:c>
      <x:c r="H47" s="34" t="str"/>
      <x:c r="I47" s="34" t="str">
        <x:v>GH_Ghana_2021</x:v>
      </x:c>
      <x:c r="J47" s="34" t="n">
        <x:v>27</x:v>
      </x:c>
      <x:c r="K47" s="34" t="str">
        <x:v>en</x:v>
      </x:c>
      <x:c r="L47" s="34" t="str">
        <x:v>Bank of Ghana (eCedi)</x:v>
      </x:c>
      <x:c r="M47" s="34" t="str">
        <x:v>Retain Bank of Ghana eCedi design positions and requirements; exclude general CBDC literature.</x:v>
      </x:c>
      <x:c r="N47" s="34" t="str">
        <x:v>text</x:v>
      </x:c>
      <x:c r="O47" s="34" t="str"/>
      <x:c r="P47" s="38" t="str"/>
      <x:c r="Q47" s="38" t="str"/>
      <x:c r="R47" s="38" t="str"/>
      <x:c r="S47" s="38" t="str"/>
      <x:c r="T47" s="38" t="str"/>
      <x:c r="U47" s="38" t="str"/>
      <x:c r="V47" s="38" t="str"/>
      <x:c r="W47" s="38" t="str"/>
      <x:c r="X47" s="38" t="str"/>
      <x:c r="Y47" s="38" t="str"/>
      <x:c r="Z47" s="38" t="str"/>
      <x:c r="AA47" s="43" t="str">
        <x:f>IF('Instructions'!$B$3="","",'Instructions'!$B$3)</x:f>
      </x:c>
      <x:c r="AB47" s="43" t="str">
        <x:f>IF(P47="","PENDING",IF('Instructions'!$B$3="","SET_INITIALS",IF(P47="keep",IF(OR(Q47="",R47="",S47="",T47="",U47="",W47=""),"INCOMPLETE_KEEP","COMPLETE"),IF(P47="exclude",IF(OR(V47="",W47=""),"INCOMPLETE_EXCLUDE","COMPLETE"),"NEEDS_CONTEXT"))))</x:f>
        <x:v>PENDING</x:v>
      </x:c>
    </x:row>
    <x:row r="48" ht="62" customHeight="1">
      <x:c r="A48" s="34" t="str">
        <x:v>SV-0045</x:v>
      </x:c>
      <x:c r="B48" s="34" t="str">
        <x:v>a
s
e
-
C
N
Y
i
s
s
e
t
t
l
e
d
upon
pa
y
m
e
nt
,
bus
i
ne
s
s
e
s
a
nd
r
e
l
a
t
e
d
pa
r
t
i
e
s
c
a
n
i
m
pr
ove
c
a
s
h
f
l
ow
w
hi
l
e
e
nj
oy
i
ng
m
or
e
c
onve
ni
e
nt
pa
y
m
e
nt
s
e
r
vi
c
e
s
.</x:v>
      </x:c>
      <x:c r="C48" s="34" t="str"/>
      <x:c r="D48" s="34" t="str"/>
      <x:c r="E48" s="34" t="str"/>
      <x:c r="F48" s="34" t="str">
        <x:v>… 
s
y
s
t
e
m
w
i
l
l
m
a
ke
f
i
na
nc
i
a
l
s
e
r
vi
c
e
s
m
or
e
a
c
c
e
s
s
i
bl
e
,
pr
ovi
di
ng
f
i
a
t
m
one
y
f
or
a
l
a
r
g
e
popul
a
t
i
on
i
n
va
r
i
ous
s
c
e
na
r
i
os
.
T
hos
e
w
i
t
hout
ba
nk
a
c
c
ount
s
c
a
n
e
nj
oy
ba
s
i
c
f
i
na
nc
i
a
l
s
e
r
vi
c
e
s
pr
ovi
de
d
vi
a
e
-
C
N
Y
w
a
l
l
e
t
,
a
nd
f
or
e
i
gn
r
e
s
i
de
nt
s
t
e
m
por
a
r
i
l
y
t
r
a
ve
l
l
i
ng
i
n
C
hi
na
c
a
n
ope
n
a
n
e
-
C
N
Y
w
a
l
l
e
t
t
o
m
e
e
t
da
i
l
y
pa
y
m
e
nt
ne
e
ds
w
i
t
hout
ope
ni
ng
a
dom
e
s
t
i
c
ba
nk
a
c
c
ount
.
I
n
a
ddi
t
i
on,
a
s
e
-
C
N
Y
i
s
s
e
t
t
l
e
d
upon
pa
y
m
e
nt
,
bus
i
ne
s
s
e
s
a
nd
r
e
l
a
t
e
d
pa
r
t
i
e
s
c
a
n
i
m
pr
ove
c
a
s
h
f
l
ow
w
hi
l
e
e
nj
oy
i
ng
m
or
e
c
onve
ni
e
nt
pa
y
m
e
nt
s
e
r
vi
c
e
s
.
T
h
e
T
h
e
T
h
e
T
h
e
s
e
c
on
d
s
e
c
on
d
s
e
c
on
d
s
e
c
on
d
ob
j
e
c
t
i
ve
ob
j
e
c
t
i
ve
ob
j
e
c
t
i
ve
ob
j
e
c
t
i
ve
i
s
i
s
i
s
i
s
t
o
t
o
t
o
t
o
s
u
p
p
or
t
s
u
p
p
or
t
s
u
p
p
or
t
s
u
p
p
or
t
f
ai
r
f
ai
r
f
ai
r
f
ai
r
c
om
p
e
t
i
t
i
on
,
c
om
p
e
t
i
t
i
on
,
c
om
p
e
t
i
t
i
on
,
c
om
p
e
t
i
t
i
on
,
e
f
f
i
c
i
e
n
c
y
e
f
f
i
c
i
e
n
c
y
e
f
f
i
c
i
e
n
c
y
e
f
f
i
c
i
e
n
c
y
an
d
an
d
an
d
an
d
s
af
e
t
y
s
af
e
t
y
s
af
e
t
y
s
af
e
t
y
of
of
of
of
r
e
t
ai
l
r
e
t
ai
l
r
e
t
ai
l
r
e
t
ai
l
p
aym
e
n
t
p
aym …</x:v>
      </x:c>
      <x:c r="G48" s="34" t="str">
        <x:v>PRD-0017-P0006-U01</x:v>
      </x:c>
      <x:c r="H48" s="34" t="str"/>
      <x:c r="I48" s="34" t="str">
        <x:v>CN_China_2021</x:v>
      </x:c>
      <x:c r="J48" s="34" t="n">
        <x:v>6</x:v>
      </x:c>
      <x:c r="K48" s="34" t="str">
        <x:v>en</x:v>
      </x:c>
      <x:c r="L48" s="34" t="str">
        <x:v>People's Bank of China (e-CNY)</x:v>
      </x:c>
      <x:c r="M48" s="34" t="str">
        <x:v>Retain PBOC e-CNY decisions, features, and requirements; exclude background and cited research.</x:v>
      </x:c>
      <x:c r="N48" s="34" t="str">
        <x:v>text</x:v>
      </x:c>
      <x:c r="O48" s="34" t="str"/>
      <x:c r="P48" s="38" t="str"/>
      <x:c r="Q48" s="38" t="str"/>
      <x:c r="R48" s="38" t="str"/>
      <x:c r="S48" s="38" t="str"/>
      <x:c r="T48" s="38" t="str"/>
      <x:c r="U48" s="38" t="str"/>
      <x:c r="V48" s="38" t="str"/>
      <x:c r="W48" s="38" t="str"/>
      <x:c r="X48" s="38" t="str"/>
      <x:c r="Y48" s="38" t="str"/>
      <x:c r="Z48" s="38" t="str"/>
      <x:c r="AA48" s="43" t="str">
        <x:f>IF('Instructions'!$B$3="","",'Instructions'!$B$3)</x:f>
      </x:c>
      <x:c r="AB48" s="43" t="str">
        <x:f>IF(P48="","PENDING",IF('Instructions'!$B$3="","SET_INITIALS",IF(P48="keep",IF(OR(Q48="",R48="",S48="",T48="",U48="",W48=""),"INCOMPLETE_KEEP","COMPLETE"),IF(P48="exclude",IF(OR(V48="",W48=""),"INCOMPLETE_EXCLUDE","COMPLETE"),"NEEDS_CONTEXT"))))</x:f>
        <x:v>PENDING</x:v>
      </x:c>
    </x:row>
    <x:row r="49" ht="62" customHeight="1">
      <x:c r="A49" s="34" t="str">
        <x:v>SV-0046</x:v>
      </x:c>
      <x:c r="B49" s="34" t="str">
        <x:v>In the described mechanism, the Bank of Israel acts as an intermediary between the end user 
and the FI operating the ATM.</x:v>
      </x:c>
      <x:c r="C49" s="34" t="str"/>
      <x:c r="D49" s="34" t="str"/>
      <x:c r="E49" s="34" t="str"/>
      <x:c r="F49" s="34" t="str">
        <x:v>The Bank of Israel Steering Com mittee 
for the Potential Issuance of a Digital Shekel 
66 
the ATM the user approached. 42 In the case of wallet defunding, the user will receive cash 
from the ATM, thereby authorising the mechanism to redeem digital shekels from their wallet 
and issue them to the wallet of the FI operating the ATM. 
In the described mechanism, the Bank of Israel acts as an intermediary between the end user 
and the FI operating the ATM. The possibility of settling the transaction as a transfer of digital 
shekels between the FI and the end user without involving the Bank of Israel was considered, 
but this configuration could raise issues  of privacy and (undesirable) obligations of the FI 
regarding anti-money laundering rules. In the described model, the responsibility for anti-
money laundering aspects lies entirely with the PSP, which has a relationship and business 
engagement with the end user, and the user's privacy vis-à-vis the FI is not compromised. 
If performing a …</x:v>
      </x:c>
      <x:c r="G49" s="34" t="str">
        <x:v>PRD-0038-P0066-U01</x:v>
      </x:c>
      <x:c r="H49" s="34" t="str"/>
      <x:c r="I49" s="34" t="str">
        <x:v>IL_BoI_2024</x:v>
      </x:c>
      <x:c r="J49" s="34" t="n">
        <x:v>66</x:v>
      </x:c>
      <x:c r="K49" s="34" t="str">
        <x:v>en</x:v>
      </x:c>
      <x:c r="L49" s="34" t="str">
        <x:v>Bank of Israel (digital shekel)</x:v>
      </x:c>
      <x:c r="M49" s="34" t="str">
        <x:v>Retain the named authority's own CBDC decisions, explicit proposals, requirements, features, and executed findings. Exclude generic context, literature, foreign projects, and stakeholder views not explicitly adopted by the authority.</x:v>
      </x:c>
      <x:c r="N49" s="34" t="str">
        <x:v>text</x:v>
      </x:c>
      <x:c r="O49" s="34" t="str"/>
      <x:c r="P49" s="38" t="str"/>
      <x:c r="Q49" s="38" t="str"/>
      <x:c r="R49" s="38" t="str"/>
      <x:c r="S49" s="38" t="str"/>
      <x:c r="T49" s="38" t="str"/>
      <x:c r="U49" s="38" t="str"/>
      <x:c r="V49" s="38" t="str"/>
      <x:c r="W49" s="38" t="str"/>
      <x:c r="X49" s="38" t="str"/>
      <x:c r="Y49" s="38" t="str"/>
      <x:c r="Z49" s="38" t="str"/>
      <x:c r="AA49" s="43" t="str">
        <x:f>IF('Instructions'!$B$3="","",'Instructions'!$B$3)</x:f>
      </x:c>
      <x:c r="AB49" s="43" t="str">
        <x:f>IF(P49="","PENDING",IF('Instructions'!$B$3="","SET_INITIALS",IF(P49="keep",IF(OR(Q49="",R49="",S49="",T49="",U49="",W49=""),"INCOMPLETE_KEEP","COMPLETE"),IF(P49="exclude",IF(OR(V49="",W49=""),"INCOMPLETE_EXCLUDE","COMPLETE"),"NEEDS_CONTEXT"))))</x:f>
        <x:v>PENDING</x:v>
      </x:c>
    </x:row>
    <x:row r="50" ht="62" customHeight="1">
      <x:c r="A50" s="34" t="str">
        <x:v>SV-0047</x:v>
      </x:c>
      <x:c r="B50" s="34" t="str">
        <x:v>increase the speed and convenience 
of cashless payments</x:v>
      </x:c>
      <x:c r="C50" s="34" t="str"/>
      <x:c r="D50" s="34" t="str"/>
      <x:c r="E50" s="34" t="str"/>
      <x:c r="F50" s="34" t="str">
        <x:v>…  guided by strategic plans to address the 
dominance of the informal economy and cash 
payments3. International approaches to financial 
markets regulation4 prove that governments have 
to play a key role in mission-critical services that 
cannot entirely be left to the private market. The 
eCedi would be one of such resilient digital means 
of payment that would also work in a crisis, even 
offline, without power supply and guaranteed 
by the central bank. The implementation of the 
eCedi can reduce the share of cash payments in 
circulation, increase the speed and convenience 
of cashless payments, engender competition 
in payment services, and enhance settlements 
of digital interbank and cross-platform retail 
payments and improve efficient use of liquidity in 
the Ghanaian payment ecosystem.
Address the risk of unregulated privately 
issued digital “currencies” or virtual assets. The 
scrutiny of Big Tech companies (for instance, Apple, 
Facebook, or Amazon) in regard to providing 
payment services and issuing private digital 
currencies is a significant challenge for regulators 
nowadays. Such global private “currencies“, as 
well a …</x:v>
      </x:c>
      <x:c r="G50" s="34" t="str">
        <x:v>PRD-0030-P0014-U01</x:v>
      </x:c>
      <x:c r="H50" s="34" t="str"/>
      <x:c r="I50" s="34" t="str">
        <x:v>GH_Ghana_2021</x:v>
      </x:c>
      <x:c r="J50" s="34" t="n">
        <x:v>14</x:v>
      </x:c>
      <x:c r="K50" s="34" t="str">
        <x:v>en</x:v>
      </x:c>
      <x:c r="L50" s="34" t="str">
        <x:v>Bank of Ghana (eCedi)</x:v>
      </x:c>
      <x:c r="M50" s="34" t="str">
        <x:v>Retain Bank of Ghana eCedi design positions and requirements; exclude general CBDC literature.</x:v>
      </x:c>
      <x:c r="N50" s="34" t="str">
        <x:v>text</x:v>
      </x:c>
      <x:c r="O50" s="34" t="str"/>
      <x:c r="P50" s="38" t="str"/>
      <x:c r="Q50" s="38" t="str"/>
      <x:c r="R50" s="38" t="str"/>
      <x:c r="S50" s="38" t="str"/>
      <x:c r="T50" s="38" t="str"/>
      <x:c r="U50" s="38" t="str"/>
      <x:c r="V50" s="38" t="str"/>
      <x:c r="W50" s="38" t="str"/>
      <x:c r="X50" s="38" t="str"/>
      <x:c r="Y50" s="38" t="str"/>
      <x:c r="Z50" s="38" t="str"/>
      <x:c r="AA50" s="43" t="str">
        <x:f>IF('Instructions'!$B$3="","",'Instructions'!$B$3)</x:f>
      </x:c>
      <x:c r="AB50" s="43" t="str">
        <x:f>IF(P50="","PENDING",IF('Instructions'!$B$3="","SET_INITIALS",IF(P50="keep",IF(OR(Q50="",R50="",S50="",T50="",U50="",W50=""),"INCOMPLETE_KEEP","COMPLETE"),IF(P50="exclude",IF(OR(V50="",W50=""),"INCOMPLETE_EXCLUDE","COMPLETE"),"NEEDS_CONTEXT"))))</x:f>
        <x:v>PENDING</x:v>
      </x:c>
    </x:row>
    <x:row r="51" ht="62" customHeight="1">
      <x:c r="A51" s="34" t="str">
        <x:v>SV-0048</x:v>
      </x:c>
      <x:c r="B51" s="34" t="str">
        <x:v>C
ons
i
s
t
e
nt
w
i
t
h
t
he
m
a
na
ge
m
e
nt
of
phy
s
i
c
a
l
R
M
B
,
t
he
P
B
O
C
doe
s
not
c
ha
r
g
e
a
ut
hor
i
z
e
d
ope
r
a
t
or
s
f
or
e
x
c
ha
nge
a
nd
c
i
r
c
ul
a
t
i
on
s
e
r
vi
c
e
s
,
a
nd
t
he
ope
r
a
t
or
s
do
not
c
ha
r
g
e
i
ndi
vi
dua
l
c
l
i
e
nt
s
f
or
t
he
e
xc
ha
nge
of
e
-
C
N
Y
e
i
t
he
r
.</x:v>
      </x:c>
      <x:c r="C51" s="34" t="str"/>
      <x:c r="D51" s="34" t="str"/>
      <x:c r="E51" s="34" t="str"/>
      <x:c r="F51" s="34" t="str">
        <x:v>… bl
e
f
a
c
e
va
l
ue
a
nd
i
t
s
va
l
ue
t
r
a
ns
f
e
r
t
a
ke
s
t
he
f
or
m
of
c
r
y
p
t
oc
ur
r
e
nc
y
s
t
r
i
ng
s
.
3.2.2
3.2.2
3.2.2
3.2.2
N
on
-
i
n
t
e
r
e
s
t
N
on
-
i
n
t
e
r
e
s
t
N
on
-
i
n
t
e
r
e
s
t
N
on
-
i
n
t
e
r
e
s
t
ac
c
r
u
al
ac
c
r
u
al
ac
c
r
u
al
ac
c
r
u
al
T
he
e
-
C
N
Y
i
s
a
s
ubs
t
i
t
ut
e
f
or
M
0.
T
hus
,
i
t
i
s
t
r
e
a
t
e
d
t
he
s
a
m
e
a
s
t
he
phy
s
i
c
a
l
R
M
B
unde
r
M
0,
w
hi
c
h
c
a
r
r
i
e
s
a
nd
pa
y
s
no
i
nt
e
r
e
s
t
.
3.2.3
3.2.3
3.2.3
3.2.3
L
ow
L
ow
L
ow
L
ow
c
os
t
s
c
os
t
s
c
os
t
s
c
os
t
s
C
ons
i
s
t
e
nt
w
i
t
h
t
he
m
a
na
ge
m
e
nt
of
phy
s
i
c
a
l
R
M
B
,
t
he
P
B
O
C
doe
s
not
c
ha
r
g
e
a
ut
hor
i
z
e
d
ope
r
a
t
or
s
f
or
e
x
c
ha
nge
a
nd
c
i
r
c
ul
a
t
i
on
s
e
r
vi
c
e
s
,
a
nd
t
he
ope
r
a
t
or
s
do
not
c
ha
r
g
e
i
ndi
vi
dua
l
c
l
i
e
nt
s
f
or
t
he
e
xc
ha
nge
of
e
-
C
N
Y
e
i
t
he
r
.
3.2.4
3.2.4
3.2.4
3.2.4
S
e
t
t
l
e
m
e
n
t
S
e
t
t
l
e
m
e
n
t
S
e
t
t
l
e
m
e
n
t
S
e
t
t
l
e
m
e
n
t
u
p
on
u
p
on
u
p
on
u
p
on
p
aym
e
n
t
p
aym
e
n
t
p
aym
e
n
t
p
aym
e
n
t
A
c
c
or
di
ng
t
o
s
e
t
t
l
e
m
e
nt
f
i
na
l
i
t
y
,
t
he
e
-
C
N
Y
i
s
l
oos
e
l
y
c
oupl
e
d
w
i
t
h
ba
nk
a
c
c
ount
s
,
a
nd
t
hus
pa
y
m
e
nt
s
t
hr
ough
e
-
C
N
Y
w
a
l
l
e
t
s
a
r
e
s
e
t
t
l
e
d
upon
pa
y
m
e
nt
.
3.2.5
3.2.5
3.2.5
3.2.5
A
n
on
ym
i
t
y
A
n
on
ym
i
t
y
A
n
on
ym
i
t
y
A
n
on
ym
i
t
y
(
m
an
age
d
(
m
an
age
d
(
m
an
age
d
(
m
an
age
d
an
on …</x:v>
      </x:c>
      <x:c r="G51" s="34" t="str">
        <x:v>PRD-0017-P0008-U01</x:v>
      </x:c>
      <x:c r="H51" s="34" t="str"/>
      <x:c r="I51" s="34" t="str">
        <x:v>CN_China_2021</x:v>
      </x:c>
      <x:c r="J51" s="34" t="n">
        <x:v>8</x:v>
      </x:c>
      <x:c r="K51" s="34" t="str">
        <x:v>en</x:v>
      </x:c>
      <x:c r="L51" s="34" t="str">
        <x:v>People's Bank of China (e-CNY)</x:v>
      </x:c>
      <x:c r="M51" s="34" t="str">
        <x:v>Retain PBOC e-CNY decisions, features, and requirements; exclude background and cited research.</x:v>
      </x:c>
      <x:c r="N51" s="34" t="str">
        <x:v>text</x:v>
      </x:c>
      <x:c r="O51" s="34" t="str"/>
      <x:c r="P51" s="38" t="str"/>
      <x:c r="Q51" s="38" t="str"/>
      <x:c r="R51" s="38" t="str"/>
      <x:c r="S51" s="38" t="str"/>
      <x:c r="T51" s="38" t="str"/>
      <x:c r="U51" s="38" t="str"/>
      <x:c r="V51" s="38" t="str"/>
      <x:c r="W51" s="38" t="str"/>
      <x:c r="X51" s="38" t="str"/>
      <x:c r="Y51" s="38" t="str"/>
      <x:c r="Z51" s="38" t="str"/>
      <x:c r="AA51" s="43" t="str">
        <x:f>IF('Instructions'!$B$3="","",'Instructions'!$B$3)</x:f>
      </x:c>
      <x:c r="AB51" s="43" t="str">
        <x:f>IF(P51="","PENDING",IF('Instructions'!$B$3="","SET_INITIALS",IF(P51="keep",IF(OR(Q51="",R51="",S51="",T51="",U51="",W51=""),"INCOMPLETE_KEEP","COMPLETE"),IF(P51="exclude",IF(OR(V51="",W51=""),"INCOMPLETE_EXCLUDE","COMPLETE"),"NEEDS_CONTEXT"))))</x:f>
        <x:v>PENDING</x:v>
      </x:c>
    </x:row>
    <x:row r="52" ht="62" customHeight="1">
      <x:c r="A52" s="34" t="str">
        <x:v>SV-0049</x:v>
      </x:c>
      <x:c r="B52" s="34" t="str">
        <x:v>PBM for donations are traceable and programmable 
donations such that beneficiaries could only receive 
the underlying digital currency when conditions  
are met.</x:v>
      </x:c>
      <x:c r="C52" s="34" t="str"/>
      <x:c r="D52" s="34" t="str"/>
      <x:c r="E52" s="34" t="str"/>
      <x:c r="F52" s="34" t="str">
        <x:v>… beneficiaries, there may 
be a lack of transparent, secure and economically 
viable option for remitting the funds, especially to 
remote areas. They may also be challenged with 
exorbitant foreign exchange fees imposed onto 
their donations such that the beneficiaries would 
ultimately receive a donation thatis a small fraction 
of the original value donated.
Consequently, potential donors may be hesitant 
to contribute to social causes because of the 
information gap that exists between potential 
donors and beneficiaries. 
Solution Overview
PBM for donations are traceable and programmable 
donations such that beneficiaries could only receive 
the underlying digital currency when conditions  
are met. 
Potential solution flow
1. Individual donors or Charities and Institutions 
of a Public Character (IPCs), transfer SGD to a 
designated settlement account (e.g. held with 
DBS Bank)
2. Digital SGD Issuer mints the digital SGD for the 
charity association’s trustee account with Digital 
SGD Issuer.
3. The charity association determines the grants 
received by the non-profit organisation (NPO) 
under their charge and defines the terms  and 
conditions for which the digital SGD could  
be used. 
4. The NPO, a beneficiary of the PBM, spends the 
 …</x:v>
      </x:c>
      <x:c r="G52" s="34" t="str">
        <x:v>PRD-0068-P0025-U01</x:v>
      </x:c>
      <x:c r="H52" s="34" t="str"/>
      <x:c r="I52" s="34" t="str">
        <x:v>SG_MAS_mas-project-orchid-report</x:v>
      </x:c>
      <x:c r="J52" s="34" t="n">
        <x:v>25</x:v>
      </x:c>
      <x:c r="K52" s="34" t="str">
        <x:v>en</x:v>
      </x:c>
      <x:c r="L52" s="34" t="str">
        <x:v>Monetary Authority of Singapore (Project Orchid / purpose-bound money)</x:v>
      </x:c>
      <x:c r="M52" s="34" t="str">
        <x:v>Retain complete Project Orchid decisions, requirements, and executed findings. Exclude future research and incomplete fragments.</x:v>
      </x:c>
      <x:c r="N52" s="34" t="str">
        <x:v>text</x:v>
      </x:c>
      <x:c r="O52" s="34" t="str"/>
      <x:c r="P52" s="38" t="str"/>
      <x:c r="Q52" s="38" t="str"/>
      <x:c r="R52" s="38" t="str"/>
      <x:c r="S52" s="38" t="str"/>
      <x:c r="T52" s="38" t="str"/>
      <x:c r="U52" s="38" t="str"/>
      <x:c r="V52" s="38" t="str"/>
      <x:c r="W52" s="38" t="str"/>
      <x:c r="X52" s="38" t="str"/>
      <x:c r="Y52" s="38" t="str"/>
      <x:c r="Z52" s="38" t="str"/>
      <x:c r="AA52" s="43" t="str">
        <x:f>IF('Instructions'!$B$3="","",'Instructions'!$B$3)</x:f>
      </x:c>
      <x:c r="AB52" s="43" t="str">
        <x:f>IF(P52="","PENDING",IF('Instructions'!$B$3="","SET_INITIALS",IF(P52="keep",IF(OR(Q52="",R52="",S52="",T52="",U52="",W52=""),"INCOMPLETE_KEEP","COMPLETE"),IF(P52="exclude",IF(OR(V52="",W52=""),"INCOMPLETE_EXCLUDE","COMPLETE"),"NEEDS_CONTEXT"))))</x:f>
        <x:v>PENDING</x:v>
      </x:c>
    </x:row>
    <x:row r="53" ht="62" customHeight="1">
      <x:c r="A53" s="34" t="str">
        <x:v>SV-0050</x:v>
      </x:c>
      <x:c r="B53" s="34" t="str">
        <x:v>To prevent a situation where only one transfer succeeds 
and the other fails, the following is implemented:
(1) Only the amount of A’s CBDC and B’s other asset to be 
transferred should be set aside to avoid transfer failures 
due to insufficient balances, etc.
(2)
・ Transfer the reserved portion only if the process in (1) is 
successful for both CBDC and the other asset.
・ If either CBDC or the other asset fails to process in (1), return 
to the original state (release reserved amount).</x:v>
      </x:c>
      <x:c r="C53" s="34" t="str"/>
      <x:c r="D53" s="34" t="str"/>
      <x:c r="E53" s="34" t="str"/>
      <x:c r="F53" s="34" t="str">
        <x:v>15 
CBDC System
Other Asset System (DLT Platform)
User A
account
User B
account
User A
account
User B
account
Reserve
account
Reserve
account
(1) Reserve
(2) Transfer
(2) Release
(1) Reserve
(2) Release 
(2) Transfer
 Assume that users A and B hold CBDC accounts and 
other asset accounts; A transfers CBDC to B, and B 
transfers other asset to A.
 To prevent a situation where only one transfer succeeds 
and the other fails, the following is implemented:
(1) Only the amount of A’s CBDC and B’s other asset to be 
transferred should be set aside to avoid transfer failures 
due to insufficient balances, etc.
(2)
・ Transfer the reserved portion only if the process in (1) is 
successful for both CBDC and the other asset.
・ If either CBDC or the other asset fails to process in (1), return 
to the original state (release reserved amount).
Figure 10: Example of a linkage processing 
A possible method for implementing a linkage processing is for the system that manages the 
assets to be exchanged to have an application that issues asset transfer instructions and to connect 
them indirectly via a connection system that is independent of both systems (the connection system 
would have an application that triggers transfer instructions at the appropriate time; see Figure 11). 
Regarding the application of the respective systems that perform the co nnection function (the  …</x:v>
      </x:c>
      <x:c r="G53" s="34" t="str">
        <x:v>PRD-0046-P0017-U01</x:v>
      </x:c>
      <x:c r="H53" s="34" t="str"/>
      <x:c r="I53" s="34" t="str">
        <x:v>JP_BoJ_PoC2</x:v>
      </x:c>
      <x:c r="J53" s="34" t="n">
        <x:v>17</x:v>
      </x:c>
      <x:c r="K53" s="34" t="str">
        <x:v>en</x:v>
      </x:c>
      <x:c r="L53" s="34" t="str">
        <x:v>Bank of Japan</x:v>
      </x:c>
      <x:c r="M53" s="34" t="str">
        <x:v>Retain the named authority's own CBDC decisions, explicit proposals, requirements, features, and executed findings. Exclude generic context, literature, foreign projects, and stakeholder views not explicitly adopted by the authority.</x:v>
      </x:c>
      <x:c r="N53" s="34" t="str">
        <x:v>text</x:v>
      </x:c>
      <x:c r="O53" s="34" t="str"/>
      <x:c r="P53" s="38" t="str"/>
      <x:c r="Q53" s="38" t="str"/>
      <x:c r="R53" s="38" t="str"/>
      <x:c r="S53" s="38" t="str"/>
      <x:c r="T53" s="38" t="str"/>
      <x:c r="U53" s="38" t="str"/>
      <x:c r="V53" s="38" t="str"/>
      <x:c r="W53" s="38" t="str"/>
      <x:c r="X53" s="38" t="str"/>
      <x:c r="Y53" s="38" t="str"/>
      <x:c r="Z53" s="38" t="str"/>
      <x:c r="AA53" s="43" t="str">
        <x:f>IF('Instructions'!$B$3="","",'Instructions'!$B$3)</x:f>
      </x:c>
      <x:c r="AB53" s="43" t="str">
        <x:f>IF(P53="","PENDING",IF('Instructions'!$B$3="","SET_INITIALS",IF(P53="keep",IF(OR(Q53="",R53="",S53="",T53="",U53="",W53=""),"INCOMPLETE_KEEP","COMPLETE"),IF(P53="exclude",IF(OR(V53="",W53=""),"INCOMPLETE_EXCLUDE","COMPLETE"),"NEEDS_CONTEXT"))))</x:f>
        <x:v>PENDING</x:v>
      </x:c>
    </x:row>
    <x:row r="54" ht="62" customHeight="1">
      <x:c r="A54" s="34" t="str">
        <x:v>SV-0051</x:v>
      </x:c>
      <x:c r="B54" s="34" t="str">
        <x:v>The centre of the CBDC payment system would be a core ledger (database) that records CBDC value itself, and 
processes the payments (transactions) made using CBDC.</x:v>
      </x:c>
      <x:c r="C54" s="34" t="str"/>
      <x:c r="D54" s="34" t="str"/>
      <x:c r="E54" s="34" t="str"/>
      <x:c r="F54" s="34" t="str">
        <x:v>… vation and extensibility. Similar approaches have been taken by the 
New Payments Platform in Australia, Payments Canada’s Modernization programme, and it is also the model 
proposed in Pay.UK’s New Payments Architecture Programme in the UK (see appendix).
There are complex considerations in each area of CBDC design, and many open questions that require further 
research. The platform model is not the only way that CBDC could be structured, so we may choose to explore 
other models in the future.
4.2 Key components
(a) Central bank core ledger
The centre of the CBDC payment system would be a core ledger (database) that records CBDC value itself, and 
processes the payments (transactions) made using CBDC. In this illustrative model, the functionality of the core 
ledger could be limited to the essential features required to enable CBDC payments. For example, it could provide 
push payments ie payments initiated by the payer (sender) and the ability to query latest balances or transaction 
history. Limiting the range of functionality to the essential features could make it easier to build a system that is 
simple, fast and resilient, and could allow most of the innovation in CBDC payment functionality to happen in the 
private sector through ove …</x:v>
      </x:c>
      <x:c r="G54" s="34" t="str">
        <x:v>PRD-0075-P0027-U01</x:v>
      </x:c>
      <x:c r="H54" s="34" t="str"/>
      <x:c r="I54" s="34" t="str">
        <x:v>UK_BoE_2020_OpportChall</x:v>
      </x:c>
      <x:c r="J54" s="34" t="n">
        <x:v>27</x:v>
      </x:c>
      <x:c r="K54" s="34" t="str">
        <x:v>en</x:v>
      </x:c>
      <x:c r="L54" s="34" t="str">
        <x:v>Bank of England and HM Treasury (digital pound)</x:v>
      </x:c>
      <x:c r="M54" s="34" t="str">
        <x:v>Retain the named authority's own CBDC decisions, explicit proposals, requirements, features, and executed findings. Exclude generic context, literature, foreign projects, and stakeholder views not explicitly adopted by the authority.</x:v>
      </x:c>
      <x:c r="N54" s="34" t="str">
        <x:v>text</x:v>
      </x:c>
      <x:c r="O54" s="34" t="str"/>
      <x:c r="P54" s="38" t="str"/>
      <x:c r="Q54" s="38" t="str"/>
      <x:c r="R54" s="38" t="str"/>
      <x:c r="S54" s="38" t="str"/>
      <x:c r="T54" s="38" t="str"/>
      <x:c r="U54" s="38" t="str"/>
      <x:c r="V54" s="38" t="str"/>
      <x:c r="W54" s="38" t="str"/>
      <x:c r="X54" s="38" t="str"/>
      <x:c r="Y54" s="38" t="str"/>
      <x:c r="Z54" s="38" t="str"/>
      <x:c r="AA54" s="43" t="str">
        <x:f>IF('Instructions'!$B$3="","",'Instructions'!$B$3)</x:f>
      </x:c>
      <x:c r="AB54" s="43" t="str">
        <x:f>IF(P54="","PENDING",IF('Instructions'!$B$3="","SET_INITIALS",IF(P54="keep",IF(OR(Q54="",R54="",S54="",T54="",U54="",W54=""),"INCOMPLETE_KEEP","COMPLETE"),IF(P54="exclude",IF(OR(V54="",W54=""),"INCOMPLETE_EXCLUDE","COMPLETE"),"NEEDS_CONTEXT"))))</x:f>
        <x:v>PENDING</x:v>
      </x:c>
    </x:row>
    <x:row r="55" ht="62" customHeight="1">
      <x:c r="A55" s="34" t="str">
        <x:v>SV-0052</x:v>
      </x:c>
      <x:c r="B55" s="34" t="str">
        <x:v>the e-hryvnia is not a  yield bearing instrument, and 
therefore, it works as a medium of exchange, not as 
a store of value.</x:v>
      </x:c>
      <x:c r="C55" s="34" t="str"/>
      <x:c r="D55" s="34" t="str"/>
      <x:c r="E55" s="34" t="str"/>
      <x:c r="F55" s="34" t="str">
        <x:v>…  broad public in order 
to make sure that this instrument becomes a truly mass 
product, considering existing consumer habits. 
In late 2016, the NBU  started to explore the possibility of 
issuing its own CBDC, the electronic hryvnia or e -hryvnia, 
considering that:  
 the e -hryvnia is regarded as a digital currency 
issued by the NBU 
 the e -hryvnia may be characterized as a national 
digital currency representing a fiat currency 
 the e -hryvnia must be convertible into cash or 
cashless money without limitations at the rate of 1:1 
 the e-hryvnia is not a  yield bearing instrument, and 
therefore, it works as a medium of exchange, not as 
a store of value. 
The e-hryvnia could be either an anonymous CBDC or user-
identifiable, since both options have their own advantages 
and disadvantages. 
The e -hryvnia could be launched in Ukraine’s payment 
market on the basis of one of the following two models 
(schemes) of interaction between participants: centralized or 
decentralized. If the decentralized model is chosen,  the e -
hryvnia may no longer fall under the definition of CBDC, 
because this digital currency will be issued not by the central 
bank, but by payment mark et participants under regu …</x:v>
      </x:c>
      <x:c r="G55" s="34" t="str">
        <x:v>PRD-0074-P0005-U01</x:v>
      </x:c>
      <x:c r="H55" s="34" t="str"/>
      <x:c r="I55" s="34" t="str">
        <x:v>UA_NBU_E-hryvnia_2019</x:v>
      </x:c>
      <x:c r="J55" s="34" t="n">
        <x:v>5</x:v>
      </x:c>
      <x:c r="K55" s="34" t="str">
        <x:v>en</x:v>
      </x:c>
      <x:c r="L55" s="34" t="str">
        <x:v>National Bank of Ukraine (e-hryvnia pilot)</x:v>
      </x:c>
      <x:c r="M55" s="34" t="str">
        <x:v>Retain NBU own-pilot findings and resulting decisions/requirements. Prefer a specific substantive code over PROC.pilot_learning.</x:v>
      </x:c>
      <x:c r="N55" s="34" t="str">
        <x:v>text</x:v>
      </x:c>
      <x:c r="O55" s="34" t="str"/>
      <x:c r="P55" s="38" t="str"/>
      <x:c r="Q55" s="38" t="str"/>
      <x:c r="R55" s="38" t="str"/>
      <x:c r="S55" s="38" t="str"/>
      <x:c r="T55" s="38" t="str"/>
      <x:c r="U55" s="38" t="str"/>
      <x:c r="V55" s="38" t="str"/>
      <x:c r="W55" s="38" t="str"/>
      <x:c r="X55" s="38" t="str"/>
      <x:c r="Y55" s="38" t="str"/>
      <x:c r="Z55" s="38" t="str"/>
      <x:c r="AA55" s="43" t="str">
        <x:f>IF('Instructions'!$B$3="","",'Instructions'!$B$3)</x:f>
      </x:c>
      <x:c r="AB55" s="43" t="str">
        <x:f>IF(P55="","PENDING",IF('Instructions'!$B$3="","SET_INITIALS",IF(P55="keep",IF(OR(Q55="",R55="",S55="",T55="",U55="",W55=""),"INCOMPLETE_KEEP","COMPLETE"),IF(P55="exclude",IF(OR(V55="",W55=""),"INCOMPLETE_EXCLUDE","COMPLETE"),"NEEDS_CONTEXT"))))</x:f>
        <x:v>PENDING</x:v>
      </x:c>
    </x:row>
    <x:row r="56" ht="62" customHeight="1">
      <x:c r="A56" s="34" t="str">
        <x:v>SV-0053</x:v>
      </x:c>
      <x:c r="B56" s="34" t="str">
        <x:v>The Bank will not pursue central bank-initiated programmable functions. 
This means that the Bank will not program CBDC to restrict its use.</x:v>
      </x:c>
      <x:c r="C56" s="34" t="str"/>
      <x:c r="D56" s="34" t="str"/>
      <x:c r="E56" s="34" t="str"/>
      <x:c r="F56" s="34" t="str">
        <x:v>… support offline payments. PIPs and ESIPs 
would carry out user authentication. 
Interoperability: CBDC would be interoperable, allowing conversion between CBDC and 
other forms of money, particularly cash and bank deposits. Subject to further evaluation and 
taking account of wider developments, this might be enabled through utilising existing 
payment infrastructure, such as Faster Payments System, New Payments Architecture or 
LINK. Further integrations might be added later to support specific payment or settlement 
needs.  
Programmability: The Bank will not pursue central bank-initiated programmable functions. 
This means that the Bank will not program CBDC to restrict its use. But PIPs could, with user 
consent, implement programmability features which are designed to give users greater 
functionality from their wallets and CBDC holdings. These could include automated payments 
or programmable wallets. The CBDC system might also enable a wide range of other 
programmable features, including payment-versus-payment, delivery-versus-payment and 
smart contract functionality, by implementing locking mechanisms, which PIPs and ESIPs 
can access through the API layer. 
Offline payments: The CBDC system might enable offlin …</x:v>
      </x:c>
      <x:c r="G56" s="34" t="str">
        <x:v>PRD-0076-P0007-U01</x:v>
      </x:c>
      <x:c r="H56" s="34" t="str"/>
      <x:c r="I56" s="34" t="str">
        <x:v>UK_BoE_2023_TechWP</x:v>
      </x:c>
      <x:c r="J56" s="34" t="n">
        <x:v>7</x:v>
      </x:c>
      <x:c r="K56" s="34" t="str">
        <x:v>en</x:v>
      </x:c>
      <x:c r="L56" s="34" t="str">
        <x:v>Bank of England and HM Treasury (digital pound)</x:v>
      </x:c>
      <x:c r="M56" s="34" t="str">
        <x:v>Retain the named authority's own CBDC decisions, explicit proposals, requirements, features, and executed findings. Exclude generic context, literature, foreign projects, and stakeholder views not explicitly adopted by the authority.</x:v>
      </x:c>
      <x:c r="N56" s="34" t="str">
        <x:v>text</x:v>
      </x:c>
      <x:c r="O56" s="34" t="str"/>
      <x:c r="P56" s="38" t="str"/>
      <x:c r="Q56" s="38" t="str"/>
      <x:c r="R56" s="38" t="str"/>
      <x:c r="S56" s="38" t="str"/>
      <x:c r="T56" s="38" t="str"/>
      <x:c r="U56" s="38" t="str"/>
      <x:c r="V56" s="38" t="str"/>
      <x:c r="W56" s="38" t="str"/>
      <x:c r="X56" s="38" t="str"/>
      <x:c r="Y56" s="38" t="str"/>
      <x:c r="Z56" s="38" t="str"/>
      <x:c r="AA56" s="43" t="str">
        <x:f>IF('Instructions'!$B$3="","",'Instructions'!$B$3)</x:f>
      </x:c>
      <x:c r="AB56" s="43" t="str">
        <x:f>IF(P56="","PENDING",IF('Instructions'!$B$3="","SET_INITIALS",IF(P56="keep",IF(OR(Q56="",R56="",S56="",T56="",U56="",W56=""),"INCOMPLETE_KEEP","COMPLETE"),IF(P56="exclude",IF(OR(V56="",W56=""),"INCOMPLETE_EXCLUDE","COMPLETE"),"NEEDS_CONTEXT"))))</x:f>
        <x:v>PENDING</x:v>
      </x:c>
    </x:row>
    <x:row r="57" ht="62" customHeight="1">
      <x:c r="A57" s="34" t="str">
        <x:v>SV-0054</x:v>
      </x:c>
      <x:c r="B57" s="34" t="str">
        <x:v>This CP provides an overview of the Digital Rupiah design for the
first stage of its development (immediate stage), namely the wholesale
Digital Rupiah cash ledger which includes the introduction of the
technology and basic functionalities constituting the issuance, redemption,
and transference of funds.</x:v>
      </x:c>
      <x:c r="C57" s="34" t="str"/>
      <x:c r="D57" s="34" t="str"/>
      <x:c r="E57" s="34" t="str"/>
      <x:c r="F57" s="34" t="str">
        <x:v>PREFACE
Bank Indonesia publishes this Consultative Paper (CP) regarding the
Digital Rupiah development plan as a follow-up to the publication of the
Garuda Project White Paper: Navigating the Digital Rupiah
Architecture. The issuance of this CP is an endeavor to begin public
discussions on the design of the Digital Rupiah.
This CP provides an overview of the Digital Rupiah design for the
first stage of its development (immediate stage), namely the wholesale
Digital Rupiah cash ledger which includes the introduction of the
technology and basic functionalities constituting the issuance, redemption,
and transference of funds. The design of the Digital Rupiah development
has taken into consideration benchmarks against best practices from
several countries that have conducted studies and experiments on
wholesale central bank digital currency.
In this regard, Bank Indonesia invites the inputs or views from all
relevant stakeholders based on this CP to improve the design of the Digital
Rupiah development. All inputs or views submitted should be
accompanied by a detailed explanation and/or supporting information.
Feedback can be submitted through the following methods:
 …</x:v>
      </x:c>
      <x:c r="G57" s="34" t="str">
        <x:v>PRD-0036-P0004-U01</x:v>
      </x:c>
      <x:c r="H57" s="34" t="str"/>
      <x:c r="I57" s="34" t="str">
        <x:v>ID_Indonesia_2023a</x:v>
      </x:c>
      <x:c r="J57" s="34" t="n">
        <x:v>4</x:v>
      </x:c>
      <x:c r="K57" s="34" t="str">
        <x:v>en</x:v>
      </x:c>
      <x:c r="L57" s="34" t="str">
        <x:v>Bank Indonesia (Digital Rupiah)</x:v>
      </x:c>
      <x:c r="M57" s="34" t="str">
        <x:v>Retain Bank Indonesia Digital Rupiah decisions, roadmap commitments, features, and requirements.</x:v>
      </x:c>
      <x:c r="N57" s="34" t="str">
        <x:v>text</x:v>
      </x:c>
      <x:c r="O57" s="34" t="str"/>
      <x:c r="P57" s="38" t="str"/>
      <x:c r="Q57" s="38" t="str"/>
      <x:c r="R57" s="38" t="str"/>
      <x:c r="S57" s="38" t="str"/>
      <x:c r="T57" s="38" t="str"/>
      <x:c r="U57" s="38" t="str"/>
      <x:c r="V57" s="38" t="str"/>
      <x:c r="W57" s="38" t="str"/>
      <x:c r="X57" s="38" t="str"/>
      <x:c r="Y57" s="38" t="str"/>
      <x:c r="Z57" s="38" t="str"/>
      <x:c r="AA57" s="43" t="str">
        <x:f>IF('Instructions'!$B$3="","",'Instructions'!$B$3)</x:f>
      </x:c>
      <x:c r="AB57" s="43" t="str">
        <x:f>IF(P57="","PENDING",IF('Instructions'!$B$3="","SET_INITIALS",IF(P57="keep",IF(OR(Q57="",R57="",S57="",T57="",U57="",W57=""),"INCOMPLETE_KEEP","COMPLETE"),IF(P57="exclude",IF(OR(V57="",W57=""),"INCOMPLETE_EXCLUDE","COMPLETE"),"NEEDS_CONTEXT"))))</x:f>
        <x:v>PENDING</x:v>
      </x:c>
    </x:row>
    <x:row r="58" ht="62" customHeight="1">
      <x:c r="A58" s="34" t="str">
        <x:v>SV-0055</x:v>
      </x:c>
      <x:c r="B58" s="34" t="str">
        <x:v>The DS payment system is 
an innovative system built from scratch.</x:v>
      </x:c>
      <x:c r="C58" s="34" t="str"/>
      <x:c r="D58" s="34" t="str"/>
      <x:c r="E58" s="34" t="str"/>
      <x:c r="F58" s="34" t="str">
        <x:v>… 7 without bearing the financ ial risk of holding the 
money. Therefore, they will be exempt from stringent re gulation in this area. 
Payment Service Providers can offer innovation in payments without compromising 
(and even enhancing) public confidence in money. Paying interest from the Bank of 
Israel to DS holders may also increase competition in the deposit market, as 
described in section 7.7 of the document. 
2. Creating an innovative infrastructure that ensures the payment system's 
adaptation to the needs of the future digital economy. The DS payment system is 
an innovative system built from scratch. Payments are immediate and final. Chapter 
6 of the document describes the extensive capabilities that will enable the system to 
support advanced payment applications, with interoperability with other payment 
systems as well as with other digital asset networks that are currently developing 
and w ill develop in the future. The Digital Shekel Challenge,8 which recently 
concluded, demonstrated several innovative use cases by private companies that 
the DS system will be able to support. The collaboration between the public sector, 
which wil …</x:v>
      </x:c>
      <x:c r="G58" s="34" t="str">
        <x:v>PRD-0038-P0026-U01</x:v>
      </x:c>
      <x:c r="H58" s="34" t="str"/>
      <x:c r="I58" s="34" t="str">
        <x:v>IL_BoI_2024</x:v>
      </x:c>
      <x:c r="J58" s="34" t="n">
        <x:v>26</x:v>
      </x:c>
      <x:c r="K58" s="34" t="str">
        <x:v>en</x:v>
      </x:c>
      <x:c r="L58" s="34" t="str">
        <x:v>Bank of Israel (digital shekel)</x:v>
      </x:c>
      <x:c r="M58" s="34" t="str">
        <x:v>Retain the named authority's own CBDC decisions, explicit proposals, requirements, features, and executed findings. Exclude generic context, literature, foreign projects, and stakeholder views not explicitly adopted by the authority.</x:v>
      </x:c>
      <x:c r="N58" s="34" t="str">
        <x:v>text</x:v>
      </x:c>
      <x:c r="O58" s="34" t="str"/>
      <x:c r="P58" s="38" t="str"/>
      <x:c r="Q58" s="38" t="str"/>
      <x:c r="R58" s="38" t="str"/>
      <x:c r="S58" s="38" t="str"/>
      <x:c r="T58" s="38" t="str"/>
      <x:c r="U58" s="38" t="str"/>
      <x:c r="V58" s="38" t="str"/>
      <x:c r="W58" s="38" t="str"/>
      <x:c r="X58" s="38" t="str"/>
      <x:c r="Y58" s="38" t="str"/>
      <x:c r="Z58" s="38" t="str"/>
      <x:c r="AA58" s="43" t="str">
        <x:f>IF('Instructions'!$B$3="","",'Instructions'!$B$3)</x:f>
      </x:c>
      <x:c r="AB58" s="43" t="str">
        <x:f>IF(P58="","PENDING",IF('Instructions'!$B$3="","SET_INITIALS",IF(P58="keep",IF(OR(Q58="",R58="",S58="",T58="",U58="",W58=""),"INCOMPLETE_KEEP","COMPLETE"),IF(P58="exclude",IF(OR(V58="",W58=""),"INCOMPLETE_EXCLUDE","COMPLETE"),"NEEDS_CONTEXT"))))</x:f>
        <x:v>PENDING</x:v>
      </x:c>
    </x:row>
    <x:row r="59" ht="62" customHeight="1">
      <x:c r="A59" s="34" t="str">
        <x:v>SV-0056</x:v>
      </x:c>
      <x:c r="B59" s="34" t="str">
        <x:v>In the context of  Namibia, the motivation  for a possible CBDC lies in further extending 
financial inclusion.</x:v>
      </x:c>
      <x:c r="C59" s="34" t="str"/>
      <x:c r="D59" s="34" t="str"/>
      <x:c r="E59" s="34" t="str"/>
      <x:c r="F59" s="34" t="str">
        <x:v>3 
October 2021 and the Bahamian sand dollar which was launched in October 2020  (IMF, 
2022). Countries have different motivations  for exploring and issuing CBDCs including financial 
stability, payment safety and robustness, financial inclusion, payment efficiency domestically and 
cross border and monetary policy implementation (Codruta Boar, 2021). 
In the context of  Namibia, the motivation  for a possible CBDC lies in further extending 
financial inclusion. Financial inclusion may be defined as the delivery of financial services and 
products that are available, accessible, and affordable to all segments of the population . Access 
to finance remains a bottleneck for the rural population , which faces considerable hurdles. 
Although access to mobile phones, which is a key enabler, is relatively high, network / internet 
connectivity remains a challenge for most households in rura l areas . Electricity coverage 
throughout the country is a further notable constraint. In addition,  numerous househo …</x:v>
      </x:c>
      <x:c r="G59" s="34" t="str">
        <x:v>PRD-0051-P0003-U01</x:v>
      </x:c>
      <x:c r="H59" s="34" t="str"/>
      <x:c r="I59" s="34" t="str">
        <x:v>NA_BoN_2022</x:v>
      </x:c>
      <x:c r="J59" s="34" t="n">
        <x:v>3</x:v>
      </x:c>
      <x:c r="K59" s="34" t="str">
        <x:v>en</x:v>
      </x:c>
      <x:c r="L59" s="34" t="str">
        <x:v>Bank of Namibia (Namibian CBDC work)</x:v>
      </x:c>
      <x:c r="M59" s="34" t="str">
        <x:v>Retain Bank of Namibia own-project positions and requirements; exclude general context.</x:v>
      </x:c>
      <x:c r="N59" s="34" t="str">
        <x:v>text</x:v>
      </x:c>
      <x:c r="O59" s="34" t="str"/>
      <x:c r="P59" s="38" t="str"/>
      <x:c r="Q59" s="38" t="str"/>
      <x:c r="R59" s="38" t="str"/>
      <x:c r="S59" s="38" t="str"/>
      <x:c r="T59" s="38" t="str"/>
      <x:c r="U59" s="38" t="str"/>
      <x:c r="V59" s="38" t="str"/>
      <x:c r="W59" s="38" t="str"/>
      <x:c r="X59" s="38" t="str"/>
      <x:c r="Y59" s="38" t="str"/>
      <x:c r="Z59" s="38" t="str"/>
      <x:c r="AA59" s="43" t="str">
        <x:f>IF('Instructions'!$B$3="","",'Instructions'!$B$3)</x:f>
      </x:c>
      <x:c r="AB59" s="43" t="str">
        <x:f>IF(P59="","PENDING",IF('Instructions'!$B$3="","SET_INITIALS",IF(P59="keep",IF(OR(Q59="",R59="",S59="",T59="",U59="",W59=""),"INCOMPLETE_KEEP","COMPLETE"),IF(P59="exclude",IF(OR(V59="",W59=""),"INCOMPLETE_EXCLUDE","COMPLETE"),"NEEDS_CONTEXT"))))</x:f>
        <x:v>PENDING</x:v>
      </x:c>
    </x:row>
    <x:row r="60" ht="62" customHeight="1">
      <x:c r="A60" s="34" t="str">
        <x:v>SV-0057</x:v>
      </x:c>
      <x:c r="B60" s="34" t="str">
        <x:v>I-CBDC would not be anonymous (as noted above), which would impair its appeal for 
some retail transactions.</x:v>
      </x:c>
      <x:c r="C60" s="34" t="str"/>
      <x:c r="D60" s="34" t="str"/>
      <x:c r="E60" s="34" t="str"/>
      <x:c r="F60" s="34" t="str">
        <x:v>22 
to respond by increasing interest on payments balances or bundling services to maintain market 
share. This, in turn, would provide incremental benefits to retail payment users. On the other 
hand, I-CBDC would not be anonymous (as noted above), which would impair its appeal for 
some retail transactions. 
For large-value payments, as discussed above, RTGS offers three significant benefits over 
CBDC: liquidity-savings mechanisms; access to central bank overdrafts; and a high degree of 
security. It seems doubtful that an I-CBDC would overcome these structural features in the 
context of large-value payments. Further, in certain large-value payment systems, such as in 
Canada, excess reserves deposited with the central bank earn interest, which could ameliorate 
costs to users of the RTGS system generally. Again, banks would be expected to resp …</x:v>
      </x:c>
      <x:c r="G60" s="34" t="str">
        <x:v>PRD-0013-P0026-U01</x:v>
      </x:c>
      <x:c r="H60" s="34" t="str"/>
      <x:c r="I60" s="34" t="str">
        <x:v>CA_BoC_2017</x:v>
      </x:c>
      <x:c r="J60" s="34" t="n">
        <x:v>26</x:v>
      </x:c>
      <x:c r="K60" s="34" t="str">
        <x:v>en</x:v>
      </x:c>
      <x:c r="L60" s="34" t="str">
        <x:v>Bank of Canada</x:v>
      </x:c>
      <x:c r="M60" s="34" t="str">
        <x:v>Research or joint-project source: retain only executed own-project findings or concrete CBDC conclusions explicitly attributed to the named authority. Exclude author assumptions, literature, external examples, and unadopted proposals.</x:v>
      </x:c>
      <x:c r="N60" s="34" t="str">
        <x:v>text</x:v>
      </x:c>
      <x:c r="O60" s="34" t="str"/>
      <x:c r="P60" s="38" t="str"/>
      <x:c r="Q60" s="38" t="str"/>
      <x:c r="R60" s="38" t="str"/>
      <x:c r="S60" s="38" t="str"/>
      <x:c r="T60" s="38" t="str"/>
      <x:c r="U60" s="38" t="str"/>
      <x:c r="V60" s="38" t="str"/>
      <x:c r="W60" s="38" t="str"/>
      <x:c r="X60" s="38" t="str"/>
      <x:c r="Y60" s="38" t="str"/>
      <x:c r="Z60" s="38" t="str"/>
      <x:c r="AA60" s="43" t="str">
        <x:f>IF('Instructions'!$B$3="","",'Instructions'!$B$3)</x:f>
      </x:c>
      <x:c r="AB60" s="43" t="str">
        <x:f>IF(P60="","PENDING",IF('Instructions'!$B$3="","SET_INITIALS",IF(P60="keep",IF(OR(Q60="",R60="",S60="",T60="",U60="",W60=""),"INCOMPLETE_KEEP","COMPLETE"),IF(P60="exclude",IF(OR(V60="",W60=""),"INCOMPLETE_EXCLUDE","COMPLETE"),"NEEDS_CONTEXT"))))</x:f>
        <x:v>PENDING</x:v>
      </x:c>
    </x:row>
    <x:row r="61" ht="62" customHeight="1">
      <x:c r="A61" s="34" t="str">
        <x:v>SV-0058</x:v>
      </x:c>
      <x:c r="B61" s="34" t="str">
        <x:v>Da Norges Bank startet arbeidet med DSP, var hovedmotivasjonen 
sentralbankens formål med å legge til rette for et sikkert og effektivt 
betalingssystem, uten å virke negativt for de andre formålene i 
sentralbankloven.</x:v>
      </x:c>
      <x:c r="C61" s="34" t="str"/>
      <x:c r="D61" s="34" t="str"/>
      <x:c r="E61" s="34" t="str"/>
      <x:c r="F61" s="34" t="str">
        <x:v>… nelli og Frost (2020).50 Mange sentralbanker har utgitt 
rapporter om formål, konsekvenser og utforming av DSP. Flere sentralbanker 
er i gang med piloter og annen teknisk testing, og nye samarbeidsflater 
mellom sentralbanker har oppstått.  
Samtidig har konteksten rundt DSP utviklet seg. Nye private digitale 
pengealternativer er under utvikling, og teknologien som kan være relevant for 
DSP har utviklet seg raskt. Kontantbruken i Norge har falt ytterligere. Andelen 
kontantbetalinger er nå på 3-4 prosent. Dette er trolig lavest i verden.   
Da Norges Bank startet arbeidet med DSP, var hovedmotivasjonen 
sentralbankens formål med å legge til rette for et sikkert og effektivt 
betalingssystem, uten å virke negativt for de andre formålene i 
sentralbankloven. Vårt eget arbeid og internasjonalt arbeid kan tilsi at DSP 
også kan brukes som virkemiddel for å fremme andre formål i 
sentralbankloven. Disse sidene ved DSP kan med fordel gis økt 
oppmerksomhet i videre arbeid.  
Samlet sett mener derfor arbeidsgruppen at motivasjonen for å utrede DSP 
videre er styrket.  
Prosjektfase 3 har gitt økt kunnskap om egenskapene DSP bør ha, 
konsekvensene av DSP og hvordan DSP kan utformes. Prosjektfase 3 har 
således gitt resultater som ønsket. Vi har likevel - som forventet - behov for 
mer innsikt i hvordan  …</x:v>
      </x:c>
      <x:c r="G61" s="34" t="str">
        <x:v>PRD-0054-P0062-U01</x:v>
      </x:c>
      <x:c r="H61" s="34" t="str"/>
      <x:c r="I61" s="34" t="str">
        <x:v>NO_Norway_norges-bank-memo-1-2021</x:v>
      </x:c>
      <x:c r="J61" s="34" t="n">
        <x:v>62</x:v>
      </x:c>
      <x:c r="K61" s="34" t="str">
        <x:v>en</x:v>
      </x:c>
      <x:c r="L61" s="34" t="str">
        <x:v>Norges Bank (Norwegian CBDC work)</x:v>
      </x:c>
      <x:c r="M61" s="34" t="str">
        <x:v>Retain Norges Bank CBDC positions and requirements; exclude generic or cited research.</x:v>
      </x:c>
      <x:c r="N61" s="34" t="str">
        <x:v>text</x:v>
      </x:c>
      <x:c r="O61" s="34" t="str"/>
      <x:c r="P61" s="38" t="str"/>
      <x:c r="Q61" s="38" t="str"/>
      <x:c r="R61" s="38" t="str"/>
      <x:c r="S61" s="38" t="str"/>
      <x:c r="T61" s="38" t="str"/>
      <x:c r="U61" s="38" t="str"/>
      <x:c r="V61" s="38" t="str"/>
      <x:c r="W61" s="38" t="str"/>
      <x:c r="X61" s="38" t="str"/>
      <x:c r="Y61" s="38" t="str"/>
      <x:c r="Z61" s="38" t="str"/>
      <x:c r="AA61" s="43" t="str">
        <x:f>IF('Instructions'!$B$3="","",'Instructions'!$B$3)</x:f>
      </x:c>
      <x:c r="AB61" s="43" t="str">
        <x:f>IF(P61="","PENDING",IF('Instructions'!$B$3="","SET_INITIALS",IF(P61="keep",IF(OR(Q61="",R61="",S61="",T61="",U61="",W61=""),"INCOMPLETE_KEEP","COMPLETE"),IF(P61="exclude",IF(OR(V61="",W61=""),"INCOMPLETE_EXCLUDE","COMPLETE"),"NEEDS_CONTEXT"))))</x:f>
        <x:v>PENDING</x:v>
      </x:c>
    </x:row>
    <x:row r="62" ht="62" customHeight="1">
      <x:c r="A62" s="34" t="str">
        <x:v>SV-0059</x:v>
      </x:c>
      <x:c r="B62" s="34" t="str">
        <x:v>Our assessment of two variants of OpenCBDC 2PC for auditability 
indicates that mechanisms similar to either of them would be feasible functionally to audit the 
supply and detect a discrepancy , i.e., furnish a binary yes/no answer to the question “ Did 
tampering occur?”</x:v>
      </x:c>
      <x:c r="C62" s="34" t="str"/>
      <x:c r="D62" s="34" t="str"/>
      <x:c r="E62" s="34" t="str"/>
      <x:c r="F62" s="34" t="str">
        <x:v>…  and a transaction involving an inter-wallet transfer 
in addition to a system update. This would entail technical enhancements across the ecosystem 
to support the new funds model  and integrate with a more complex payment flow while 
handling novel boundary conditions, e.g., aborting a transaction when one of two legs has been 
completed. 
It is functionally feasible to audit the monetary  supply, although its performance on a 
production-size supply  needs further investigation . M echanisms to fix discrepancies also 
require investigation. Our assessment of two variants of OpenCBDC 2PC for auditability 
indicates that mechanisms similar to either of them would be feasible functionally to audit the 
supply and detect a discrepancy , i.e., furnish a binary yes/no answer to the question “ Did 
tampering occur?” The auditing process has a latency impac t, and ways to mitigate it would 
need to be investigated for a production-size supply via optimizations and operational controls 
such as audit frequency, size of the monetary supply and core system capacity. 
Further, a production system must not only be capable of detecting a discrepancy, but also of 
reversing it. This would require the system  to maintain and compare historical audit log ging 
and transaction information.  The functional complexity and performance impact of reversal 
mechanisms are …</x:v>
      </x:c>
      <x:c r="G62" s="34" t="str">
        <x:v>PRD-0108-P0038-U01</x:v>
      </x:c>
      <x:c r="H62" s="34" t="str"/>
      <x:c r="I62" s="34" t="str">
        <x:v>CA_BoC_RetailFeasibility_SDP2025_9</x:v>
      </x:c>
      <x:c r="J62" s="34" t="n">
        <x:v>38</x:v>
      </x:c>
      <x:c r="K62" s="34" t="str">
        <x:v>en</x:v>
      </x:c>
      <x:c r="L62" s="34" t="str">
        <x:v>Bank of Canada research on retail CBDC feasibility</x:v>
      </x:c>
      <x:c r="M62" s="34" t="str">
        <x:v>Staff research is not an adopted design. Retain empirical findings or explicit Bank of Canada conclusions tied to its potential CBDC; exclude model assumptions and literature.</x:v>
      </x:c>
      <x:c r="N62" s="34" t="str">
        <x:v>text</x:v>
      </x:c>
      <x:c r="O62" s="34" t="str"/>
      <x:c r="P62" s="38" t="str"/>
      <x:c r="Q62" s="38" t="str"/>
      <x:c r="R62" s="38" t="str"/>
      <x:c r="S62" s="38" t="str"/>
      <x:c r="T62" s="38" t="str"/>
      <x:c r="U62" s="38" t="str"/>
      <x:c r="V62" s="38" t="str"/>
      <x:c r="W62" s="38" t="str"/>
      <x:c r="X62" s="38" t="str"/>
      <x:c r="Y62" s="38" t="str"/>
      <x:c r="Z62" s="38" t="str"/>
      <x:c r="AA62" s="43" t="str">
        <x:f>IF('Instructions'!$B$3="","",'Instructions'!$B$3)</x:f>
      </x:c>
      <x:c r="AB62" s="43" t="str">
        <x:f>IF(P62="","PENDING",IF('Instructions'!$B$3="","SET_INITIALS",IF(P62="keep",IF(OR(Q62="",R62="",S62="",T62="",U62="",W62=""),"INCOMPLETE_KEEP","COMPLETE"),IF(P62="exclude",IF(OR(V62="",W62=""),"INCOMPLETE_EXCLUDE","COMPLETE"),"NEEDS_CONTEXT"))))</x:f>
        <x:v>PENDING</x:v>
      </x:c>
    </x:row>
    <x:row r="63" ht="62" customHeight="1">
      <x:c r="A63" s="34" t="str">
        <x:v>SV-0060</x:v>
      </x:c>
      <x:c r="B63" s="34" t="str">
        <x:v>Retail CBDC Pilot Program
Real-value CBDC pilot testing with 
retail users and merchants, as well 
as exploration for feasibility of 
innovative use cases</x:v>
      </x:c>
      <x:c r="C63" s="34" t="str"/>
      <x:c r="D63" s="34" t="str"/>
      <x:c r="E63" s="34" t="str"/>
      <x:c r="F63" s="34" t="str">
        <x:v>… e.g. 
interbank trading, fraud prevention, 
and regulatory compliance
Project Inthanon-Lionrock 
Cross-border funds transfers 
and FX settlement between 
Thailand-Hong Kong
Project Inthanon Phase 1
Creation of a decentralized RTGS prototype 
using wholesale CBDC to achieve key 
payment functionalities
1 2
3
Corporate CBDC Pilot Program
Integration with business platforms to 
achieve invoice tokenization and 
conditional payments
4Project mBridge (Pilot)
Scaling cross-border CBDC 
functionalities to support more 
jurisdictions i.e. China, UAE
5
Retail CBDC Pilot Program
Real-value CBDC pilot testing with 
retail users and merchants, as well 
as exploration for feasibility of 
innovative use cases
Retail CBDC Hackathon
Public competition to ideate 
and propose CBDC POC 
initiatives to promote private-
public collaboration and 
financial innovation
6 7
Project mBridge (Pre-MVP)
Enhancement of technical, 
operational, governance and legal 
standards for cross-border CBDC
8
2024</x:v>
      </x:c>
      <x:c r="G63" s="34" t="str">
        <x:v>PRD-0071-P0007-U01</x:v>
      </x:c>
      <x:c r="H63" s="34" t="str"/>
      <x:c r="I63" s="34" t="str">
        <x:v>TH_Thailand_rCBDC_Conclusion_Report</x:v>
      </x:c>
      <x:c r="J63" s="34" t="n">
        <x:v>7</x:v>
      </x:c>
      <x:c r="K63" s="34" t="str">
        <x:v>en</x:v>
      </x:c>
      <x:c r="L63" s="34" t="str">
        <x:v>Bank of Thailand (retail CBDC pilot)</x:v>
      </x:c>
      <x:c r="M63" s="34" t="str">
        <x:v>Retain Bank of Thailand own-pilot conclusions, requirements, and decisions.</x:v>
      </x:c>
      <x:c r="N63" s="34" t="str">
        <x:v>text</x:v>
      </x:c>
      <x:c r="O63" s="34" t="str"/>
      <x:c r="P63" s="38" t="str"/>
      <x:c r="Q63" s="38" t="str"/>
      <x:c r="R63" s="38" t="str"/>
      <x:c r="S63" s="38" t="str"/>
      <x:c r="T63" s="38" t="str"/>
      <x:c r="U63" s="38" t="str"/>
      <x:c r="V63" s="38" t="str"/>
      <x:c r="W63" s="38" t="str"/>
      <x:c r="X63" s="38" t="str"/>
      <x:c r="Y63" s="38" t="str"/>
      <x:c r="Z63" s="38" t="str"/>
      <x:c r="AA63" s="43" t="str">
        <x:f>IF('Instructions'!$B$3="","",'Instructions'!$B$3)</x:f>
      </x:c>
      <x:c r="AB63" s="43" t="str">
        <x:f>IF(P63="","PENDING",IF('Instructions'!$B$3="","SET_INITIALS",IF(P63="keep",IF(OR(Q63="",R63="",S63="",T63="",U63="",W63=""),"INCOMPLETE_KEEP","COMPLETE"),IF(P63="exclude",IF(OR(V63="",W63=""),"INCOMPLETE_EXCLUDE","COMPLETE"),"NEEDS_CONTEXT"))))</x:f>
        <x:v>PENDING</x:v>
      </x:c>
    </x:row>
    <x:row r="64" ht="62" customHeight="1">
      <x:c r="A64" s="34" t="str">
        <x:v>SV-0061</x:v>
      </x:c>
      <x:c r="B64" s="34" t="str">
        <x:v>Based on the above criteria, the NBU selected the distributed 
ledger technology, in particular the private version of the 
Stellar protocol, to study opportunities of issuing e -hryvnia 
and to carry out the Pilot Project.</x:v>
      </x:c>
      <x:c r="C64" s="34" t="str"/>
      <x:c r="D64" s="34" t="str"/>
      <x:c r="E64" s="34" t="str"/>
      <x:c r="F64" s="34" t="str">
        <x:v>… ation protection, solutions 
for ensuring durability 
 a simple, trustful, convenient system for adding and 
storing user personal data and for users to access 
their own funds at the Platform with an option of 
restoring access through additional means 
 minimization of computer and other information 
resources needed for the Platform’s operation  
 cutting-edge technological solutions that are used 
globally to create payment systems and/or real time 
transfer funds 
 prevailing use of open-source system and freeware 
soft applications. 
Based on the above criteria, the NBU selected the distributed 
ledger technology, in particular the private version of the 
Stellar protocol, to study opportunities of issuing e -hryvnia 
and to carry out the Pilot Project. 
The decision was made after one of the project’s participants 
suggested to provide free -of-charge a ready -made basic 
solution of such a system to be used in the project on the 
Platform’s implementation with an option to finalize that basic 
solution in line with the r equirements that would be 
established at the preparation phase of the Platform’s 
implementation.  
The Platform’s main technical and technological 
characteristics: 
 operating system for server equipment of main 
nodes: Linux 
 system and application software: open-s …</x:v>
      </x:c>
      <x:c r="G64" s="34" t="str">
        <x:v>PRD-0074-P0028-U01</x:v>
      </x:c>
      <x:c r="H64" s="34" t="str"/>
      <x:c r="I64" s="34" t="str">
        <x:v>UA_NBU_E-hryvnia_2019</x:v>
      </x:c>
      <x:c r="J64" s="34" t="n">
        <x:v>28</x:v>
      </x:c>
      <x:c r="K64" s="34" t="str">
        <x:v>en</x:v>
      </x:c>
      <x:c r="L64" s="34" t="str">
        <x:v>National Bank of Ukraine (e-hryvnia pilot)</x:v>
      </x:c>
      <x:c r="M64" s="34" t="str">
        <x:v>Retain NBU own-pilot findings and resulting decisions/requirements. Prefer a specific substantive code over PROC.pilot_learning.</x:v>
      </x:c>
      <x:c r="N64" s="34" t="str">
        <x:v>text</x:v>
      </x:c>
      <x:c r="O64" s="34" t="str"/>
      <x:c r="P64" s="38" t="str"/>
      <x:c r="Q64" s="38" t="str"/>
      <x:c r="R64" s="38" t="str"/>
      <x:c r="S64" s="38" t="str"/>
      <x:c r="T64" s="38" t="str"/>
      <x:c r="U64" s="38" t="str"/>
      <x:c r="V64" s="38" t="str"/>
      <x:c r="W64" s="38" t="str"/>
      <x:c r="X64" s="38" t="str"/>
      <x:c r="Y64" s="38" t="str"/>
      <x:c r="Z64" s="38" t="str"/>
      <x:c r="AA64" s="43" t="str">
        <x:f>IF('Instructions'!$B$3="","",'Instructions'!$B$3)</x:f>
      </x:c>
      <x:c r="AB64" s="43" t="str">
        <x:f>IF(P64="","PENDING",IF('Instructions'!$B$3="","SET_INITIALS",IF(P64="keep",IF(OR(Q64="",R64="",S64="",T64="",U64="",W64=""),"INCOMPLETE_KEEP","COMPLETE"),IF(P64="exclude",IF(OR(V64="",W64=""),"INCOMPLETE_EXCLUDE","COMPLETE"),"NEEDS_CONTEXT"))))</x:f>
        <x:v>PENDING</x:v>
      </x:c>
    </x:row>
    <x:row r="65" ht="62" customHeight="1">
      <x:c r="A65" s="34" t="str">
        <x:v>SV-0062</x:v>
      </x:c>
      <x:c r="B65" s="34" t="str">
        <x:v>It was found that ZKPs improved privacy 
with similar settlement times but significantly 
increased gas fees37, making them up to 320 
times more expensive than transactions which 
do not use any PETs, due to their computational 
intensity.</x:v>
      </x:c>
      <x:c r="C65" s="34" t="str"/>
      <x:c r="D65" s="34" t="str"/>
      <x:c r="E65" s="34" t="str"/>
      <x:c r="F65" s="34" t="str">
        <x:v>… ls.
Importantly, privacy risks are not limited to 
permissionless blockchains. Instead, these 
concerns also exist in permissioned networks, 
such as consortium chains, underscoring the 
need for robust privacy solutions regardless of 
the final design of the e-HKD architecture.
To address these privacy risks, privacy-
enhancing technologies (PETs), including Zero 
Knowledge Proof (ZKP)36 implemented in Zeto 
and Anonymous Zether (see Box C) were 
tested alongside an allowlist and denylist on 
four permissionless blockchains under the 
pilots. It was found that ZKPs improved privacy 
with similar settlement times but significantly 
increased gas fees37, making them up to 320 
times more expensive than transactions which 
do not use any PETs, due to their computational 
intensity. For context, the gas fee of a typical 
transfer of an ERC -20 token consumes costs 
roughly US$0.1338. 
This creates a fundamental trade-off: enhanced 
privacy often leads to higher costs and 
increased complexity. If transaction costs 
become too high, an e-HKD would become 
impractical for small, everyday purchases. 
Conversely, inadequate privacy protections 
could erode user trust and hinder adoption. 
Striking a careful balance between these two 
imperatives will be vital to ensuring an e-HKD is 
both trusted and widely used.
A balanced a …</x:v>
      </x:c>
      <x:c r="G65" s="34" t="str">
        <x:v>PRD-0093-P0034-U01</x:v>
      </x:c>
      <x:c r="H65" s="34" t="str"/>
      <x:c r="I65" s="34" t="str">
        <x:v>HK_HKMA_eHKD_Phase2_2025</x:v>
      </x:c>
      <x:c r="J65" s="34" t="n">
        <x:v>34</x:v>
      </x:c>
      <x:c r="K65" s="34" t="str">
        <x:v>en</x:v>
      </x:c>
      <x:c r="L65" s="34" t="str">
        <x:v>Hong Kong Monetary Authority (e-HKD Phase 2 pilots)</x:v>
      </x:c>
      <x:c r="M65" s="34" t="str">
        <x:v>Retain complete e-HKD pilot findings, conclusions, and HKMA requirements. Quote the complete claim before any trailing fragment.</x:v>
      </x:c>
      <x:c r="N65" s="34" t="str">
        <x:v>text</x:v>
      </x:c>
      <x:c r="O65" s="34" t="str"/>
      <x:c r="P65" s="38" t="str"/>
      <x:c r="Q65" s="38" t="str"/>
      <x:c r="R65" s="38" t="str"/>
      <x:c r="S65" s="38" t="str"/>
      <x:c r="T65" s="38" t="str"/>
      <x:c r="U65" s="38" t="str"/>
      <x:c r="V65" s="38" t="str"/>
      <x:c r="W65" s="38" t="str"/>
      <x:c r="X65" s="38" t="str"/>
      <x:c r="Y65" s="38" t="str"/>
      <x:c r="Z65" s="38" t="str"/>
      <x:c r="AA65" s="43" t="str">
        <x:f>IF('Instructions'!$B$3="","",'Instructions'!$B$3)</x:f>
      </x:c>
      <x:c r="AB65" s="43" t="str">
        <x:f>IF(P65="","PENDING",IF('Instructions'!$B$3="","SET_INITIALS",IF(P65="keep",IF(OR(Q65="",R65="",S65="",T65="",U65="",W65=""),"INCOMPLETE_KEEP","COMPLETE"),IF(P65="exclude",IF(OR(V65="",W65=""),"INCOMPLETE_EXCLUDE","COMPLETE"),"NEEDS_CONTEXT"))))</x:f>
        <x:v>PENDING</x:v>
      </x:c>
    </x:row>
    <x:row r="66" ht="62" customHeight="1">
      <x:c r="A66" s="34" t="str">
        <x:v>SV-0063</x:v>
      </x:c>
      <x:c r="B66" s="34" t="str">
        <x:v>Hence, a type-U receiver must be present to receive 
payment.</x:v>
      </x:c>
      <x:c r="C66" s="34" t="str"/>
      <x:c r="D66" s="34" t="str"/>
      <x:c r="E66" s="34" t="str"/>
      <x:c r="F66" s="34" t="str">
        <x:v>… ting the payment  immediately. The receiver 
would retrieve their funds from the FR when present later. However, this introduces a risk that 
an FR could receive payments and then default on its obligation to a receiver. This risk is similar 
to that of a t ype-M wallet  custodian defaulting and  could be mitigated by regulation.  We 
consider if and how an FR service relates to the three wallet types. 
First, we note that it is incongruous for an NR user with a type-U (self-hosted) wallet to delegate 
custody of their funds to another entity. Hence, a type-U receiver must be present to receive 
payment. 
A type-M receiver  would be operated by an MSB with high availab ility, online except for 
planned or unplanned  outages. The receiver  would have custody of all the keys and funds 
needed to issue payments and receive funds, and hence wouldn’t need an FR service. 
A type-K wallet would fit well with a n FR service operated by an MSB . Indeed, multiple  FR 
services could be operated by multiple MSBs. 
We note that there are similarities in a t ype-M hosted wallet and a t ype-K FR service. F or 
example, both would hold their customers ’ fund …</x:v>
      </x:c>
      <x:c r="G66" s="34" t="str">
        <x:v>PRD-0108-P0016-U01</x:v>
      </x:c>
      <x:c r="H66" s="34" t="str"/>
      <x:c r="I66" s="34" t="str">
        <x:v>CA_BoC_RetailFeasibility_SDP2025_9</x:v>
      </x:c>
      <x:c r="J66" s="34" t="n">
        <x:v>16</x:v>
      </x:c>
      <x:c r="K66" s="34" t="str">
        <x:v>en</x:v>
      </x:c>
      <x:c r="L66" s="34" t="str">
        <x:v>Bank of Canada research on retail CBDC feasibility</x:v>
      </x:c>
      <x:c r="M66" s="34" t="str">
        <x:v>Staff research is not an adopted design. Retain empirical findings or explicit Bank of Canada conclusions tied to its potential CBDC; exclude model assumptions and literature.</x:v>
      </x:c>
      <x:c r="N66" s="34" t="str">
        <x:v>text</x:v>
      </x:c>
      <x:c r="O66" s="34" t="str"/>
      <x:c r="P66" s="38" t="str"/>
      <x:c r="Q66" s="38" t="str"/>
      <x:c r="R66" s="38" t="str"/>
      <x:c r="S66" s="38" t="str"/>
      <x:c r="T66" s="38" t="str"/>
      <x:c r="U66" s="38" t="str"/>
      <x:c r="V66" s="38" t="str"/>
      <x:c r="W66" s="38" t="str"/>
      <x:c r="X66" s="38" t="str"/>
      <x:c r="Y66" s="38" t="str"/>
      <x:c r="Z66" s="38" t="str"/>
      <x:c r="AA66" s="43" t="str">
        <x:f>IF('Instructions'!$B$3="","",'Instructions'!$B$3)</x:f>
      </x:c>
      <x:c r="AB66" s="43" t="str">
        <x:f>IF(P66="","PENDING",IF('Instructions'!$B$3="","SET_INITIALS",IF(P66="keep",IF(OR(Q66="",R66="",S66="",T66="",U66="",W66=""),"INCOMPLETE_KEEP","COMPLETE"),IF(P66="exclude",IF(OR(V66="",W66=""),"INCOMPLETE_EXCLUDE","COMPLETE"),"NEEDS_CONTEXT"))))</x:f>
        <x:v>PENDING</x:v>
      </x:c>
    </x:row>
    <x:row r="67" ht="62" customHeight="1">
      <x:c r="A67" s="34" t="str">
        <x:v>SV-0064</x:v>
      </x:c>
      <x:c r="B67" s="34" t="str">
        <x:v>Additionally, the 
wToken was redeemable for wCBDC, which 
increased participants’ options and further 
reduced (liquidity) risk.</x:v>
      </x:c>
      <x:c r="C67" s="34" t="str"/>
      <x:c r="D67" s="34" t="str"/>
      <x:c r="E67" s="34" t="str"/>
      <x:c r="F67" s="34" t="str">
        <x:v>… tial of the debenture 
token market. The use of central bank money 
provided participants with the certainty 
available only from a riskless settlement asset. 
With private ‘money’ arrangements, there is the 
risk that the issuer(s) may not be able to back 
the money, which then introduces the risk that if 
such a failure occurred, settlement would fail. 
The wToken arrangement in the PoC was 
backed by central bank money earmarked 
in a settlement account in the SAMOS 
system, thereby reducing the risk in using it 
as a settlement instrument. Additionally, the 
wToken was redeemable for wCBDC, which 
increased participants’ options and further 
reduced (liquidity) risk. Other reserve asset 
options, such as bank deposits or commercial 
bank stablecoins, would again increase risk as 
dependence on third parties and other factors 
increases. In a market where both a wToken, 
such as the Khokha Token, and a wCBDC are 
available, it is not likely that there will be a 
business case for the wToken. The wToken does, 
however, provide a less-risk settlement option 
(i.e. it is not riskless, but depending on the 
reserve asset, may entail less credit and liquidity 
risk than relying on a settlement asset issued 
and  …</x:v>
      </x:c>
      <x:c r="G67" s="34" t="str">
        <x:v>PRD-0085-P0039-U01</x:v>
      </x:c>
      <x:c r="H67" s="34" t="str"/>
      <x:c r="I67" s="34" t="str">
        <x:v>ZA_SARB_Project_Khokha_2_Full_Report_6_April_2022</x:v>
      </x:c>
      <x:c r="J67" s="34" t="n">
        <x:v>39</x:v>
      </x:c>
      <x:c r="K67" s="34" t="str">
        <x:v>en</x:v>
      </x:c>
      <x:c r="L67" s="34" t="str">
        <x:v>South African Reserve Bank</x:v>
      </x:c>
      <x:c r="M67" s="34" t="str">
        <x:v>Retain the named authority's own CBDC decisions, explicit proposals, requirements, features, and executed findings. Exclude generic context, literature, foreign projects, and stakeholder views not explicitly adopted by the authority.</x:v>
      </x:c>
      <x:c r="N67" s="34" t="str">
        <x:v>text</x:v>
      </x:c>
      <x:c r="O67" s="34" t="str"/>
      <x:c r="P67" s="38" t="str"/>
      <x:c r="Q67" s="38" t="str"/>
      <x:c r="R67" s="38" t="str"/>
      <x:c r="S67" s="38" t="str"/>
      <x:c r="T67" s="38" t="str"/>
      <x:c r="U67" s="38" t="str"/>
      <x:c r="V67" s="38" t="str"/>
      <x:c r="W67" s="38" t="str"/>
      <x:c r="X67" s="38" t="str"/>
      <x:c r="Y67" s="38" t="str"/>
      <x:c r="Z67" s="38" t="str"/>
      <x:c r="AA67" s="43" t="str">
        <x:f>IF('Instructions'!$B$3="","",'Instructions'!$B$3)</x:f>
      </x:c>
      <x:c r="AB67" s="43" t="str">
        <x:f>IF(P67="","PENDING",IF('Instructions'!$B$3="","SET_INITIALS",IF(P67="keep",IF(OR(Q67="",R67="",S67="",T67="",U67="",W67=""),"INCOMPLETE_KEEP","COMPLETE"),IF(P67="exclude",IF(OR(V67="",W67=""),"INCOMPLETE_EXCLUDE","COMPLETE"),"NEEDS_CONTEXT"))))</x:f>
        <x:v>PENDING</x:v>
      </x:c>
    </x:row>
    <x:row r="68" ht="62" customHeight="1">
      <x:c r="A68" s="34" t="str">
        <x:v>SV-0065</x:v>
      </x:c>
      <x:c r="B68" s="34" t="str">
        <x:v>Only if universal access to digital central bank money is ensured 
would it be seen as a true complement to cash and be accepted as such.</x:v>
      </x:c>
      <x:c r="C68" s="34" t="str"/>
      <x:c r="D68" s="34" t="str"/>
      <x:c r="E68" s="34" t="str"/>
      <x:c r="F68" s="34" t="str">
        <x:v>… ages and disadvantages in line with its vision and motivations. The 
following key design criteria were thereby derived for the context of Eswatini:  
a) Accessibility 
The CBE envisions CBDC as an additional payment method to those already in place in 
the market. The Digital Lilangeni is intended to naturally coexist with other payment 
mechanisms to make the system more robust and resilient. To enable true coexistence, 
it is critical that CBDC, like cash, is always available to all citizens of Eswatini and in all 
areas of the country. Only if universal access to digital central bank money is ensured 
would it be seen as a true complement to cash and be accepted as such.  
Accessible to everyone, anywhere, anytime. 
The all-inclusive accessibility to CBDC is threefold:  
Everyone should be able to use it. This includes both people who are already integrated 
into the financial system (i.e., people with bank accounts, mobile money accounts), but 
also those who have not yet had access to it (i.e., unbanked people). The Digital Lilangeni 
should also be able to be used by all demographics (i.e., old and young, male and female, 
urban and rural, etc.) – just like cash today.  
Anywhere: Since CBDC is intended to  …</x:v>
      </x:c>
      <x:c r="G68" s="34" t="str">
        <x:v>PRD-0069-P0023-U01</x:v>
      </x:c>
      <x:c r="H68" s="34" t="str"/>
      <x:c r="I68" s="34" t="str">
        <x:v>SZ_Eswatini_2024-Fintech-Digital-Lilangeni-Design-Paper</x:v>
      </x:c>
      <x:c r="J68" s="34" t="n">
        <x:v>23</x:v>
      </x:c>
      <x:c r="K68" s="34" t="str">
        <x:v>en</x:v>
      </x:c>
      <x:c r="L68" s="34" t="str">
        <x:v>Central Bank of Eswatini (Digital Lilangeni)</x:v>
      </x:c>
      <x:c r="M68" s="34" t="str">
        <x:v>Retain Central Bank of Eswatini design decisions, proposals, features, and requirements; use the supplied render when text is sparse.</x:v>
      </x:c>
      <x:c r="N68" s="34" t="str">
        <x:v>text</x:v>
      </x:c>
      <x:c r="O68" s="34" t="str"/>
      <x:c r="P68" s="38" t="str"/>
      <x:c r="Q68" s="38" t="str"/>
      <x:c r="R68" s="38" t="str"/>
      <x:c r="S68" s="38" t="str"/>
      <x:c r="T68" s="38" t="str"/>
      <x:c r="U68" s="38" t="str"/>
      <x:c r="V68" s="38" t="str"/>
      <x:c r="W68" s="38" t="str"/>
      <x:c r="X68" s="38" t="str"/>
      <x:c r="Y68" s="38" t="str"/>
      <x:c r="Z68" s="38" t="str"/>
      <x:c r="AA68" s="43" t="str">
        <x:f>IF('Instructions'!$B$3="","",'Instructions'!$B$3)</x:f>
      </x:c>
      <x:c r="AB68" s="43" t="str">
        <x:f>IF(P68="","PENDING",IF('Instructions'!$B$3="","SET_INITIALS",IF(P68="keep",IF(OR(Q68="",R68="",S68="",T68="",U68="",W68=""),"INCOMPLETE_KEEP","COMPLETE"),IF(P68="exclude",IF(OR(V68="",W68=""),"INCOMPLETE_EXCLUDE","COMPLETE"),"NEEDS_CONTEXT"))))</x:f>
        <x:v>PENDING</x:v>
      </x:c>
    </x:row>
    <x:row r="69" ht="62" customHeight="1">
      <x:c r="A69" s="34" t="str">
        <x:v>SV-0066</x:v>
      </x:c>
      <x:c r="B69" s="34" t="str">
        <x:v>3. Reduction in costs (cash supply, cash handling, transaction costs etc) 
by identifying functions that would create public benefits from 
reduction in the use of cash.</x:v>
      </x:c>
      <x:c r="C69" s="34" t="str"/>
      <x:c r="D69" s="34" t="str"/>
      <x:c r="E69" s="34" t="str"/>
      <x:c r="F69" s="34" t="str">
        <x:v>46 
1. Cross border payments of all types using wholesale or retail CBDCs, 
with experiments conducted together with other nations where 
possible, such as the initiatives described above. 
2. Domestic payments, especially exploring benefits for government 
payments and collections, enabling a safe and efficient eco-system for 
payment of suppliers , investment funds, international aid  and 
collection of revenues. 
3. Reduction in costs (cash supply, cash handling, transaction costs etc) 
by identifying functions that would create public benefits from 
reduction in the use of cash. 
5) Any research or experimentation with stablecoins  within the Innovation Hub  
must be based on assets that the MMA (potentially in cooperation with other 
Central Banks/governments) can properly back, or that are transparently and 
reliably backed by fiat currencies , commodities or other stable assets . This 
could include projects con cerned with cross-border remittances , resort -
based stablecoins using stable digital assets  and w ith commodity -backed 
Islamic Finance instruments. 
6) Regulatory policy with regard to conventional cry …</x:v>
      </x:c>
      <x:c r="G69" s="34" t="str">
        <x:v>PRD-0079-P0046-U01</x:v>
      </x:c>
      <x:c r="H69" s="34" t="str"/>
      <x:c r="I69" s="34" t="str">
        <x:v>UN_ESCAP_ESCAP-2022-RP-National-study-central-bank-digital-currency-stablecoin-Maldives</x:v>
      </x:c>
      <x:c r="J69" s="34" t="n">
        <x:v>46</x:v>
      </x:c>
      <x:c r="K69" s="34" t="str">
        <x:v>en</x:v>
      </x:c>
      <x:c r="L69" s="34" t="str">
        <x:v>Maldives Monetary Authority / Maldives CBDC policy study</x:v>
      </x:c>
      <x:c r="M69" s="34" t="str">
        <x:v>UN ESCAP study: retain only concrete recommendations, findings, or positions explicitly tied to the Maldives Monetary Authority or Maldives CBDC project. Exclude literature and foreign examples.</x:v>
      </x:c>
      <x:c r="N69" s="34" t="str">
        <x:v>text</x:v>
      </x:c>
      <x:c r="O69" s="34" t="str"/>
      <x:c r="P69" s="38" t="str"/>
      <x:c r="Q69" s="38" t="str"/>
      <x:c r="R69" s="38" t="str"/>
      <x:c r="S69" s="38" t="str"/>
      <x:c r="T69" s="38" t="str"/>
      <x:c r="U69" s="38" t="str"/>
      <x:c r="V69" s="38" t="str"/>
      <x:c r="W69" s="38" t="str"/>
      <x:c r="X69" s="38" t="str"/>
      <x:c r="Y69" s="38" t="str"/>
      <x:c r="Z69" s="38" t="str"/>
      <x:c r="AA69" s="43" t="str">
        <x:f>IF('Instructions'!$B$3="","",'Instructions'!$B$3)</x:f>
      </x:c>
      <x:c r="AB69" s="43" t="str">
        <x:f>IF(P69="","PENDING",IF('Instructions'!$B$3="","SET_INITIALS",IF(P69="keep",IF(OR(Q69="",R69="",S69="",T69="",U69="",W69=""),"INCOMPLETE_KEEP","COMPLETE"),IF(P69="exclude",IF(OR(V69="",W69=""),"INCOMPLETE_EXCLUDE","COMPLETE"),"NEEDS_CONTEXT"))))</x:f>
        <x:v>PENDING</x:v>
      </x:c>
    </x:row>
    <x:row r="70" ht="62" customHeight="1">
      <x:c r="A70" s="34" t="str">
        <x:v>SV-0067</x:v>
      </x:c>
      <x:c r="B70" s="34" t="str">
        <x:v>They 
also confirmed that central banks can retain 
control of the CBDC over these different 
types of DLTs, in particular by exploiting 
the programmability features of central bank 
money provided by this technology.</x:v>
      </x:c>
      <x:c r="C70" s="34" t="str"/>
      <x:c r="D70" s="34" t="str"/>
      <x:c r="E70" s="34" t="str"/>
      <x:c r="F70" s="34" t="str">
        <x:v>… t the interoperability of CBDCs with each 
other could contribute to simplifying and 
improving the performance and accessibility 
of such transactions and payments.
As the Banque de France follows a technology-
agnostic approach, its experiments have 
made it possible to test various technologies, 
whether private or public DLTs implemented 
on open or proprietary protocols. The 
experiments have shown that, regardless 
of the underlying technology, an interbank 
CBDC can be an effective means of payment 
for the multiple use cases envisaged. They 
also confirmed that central banks can retain 
control of the CBDC over these different 
types of DLTs, in particular by exploiting 
the programmability features of central bank 
money provided by this technology.
The conclusions of this first experimental 
programme conducted in 2020 and 2021, 
which were the subject of a report2 and a 
press release3 published on the Banque de 
France website, confirm the intuitions that 
prompted the Banque de France to launch 
the programme: an interbank CBDC would 
maximise the benefits expected by the 
market from the use of DLT for interbank 
transactions by giving market participants a 
secure means of settlement in central bank 
money, thus eliminating any counterparty 
risk, in compliance with the European 
an …</x:v>
      </x:c>
      <x:c r="G70" s="34" t="str">
        <x:v>PRD-0029-P0011-U01</x:v>
      </x:c>
      <x:c r="H70" s="34" t="str"/>
      <x:c r="I70" s="34" t="str">
        <x:v>FR_BdF_2022</x:v>
      </x:c>
      <x:c r="J70" s="34" t="n">
        <x:v>11</x:v>
      </x:c>
      <x:c r="K70" s="34" t="str">
        <x:v>fr</x:v>
      </x:c>
      <x:c r="L70" s="34" t="str">
        <x:v>Banque de France (wholesale CBDC programme)</x:v>
      </x:c>
      <x:c r="M70" s="34" t="str">
        <x:v>Retain Banque de France own-programme decisions and executed findings. Exclude foreign experiments and general market regulation without a CBDC-specific conclusion.</x:v>
      </x:c>
      <x:c r="N70" s="34" t="str">
        <x:v>text</x:v>
      </x:c>
      <x:c r="O70" s="34" t="str"/>
      <x:c r="P70" s="38" t="str"/>
      <x:c r="Q70" s="38" t="str"/>
      <x:c r="R70" s="38" t="str"/>
      <x:c r="S70" s="38" t="str"/>
      <x:c r="T70" s="38" t="str"/>
      <x:c r="U70" s="38" t="str"/>
      <x:c r="V70" s="38" t="str"/>
      <x:c r="W70" s="38" t="str"/>
      <x:c r="X70" s="38" t="str"/>
      <x:c r="Y70" s="38" t="str"/>
      <x:c r="Z70" s="38" t="str"/>
      <x:c r="AA70" s="43" t="str">
        <x:f>IF('Instructions'!$B$3="","",'Instructions'!$B$3)</x:f>
      </x:c>
      <x:c r="AB70" s="43" t="str">
        <x:f>IF(P70="","PENDING",IF('Instructions'!$B$3="","SET_INITIALS",IF(P70="keep",IF(OR(Q70="",R70="",S70="",T70="",U70="",W70=""),"INCOMPLETE_KEEP","COMPLETE"),IF(P70="exclude",IF(OR(V70="",W70=""),"INCOMPLETE_EXCLUDE","COMPLETE"),"NEEDS_CONTEXT"))))</x:f>
        <x:v>PENDING</x:v>
      </x:c>
    </x:row>
    <x:row r="71" ht="62" customHeight="1">
      <x:c r="A71" s="34" t="str">
        <x:v>SV-0068</x:v>
      </x:c>
      <x:c r="B71" s="34" t="str">
        <x:v>should the D€ be made 
available for cross-border and cross-currency operations, one should keep in 
mind that this could affect financial stability in various ways, which would 
need to be properly investigated in order to prevent undesired spillovers and 
additional international linkages.</x:v>
      </x:c>
      <x:c r="C71" s="34" t="str"/>
      <x:c r="D71" s="34" t="str"/>
      <x:c r="E71" s="34" t="str"/>
      <x:c r="F71" s="34" t="str">
        <x:v>…  
pandemic, push towards a shift in payment habits and represent a driver for 
the public to willingly substitute cash in favour of alternative electronic means 
of payment. The introduction of a D€ could represent an effective response in 
the face of a possible sharp decline in the usage of cash connected to structural 
or cyclical phenomena, 16 offering an additional form of public and risk-free 
money to European citizens.
Moreover, the D€ could enhance cross-border payments and allow smoother 
exchanges with other currency areas. However, should the D€ be made 
available for cross-border and cross-currency operations, one should keep in 
mind that this could affect financial stability in various ways, which would 
need to be properly investigated in order to prevent undesired spillovers and 
additional international linkages.
In addition to the effects on the main objectives of the Eurosystem described 
above, the D€ would have an impact on some other aspects that are not part 
of the traditional set of objectives of the Eurosystem. 
On the one hand, the D€ could give a major forward impulse to the digitalization 
of the European Union (EU), as its issuance could facilitate the development of 
16 See the HLTF Report on a digital Euro, European Central Bank (2020b) and Study on the payment attitudes of consumers 
in the euro area (SPACE), European Central Bank (2020 …</x:v>
      </x:c>
      <x:c r="G71" s="34" t="str">
        <x:v>PRD-0042-P0015-U01</x:v>
      </x:c>
      <x:c r="H71" s="34" t="str"/>
      <x:c r="I71" s="34" t="str">
        <x:v>IT_BdI_MISP_2021</x:v>
      </x:c>
      <x:c r="J71" s="34" t="n">
        <x:v>15</x:v>
      </x:c>
      <x:c r="K71" s="34" t="str">
        <x:v>en</x:v>
      </x:c>
      <x:c r="L71" s="34" t="str">
        <x:v>Banca d'Italia research context</x:v>
      </x:c>
      <x:c r="M71" s="34" t="str">
        <x:v>This research paper is not automatically an issuer commitment. Retain only Banca d'Italia own-project results or explicit institutional positions; exclude literature and model assumptions.</x:v>
      </x:c>
      <x:c r="N71" s="34" t="str">
        <x:v>text</x:v>
      </x:c>
      <x:c r="O71" s="34" t="str"/>
      <x:c r="P71" s="38" t="str"/>
      <x:c r="Q71" s="38" t="str"/>
      <x:c r="R71" s="38" t="str"/>
      <x:c r="S71" s="38" t="str"/>
      <x:c r="T71" s="38" t="str"/>
      <x:c r="U71" s="38" t="str"/>
      <x:c r="V71" s="38" t="str"/>
      <x:c r="W71" s="38" t="str"/>
      <x:c r="X71" s="38" t="str"/>
      <x:c r="Y71" s="38" t="str"/>
      <x:c r="Z71" s="38" t="str"/>
      <x:c r="AA71" s="43" t="str">
        <x:f>IF('Instructions'!$B$3="","",'Instructions'!$B$3)</x:f>
      </x:c>
      <x:c r="AB71" s="43" t="str">
        <x:f>IF(P71="","PENDING",IF('Instructions'!$B$3="","SET_INITIALS",IF(P71="keep",IF(OR(Q71="",R71="",S71="",T71="",U71="",W71=""),"INCOMPLETE_KEEP","COMPLETE"),IF(P71="exclude",IF(OR(V71="",W71=""),"INCOMPLETE_EXCLUDE","COMPLETE"),"NEEDS_CONTEXT"))))</x:f>
        <x:v>PENDING</x:v>
      </x:c>
    </x:row>
    <x:row r="72" ht="62" customHeight="1">
      <x:c r="A72" s="34" t="str">
        <x:v>SV-0069</x:v>
      </x:c>
      <x:c r="B72" s="34" t="str">
        <x:v>In R3 Corda, which utilizes the Unspent Transaction 
Output (UTXO) model, the creation process involves 
a transaction that produces the Rupiah Digital 
token. This transaction is executed by invoking the 
issuance flow on the Rupiah Digital CorDapps.</x:v>
      </x:c>
      <x:c r="C72" s="34" t="str"/>
      <x:c r="D72" s="34" t="str"/>
      <x:c r="E72" s="34" t="str"/>
      <x:c r="F72" s="34" t="str">
        <x:v>…  model, destruction is a transaction 
intended to delete a token. The transaction is 
executed through the redemption flow call in the 
Rupiah Digital CorDapps application. The illustration 
of the destruction flow in R3 Corda is depicted in 
Figure 19.
In Kaleido Hyperledger Besu, which utilizes the 
account model, the creation process involves 
a transaction that adds balance to an account 
by updating the world state. This transaction is 
executed by invoking the issuance flow through the 
KDR node to the Rupiah Digital smart contract. The 
In R3 Corda, which utilizes the Unspent Transaction 
Output (UTXO) model, the creation process involves 
a transaction that produces the Rupiah Digital 
token. This transaction is executed by invoking the 
issuance flow on the Rupiah Digital CorDapps. The 
illustration of the transaction creation process in R3 
Corda is depicted in Figure 17.
There are 4 (four) types of MT used for 
communication of the wRD platform with the BI-
RTGS system in Table 3. 
APPENDIX
B. IMPLEMENTATION DETAILS of the use   
 c a s e  l ay e r
illustration of the transaction creation process in 
Kaleido Hyperledger Besu is depicted in Figure 18.
24
Project Garuda: Proof of Concept Report   |  DECEMBER 2024
© Bank Indonesia 2024. All rights reserved.</x:v>
      </x:c>
      <x:c r="G72" s="34" t="str">
        <x:v>PRD-0037-P0033-U01</x:v>
      </x:c>
      <x:c r="H72" s="34" t="str"/>
      <x:c r="I72" s="34" t="str">
        <x:v>ID_Indonesia_2024</x:v>
      </x:c>
      <x:c r="J72" s="34" t="n">
        <x:v>33</x:v>
      </x:c>
      <x:c r="K72" s="34" t="str">
        <x:v>en</x:v>
      </x:c>
      <x:c r="L72" s="34" t="str">
        <x:v>Bank Indonesia (Digital Rupiah)</x:v>
      </x:c>
      <x:c r="M72" s="34" t="str">
        <x:v>Retain the named authority's own CBDC decisions, explicit proposals, requirements, features, and executed findings. Exclude generic context, literature, foreign projects, and stakeholder views not explicitly adopted by the authority.</x:v>
      </x:c>
      <x:c r="N72" s="34" t="str">
        <x:v>text</x:v>
      </x:c>
      <x:c r="O72" s="34" t="str"/>
      <x:c r="P72" s="38" t="str"/>
      <x:c r="Q72" s="38" t="str"/>
      <x:c r="R72" s="38" t="str"/>
      <x:c r="S72" s="38" t="str"/>
      <x:c r="T72" s="38" t="str"/>
      <x:c r="U72" s="38" t="str"/>
      <x:c r="V72" s="38" t="str"/>
      <x:c r="W72" s="38" t="str"/>
      <x:c r="X72" s="38" t="str"/>
      <x:c r="Y72" s="38" t="str"/>
      <x:c r="Z72" s="38" t="str"/>
      <x:c r="AA72" s="43" t="str">
        <x:f>IF('Instructions'!$B$3="","",'Instructions'!$B$3)</x:f>
      </x:c>
      <x:c r="AB72" s="43" t="str">
        <x:f>IF(P72="","PENDING",IF('Instructions'!$B$3="","SET_INITIALS",IF(P72="keep",IF(OR(Q72="",R72="",S72="",T72="",U72="",W72=""),"INCOMPLETE_KEEP","COMPLETE"),IF(P72="exclude",IF(OR(V72="",W72=""),"INCOMPLETE_EXCLUDE","COMPLETE"),"NEEDS_CONTEXT"))))</x:f>
        <x:v>PENDING</x:v>
      </x:c>
    </x:row>
    <x:row r="73" ht="62" customHeight="1">
      <x:c r="A73" s="34" t="str">
        <x:v>SV-0070</x:v>
      </x:c>
      <x:c r="B73" s="34" t="str">
        <x:v>it is necessary for both the AMCM and 
designated authorised operators to establish personal information 
protection regimes and internal control management mechanisms 
that comply with the legal requirements.</x:v>
      </x:c>
      <x:c r="C73" s="34" t="str"/>
      <x:c r="D73" s="34" t="str"/>
      <x:c r="E73" s="34" t="str"/>
      <x:c r="F73" s="34" t="str">
        <x:v>… h strategy will be rigorously implemented for system security, 
along with a set of operational maintenance measures on data 
security, encryption and auditing.
5.8. On the front of cybersecurity, the operation of the e-MOP system 
adheres to the highest level of security standards outlined in 
the “Cybersecurity - Management Standards” set forth by the 
Cybersecurity Incident Alert and Response Centre as per Law No. 
13/2019 (Cybersecurity Law).  The system will be monitored 24/7 by a 
team of specialists.
5.9. Regarding information security, it is necessary for both the AMCM and 
designated authorised operators to establish personal information 
protection regimes and internal control management mechanisms 
that comply with the legal requirements.
5.10. e-MOP will support the feature of managed anonymity, where privacy 
and data protection are important aspects of its design.  The e-MOP 
system offers privacy to consumers, strictly protecting personal 
information and data security.  Concurrently, the system ensures 
that e-MOP transactions comply with recommendations and best 
practices advocated by the Financial Action Task Force (FATF).  In 
addition, the e-MOP system fulfills the AML/CFT regulations and 
supervisory requirements in Macao SAR, effectively combating illicit 
transacti …</x:v>
      </x:c>
      <x:c r="G73" s="34" t="str">
        <x:v>PRD-0050-P0039-U01</x:v>
      </x:c>
      <x:c r="H73" s="34" t="str"/>
      <x:c r="I73" s="34" t="str">
        <x:v>MO_AMCM_eMOP_WP</x:v>
      </x:c>
      <x:c r="J73" s="34" t="n">
        <x:v>39</x:v>
      </x:c>
      <x:c r="K73" s="34" t="str">
        <x:v>en</x:v>
      </x:c>
      <x:c r="L73" s="34" t="str">
        <x:v>Monetary Authority of Macao (e-MOP)</x:v>
      </x:c>
      <x:c r="M73" s="34" t="str">
        <x:v>Retain AMCM e-MOP decisions, aims, features, and requirements. Exclude incomplete OCR fragments.</x:v>
      </x:c>
      <x:c r="N73" s="34" t="str">
        <x:v>text</x:v>
      </x:c>
      <x:c r="O73" s="34" t="str"/>
      <x:c r="P73" s="38" t="str"/>
      <x:c r="Q73" s="38" t="str"/>
      <x:c r="R73" s="38" t="str"/>
      <x:c r="S73" s="38" t="str"/>
      <x:c r="T73" s="38" t="str"/>
      <x:c r="U73" s="38" t="str"/>
      <x:c r="V73" s="38" t="str"/>
      <x:c r="W73" s="38" t="str"/>
      <x:c r="X73" s="38" t="str"/>
      <x:c r="Y73" s="38" t="str"/>
      <x:c r="Z73" s="38" t="str"/>
      <x:c r="AA73" s="43" t="str">
        <x:f>IF('Instructions'!$B$3="","",'Instructions'!$B$3)</x:f>
      </x:c>
      <x:c r="AB73" s="43" t="str">
        <x:f>IF(P73="","PENDING",IF('Instructions'!$B$3="","SET_INITIALS",IF(P73="keep",IF(OR(Q73="",R73="",S73="",T73="",U73="",W73=""),"INCOMPLETE_KEEP","COMPLETE"),IF(P73="exclude",IF(OR(V73="",W73=""),"INCOMPLETE_EXCLUDE","COMPLETE"),"NEEDS_CONTEXT"))))</x:f>
        <x:v>PENDING</x:v>
      </x:c>
    </x:row>
    <x:row r="74" ht="62" customHeight="1">
      <x:c r="A74" s="34" t="str">
        <x:v>SV-0071</x:v>
      </x:c>
      <x:c r="B74" s="34" t="str">
        <x:v>R3 Corda’s Token SDK supports the 
issuance and management of digital tokens, 
while Kaleido Hyperledger Besu uses the ERC20 
standard for the Rupiah Digital token base and 
ERC1400 for digital securities tokens.</x:v>
      </x:c>
      <x:c r="C74" s="34" t="str"/>
      <x:c r="D74" s="34" t="str"/>
      <x:c r="E74" s="34" t="str"/>
      <x:c r="F74" s="34" t="str">
        <x:v>… ctions. In DvP 
transactions, the transfer of digital asset ownership 
and transaction funds occur simultaneously. Atomic 
settlement reduces settlement risk because the 
transaction is only completed if both parties meet 
the requirements.
Tokenization enables the conversion of  
BI-RTGS current accounts to wRD, allowing the 
implementation of smart contracts in Rupiah 
currency. Additionally, tokenization helps the wRD 
platform manage the Rupiah Digital assets and 
digital securities. 
Each DLT platform has a different tokenization 
method. R3 Corda’s Token SDK supports the 
issuance and management of digital tokens, 
while Kaleido Hyperledger Besu uses the ERC20 
standard for the Rupiah Digital token base and 
ERC1400 for digital securities tokens. Use cases 
for DvP transactions and digital securities are not 
the primary focus of the Immediate State phase 
of PoC but will require further exploration for the 
Intermediate State phase.
Implementing smart contracts on the wRD 
platform increases the efficiency of business 
processes by automating transaction 
execution based on predetermined rules, 
leveraging programmability, composability, and 
tokenization advantages. The programmability 
capabilities of smart contracts provide the ability 
to program the Rupiah currency with specific  …</x:v>
      </x:c>
      <x:c r="G74" s="34" t="str">
        <x:v>PRD-0037-P0027-U01</x:v>
      </x:c>
      <x:c r="H74" s="34" t="str"/>
      <x:c r="I74" s="34" t="str">
        <x:v>ID_Indonesia_2024</x:v>
      </x:c>
      <x:c r="J74" s="34" t="n">
        <x:v>27</x:v>
      </x:c>
      <x:c r="K74" s="34" t="str">
        <x:v>en</x:v>
      </x:c>
      <x:c r="L74" s="34" t="str">
        <x:v>Bank Indonesia (Digital Rupiah)</x:v>
      </x:c>
      <x:c r="M74" s="34" t="str">
        <x:v>Retain the named authority's own CBDC decisions, explicit proposals, requirements, features, and executed findings. Exclude generic context, literature, foreign projects, and stakeholder views not explicitly adopted by the authority.</x:v>
      </x:c>
      <x:c r="N74" s="34" t="str">
        <x:v>text</x:v>
      </x:c>
      <x:c r="O74" s="34" t="str"/>
      <x:c r="P74" s="38" t="str"/>
      <x:c r="Q74" s="38" t="str"/>
      <x:c r="R74" s="38" t="str"/>
      <x:c r="S74" s="38" t="str"/>
      <x:c r="T74" s="38" t="str"/>
      <x:c r="U74" s="38" t="str"/>
      <x:c r="V74" s="38" t="str"/>
      <x:c r="W74" s="38" t="str"/>
      <x:c r="X74" s="38" t="str"/>
      <x:c r="Y74" s="38" t="str"/>
      <x:c r="Z74" s="38" t="str"/>
      <x:c r="AA74" s="43" t="str">
        <x:f>IF('Instructions'!$B$3="","",'Instructions'!$B$3)</x:f>
      </x:c>
      <x:c r="AB74" s="43" t="str">
        <x:f>IF(P74="","PENDING",IF('Instructions'!$B$3="","SET_INITIALS",IF(P74="keep",IF(OR(Q74="",R74="",S74="",T74="",U74="",W74=""),"INCOMPLETE_KEEP","COMPLETE"),IF(P74="exclude",IF(OR(V74="",W74=""),"INCOMPLETE_EXCLUDE","COMPLETE"),"NEEDS_CONTEXT"))))</x:f>
        <x:v>PENDING</x:v>
      </x:c>
    </x:row>
    <x:row r="75" ht="62" customHeight="1">
      <x:c r="A75" s="34" t="str">
        <x:v>SV-0072</x:v>
      </x:c>
      <x:c r="B75" s="34" t="str">
        <x:v>На платформе цифрового рубля реализована розничная двухуровневая схема: взаимодействие 
пользователей с платформой цифрового рубля осуществляется через инфраструктуру участников 
рынка, а не напрямую с оператором платформы.</x:v>
      </x:c>
      <x:c r="C75" s="34" t="str">
        <x:v>A retail two-tier scheme has been implemented on the digital-ruble platform: users interact with the digital-ruble platform through the infrastructure of market participants, rather than directly with the platform operator.</x:v>
      </x:c>
      <x:c r="D75" s="34" t="str"/>
      <x:c r="E75" s="34" t="str"/>
      <x:c r="F75" s="34" t="str">
        <x:v>… е цифрового рубля в тех 
населенных пунктах, где количество представленных банков ограничено.
Трансграничные расчеты
Цифровой рубль открывает принципиально новые возможности для трансграничных расчетов, 
устраняя многие барьеры, характерные для традиционных международных платежей. Его 
использование позволит проводить операции напрямую между контрагентами из разных 
стран, минуя сложные цепочки посредников. Это сократит время проведения транзакций 
с нескольких дней до минут, а также снизит комиссии.
	 1.3.		Модель	цифрового	рубля	Банка	России
На платформе цифрового рубля реализована розничная двухуровневая схема: взаимодействие 
пользователей с платформой цифрового рубля осуществляется через инфраструктуру участников 
рынка, а не напрямую с оператором платформы.
Оператором платформы является Банк России. Он устанавливает правила, стандарты и тарифы 
на операции с цифровыми рублями.
Взаимоотношения между оператором платформы, участниками платформы (банками) 
и пользователями платформы осуществляются на основе договоров оператора с участником 
платформы (банком) и оператора с пользователем платформы.
ДОГОВОРНАЯ МОДЕЛЬ НА ПЛАТФОРМЕ ЦИФРОВОГО РУБЛЯ Рис. 2
УЧАСТНИК	
ПЛАТФОРМЫ 
(БАНК)
ПОЛЬЗОВАТЕЛИ 
ФЛ/ЮЛ
Договор 
оператора 
с	участником
Договор 
оператора	
с	пользователем
БАНК	
РОССИИ</x:v>
      </x:c>
      <x:c r="G75" s="34" t="str">
        <x:v>PRD-0065-P0007-U01</x:v>
      </x:c>
      <x:c r="H75" s="34" t="str"/>
      <x:c r="I75" s="34" t="str">
        <x:v>RU_Russia_digital_ruble_30062025</x:v>
      </x:c>
      <x:c r="J75" s="34" t="n">
        <x:v>7</x:v>
      </x:c>
      <x:c r="K75" s="34" t="str">
        <x:v>ru/uk</x:v>
      </x:c>
      <x:c r="L75" s="34" t="str">
        <x:v>Bank of Russia (digital ruble)</x:v>
      </x:c>
      <x:c r="M75" s="34" t="str">
        <x:v>Retain implemented digital-ruble features, requirements, and reported results.</x:v>
      </x:c>
      <x:c r="N75" s="34" t="str">
        <x:v>text</x:v>
      </x:c>
      <x:c r="O75" s="34" t="str"/>
      <x:c r="P75" s="38" t="str"/>
      <x:c r="Q75" s="38" t="str"/>
      <x:c r="R75" s="38" t="str"/>
      <x:c r="S75" s="38" t="str"/>
      <x:c r="T75" s="38" t="str"/>
      <x:c r="U75" s="38" t="str"/>
      <x:c r="V75" s="38" t="str"/>
      <x:c r="W75" s="38" t="str"/>
      <x:c r="X75" s="38" t="str"/>
      <x:c r="Y75" s="38" t="str"/>
      <x:c r="Z75" s="38" t="str"/>
      <x:c r="AA75" s="43" t="str">
        <x:f>IF('Instructions'!$B$3="","",'Instructions'!$B$3)</x:f>
      </x:c>
      <x:c r="AB75" s="43" t="str">
        <x:f>IF(P75="","PENDING",IF('Instructions'!$B$3="","SET_INITIALS",IF(P75="keep",IF(OR(Q75="",R75="",S75="",T75="",U75="",W75=""),"INCOMPLETE_KEEP","COMPLETE"),IF(P75="exclude",IF(OR(V75="",W75=""),"INCOMPLETE_EXCLUDE","COMPLETE"),"NEEDS_CONTEXT"))))</x:f>
        <x:v>PENDING</x:v>
      </x:c>
    </x:row>
    <x:row r="76" ht="62" customHeight="1">
      <x:c r="A76" s="34" t="str">
        <x:v>SV-0073</x:v>
      </x:c>
      <x:c r="B76" s="34" t="str">
        <x:v>The HKMA is also currently inclined to the 
view that the e -HKD should have legal 
tender status given it is intended to be the 
digital equivalent of existing HKD fiat 
currency.</x:v>
      </x:c>
      <x:c r="C76" s="34" t="str"/>
      <x:c r="D76" s="34" t="str"/>
      <x:c r="E76" s="34" t="str"/>
      <x:c r="F76" s="34" t="str">
        <x:v>… (i) The HKMA agrees that  the legal mandate 
underpinning the status of any e -HKD, as 
essentially the digital version of Hong 
Kong dollar cash, should align with that of 
existing Hong Kong currency in the form of 
legal tender currency/bank notes (issued 
under the Legal Tender Notes  Issue 
Ordinance) and coins (issued under the 
Coinage Ordinance).  Introducing 
appropriate amendments to the law 
would ensure that the issuance of all 
forms of Hong Kong currency would be 
clearly prescribed by law in a consistent 
and coherent manner. 
The HKMA is also currently inclined to the 
view that the e -HKD should have legal 
tender status given it is intended to be the 
digital equivalent of existing HKD fiat 
currency.  This status can be accorded via 
the legislative amendments referred to</x:v>
      </x:c>
      <x:c r="G76" s="34" t="str">
        <x:v>PRD-0033-P0036-U01</x:v>
      </x:c>
      <x:c r="H76" s="34" t="str"/>
      <x:c r="I76" s="34" t="str">
        <x:v>HK_HKMA_2022</x:v>
      </x:c>
      <x:c r="J76" s="34" t="n">
        <x:v>36</x:v>
      </x:c>
      <x:c r="K76" s="34" t="str">
        <x:v>en</x:v>
      </x:c>
      <x:c r="L76" s="34" t="str">
        <x:v>Hong Kong Monetary Authority (e-HKD)</x:v>
      </x:c>
      <x:c r="M76" s="34" t="str">
        <x:v>Consultation source: retain only HKMA responses or explicit commitments. Exclude respondent feedback and suggestions unless HKMA adopts them.</x:v>
      </x:c>
      <x:c r="N76" s="34" t="str">
        <x:v>text</x:v>
      </x:c>
      <x:c r="O76" s="34" t="str"/>
      <x:c r="P76" s="38" t="str"/>
      <x:c r="Q76" s="38" t="str"/>
      <x:c r="R76" s="38" t="str"/>
      <x:c r="S76" s="38" t="str"/>
      <x:c r="T76" s="38" t="str"/>
      <x:c r="U76" s="38" t="str"/>
      <x:c r="V76" s="38" t="str"/>
      <x:c r="W76" s="38" t="str"/>
      <x:c r="X76" s="38" t="str"/>
      <x:c r="Y76" s="38" t="str"/>
      <x:c r="Z76" s="38" t="str"/>
      <x:c r="AA76" s="43" t="str">
        <x:f>IF('Instructions'!$B$3="","",'Instructions'!$B$3)</x:f>
      </x:c>
      <x:c r="AB76" s="43" t="str">
        <x:f>IF(P76="","PENDING",IF('Instructions'!$B$3="","SET_INITIALS",IF(P76="keep",IF(OR(Q76="",R76="",S76="",T76="",U76="",W76=""),"INCOMPLETE_KEEP","COMPLETE"),IF(P76="exclude",IF(OR(V76="",W76=""),"INCOMPLETE_EXCLUDE","COMPLETE"),"NEEDS_CONTEXT"))))</x:f>
        <x:v>PENDING</x:v>
      </x:c>
    </x:row>
    <x:row r="77" ht="62" customHeight="1">
      <x:c r="A77" s="34" t="str">
        <x:v>SV-0074</x:v>
      </x:c>
      <x:c r="B77" s="34" t="str">
        <x:v>Technological and business directives
✓ To be defined exclusively by the BCB</x:v>
      </x:c>
      <x:c r="C77" s="34" t="str"/>
      <x:c r="D77" s="34" t="str"/>
      <x:c r="E77" s="34" t="str"/>
      <x:c r="F77" s="34" t="str">
        <x:v>3
 Fractionalization of assets
4
 Access to services through financial and payment institutions
✓ Tokenized Brazilian Real
✓ API provided by the financial service provider
5
 Technological and business directives
✓ To be defined exclusively by the BCB
✓ ‘Digital Real’ Forum: channel of consultation between the BCB and 
representative entities from the segments involved
Piloto RD – Technical aspects</x:v>
      </x:c>
      <x:c r="G77" s="34" t="str">
        <x:v>PRD-0011-P0011-U01</x:v>
      </x:c>
      <x:c r="H77" s="34" t="str"/>
      <x:c r="I77" s="34" t="str">
        <x:v>BR_Brazil_2023</x:v>
      </x:c>
      <x:c r="J77" s="34" t="n">
        <x:v>11</x:v>
      </x:c>
      <x:c r="K77" s="34" t="str">
        <x:v>en</x:v>
      </x:c>
      <x:c r="L77" s="34" t="str">
        <x:v>Banco Central do Brasil (Drex / Digital Real)</x:v>
      </x:c>
      <x:c r="M77" s="34" t="str">
        <x:v>Retain the named authority's own CBDC decisions, explicit proposals, requirements, features, and executed findings. Exclude generic context, literature, foreign projects, and stakeholder views not explicitly adopted by the authority.</x:v>
      </x:c>
      <x:c r="N77" s="34" t="str">
        <x:v>text</x:v>
      </x:c>
      <x:c r="O77" s="34" t="str"/>
      <x:c r="P77" s="38" t="str"/>
      <x:c r="Q77" s="38" t="str"/>
      <x:c r="R77" s="38" t="str"/>
      <x:c r="S77" s="38" t="str"/>
      <x:c r="T77" s="38" t="str"/>
      <x:c r="U77" s="38" t="str"/>
      <x:c r="V77" s="38" t="str"/>
      <x:c r="W77" s="38" t="str"/>
      <x:c r="X77" s="38" t="str"/>
      <x:c r="Y77" s="38" t="str"/>
      <x:c r="Z77" s="38" t="str"/>
      <x:c r="AA77" s="43" t="str">
        <x:f>IF('Instructions'!$B$3="","",'Instructions'!$B$3)</x:f>
      </x:c>
      <x:c r="AB77" s="43" t="str">
        <x:f>IF(P77="","PENDING",IF('Instructions'!$B$3="","SET_INITIALS",IF(P77="keep",IF(OR(Q77="",R77="",S77="",T77="",U77="",W77=""),"INCOMPLETE_KEEP","COMPLETE"),IF(P77="exclude",IF(OR(V77="",W77=""),"INCOMPLETE_EXCLUDE","COMPLETE"),"NEEDS_CONTEXT"))))</x:f>
        <x:v>PENDING</x:v>
      </x:c>
    </x:row>
    <x:row r="78" ht="62" customHeight="1">
      <x:c r="A78" s="34" t="str">
        <x:v>SV-0075</x:v>
      </x:c>
      <x:c r="B78" s="34" t="str">
        <x:v>The CBDC issuance is not intended to compete with existing digital payment services, but to 
expand unbanked people’s access to payment services .</x:v>
      </x:c>
      <x:c r="C78" s="34" t="str"/>
      <x:c r="D78" s="34" t="str"/>
      <x:c r="E78" s="34" t="str"/>
      <x:c r="F78" s="34" t="str">
        <x:v>… ovide the ability to digitally send and receive funds from other agents in the 
economy.  
While promoting access to digital payments is a major reason for studying CBDC adoption, it 
may also have positive impacts on several areas of interest for the BCRP . A CBDC issuance 
could also support payment efficiency, reduce cash management costs, foster competition, and 
innovation, improve the monetary transmission mechanism, enhance financial stability, and strengthen 
the preference for local currency as a means of payment among Peruvians. 
The CBDC issuance is not intended to compete with existing digital payment services, but to 
expand unbanked people’s access to payment services . Appropriate design is required to enable a 
CBDC to provide payment services like those offered by cash, with the advantage of secure and 
efficient access to the digital payment ecosystem. It is envisaged that the digital currency will dov etail 
1 For example, electronic transfers, digital wallets, and payment cards. 
2 In Peru, financial inclusion is defined as access to,  and use of, quality financial services by all segments of the 
population.</x:v>
      </x:c>
      <x:c r="G78" s="34" t="str">
        <x:v>PRD-0059-P0008-U01</x:v>
      </x:c>
      <x:c r="H78" s="34" t="str"/>
      <x:c r="I78" s="34" t="str">
        <x:v>PE_Peru_cbdc-presentation</x:v>
      </x:c>
      <x:c r="J78" s="34" t="n">
        <x:v>8</x:v>
      </x:c>
      <x:c r="K78" s="34" t="str">
        <x:v>en</x:v>
      </x:c>
      <x:c r="L78" s="34" t="str">
        <x:v>Banco Central de Reserva del Peru</x:v>
      </x:c>
      <x:c r="M78" s="34" t="str">
        <x:v>Retain the named authority's own CBDC decisions, explicit proposals, requirements, features, and executed findings. Exclude generic context, literature, foreign projects, and stakeholder views not explicitly adopted by the authority.</x:v>
      </x:c>
      <x:c r="N78" s="34" t="str">
        <x:v>text</x:v>
      </x:c>
      <x:c r="O78" s="34" t="str"/>
      <x:c r="P78" s="38" t="str"/>
      <x:c r="Q78" s="38" t="str"/>
      <x:c r="R78" s="38" t="str"/>
      <x:c r="S78" s="38" t="str"/>
      <x:c r="T78" s="38" t="str"/>
      <x:c r="U78" s="38" t="str"/>
      <x:c r="V78" s="38" t="str"/>
      <x:c r="W78" s="38" t="str"/>
      <x:c r="X78" s="38" t="str"/>
      <x:c r="Y78" s="38" t="str"/>
      <x:c r="Z78" s="38" t="str"/>
      <x:c r="AA78" s="43" t="str">
        <x:f>IF('Instructions'!$B$3="","",'Instructions'!$B$3)</x:f>
      </x:c>
      <x:c r="AB78" s="43" t="str">
        <x:f>IF(P78="","PENDING",IF('Instructions'!$B$3="","SET_INITIALS",IF(P78="keep",IF(OR(Q78="",R78="",S78="",T78="",U78="",W78=""),"INCOMPLETE_KEEP","COMPLETE"),IF(P78="exclude",IF(OR(V78="",W78=""),"INCOMPLETE_EXCLUDE","COMPLETE"),"NEEDS_CONTEXT"))))</x:f>
        <x:v>PENDING</x:v>
      </x:c>
    </x:row>
    <x:row r="79" ht="62" customHeight="1">
      <x:c r="A79" s="34" t="str">
        <x:v>SV-0076</x:v>
      </x:c>
      <x:c r="B79" s="34" t="str">
        <x:v>Vi ser for oss at kontosystemet kombineres med en modul for lokal lagring.</x:v>
      </x:c>
      <x:c r="C79" s="34" t="str"/>
      <x:c r="D79" s="34" t="str"/>
      <x:c r="E79" s="34" t="str"/>
      <x:c r="F79" s="34" t="str">
        <x:v>… e mulig å overføre 
penger mellom ordinære bankkontoer og DSP-kontoer som ikke har samme 
eier. Dette for å sikre at DSP-systemet ikke blir altfor likt det ordinære 
betalingssystemet, slik at DSP kan oppnå formålene om uavhengig beredskap 
og konkurranse og slik at det er mulig å påvirke DSP-volumet blant annet av 
hensyn til finansiell stabilitet.     
Et kontosystem med slike restriksjoner vil ha mye til felles med et e-
pengesystem, der det kun er mulig å betale mellom kontoer i systemet. 
Eksempler på slike systemer er PayPal og AliPay.  
Vi ser for oss at kontosystemet kombineres med en modul for lokal lagring. 
Hovedformålet med en slik modul er å sikre at det er mulig å gjennomføre 
betalinger og oppgjør når det ikke er mulig å bruke det sentraliserte 
kontosystemet, altså i praksis for beredskapsformål. En slik modell kan 
karakteriseres som en hybridmodell, med et kontobasert hovedsystem (som 
27 Se Libra Association Members (2020).</x:v>
      </x:c>
      <x:c r="G79" s="34" t="str">
        <x:v>PRD-0054-P0034-U01</x:v>
      </x:c>
      <x:c r="H79" s="34" t="str"/>
      <x:c r="I79" s="34" t="str">
        <x:v>NO_Norway_norges-bank-memo-1-2021</x:v>
      </x:c>
      <x:c r="J79" s="34" t="n">
        <x:v>34</x:v>
      </x:c>
      <x:c r="K79" s="34" t="str">
        <x:v>en</x:v>
      </x:c>
      <x:c r="L79" s="34" t="str">
        <x:v>Norges Bank (Norwegian CBDC work)</x:v>
      </x:c>
      <x:c r="M79" s="34" t="str">
        <x:v>Retain Norges Bank CBDC positions and requirements; exclude generic or cited research.</x:v>
      </x:c>
      <x:c r="N79" s="34" t="str">
        <x:v>text</x:v>
      </x:c>
      <x:c r="O79" s="34" t="str"/>
      <x:c r="P79" s="38" t="str"/>
      <x:c r="Q79" s="38" t="str"/>
      <x:c r="R79" s="38" t="str"/>
      <x:c r="S79" s="38" t="str"/>
      <x:c r="T79" s="38" t="str"/>
      <x:c r="U79" s="38" t="str"/>
      <x:c r="V79" s="38" t="str"/>
      <x:c r="W79" s="38" t="str"/>
      <x:c r="X79" s="38" t="str"/>
      <x:c r="Y79" s="38" t="str"/>
      <x:c r="Z79" s="38" t="str"/>
      <x:c r="AA79" s="43" t="str">
        <x:f>IF('Instructions'!$B$3="","",'Instructions'!$B$3)</x:f>
      </x:c>
      <x:c r="AB79" s="43" t="str">
        <x:f>IF(P79="","PENDING",IF('Instructions'!$B$3="","SET_INITIALS",IF(P79="keep",IF(OR(Q79="",R79="",S79="",T79="",U79="",W79=""),"INCOMPLETE_KEEP","COMPLETE"),IF(P79="exclude",IF(OR(V79="",W79=""),"INCOMPLETE_EXCLUDE","COMPLETE"),"NEEDS_CONTEXT"))))</x:f>
        <x:v>PENDING</x:v>
      </x:c>
    </x:row>
    <x:row r="80" ht="62" customHeight="1">
      <x:c r="A80" s="34" t="str">
        <x:v>SV-0077</x:v>
      </x:c>
      <x:c r="B80" s="34" t="str">
        <x:v>permissioned distributed ledger 
technology (DLT)</x:v>
      </x:c>
      <x:c r="C80" s="34" t="str"/>
      <x:c r="D80" s="34" t="str"/>
      <x:c r="E80" s="34" t="str"/>
      <x:c r="F80" s="34" t="str">
        <x:v>… maximize the benefits and minimize the risks of a 
retail CBDC. This study ties the risks and benefits to inclusive 
resilience, which is associated with monetary stability, financial 
stability, financial inclusion, and financial integrity. On conclusion, 
an inclusively-resilient retail digital florin must at least exhibit: 
(i) a three-tiered know-your-customer (KYC) approach (to 
balance privacy and KYC efforts), (ii) offline features, (iii) one-to-
one conversion between commercial bank deposits and CBDC, 
(iii) non-interest bearing, (iv) permissioned distributed ledger 
technology (DLT), (v) decentralized customer-facing activities, 
and (vi) for the time being, no cross-border payments. 
Contingent on a proof-of-concept for a retail digital florin, the 
following implementation process needs to be followed. This 
policy paper partly meets the first step of the implementation 
process, as it proposes a (I) digital florin with the minimum 
design criteria, an input for assessing the feasibility of a retail 
CBDC. The second step (II) involves determining the terms 
and conditions for the regulatory sandbox. Within this step, t …</x:v>
      </x:c>
      <x:c r="G80" s="34" t="str">
        <x:v>PRD-0008-P0090-U01</x:v>
      </x:c>
      <x:c r="H80" s="34" t="str"/>
      <x:c r="I80" s="34" t="str">
        <x:v>AW_ARU_001</x:v>
      </x:c>
      <x:c r="J80" s="34" t="n">
        <x:v>90</x:v>
      </x:c>
      <x:c r="K80" s="34" t="str">
        <x:v>en</x:v>
      </x:c>
      <x:c r="L80" s="34" t="str">
        <x:v>Aruba policy study / Central Bank of Aruba</x:v>
      </x:c>
      <x:c r="M80" s="34" t="str">
        <x:v>This is a broad Aruba policy report. Retain only explicit Aruba CBDC recommendations or findings; exclude external literature and non-CBDC chapters.</x:v>
      </x:c>
      <x:c r="N80" s="34" t="str">
        <x:v>text</x:v>
      </x:c>
      <x:c r="O80" s="34" t="str"/>
      <x:c r="P80" s="38" t="str"/>
      <x:c r="Q80" s="38" t="str"/>
      <x:c r="R80" s="38" t="str"/>
      <x:c r="S80" s="38" t="str"/>
      <x:c r="T80" s="38" t="str"/>
      <x:c r="U80" s="38" t="str"/>
      <x:c r="V80" s="38" t="str"/>
      <x:c r="W80" s="38" t="str"/>
      <x:c r="X80" s="38" t="str"/>
      <x:c r="Y80" s="38" t="str"/>
      <x:c r="Z80" s="38" t="str"/>
      <x:c r="AA80" s="43" t="str">
        <x:f>IF('Instructions'!$B$3="","",'Instructions'!$B$3)</x:f>
      </x:c>
      <x:c r="AB80" s="43" t="str">
        <x:f>IF(P80="","PENDING",IF('Instructions'!$B$3="","SET_INITIALS",IF(P80="keep",IF(OR(Q80="",R80="",S80="",T80="",U80="",W80=""),"INCOMPLETE_KEEP","COMPLETE"),IF(P80="exclude",IF(OR(V80="",W80=""),"INCOMPLETE_EXCLUDE","COMPLETE"),"NEEDS_CONTEXT"))))</x:f>
        <x:v>PENDING</x:v>
      </x:c>
    </x:row>
    <x:row r="81" ht="62" customHeight="1">
      <x:c r="A81" s="34" t="str">
        <x:v>SV-0078</x:v>
      </x:c>
      <x:c r="B81" s="34" t="str">
        <x:v>The platform was also capable of handling the diff  erent participant sets between 
the LVTS and CDS such that each participant was only capable of performing 
those functions for which they were authorized.</x:v>
      </x:c>
      <x:c r="C81" s="34" t="str"/>
      <x:c r="D81" s="34" t="str"/>
      <x:c r="E81" s="34" t="str"/>
      <x:c r="F81" s="34" t="str">
        <x:v>… form processed key functions, such as 
pledging and redeeming cash and equities and performing 
settlement transactions, in a manner aimed at respecting the 
privacy and scalability requirements of the Canadian system. 
The use of DLT was important for creating a loose integration of the LVTS and 
CDS that achieved DVP1 settlement with only DVP2 input of liquidity. This loose 
integration framework left the two authorities involved — the Bank of Canada for 
cash and CDS for equities — in full control of their respective instruments 
or tokens.
The platform was also capable of handling the diff  erent participant sets between 
the LVTS and CDS such that each participant was only capable of performing 
those functions for which they were authorized.
Finally, the project scope was not suffi   ciently broad to determine whether DLT 
would yield signifi  cant cost savings or effi   ciency gains. We expect that an 
expansion of scope across a number of possible dimensions (e.g. multiple assets, 
more of the trade and post-trade settlement life cycle, and additional types of 
trades) would provide such insight.</x:v>
      </x:c>
      <x:c r="G81" s="34" t="str">
        <x:v>PRD-0014-P0029-U01</x:v>
      </x:c>
      <x:c r="H81" s="34" t="str"/>
      <x:c r="I81" s="34" t="str">
        <x:v>CA_Jasper_III_2018</x:v>
      </x:c>
      <x:c r="J81" s="34" t="n">
        <x:v>29</x:v>
      </x:c>
      <x:c r="K81" s="34" t="str">
        <x:v>en</x:v>
      </x:c>
      <x:c r="L81" s="34" t="str">
        <x:v>Bank of Canada and Payments Canada (Project Jasper)</x:v>
      </x:c>
      <x:c r="M81" s="34" t="str">
        <x:v>Retain executed Project Jasper design choices and findings. Exclude general DLT literature and external examples.</x:v>
      </x:c>
      <x:c r="N81" s="34" t="str">
        <x:v>text</x:v>
      </x:c>
      <x:c r="O81" s="34" t="str"/>
      <x:c r="P81" s="38" t="str"/>
      <x:c r="Q81" s="38" t="str"/>
      <x:c r="R81" s="38" t="str"/>
      <x:c r="S81" s="38" t="str"/>
      <x:c r="T81" s="38" t="str"/>
      <x:c r="U81" s="38" t="str"/>
      <x:c r="V81" s="38" t="str"/>
      <x:c r="W81" s="38" t="str"/>
      <x:c r="X81" s="38" t="str"/>
      <x:c r="Y81" s="38" t="str"/>
      <x:c r="Z81" s="38" t="str"/>
      <x:c r="AA81" s="43" t="str">
        <x:f>IF('Instructions'!$B$3="","",'Instructions'!$B$3)</x:f>
      </x:c>
      <x:c r="AB81" s="43" t="str">
        <x:f>IF(P81="","PENDING",IF('Instructions'!$B$3="","SET_INITIALS",IF(P81="keep",IF(OR(Q81="",R81="",S81="",T81="",U81="",W81=""),"INCOMPLETE_KEEP","COMPLETE"),IF(P81="exclude",IF(OR(V81="",W81=""),"INCOMPLETE_EXCLUDE","COMPLETE"),"NEEDS_CONTEXT"))))</x:f>
        <x:v>PENDING</x:v>
      </x:c>
    </x:row>
    <x:row r="82" ht="62" customHeight="1">
      <x:c r="A82" s="34" t="str">
        <x:v>SV-0079</x:v>
      </x:c>
      <x:c r="B82" s="34" t="str">
        <x:v>It was found that ZKPs improved privacy 
with similar settlement times but significantly 
increased gas fees37, making them up to 320 
times more expensive than transactions which 
do not use any PETs, due to their computational 
intensity.</x:v>
      </x:c>
      <x:c r="C82" s="34" t="str"/>
      <x:c r="D82" s="34" t="str"/>
      <x:c r="E82" s="34" t="str"/>
      <x:c r="F82" s="34" t="str">
        <x:v>… ls.
Importantly, privacy risks are not limited to 
permissionless blockchains. Instead, these 
concerns also exist in permissioned networks, 
such as consortium chains, underscoring the 
need for robust privacy solutions regardless of 
the final design of the e-HKD architecture.
To address these privacy risks, privacy-
enhancing technologies (PETs), including Zero 
Knowledge Proof (ZKP)36 implemented in Zeto 
and Anonymous Zether (see Box C) were 
tested alongside an allowlist and denylist on 
four permissionless blockchains under the 
pilots. It was found that ZKPs improved privacy 
with similar settlement times but significantly 
increased gas fees37, making them up to 320 
times more expensive than transactions which 
do not use any PETs, due to their computational 
intensity. For context, the gas fee of a typical 
transfer of an ERC -20 token consumes costs 
roughly US$0.1338. 
This creates a fundamental trade-off: enhanced 
privacy often leads to higher costs and 
increased complexity. If transaction costs 
become too high, an e-HKD would become 
impractical for small, everyday purchases. 
Conversely, inadequate privacy protections 
could erode user trust and hinder adoption. 
Striking a careful balance between these two 
imperatives will be vital to ensuring an e-HKD is 
both trusted and widely used.
A balanced a …</x:v>
      </x:c>
      <x:c r="G82" s="34" t="str">
        <x:v>PRD-0093-P0034-U01</x:v>
      </x:c>
      <x:c r="H82" s="34" t="str"/>
      <x:c r="I82" s="34" t="str">
        <x:v>HK_HKMA_eHKD_Phase2_2025</x:v>
      </x:c>
      <x:c r="J82" s="34" t="n">
        <x:v>34</x:v>
      </x:c>
      <x:c r="K82" s="34" t="str">
        <x:v>en</x:v>
      </x:c>
      <x:c r="L82" s="34" t="str">
        <x:v>Hong Kong Monetary Authority (e-HKD Phase 2 pilots)</x:v>
      </x:c>
      <x:c r="M82" s="34" t="str">
        <x:v>Retain complete e-HKD pilot findings, conclusions, and HKMA requirements. Quote the complete claim before any trailing fragment.</x:v>
      </x:c>
      <x:c r="N82" s="34" t="str">
        <x:v>text</x:v>
      </x:c>
      <x:c r="O82" s="34" t="str"/>
      <x:c r="P82" s="38" t="str"/>
      <x:c r="Q82" s="38" t="str"/>
      <x:c r="R82" s="38" t="str"/>
      <x:c r="S82" s="38" t="str"/>
      <x:c r="T82" s="38" t="str"/>
      <x:c r="U82" s="38" t="str"/>
      <x:c r="V82" s="38" t="str"/>
      <x:c r="W82" s="38" t="str"/>
      <x:c r="X82" s="38" t="str"/>
      <x:c r="Y82" s="38" t="str"/>
      <x:c r="Z82" s="38" t="str"/>
      <x:c r="AA82" s="43" t="str">
        <x:f>IF('Instructions'!$B$3="","",'Instructions'!$B$3)</x:f>
      </x:c>
      <x:c r="AB82" s="43" t="str">
        <x:f>IF(P82="","PENDING",IF('Instructions'!$B$3="","SET_INITIALS",IF(P82="keep",IF(OR(Q82="",R82="",S82="",T82="",U82="",W82=""),"INCOMPLETE_KEEP","COMPLETE"),IF(P82="exclude",IF(OR(V82="",W82=""),"INCOMPLETE_EXCLUDE","COMPLETE"),"NEEDS_CONTEXT"))))</x:f>
        <x:v>PENDING</x:v>
      </x:c>
    </x:row>
    <x:row r="83" ht="62" customHeight="1">
      <x:c r="A83" s="34" t="str">
        <x:v>SV-0080</x:v>
      </x:c>
      <x:c r="B83" s="34" t="str">
        <x:v>The security aspects in the implementation of 
the wRD PoC have been tested and follow the 
applicable security standards at Bank Indonesia.</x:v>
      </x:c>
      <x:c r="C83" s="34" t="str"/>
      <x:c r="D83" s="34" t="str"/>
      <x:c r="E83" s="34" t="str"/>
      <x:c r="F83" s="34" t="str">
        <x:v>31.  R3’s commercial service, Corda Enterprise, allows for the operation of a Corda network with full control, including consensus management. 
32.  A network map is a component that stores information about all nodes connected to the network and functions like a directory. 
33. Bootnode is node that initially creates the network.
34. Genesis file is a file that contains the network configuration.
3.7. SECURITY ASPECTS
The security aspects in the implementation of 
the wRD PoC have been tested and follow the 
applicable security standards at Bank Indonesia.
Figure 16. The Process of Identifying New Members in the Network (a) In the Implementation of R3 Corda;   
(b) In the Implementation of Kaleido Hyperledger Besu
R3 Corda relies on an additional component called 
Corda Enterprise Network Manager (CENM) 31, 
which is responsible for identifying participants, as 
well as adding them to the network map
32.
Meanwhile, Kaleido Hyperledger Besu involves 
creating a network by using bootnode
33 and  
genesis files34 for new participants, subsequently 
adding those participants to the configuration of  …</x:v>
      </x:c>
      <x:c r="G83" s="34" t="str">
        <x:v>PRD-0037-P0025-U01</x:v>
      </x:c>
      <x:c r="H83" s="34" t="str"/>
      <x:c r="I83" s="34" t="str">
        <x:v>ID_Indonesia_2024</x:v>
      </x:c>
      <x:c r="J83" s="34" t="n">
        <x:v>25</x:v>
      </x:c>
      <x:c r="K83" s="34" t="str">
        <x:v>en</x:v>
      </x:c>
      <x:c r="L83" s="34" t="str">
        <x:v>Bank Indonesia (Digital Rupiah)</x:v>
      </x:c>
      <x:c r="M83" s="34" t="str">
        <x:v>Retain the named authority's own CBDC decisions, explicit proposals, requirements, features, and executed findings. Exclude generic context, literature, foreign projects, and stakeholder views not explicitly adopted by the authority.</x:v>
      </x:c>
      <x:c r="N83" s="34" t="str">
        <x:v>text</x:v>
      </x:c>
      <x:c r="O83" s="34" t="str"/>
      <x:c r="P83" s="38" t="str"/>
      <x:c r="Q83" s="38" t="str"/>
      <x:c r="R83" s="38" t="str"/>
      <x:c r="S83" s="38" t="str"/>
      <x:c r="T83" s="38" t="str"/>
      <x:c r="U83" s="38" t="str"/>
      <x:c r="V83" s="38" t="str"/>
      <x:c r="W83" s="38" t="str"/>
      <x:c r="X83" s="38" t="str"/>
      <x:c r="Y83" s="38" t="str"/>
      <x:c r="Z83" s="38" t="str"/>
      <x:c r="AA83" s="43" t="str">
        <x:f>IF('Instructions'!$B$3="","",'Instructions'!$B$3)</x:f>
      </x:c>
      <x:c r="AB83" s="43" t="str">
        <x:f>IF(P83="","PENDING",IF('Instructions'!$B$3="","SET_INITIALS",IF(P83="keep",IF(OR(Q83="",R83="",S83="",T83="",U83="",W83=""),"INCOMPLETE_KEEP","COMPLETE"),IF(P83="exclude",IF(OR(V83="",W83=""),"INCOMPLETE_EXCLUDE","COMPLETE"),"NEEDS_CONTEXT"))))</x:f>
        <x:v>PENDING</x:v>
      </x:c>
    </x:row>
    <x:row r="84" ht="62" customHeight="1">
      <x:c r="A84" s="34" t="str">
        <x:v>SV-0081</x:v>
      </x:c>
      <x:c r="B84" s="34" t="str">
        <x:v>A well-designed API layer would allow PIPs to integrate their current and future payment 
services with a CBDC.</x:v>
      </x:c>
      <x:c r="C84" s="34" t="str"/>
      <x:c r="D84" s="34" t="str"/>
      <x:c r="E84" s="34" t="str"/>
      <x:c r="F84" s="34" t="str">
        <x:v>… roduce new innovative functionality without 
compromising core use cases.  
• The Bank is experimenting with API design through Project Rosalind in conjunction 
with the BIS Innovation Hub London Centre. 
The API layer would allow PIPs and ESIPs to build overlay services. 
The core ledger would provide the minimum necessary functionality for managing a CBDC 
wallet and making payments using CBDC. The API layer would allow PIPs and ESIPs to 
access this functionality, allowing them to build overlay services that make CBDC usable and 
useful. 
A well-designed API layer would allow PIPs to integrate their current and future payment 
services with a CBDC. The API layer should also be designed with the aim of encouraging a 
range of innovative digital products and services that add value for users.  
The API layer would facilitate instructions and data sharing between PIPs, ESIPs and 
the core ledger, in a secure and efficient way. 
A potential API architecture would consist of two key components, an API gateway and API 
services:  
• The API gateway would provide a single entry point for API calls, which enables 
efficient and secure management of the API requests by routing valid requests to t …</x:v>
      </x:c>
      <x:c r="G84" s="34" t="str">
        <x:v>PRD-0076-P0058-U01</x:v>
      </x:c>
      <x:c r="H84" s="34" t="str"/>
      <x:c r="I84" s="34" t="str">
        <x:v>UK_BoE_2023_TechWP</x:v>
      </x:c>
      <x:c r="J84" s="34" t="n">
        <x:v>58</x:v>
      </x:c>
      <x:c r="K84" s="34" t="str">
        <x:v>en</x:v>
      </x:c>
      <x:c r="L84" s="34" t="str">
        <x:v>Bank of England and HM Treasury (digital pound)</x:v>
      </x:c>
      <x:c r="M84" s="34" t="str">
        <x:v>Retain the named authority's own CBDC decisions, explicit proposals, requirements, features, and executed findings. Exclude generic context, literature, foreign projects, and stakeholder views not explicitly adopted by the authority.</x:v>
      </x:c>
      <x:c r="N84" s="34" t="str">
        <x:v>text</x:v>
      </x:c>
      <x:c r="O84" s="34" t="str"/>
      <x:c r="P84" s="38" t="str"/>
      <x:c r="Q84" s="38" t="str"/>
      <x:c r="R84" s="38" t="str"/>
      <x:c r="S84" s="38" t="str"/>
      <x:c r="T84" s="38" t="str"/>
      <x:c r="U84" s="38" t="str"/>
      <x:c r="V84" s="38" t="str"/>
      <x:c r="W84" s="38" t="str"/>
      <x:c r="X84" s="38" t="str"/>
      <x:c r="Y84" s="38" t="str"/>
      <x:c r="Z84" s="38" t="str"/>
      <x:c r="AA84" s="43" t="str">
        <x:f>IF('Instructions'!$B$3="","",'Instructions'!$B$3)</x:f>
      </x:c>
      <x:c r="AB84" s="43" t="str">
        <x:f>IF(P84="","PENDING",IF('Instructions'!$B$3="","SET_INITIALS",IF(P84="keep",IF(OR(Q84="",R84="",S84="",T84="",U84="",W84=""),"INCOMPLETE_KEEP","COMPLETE"),IF(P84="exclude",IF(OR(V84="",W84=""),"INCOMPLETE_EXCLUDE","COMPLETE"),"NEEDS_CONTEXT"))))</x:f>
        <x:v>PENDING</x:v>
      </x:c>
    </x:row>
    <x:row r="85" ht="62" customHeight="1">
      <x:c r="A85" s="34" t="str">
        <x:v>SV-0082</x:v>
      </x:c>
      <x:c r="B85" s="34" t="str">
        <x:v>⑦逆引送金 
送金先のユーザーが、送金元のユーザーの事前承諾を前提に、逆引送金を行うための取
引指示を送金元の CBDC 口座に対して送付し、当該指示とおりの逆引送金を実行</x:v>
      </x:c>
      <x:c r="C85" s="34" t="str">
        <x:v>⑦Reverse transfer: The recipient user, based on the sender user's prior consent, sends a transaction instruction for a reverse transfer to the sender's CBDC account, and the reverse transfer is executed as instructed.</x:v>
      </x:c>
      <x:c r="D85" s="34" t="str"/>
      <x:c r="E85" s="34" t="str"/>
      <x:c r="F85" s="34" t="str">
        <x:v>6 
図表４ 基本機能と周辺機能 
機能 検討テーマ 
基
本
機
能 
①発行 仲介機関 X の日銀当座預金を減額して、同CBDC を増額 
②払出 ユーザーA の銀行預金などを減額して、仲介機関 X からユーザーA に CBDC を振替 
③送金 
ユーザー間の取引などに伴い、CBDC を移転 
・オートスウィング、オートチャージ 
・各種制限（保有額制限など）チェック 
④受入 ユーザーB から仲介機関 Y にCBDC を振替し、ユーザーB の銀行預金などを増額 
⑤還収 仲介機関 Y の CBDC を減額して、同日銀当預口座を増額 
周
辺
機
能 
⑥予約送金 
（一括送金） 
将来実行される予定の送金指示を登録し、指定日到来時に自動的に指図を実行する機能 
（一括送金は、複数件の取引指図を一括して実行する機能） 
⑦逆引送金 
送金先のユーザーが、送金元のユーザーの事前承諾を前提に、逆引送金を行うための取
引指示を送金元の CBDC 口座に対して送付し、当該指示とおりの逆引送金を実行 
⑧残高・ 
明細照会 
仲介機関システムにおいて管理されている CBDC の現在残高や過去の取引履歴などの
明細を照会 
日銀ネット(疑似)中央システム
中央システム
仲介機関X
勘定系
システム
(疑似)
仲介機関
システム
ユーザーA
①発行 ⑤還収
②払出 ④受入
③送金
⑥予約送金（一括送金）
⑧残高・明細照会
⑦逆引送金
仲介機関Y
勘定系
システム
(疑似)
仲介機関
システム
ユーザーB
⑧残高・明細照会</x:v>
      </x:c>
      <x:c r="G85" s="34" t="str">
        <x:v>PRD-0045-P0007-U01</x:v>
      </x:c>
      <x:c r="H85" s="34" t="str"/>
      <x:c r="I85" s="34" t="str">
        <x:v>JP_BoJ_Pilot_JP</x:v>
      </x:c>
      <x:c r="J85" s="34" t="n">
        <x:v>7</x:v>
      </x:c>
      <x:c r="K85" s="34" t="str">
        <x:v>ja</x:v>
      </x:c>
      <x:c r="L85" s="34" t="str">
        <x:v>Bank of Japan (CBDC pilot)</x:v>
      </x:c>
      <x:c r="M85" s="34" t="str">
        <x:v>Japanese source. Retain Bank of Japan own-pilot decisions and executed results; exclude workgroup purposes without results.</x:v>
      </x:c>
      <x:c r="N85" s="34" t="str">
        <x:v>text</x:v>
      </x:c>
      <x:c r="O85" s="34" t="str"/>
      <x:c r="P85" s="38" t="str"/>
      <x:c r="Q85" s="38" t="str"/>
      <x:c r="R85" s="38" t="str"/>
      <x:c r="S85" s="38" t="str"/>
      <x:c r="T85" s="38" t="str"/>
      <x:c r="U85" s="38" t="str"/>
      <x:c r="V85" s="38" t="str"/>
      <x:c r="W85" s="38" t="str"/>
      <x:c r="X85" s="38" t="str"/>
      <x:c r="Y85" s="38" t="str"/>
      <x:c r="Z85" s="38" t="str"/>
      <x:c r="AA85" s="43" t="str">
        <x:f>IF('Instructions'!$B$3="","",'Instructions'!$B$3)</x:f>
      </x:c>
      <x:c r="AB85" s="43" t="str">
        <x:f>IF(P85="","PENDING",IF('Instructions'!$B$3="","SET_INITIALS",IF(P85="keep",IF(OR(Q85="",R85="",S85="",T85="",U85="",W85=""),"INCOMPLETE_KEEP","COMPLETE"),IF(P85="exclude",IF(OR(V85="",W85=""),"INCOMPLETE_EXCLUDE","COMPLETE"),"NEEDS_CONTEXT"))))</x:f>
        <x:v>PENDING</x:v>
      </x:c>
    </x:row>
    <x:row r="86" ht="62" customHeight="1">
      <x:c r="A86" s="34" t="str">
        <x:v>SV-0083</x:v>
      </x:c>
      <x:c r="B86" s="34" t="str">
        <x:v>Foreign exchange transactions are executed by the services in the 
common platform. When foreign exchange orders are submitted to the platform, these 
services use the available orders to determine the least-cost and most efficient path from 
the source currency to the target currency.</x:v>
      </x:c>
      <x:c r="C86" s="34" t="str"/>
      <x:c r="D86" s="34" t="str"/>
      <x:c r="E86" s="34" t="str"/>
      <x:c r="F86" s="34" t="str">
        <x:v>Digital Turkish Lira Second Phase Progress Report | November 24, 2025   10  
transaction times and costs are reduced. A distributed structure has been favored for the 
platform, where each member central bank acts as a node operator with equal authority.  
The study tested the flows involving the use of digital monies in cross-border payments on 
a private distributed ledger, in which smart contracts and various external applications 
were developed. Foreign exchange transactions are executed by the services in the 
common platform. When foreign exchange orders are submitted to the platform, these 
services use the available orders to determine the least-cost and most efficient path from 
the source currency to the target currency. 
There are various projects worldwide addressing cross-border payments for different 
needs and use cases. These projects are not expected to converge into a single structure in 
the future. Going forward, countries might be participants of different cross-border 
payment platforms. Accordingly, studies conducted at the CBRT focus on the 
interoperability of multiple cross-border platforms. As part of the studies, a DLT-based 
network has been developed to link various platforms together. This network offers a 
range of functions, including cr …</x:v>
      </x:c>
      <x:c r="G86" s="34" t="str">
        <x:v>PRD-0101-P0012-U01</x:v>
      </x:c>
      <x:c r="H86" s="34" t="str"/>
      <x:c r="I86" s="34" t="str">
        <x:v>TR_DigitalLira_Phase2_2025</x:v>
      </x:c>
      <x:c r="J86" s="34" t="n">
        <x:v>12</x:v>
      </x:c>
      <x:c r="K86" s="34" t="str">
        <x:v>en</x:v>
      </x:c>
      <x:c r="L86" s="34" t="str">
        <x:v>Central Bank of the Republic of Turkiye (Digital Turkish Lira)</x:v>
      </x:c>
      <x:c r="M86" s="34" t="str">
        <x:v>Retain the named authority's own CBDC decisions, explicit proposals, requirements, features, and executed findings. Exclude generic context, literature, foreign projects, and stakeholder views not explicitly adopted by the authority.</x:v>
      </x:c>
      <x:c r="N86" s="34" t="str">
        <x:v>text</x:v>
      </x:c>
      <x:c r="O86" s="34" t="str"/>
      <x:c r="P86" s="38" t="str"/>
      <x:c r="Q86" s="38" t="str"/>
      <x:c r="R86" s="38" t="str"/>
      <x:c r="S86" s="38" t="str"/>
      <x:c r="T86" s="38" t="str"/>
      <x:c r="U86" s="38" t="str"/>
      <x:c r="V86" s="38" t="str"/>
      <x:c r="W86" s="38" t="str"/>
      <x:c r="X86" s="38" t="str"/>
      <x:c r="Y86" s="38" t="str"/>
      <x:c r="Z86" s="38" t="str"/>
      <x:c r="AA86" s="43" t="str">
        <x:f>IF('Instructions'!$B$3="","",'Instructions'!$B$3)</x:f>
      </x:c>
      <x:c r="AB86" s="43" t="str">
        <x:f>IF(P86="","PENDING",IF('Instructions'!$B$3="","SET_INITIALS",IF(P86="keep",IF(OR(Q86="",R86="",S86="",T86="",U86="",W86=""),"INCOMPLETE_KEEP","COMPLETE"),IF(P86="exclude",IF(OR(V86="",W86=""),"INCOMPLETE_EXCLUDE","COMPLETE"),"NEEDS_CONTEXT"))))</x:f>
        <x:v>PENDING</x:v>
      </x:c>
    </x:row>
    <x:row r="87" ht="62" customHeight="1">
      <x:c r="A87" s="34" t="str">
        <x:v>SV-0084</x:v>
      </x:c>
      <x:c r="B87" s="34" t="str">
        <x:v>Creation and issuance of retail e₹ is identical to the arrangement for issuance of 
paper currency i.e. , RBI creates e₹ and issues them to banks  and non- banks 
electronically.</x:v>
      </x:c>
      <x:c r="C87" s="34" t="str"/>
      <x:c r="D87" s="34" t="str"/>
      <x:c r="E87" s="34" t="str"/>
      <x:c r="F87" s="34" t="str">
        <x:v>… ets safe? 
e₹ wallets are  safe and secure. There is a robust cyber -security framework to 
ensure that e₹ is kept secure in the user’s wallet. The e₹ stored in the e₹ wallet is 
safe even if the mobile device on which the e₹ wallet is installed is lost . The e₹ 
wallet can be recovered using the same phone number  / SIM on a new mobile 
device. 
5. Which mobile operating system platform does e₹ wallet currently support? 
e₹ wallet is available and supported both on Android and iOS mobile devices.  
6. How is Digital Rupee created and issued? 
Creation and issuance of retail e₹ is identical to the arrangement for issuance of 
paper currency i.e. , RBI creates e₹ and issues them to banks  and non- banks 
electronically. Banks and non- banks, thereafter, are responsible for facilitating  
onboarding and opening e₹ wallets for their customers on their mobile phones. The 
e₹ issuance, distribution, and usage within the retail segment (for members of the 
public) is live in pilot mode with effect from December 1, 2022. The users and 
merchants of identified pilot banks and non-banks across the country can use e₹. 
7. What do the e₹ pilots aim to achieve? 
The e₹ pilot s are a limited scale, controlled roll-out, to test the technology , 
architecture, scalability, …</x:v>
      </x:c>
      <x:c r="G87" s="34" t="str">
        <x:v>PRD-0040-P0002-U01</x:v>
      </x:c>
      <x:c r="H87" s="34" t="str"/>
      <x:c r="I87" s="34" t="str">
        <x:v>IN_RBI_2025</x:v>
      </x:c>
      <x:c r="J87" s="34" t="n">
        <x:v>2</x:v>
      </x:c>
      <x:c r="K87" s="34" t="str">
        <x:v>en</x:v>
      </x:c>
      <x:c r="L87" s="34" t="str">
        <x:v>Reserve Bank of India (digital rupee)</x:v>
      </x:c>
      <x:c r="M87" s="34" t="str">
        <x:v>Retain the named authority's own CBDC decisions, explicit proposals, requirements, features, and executed findings. Exclude generic context, literature, foreign projects, and stakeholder views not explicitly adopted by the authority.</x:v>
      </x:c>
      <x:c r="N87" s="34" t="str">
        <x:v>text</x:v>
      </x:c>
      <x:c r="O87" s="34" t="str"/>
      <x:c r="P87" s="38" t="str"/>
      <x:c r="Q87" s="38" t="str"/>
      <x:c r="R87" s="38" t="str"/>
      <x:c r="S87" s="38" t="str"/>
      <x:c r="T87" s="38" t="str"/>
      <x:c r="U87" s="38" t="str"/>
      <x:c r="V87" s="38" t="str"/>
      <x:c r="W87" s="38" t="str"/>
      <x:c r="X87" s="38" t="str"/>
      <x:c r="Y87" s="38" t="str"/>
      <x:c r="Z87" s="38" t="str"/>
      <x:c r="AA87" s="43" t="str">
        <x:f>IF('Instructions'!$B$3="","",'Instructions'!$B$3)</x:f>
      </x:c>
      <x:c r="AB87" s="43" t="str">
        <x:f>IF(P87="","PENDING",IF('Instructions'!$B$3="","SET_INITIALS",IF(P87="keep",IF(OR(Q87="",R87="",S87="",T87="",U87="",W87=""),"INCOMPLETE_KEEP","COMPLETE"),IF(P87="exclude",IF(OR(V87="",W87=""),"INCOMPLETE_EXCLUDE","COMPLETE"),"NEEDS_CONTEXT"))))</x:f>
        <x:v>PENDING</x:v>
      </x:c>
    </x:row>
    <x:row r="88" ht="62" customHeight="1">
      <x:c r="A88" s="34" t="str">
        <x:v>SV-0085</x:v>
      </x:c>
      <x:c r="B88" s="34" t="str">
        <x:v>The GST amount on the invoice was automatically 
calculated and paid in pilot CBDC to a holding account to be paid to the ATO, with the 
remainder automatically (and simultaneously) paid to the merchant.</x:v>
      </x:c>
      <x:c r="C88" s="34" t="str"/>
      <x:c r="D88" s="34" t="str"/>
      <x:c r="E88" s="34" t="str"/>
      <x:c r="F88" s="34" t="str">
        <x:v>BOX B CASE STUDY  – GST automation (Commonwealth Bank/Intuit)
This pilot use case demonstrated the collection and payment of GST using automated 
programmable payments implemented via the pilot CBDC. Merchants initiated the process via 
an in-app invoice payment request. The GST amount on the invoice was automatically 
calculated and paid in pilot CBDC to a holding account to be paid to the ATO, with the 
remainder automatically (and simultaneously) paid to the merchant. The use case illustrated the 
potential for programmable CBDC to increase the speed and efficiency of GST collections and to 
reduce the compliance burden on businesses. The feasibility of extending the use case to 
automate claiming of GST credits was also examined. By fully automating the calculation and 
payment of GST, the use case suggested a programmable CBDC could reduce the need for 
businesses to lodge quarterly Business Activity Statements.
BOX C CASE STUDY  – Tokenised invoices (Unizon/Zerocap)
This pilot use case demonstrated the i …</x:v>
      </x:c>
      <x:c r="G88" s="34" t="str">
        <x:v>PRD-0005-P0017-U01</x:v>
      </x:c>
      <x:c r="H88" s="34" t="str"/>
      <x:c r="I88" s="34" t="str">
        <x:v>AU_RBA_001</x:v>
      </x:c>
      <x:c r="J88" s="34" t="n">
        <x:v>17</x:v>
      </x:c>
      <x:c r="K88" s="34" t="str">
        <x:v>en</x:v>
      </x:c>
      <x:c r="L88" s="34" t="str">
        <x:v>Reserve Bank of Australia and Digital Finance CRC (Australian CBDC pilot)</x:v>
      </x:c>
      <x:c r="M88" s="34" t="str">
        <x:v>Retain executed joint-pilot design choices and findings. Exclude participant proposals and general tokenisation claims unless adopted by the project.</x:v>
      </x:c>
      <x:c r="N88" s="34" t="str">
        <x:v>text</x:v>
      </x:c>
      <x:c r="O88" s="34" t="str"/>
      <x:c r="P88" s="38" t="str"/>
      <x:c r="Q88" s="38" t="str"/>
      <x:c r="R88" s="38" t="str"/>
      <x:c r="S88" s="38" t="str"/>
      <x:c r="T88" s="38" t="str"/>
      <x:c r="U88" s="38" t="str"/>
      <x:c r="V88" s="38" t="str"/>
      <x:c r="W88" s="38" t="str"/>
      <x:c r="X88" s="38" t="str"/>
      <x:c r="Y88" s="38" t="str"/>
      <x:c r="Z88" s="38" t="str"/>
      <x:c r="AA88" s="43" t="str">
        <x:f>IF('Instructions'!$B$3="","",'Instructions'!$B$3)</x:f>
      </x:c>
      <x:c r="AB88" s="43" t="str">
        <x:f>IF(P88="","PENDING",IF('Instructions'!$B$3="","SET_INITIALS",IF(P88="keep",IF(OR(Q88="",R88="",S88="",T88="",U88="",W88=""),"INCOMPLETE_KEEP","COMPLETE"),IF(P88="exclude",IF(OR(V88="",W88=""),"INCOMPLETE_EXCLUDE","COMPLETE"),"NEEDS_CONTEXT"))))</x:f>
        <x:v>PENDING</x:v>
      </x:c>
    </x:row>
    <x:row r="89" ht="62" customHeight="1">
      <x:c r="A89" s="34" t="str">
        <x:v>SV-0086</x:v>
      </x:c>
      <x:c r="B89" s="34" t="str">
        <x:v>In the PoC, the chosen 
network access is permissioned network.</x:v>
      </x:c>
      <x:c r="C89" s="34" t="str"/>
      <x:c r="D89" s="34" t="str"/>
      <x:c r="E89" s="34" t="str"/>
      <x:c r="F89" s="34" t="str">
        <x:v>… e 
certificate.
In Kaleido Hyperledger Besu, adding a new node 
to the network involves utilizing the genesis 
file owned by the bootnode, as illustrated in 
Figure 16 (b). The bank initiates the creation of a 
new node based on the genesis file and modifies 
the network configuration accordingly. Additionally, 
synchronizing the network configuration across all 
nodes requires establishing a communication link 
with the new node.
The network layer is where data exchange 
communication within the network is determined 
based on network access. In the PoC, the chosen 
network access is permissioned network.
,,
,,
16
Project Garuda: Proof of Concept Report   |  DECEMBER 2024
© Bank Indonesia 2024. All rights reserved.</x:v>
      </x:c>
      <x:c r="G89" s="34" t="str">
        <x:v>PRD-0037-P0025-U01</x:v>
      </x:c>
      <x:c r="H89" s="34" t="str"/>
      <x:c r="I89" s="34" t="str">
        <x:v>ID_Indonesia_2024</x:v>
      </x:c>
      <x:c r="J89" s="34" t="n">
        <x:v>25</x:v>
      </x:c>
      <x:c r="K89" s="34" t="str">
        <x:v>en</x:v>
      </x:c>
      <x:c r="L89" s="34" t="str">
        <x:v>Bank Indonesia (Digital Rupiah)</x:v>
      </x:c>
      <x:c r="M89" s="34" t="str">
        <x:v>Retain the named authority's own CBDC decisions, explicit proposals, requirements, features, and executed findings. Exclude generic context, literature, foreign projects, and stakeholder views not explicitly adopted by the authority.</x:v>
      </x:c>
      <x:c r="N89" s="34" t="str">
        <x:v>text</x:v>
      </x:c>
      <x:c r="O89" s="34" t="str"/>
      <x:c r="P89" s="38" t="str"/>
      <x:c r="Q89" s="38" t="str"/>
      <x:c r="R89" s="38" t="str"/>
      <x:c r="S89" s="38" t="str"/>
      <x:c r="T89" s="38" t="str"/>
      <x:c r="U89" s="38" t="str"/>
      <x:c r="V89" s="38" t="str"/>
      <x:c r="W89" s="38" t="str"/>
      <x:c r="X89" s="38" t="str"/>
      <x:c r="Y89" s="38" t="str"/>
      <x:c r="Z89" s="38" t="str"/>
      <x:c r="AA89" s="43" t="str">
        <x:f>IF('Instructions'!$B$3="","",'Instructions'!$B$3)</x:f>
      </x:c>
      <x:c r="AB89" s="43" t="str">
        <x:f>IF(P89="","PENDING",IF('Instructions'!$B$3="","SET_INITIALS",IF(P89="keep",IF(OR(Q89="",R89="",S89="",T89="",U89="",W89=""),"INCOMPLETE_KEEP","COMPLETE"),IF(P89="exclude",IF(OR(V89="",W89=""),"INCOMPLETE_EXCLUDE","COMPLETE"),"NEEDS_CONTEXT"))))</x:f>
        <x:v>PENDING</x:v>
      </x:c>
    </x:row>
    <x:row r="90" ht="62" customHeight="1">
      <x:c r="A90" s="34" t="str">
        <x:v>SV-0087</x:v>
      </x:c>
      <x:c r="B90" s="34" t="str">
        <x:v>It has been established that it is feasible 
to port – export and import – the wCBDC to 
other (non-native) DLT-based platforms while 
maintaining a link back to its own (native) DLT.</x:v>
      </x:c>
      <x:c r="C90" s="34" t="str"/>
      <x:c r="D90" s="34" t="str"/>
      <x:c r="E90" s="34" t="str"/>
      <x:c r="F90" s="34" t="str">
        <x:v>… arket where different financial role 
players, roles, infrastructures and assets can be 
built into TTPs in new and innovative ways. 
Insights gained along  
the way
The wCBDC was implemented as central bank 
money, comparable and equivalent in value and 
quality to settlement accounts with the central 
bank. Issuing a token-based wCBDC on DLT 
created a riskless settlement asset on a platform 
which also serves as a payment settlement 
system as well as hosting settlement participants’ 
account, as a wallet on the DLT, with the central 
bank. It has been established that it is feasible 
to port – export and import – the wCBDC to 
other (non-native) DLT-based platforms while 
maintaining a link back to its own (native) DLT. 
The wCBDC served as a corner stone to other 
components on the debenture token market, 
enabling trade on the market. The Khokha 
Hub was built as a TTP with its building blocks 
consisting of a TPP, CSD, SSS and, through 
porting the wCBDC, elements of the payment 
settlement system. The modular design of the 
Khokha Hub enabled the creation of further 
tokens such as the FDM Token as a synthetic 
instrument to enable trading of debentures in 
the secondary market. Both the porting of the 
wCBDC and the FDM Tokens proved that it was 
possibl …</x:v>
      </x:c>
      <x:c r="G90" s="34" t="str">
        <x:v>PRD-0085-P0045-U01</x:v>
      </x:c>
      <x:c r="H90" s="34" t="str"/>
      <x:c r="I90" s="34" t="str">
        <x:v>ZA_SARB_Project_Khokha_2_Full_Report_6_April_2022</x:v>
      </x:c>
      <x:c r="J90" s="34" t="n">
        <x:v>45</x:v>
      </x:c>
      <x:c r="K90" s="34" t="str">
        <x:v>en</x:v>
      </x:c>
      <x:c r="L90" s="34" t="str">
        <x:v>South African Reserve Bank</x:v>
      </x:c>
      <x:c r="M90" s="34" t="str">
        <x:v>Retain the named authority's own CBDC decisions, explicit proposals, requirements, features, and executed findings. Exclude generic context, literature, foreign projects, and stakeholder views not explicitly adopted by the authority.</x:v>
      </x:c>
      <x:c r="N90" s="34" t="str">
        <x:v>text</x:v>
      </x:c>
      <x:c r="O90" s="34" t="str"/>
      <x:c r="P90" s="38" t="str"/>
      <x:c r="Q90" s="38" t="str"/>
      <x:c r="R90" s="38" t="str"/>
      <x:c r="S90" s="38" t="str"/>
      <x:c r="T90" s="38" t="str"/>
      <x:c r="U90" s="38" t="str"/>
      <x:c r="V90" s="38" t="str"/>
      <x:c r="W90" s="38" t="str"/>
      <x:c r="X90" s="38" t="str"/>
      <x:c r="Y90" s="38" t="str"/>
      <x:c r="Z90" s="38" t="str"/>
      <x:c r="AA90" s="43" t="str">
        <x:f>IF('Instructions'!$B$3="","",'Instructions'!$B$3)</x:f>
      </x:c>
      <x:c r="AB90" s="43" t="str">
        <x:f>IF(P90="","PENDING",IF('Instructions'!$B$3="","SET_INITIALS",IF(P90="keep",IF(OR(Q90="",R90="",S90="",T90="",U90="",W90=""),"INCOMPLETE_KEEP","COMPLETE"),IF(P90="exclude",IF(OR(V90="",W90=""),"INCOMPLETE_EXCLUDE","COMPLETE"),"NEEDS_CONTEXT"))))</x:f>
        <x:v>PENDING</x:v>
      </x:c>
    </x:row>
    <x:row r="91" ht="62" customHeight="1">
      <x:c r="A91" s="34" t="str">
        <x:v>SV-0088</x:v>
      </x:c>
      <x:c r="B91" s="34" t="str">
        <x:v>The Kaleido 
Hyperledger Besu-based solution guarantees 
confidentiality through encryption methods, while 
R3 Corda applies the need-to-know principle for 
every transaction.</x:v>
      </x:c>
      <x:c r="C91" s="34" t="str"/>
      <x:c r="D91" s="34" t="str"/>
      <x:c r="E91" s="34" t="str"/>
      <x:c r="F91" s="34" t="str">
        <x:v>… ction 
processing and validation 
across multiple participants 
in the DLT network, rather than 
relying solely on the central bank.
Kaleido Hyperledger Besu, using the Quorum 
Byzantine Fault Tolerance (QBFT) consensus 
algorithm, decentralizes validation rights to DLT 
participants predetermined by the central bank. 
Conversely, R3 Corda employs a unique consensus 
method involving notary nodes and transaction 
participants. 
Through smart contracts and consensus 
mechanisms, the DLT platform ensures the 
confidentiality of transaction data. The Kaleido 
Hyperledger Besu-based solution guarantees 
confidentiality through encryption methods, while 
R3 Corda applies the need-to-know principle for 
every transaction. 
For Kaleido Hyperledger Besu, in addition to 
the encrypted privacy model, the confidential 
unspent transaction output (UTXO) model 
with a notary is also implemented in the PoC. 
In further exploration, there is a possibility to apply 
Zero Knowledge Proof (ZKP) privacy model (see 
Appendix G). 
Access management plays a crucial role in 
supporting privacy aspects and regulating 
participant authorization on the DLT platform. 
By leveraging smart contracts and consensus, the 
DLT platform has significantly increased the speed 
of money circ …</x:v>
      </x:c>
      <x:c r="G91" s="34" t="str">
        <x:v>PRD-0037-P0026-U01</x:v>
      </x:c>
      <x:c r="H91" s="34" t="str"/>
      <x:c r="I91" s="34" t="str">
        <x:v>ID_Indonesia_2024</x:v>
      </x:c>
      <x:c r="J91" s="34" t="n">
        <x:v>26</x:v>
      </x:c>
      <x:c r="K91" s="34" t="str">
        <x:v>en</x:v>
      </x:c>
      <x:c r="L91" s="34" t="str">
        <x:v>Bank Indonesia (Digital Rupiah)</x:v>
      </x:c>
      <x:c r="M91" s="34" t="str">
        <x:v>Retain the named authority's own CBDC decisions, explicit proposals, requirements, features, and executed findings. Exclude generic context, literature, foreign projects, and stakeholder views not explicitly adopted by the authority.</x:v>
      </x:c>
      <x:c r="N91" s="34" t="str">
        <x:v>text</x:v>
      </x:c>
      <x:c r="O91" s="34" t="str"/>
      <x:c r="P91" s="38" t="str"/>
      <x:c r="Q91" s="38" t="str"/>
      <x:c r="R91" s="38" t="str"/>
      <x:c r="S91" s="38" t="str"/>
      <x:c r="T91" s="38" t="str"/>
      <x:c r="U91" s="38" t="str"/>
      <x:c r="V91" s="38" t="str"/>
      <x:c r="W91" s="38" t="str"/>
      <x:c r="X91" s="38" t="str"/>
      <x:c r="Y91" s="38" t="str"/>
      <x:c r="Z91" s="38" t="str"/>
      <x:c r="AA91" s="43" t="str">
        <x:f>IF('Instructions'!$B$3="","",'Instructions'!$B$3)</x:f>
      </x:c>
      <x:c r="AB91" s="43" t="str">
        <x:f>IF(P91="","PENDING",IF('Instructions'!$B$3="","SET_INITIALS",IF(P91="keep",IF(OR(Q91="",R91="",S91="",T91="",U91="",W91=""),"INCOMPLETE_KEEP","COMPLETE"),IF(P91="exclude",IF(OR(V91="",W91=""),"INCOMPLETE_EXCLUDE","COMPLETE"),"NEEDS_CONTEXT"))))</x:f>
        <x:v>PENDING</x:v>
      </x:c>
    </x:row>
    <x:row r="92" ht="62" customHeight="1">
      <x:c r="A92" s="34" t="str">
        <x:v>SV-0089</x:v>
      </x:c>
      <x:c r="B92" s="34" t="str">
        <x:v>All the operations have i nstant settlement, 
and d o not require internet connection (just a mobile phone line) .</x:v>
      </x:c>
      <x:c r="C92" s="34" t="str"/>
      <x:c r="D92" s="34" t="str"/>
      <x:c r="E92" s="34" t="str"/>
      <x:c r="F92" s="34" t="str">
        <x:v>4 
Source: Central Bank of Uruguay 
The man characteristics for the pilot design were: All the operations have i nstant settlement, 
and d o not require internet connection (just a mobile phone line) . The operations were 
anonymous but traceable  with the users’ wallets  (developed by IN Switch)  and encrypted 
Global E-note Manager (GEM developed by Giori Company). 
The e-Pesos are secured at GEM even if users lose their phones or password of digital wallet . 
The u nique, traceable bills prevent double -spending and falsification . The digital bills 
difficult complete fungibility but GEM may change automatically. 
The platform acted as a registry of the bankn otes’ ownership, and there was a digital wallet 
in each mobile phone to do tra …</x:v>
      </x:c>
      <x:c r="G92" s="34" t="str">
        <x:v>PRD-0083-P0004-U01</x:v>
      </x:c>
      <x:c r="H92" s="34" t="str"/>
      <x:c r="I92" s="34" t="str">
        <x:v>UY_BCU_Seven_Lessons_2022</x:v>
      </x:c>
      <x:c r="J92" s="34" t="n">
        <x:v>4</x:v>
      </x:c>
      <x:c r="K92" s="34" t="str">
        <x:v>en</x:v>
      </x:c>
      <x:c r="L92" s="34" t="str">
        <x:v>Banco Central del Uruguay (e-Peso pilot)</x:v>
      </x:c>
      <x:c r="M92" s="34" t="str">
        <x:v>Retain BCU own-pilot findings and resulting design lessons; exclude cited literature.</x:v>
      </x:c>
      <x:c r="N92" s="34" t="str">
        <x:v>text</x:v>
      </x:c>
      <x:c r="O92" s="34" t="str"/>
      <x:c r="P92" s="38" t="str"/>
      <x:c r="Q92" s="38" t="str"/>
      <x:c r="R92" s="38" t="str"/>
      <x:c r="S92" s="38" t="str"/>
      <x:c r="T92" s="38" t="str"/>
      <x:c r="U92" s="38" t="str"/>
      <x:c r="V92" s="38" t="str"/>
      <x:c r="W92" s="38" t="str"/>
      <x:c r="X92" s="38" t="str"/>
      <x:c r="Y92" s="38" t="str"/>
      <x:c r="Z92" s="38" t="str"/>
      <x:c r="AA92" s="43" t="str">
        <x:f>IF('Instructions'!$B$3="","",'Instructions'!$B$3)</x:f>
      </x:c>
      <x:c r="AB92" s="43" t="str">
        <x:f>IF(P92="","PENDING",IF('Instructions'!$B$3="","SET_INITIALS",IF(P92="keep",IF(OR(Q92="",R92="",S92="",T92="",U92="",W92=""),"INCOMPLETE_KEEP","COMPLETE"),IF(P92="exclude",IF(OR(V92="",W92=""),"INCOMPLETE_EXCLUDE","COMPLETE"),"NEEDS_CONTEXT"))))</x:f>
        <x:v>PENDING</x:v>
      </x:c>
    </x:row>
    <x:row r="93" ht="62" customHeight="1">
      <x:c r="A93" s="34" t="str">
        <x:v>SV-0090</x:v>
      </x:c>
      <x:c r="B93" s="34" t="str">
        <x:v>Payment 
with the DS is immediate and final, and the DS will also support offline payments, allowing 
smooth payment transactions even in situations without network connectivity.</x:v>
      </x:c>
      <x:c r="C93" s="34" t="str"/>
      <x:c r="D93" s="34" t="str"/>
      <x:c r="E93" s="34" t="str"/>
      <x:c r="F93" s="34" t="str">
        <x:v>The Bank of Israel Steering Com mittee 
for the Potential Issuance of a Digital Shekel 
7 
means of payment – anyone will be able to pay anyone, and anyone will be able to receive 
payment from anyone, but with the convenience and advancement of a digital means of 
payment. Basic uses of the DS for private users will be free, and for businesses, the costs of 
using it are expected to be significantly lower than with existing digital payments. Payment 
with the DS is immediate and final, and the DS will also support offline payments, allowing 
smooth payment transactions even in situations without network connectivity. The level of 
privacy in the DS will be higher compared to existing digital payments, and similar to cash, it 
will also offer the possibility of anonymous payments in limited amounts. It will support 
advanced payment use cases that the private sector will be able to offer to all users – not just 
financial entities o r those operating in decentralis ed virtual asset – based on the secure 
infrastructure of the Bank of Israel, in a competitive and open environment that will prevent 
the creation of "walled gardens." The recently concluded " D …</x:v>
      </x:c>
      <x:c r="G93" s="34" t="str">
        <x:v>PRD-0038-P0007-U01</x:v>
      </x:c>
      <x:c r="H93" s="34" t="str"/>
      <x:c r="I93" s="34" t="str">
        <x:v>IL_BoI_2024</x:v>
      </x:c>
      <x:c r="J93" s="34" t="n">
        <x:v>7</x:v>
      </x:c>
      <x:c r="K93" s="34" t="str">
        <x:v>en</x:v>
      </x:c>
      <x:c r="L93" s="34" t="str">
        <x:v>Bank of Israel (digital shekel)</x:v>
      </x:c>
      <x:c r="M93" s="34" t="str">
        <x:v>Retain the named authority's own CBDC decisions, explicit proposals, requirements, features, and executed findings. Exclude generic context, literature, foreign projects, and stakeholder views not explicitly adopted by the authority.</x:v>
      </x:c>
      <x:c r="N93" s="34" t="str">
        <x:v>text</x:v>
      </x:c>
      <x:c r="O93" s="34" t="str"/>
      <x:c r="P93" s="38" t="str"/>
      <x:c r="Q93" s="38" t="str"/>
      <x:c r="R93" s="38" t="str"/>
      <x:c r="S93" s="38" t="str"/>
      <x:c r="T93" s="38" t="str"/>
      <x:c r="U93" s="38" t="str"/>
      <x:c r="V93" s="38" t="str"/>
      <x:c r="W93" s="38" t="str"/>
      <x:c r="X93" s="38" t="str"/>
      <x:c r="Y93" s="38" t="str"/>
      <x:c r="Z93" s="38" t="str"/>
      <x:c r="AA93" s="43" t="str">
        <x:f>IF('Instructions'!$B$3="","",'Instructions'!$B$3)</x:f>
      </x:c>
      <x:c r="AB93" s="43" t="str">
        <x:f>IF(P93="","PENDING",IF('Instructions'!$B$3="","SET_INITIALS",IF(P93="keep",IF(OR(Q93="",R93="",S93="",T93="",U93="",W93=""),"INCOMPLETE_KEEP","COMPLETE"),IF(P93="exclude",IF(OR(V93="",W93=""),"INCOMPLETE_EXCLUDE","COMPLETE"),"NEEDS_CONTEXT"))))</x:f>
        <x:v>PENDING</x:v>
      </x:c>
    </x:row>
    <x:row r="94" ht="62" customHeight="1">
      <x:c r="A94" s="34" t="str">
        <x:v>SV-0091</x:v>
      </x:c>
      <x:c r="B94" s="34" t="str">
        <x:v>Hence, it is prudent for PBM technology to 
be designed at the onset to be interoperable 
across different platforms, wallets, payment 
systems and rails.</x:v>
      </x:c>
      <x:c r="C94" s="34" t="str"/>
      <x:c r="D94" s="34" t="str"/>
      <x:c r="E94" s="34" t="str"/>
      <x:c r="F94" s="34" t="str">
        <x:v>… ritical that introducing PBM and additional 
service providers do not lead to fragmentation 
in the payment ecosystem. If each PBM provider 
runs its own proprietary networks, it will lead to 
the creation of walled gardens with their own 
closed ecosystem of partners. This could lead to 
monopolistic, rent seeking behaviour amongst 
commercial firms. If left unchecked, this could 
be to the detriment of consumers, who will need 
to onboard to a myriad of different systems 
or pay exhorbitant fees to intermediaries to 
complete a transaction. 
Hence, it is prudent for PBM technology to 
be designed at the onset to be interoperable 
across different platforms, wallets, payment 
systems and rails. This will enable PBM 
recipients to access and use their PBM tokens 
from a government provided or commercial 
wallet provider of their choice. An approach 
to foster this is through the development of an 
open-sourced technical framework for PBM. To 
realise wide adoption, the governance behind 
the design and development of this technical 
specification, should be open with participation 
across different organisations. This will be key 
to ensure that the PBM technology acts in the 
interest of the public.  
A standard data-exchange and A …</x:v>
      </x:c>
      <x:c r="G94" s="34" t="str">
        <x:v>PRD-0068-P0033-U01</x:v>
      </x:c>
      <x:c r="H94" s="34" t="str"/>
      <x:c r="I94" s="34" t="str">
        <x:v>SG_MAS_mas-project-orchid-report</x:v>
      </x:c>
      <x:c r="J94" s="34" t="n">
        <x:v>33</x:v>
      </x:c>
      <x:c r="K94" s="34" t="str">
        <x:v>en</x:v>
      </x:c>
      <x:c r="L94" s="34" t="str">
        <x:v>Monetary Authority of Singapore (Project Orchid / purpose-bound money)</x:v>
      </x:c>
      <x:c r="M94" s="34" t="str">
        <x:v>Retain complete Project Orchid decisions, requirements, and executed findings. Exclude future research and incomplete fragments.</x:v>
      </x:c>
      <x:c r="N94" s="34" t="str">
        <x:v>text</x:v>
      </x:c>
      <x:c r="O94" s="34" t="str"/>
      <x:c r="P94" s="38" t="str"/>
      <x:c r="Q94" s="38" t="str"/>
      <x:c r="R94" s="38" t="str"/>
      <x:c r="S94" s="38" t="str"/>
      <x:c r="T94" s="38" t="str"/>
      <x:c r="U94" s="38" t="str"/>
      <x:c r="V94" s="38" t="str"/>
      <x:c r="W94" s="38" t="str"/>
      <x:c r="X94" s="38" t="str"/>
      <x:c r="Y94" s="38" t="str"/>
      <x:c r="Z94" s="38" t="str"/>
      <x:c r="AA94" s="43" t="str">
        <x:f>IF('Instructions'!$B$3="","",'Instructions'!$B$3)</x:f>
      </x:c>
      <x:c r="AB94" s="43" t="str">
        <x:f>IF(P94="","PENDING",IF('Instructions'!$B$3="","SET_INITIALS",IF(P94="keep",IF(OR(Q94="",R94="",S94="",T94="",U94="",W94=""),"INCOMPLETE_KEEP","COMPLETE"),IF(P94="exclude",IF(OR(V94="",W94=""),"INCOMPLETE_EXCLUDE","COMPLETE"),"NEEDS_CONTEXT"))))</x:f>
        <x:v>PENDING</x:v>
      </x:c>
    </x:row>
    <x:row r="95" ht="62" customHeight="1">
      <x:c r="A95" s="34" t="str">
        <x:v>SV-0092</x:v>
      </x:c>
      <x:c r="B95" s="34" t="str">
        <x:v>Se suscribe un convenio entre BCU-ANTEL- RGC (The 
Roberto Giori Company Ltd.) para realizar un plan piloto 
por 6 meses con el objetivo de emitir, manejar y transferir 
billetes digitales.</x:v>
      </x:c>
      <x:c r="C95" s="34" t="str">
        <x:v>An agreement is signed between BCU-ANTEL-RGC (The Roberto Giori Company Ltd.) to conduct a 6-month pilot plan with the objective of issuing, managing and transferring digital banknotes.</x:v>
      </x:c>
      <x:c r="D95" s="34" t="str"/>
      <x:c r="E95" s="34" t="str"/>
      <x:c r="F95" s="34" t="str">
        <x:v>Antecedentes 
Se suscribe un convenio entre BCU-ANTEL- RGC (The 
Roberto Giori Company Ltd.) para realizar un plan piloto 
por 6 meses con el objetivo de emitir, manejar y transferir 
billetes digitales. 
25 
Setiembre 
de 2016 
Se conforma un Grupo de trabajo para: 
 Preparar el lanzamiento del Piloto,  
 Supervisar las pruebas de los sistemas,  
 Analizar sus resultados,  
 Oficiar de contraparte de los agentes 
externos</x:v>
      </x:c>
      <x:c r="G95" s="34" t="str">
        <x:v>PRD-0084-P0003-U01</x:v>
      </x:c>
      <x:c r="H95" s="34" t="str"/>
      <x:c r="I95" s="34" t="str">
        <x:v>UY_Uruguay_BCU_BilleteDigital_2017</x:v>
      </x:c>
      <x:c r="J95" s="34" t="n">
        <x:v>3</x:v>
      </x:c>
      <x:c r="K95" s="34" t="str">
        <x:v>es</x:v>
      </x:c>
      <x:c r="L95" s="34" t="str">
        <x:v>Banco Central del Uruguay (e-Peso pilot)</x:v>
      </x:c>
      <x:c r="M95" s="34" t="str">
        <x:v>Retain BCU e-Peso decisions, features, and executed findings; use original Spanish quote.</x:v>
      </x:c>
      <x:c r="N95" s="34" t="str">
        <x:v>text</x:v>
      </x:c>
      <x:c r="O95" s="34" t="str"/>
      <x:c r="P95" s="38" t="str"/>
      <x:c r="Q95" s="38" t="str"/>
      <x:c r="R95" s="38" t="str"/>
      <x:c r="S95" s="38" t="str"/>
      <x:c r="T95" s="38" t="str"/>
      <x:c r="U95" s="38" t="str"/>
      <x:c r="V95" s="38" t="str"/>
      <x:c r="W95" s="38" t="str"/>
      <x:c r="X95" s="38" t="str"/>
      <x:c r="Y95" s="38" t="str"/>
      <x:c r="Z95" s="38" t="str"/>
      <x:c r="AA95" s="43" t="str">
        <x:f>IF('Instructions'!$B$3="","",'Instructions'!$B$3)</x:f>
      </x:c>
      <x:c r="AB95" s="43" t="str">
        <x:f>IF(P95="","PENDING",IF('Instructions'!$B$3="","SET_INITIALS",IF(P95="keep",IF(OR(Q95="",R95="",S95="",T95="",U95="",W95=""),"INCOMPLETE_KEEP","COMPLETE"),IF(P95="exclude",IF(OR(V95="",W95=""),"INCOMPLETE_EXCLUDE","COMPLETE"),"NEEDS_CONTEXT"))))</x:f>
        <x:v>PENDING</x:v>
      </x:c>
    </x:row>
    <x:row r="96" ht="62" customHeight="1">
      <x:c r="A96" s="34" t="str">
        <x:v>SV-0093</x:v>
      </x:c>
      <x:c r="B96" s="34" t="str">
        <x:v>These types of eCedi 
transactions made up 3 % o f the total transactions 
while “cash to eCedi” which is depositing cash into 
the eCedi account, made up 2  %.</x:v>
      </x:c>
      <x:c r="C96" s="34" t="str"/>
      <x:c r="D96" s="34" t="str"/>
      <x:c r="E96" s="34" t="str"/>
      <x:c r="F96" s="34" t="str">
        <x:v>… ions. The average value of 
these transactions was GHc 359. In contrast, 52  % 
were “high value payments” with an average of 
GHc 778. The most common items paid for were 
not only airtime, but also higher value items such 
as school fees and construction materials.
Given how recently these customers had been 
introduced to eCedi, there were a significant number 
of transactions made. The transaction type “eCedi 
to outside digital” represents a payment of eCedi 
to other’s digital device – in most cases this was 
the merchants’ eCedi device. These types of eCedi 
transactions made up 3 % o f the total transactions 
while “cash to eCedi” which is depositing cash into 
the eCedi account, made up 2  %. This is about the  
2. Please note that all transactions data in this brief are self-reported by pilot participants.42</x:v>
      </x:c>
      <x:c r="G96" s="34" t="str">
        <x:v>PRD-0031-P0042-U01</x:v>
      </x:c>
      <x:c r="H96" s="34" t="str"/>
      <x:c r="I96" s="34" t="str">
        <x:v>GH_Ghana_2023</x:v>
      </x:c>
      <x:c r="J96" s="34" t="n">
        <x:v>42</x:v>
      </x:c>
      <x:c r="K96" s="34" t="str">
        <x:v>en</x:v>
      </x:c>
      <x:c r="L96" s="34" t="str">
        <x:v>Bank of Ghana (eCedi)</x:v>
      </x:c>
      <x:c r="M96" s="34" t="str">
        <x:v>Retain the named authority's own CBDC decisions, explicit proposals, requirements, features, and executed findings. Exclude generic context, literature, foreign projects, and stakeholder views not explicitly adopted by the authority.</x:v>
      </x:c>
      <x:c r="N96" s="34" t="str">
        <x:v>text</x:v>
      </x:c>
      <x:c r="O96" s="34" t="str"/>
      <x:c r="P96" s="38" t="str"/>
      <x:c r="Q96" s="38" t="str"/>
      <x:c r="R96" s="38" t="str"/>
      <x:c r="S96" s="38" t="str"/>
      <x:c r="T96" s="38" t="str"/>
      <x:c r="U96" s="38" t="str"/>
      <x:c r="V96" s="38" t="str"/>
      <x:c r="W96" s="38" t="str"/>
      <x:c r="X96" s="38" t="str"/>
      <x:c r="Y96" s="38" t="str"/>
      <x:c r="Z96" s="38" t="str"/>
      <x:c r="AA96" s="43" t="str">
        <x:f>IF('Instructions'!$B$3="","",'Instructions'!$B$3)</x:f>
      </x:c>
      <x:c r="AB96" s="43" t="str">
        <x:f>IF(P96="","PENDING",IF('Instructions'!$B$3="","SET_INITIALS",IF(P96="keep",IF(OR(Q96="",R96="",S96="",T96="",U96="",W96=""),"INCOMPLETE_KEEP","COMPLETE"),IF(P96="exclude",IF(OR(V96="",W96=""),"INCOMPLETE_EXCLUDE","COMPLETE"),"NEEDS_CONTEXT"))))</x:f>
        <x:v>PENDING</x:v>
      </x:c>
    </x:row>
    <x:row r="97" ht="62" customHeight="1">
      <x:c r="A97" s="34" t="str">
        <x:v>SV-0094</x:v>
      </x:c>
      <x:c r="B97" s="34" t="str">
        <x:v>The BOT and the Anti-Money 
Laundering Office consulted the guideline for 
compliance by FSPs as well as business  rules 
setting transaction and wallet limits during the pilot 
for AML/CFT purposes.</x:v>
      </x:c>
      <x:c r="C97" s="34" t="str"/>
      <x:c r="D97" s="34" t="str"/>
      <x:c r="E97" s="34" t="str"/>
      <x:c r="F97" s="34" t="str">
        <x:v>… llowing:
- Legal aspects: The BOT is empowered by its law  
to develop and run the pilot.11 However, given the 
limited scope of the testing, it was not necessary to 
amend respective laws and regulations to endorse 
CBDC as legal tender. However, considerations 
regarding law amendments will be needed going 
forward if Retail CBDC will be launched for general 
public.
- Accounting aspects: The BOT and the Federation 
of Accounting Professions reached a conclusion to 
record the outstanding Retail CBDC as cash 
equivalent. 
- AML/CFT aspects:  The BOT and the Anti-Money 
Laundering Office consulted the guideline for 
compliance by FSPs as well as business  rules 
setting transaction and wallet limits during the pilot 
for AML/CFT purposes.
FIGURE 6 : Mobile application for Retail CBDC in the pilot
Source: Bank of Thailand
11 The BOT developed and ran the Retail CBDC pilot by virtue of Section 8(6) and Section 44 of the Bank of Thailand Act B.E. 2485 (1942), as amended.</x:v>
      </x:c>
      <x:c r="G97" s="34" t="str">
        <x:v>PRD-0071-P0019-U01</x:v>
      </x:c>
      <x:c r="H97" s="34" t="str"/>
      <x:c r="I97" s="34" t="str">
        <x:v>TH_Thailand_rCBDC_Conclusion_Report</x:v>
      </x:c>
      <x:c r="J97" s="34" t="n">
        <x:v>19</x:v>
      </x:c>
      <x:c r="K97" s="34" t="str">
        <x:v>en</x:v>
      </x:c>
      <x:c r="L97" s="34" t="str">
        <x:v>Bank of Thailand (retail CBDC pilot)</x:v>
      </x:c>
      <x:c r="M97" s="34" t="str">
        <x:v>Retain Bank of Thailand own-pilot conclusions, requirements, and decisions.</x:v>
      </x:c>
      <x:c r="N97" s="34" t="str">
        <x:v>text</x:v>
      </x:c>
      <x:c r="O97" s="34" t="str"/>
      <x:c r="P97" s="38" t="str"/>
      <x:c r="Q97" s="38" t="str"/>
      <x:c r="R97" s="38" t="str"/>
      <x:c r="S97" s="38" t="str"/>
      <x:c r="T97" s="38" t="str"/>
      <x:c r="U97" s="38" t="str"/>
      <x:c r="V97" s="38" t="str"/>
      <x:c r="W97" s="38" t="str"/>
      <x:c r="X97" s="38" t="str"/>
      <x:c r="Y97" s="38" t="str"/>
      <x:c r="Z97" s="38" t="str"/>
      <x:c r="AA97" s="43" t="str">
        <x:f>IF('Instructions'!$B$3="","",'Instructions'!$B$3)</x:f>
      </x:c>
      <x:c r="AB97" s="43" t="str">
        <x:f>IF(P97="","PENDING",IF('Instructions'!$B$3="","SET_INITIALS",IF(P97="keep",IF(OR(Q97="",R97="",S97="",T97="",U97="",W97=""),"INCOMPLETE_KEEP","COMPLETE"),IF(P97="exclude",IF(OR(V97="",W97=""),"INCOMPLETE_EXCLUDE","COMPLETE"),"NEEDS_CONTEXT"))))</x:f>
        <x:v>PENDING</x:v>
      </x:c>
    </x:row>
    <x:row r="98" ht="62" customHeight="1">
      <x:c r="A98" s="34" t="str">
        <x:v>SV-0095</x:v>
      </x:c>
      <x:c r="B98" s="34" t="str">
        <x:v>Can provide the desired degree of data 
protection (beyond requirements under 
EEA law)</x:v>
      </x:c>
      <x:c r="C98" s="34" t="str"/>
      <x:c r="D98" s="34" t="str"/>
      <x:c r="E98" s="34" t="str"/>
      <x:c r="F98" s="34" t="str">
        <x:v>… on analyses and 
proofs of concept that (for the time being) did not involve development 
and testing. 
The Riksbank is currently pilot testing a technical solution for an e-krona (see 
Riksbank (2020)). Other countries that have tested or are about to test 
technical solutions for a CBDC for general purpose users include China, 
Uruguay, Ecuador, the Bahamas and Ukraine.  
4. Validation of solutions 
The characteristics of a CBDC were outlined in Norges Bank (2019): 
Necessary characteristics  Desirable characteristics  
Claim on Norges Bank  Can provide the desired degree of data 
protection (beyond requirements under 
EEA law)  
Value parity with bank money/cash Offline payment functionality  
Customer orientation  Platform for third-party providers  
Adequate frictions vis-à-vis bank money  Monetary policy instrument 
Controlled by Norges Bank  Provide information relevant to Norges 
Bank’s macroeconomic monitoring 
Capable of functioning as legal tender  DLT compatibility  
Compliant with obligations under EEA law Attractive niche solution 
Settlement of payments immediately and 
with finality 
Compliant with sound IT architecture 
principles 
Satisfy requirem …</x:v>
      </x:c>
      <x:c r="G98" s="34" t="str">
        <x:v>PRD-0055-P0004-U01</x:v>
      </x:c>
      <x:c r="H98" s="34" t="str"/>
      <x:c r="I98" s="34" t="str">
        <x:v>NO_Norway_norges-bank-memo-2_2020-eng</x:v>
      </x:c>
      <x:c r="J98" s="34" t="n">
        <x:v>4</x:v>
      </x:c>
      <x:c r="K98" s="34" t="str">
        <x:v>en</x:v>
      </x:c>
      <x:c r="L98" s="34" t="str">
        <x:v>Norges Bank</x:v>
      </x:c>
      <x:c r="M98" s="34" t="str">
        <x:v>Retain the named authority's own CBDC decisions, explicit proposals, requirements, features, and executed findings. Exclude generic context, literature, foreign projects, and stakeholder views not explicitly adopted by the authority.</x:v>
      </x:c>
      <x:c r="N98" s="34" t="str">
        <x:v>text</x:v>
      </x:c>
      <x:c r="O98" s="34" t="str"/>
      <x:c r="P98" s="38" t="str"/>
      <x:c r="Q98" s="38" t="str"/>
      <x:c r="R98" s="38" t="str"/>
      <x:c r="S98" s="38" t="str"/>
      <x:c r="T98" s="38" t="str"/>
      <x:c r="U98" s="38" t="str"/>
      <x:c r="V98" s="38" t="str"/>
      <x:c r="W98" s="38" t="str"/>
      <x:c r="X98" s="38" t="str"/>
      <x:c r="Y98" s="38" t="str"/>
      <x:c r="Z98" s="38" t="str"/>
      <x:c r="AA98" s="43" t="str">
        <x:f>IF('Instructions'!$B$3="","",'Instructions'!$B$3)</x:f>
      </x:c>
      <x:c r="AB98" s="43" t="str">
        <x:f>IF(P98="","PENDING",IF('Instructions'!$B$3="","SET_INITIALS",IF(P98="keep",IF(OR(Q98="",R98="",S98="",T98="",U98="",W98=""),"INCOMPLETE_KEEP","COMPLETE"),IF(P98="exclude",IF(OR(V98="",W98=""),"INCOMPLETE_EXCLUDE","COMPLETE"),"NEEDS_CONTEXT"))))</x:f>
        <x:v>PENDING</x:v>
      </x:c>
    </x:row>
    <x:row r="99" ht="62" customHeight="1">
      <x:c r="A99" s="34" t="str">
        <x:v>SV-0096</x:v>
      </x:c>
      <x:c r="B99" s="34" t="str">
        <x:v>Therefore, it is important that security is designed into the CBDC system to account for and 
minimise the likelihood and impact of these risks, while balancing system usability.</x:v>
      </x:c>
      <x:c r="C99" s="34" t="str"/>
      <x:c r="D99" s="34" t="str"/>
      <x:c r="E99" s="34" t="str"/>
      <x:c r="F99" s="34" t="str">
        <x:v>… d 
amplify incident impact downstream.  
The digital nature of CBDC means that funds could be spent more than once. This is also 
known as the double spend risk. The risk of double spend is more acute for offline payments, 
which take place disconnected from the core ledger, making it more challenging to verify that 
funds have not already been spent (Section 4.8).  
CBDC should support innovations, such as programmability (Section 4.7), but these could 
increase security risks and be susceptible to potential software vulnerabilities in code. 
Therefore, it is important that security is designed into the CBDC system to account for and 
minimise the likelihood and impact of these risks, while balancing system usability. 
9 Evans (2022) – How FSI organisations should balance supply chain and concentration risk.</x:v>
      </x:c>
      <x:c r="G99" s="34" t="str">
        <x:v>PRD-0076-P0027-U01</x:v>
      </x:c>
      <x:c r="H99" s="34" t="str"/>
      <x:c r="I99" s="34" t="str">
        <x:v>UK_BoE_2023_TechWP</x:v>
      </x:c>
      <x:c r="J99" s="34" t="n">
        <x:v>27</x:v>
      </x:c>
      <x:c r="K99" s="34" t="str">
        <x:v>en</x:v>
      </x:c>
      <x:c r="L99" s="34" t="str">
        <x:v>Bank of England and HM Treasury (digital pound)</x:v>
      </x:c>
      <x:c r="M99" s="34" t="str">
        <x:v>Retain the named authority's own CBDC decisions, explicit proposals, requirements, features, and executed findings. Exclude generic context, literature, foreign projects, and stakeholder views not explicitly adopted by the authority.</x:v>
      </x:c>
      <x:c r="N99" s="34" t="str">
        <x:v>text</x:v>
      </x:c>
      <x:c r="O99" s="34" t="str"/>
      <x:c r="P99" s="38" t="str"/>
      <x:c r="Q99" s="38" t="str"/>
      <x:c r="R99" s="38" t="str"/>
      <x:c r="S99" s="38" t="str"/>
      <x:c r="T99" s="38" t="str"/>
      <x:c r="U99" s="38" t="str"/>
      <x:c r="V99" s="38" t="str"/>
      <x:c r="W99" s="38" t="str"/>
      <x:c r="X99" s="38" t="str"/>
      <x:c r="Y99" s="38" t="str"/>
      <x:c r="Z99" s="38" t="str"/>
      <x:c r="AA99" s="43" t="str">
        <x:f>IF('Instructions'!$B$3="","",'Instructions'!$B$3)</x:f>
      </x:c>
      <x:c r="AB99" s="43" t="str">
        <x:f>IF(P99="","PENDING",IF('Instructions'!$B$3="","SET_INITIALS",IF(P99="keep",IF(OR(Q99="",R99="",S99="",T99="",U99="",W99=""),"INCOMPLETE_KEEP","COMPLETE"),IF(P99="exclude",IF(OR(V99="",W99=""),"INCOMPLETE_EXCLUDE","COMPLETE"),"NEEDS_CONTEXT"))))</x:f>
        <x:v>PENDING</x:v>
      </x:c>
    </x:row>
    <x:row r="100" ht="62" customHeight="1">
      <x:c r="A100" s="34" t="str">
        <x:v>SV-0097</x:v>
      </x:c>
      <x:c r="B100" s="34" t="str">
        <x:v>They 
also confirmed that central banks can retain 
control of the CBDC over these different 
types of DLTs, in particular by exploiting 
the programmability features of central bank 
money provided by this technology.</x:v>
      </x:c>
      <x:c r="C100" s="34" t="str"/>
      <x:c r="D100" s="34" t="str"/>
      <x:c r="E100" s="34" t="str"/>
      <x:c r="F100" s="34" t="str">
        <x:v>… t the interoperability of CBDCs with each 
other could contribute to simplifying and 
improving the performance and accessibility 
of such transactions and payments.
As the Banque de France follows a technology-
agnostic approach, its experiments have 
made it possible to test various technologies, 
whether private or public DLTs implemented 
on open or proprietary protocols. The 
experiments have shown that, regardless 
of the underlying technology, an interbank 
CBDC can be an effective means of payment 
for the multiple use cases envisaged. They 
also confirmed that central banks can retain 
control of the CBDC over these different 
types of DLTs, in particular by exploiting 
the programmability features of central bank 
money provided by this technology.
The conclusions of this first experimental 
programme conducted in 2020 and 2021, 
which were the subject of a report2 and a 
press release3 published on the Banque de 
France website, confirm the intuitions that 
prompted the Banque de France to launch 
the programme: an interbank CBDC would 
maximise the benefits expected by the 
market from the use of DLT for interbank 
transactions by giving market participants a 
secure means of settlement in central bank 
money, thus eliminating any counterparty 
risk, in compliance with the European 
an …</x:v>
      </x:c>
      <x:c r="G100" s="34" t="str">
        <x:v>PRD-0029-P0011-U01</x:v>
      </x:c>
      <x:c r="H100" s="34" t="str"/>
      <x:c r="I100" s="34" t="str">
        <x:v>FR_BdF_2022</x:v>
      </x:c>
      <x:c r="J100" s="34" t="n">
        <x:v>11</x:v>
      </x:c>
      <x:c r="K100" s="34" t="str">
        <x:v>fr</x:v>
      </x:c>
      <x:c r="L100" s="34" t="str">
        <x:v>Banque de France (wholesale CBDC programme)</x:v>
      </x:c>
      <x:c r="M100" s="34" t="str">
        <x:v>Retain Banque de France own-programme decisions and executed findings. Exclude foreign experiments and general market regulation without a CBDC-specific conclusion.</x:v>
      </x:c>
      <x:c r="N100" s="34" t="str">
        <x:v>text</x:v>
      </x:c>
      <x:c r="O100" s="34" t="str"/>
      <x:c r="P100" s="38" t="str"/>
      <x:c r="Q100" s="38" t="str"/>
      <x:c r="R100" s="38" t="str"/>
      <x:c r="S100" s="38" t="str"/>
      <x:c r="T100" s="38" t="str"/>
      <x:c r="U100" s="38" t="str"/>
      <x:c r="V100" s="38" t="str"/>
      <x:c r="W100" s="38" t="str"/>
      <x:c r="X100" s="38" t="str"/>
      <x:c r="Y100" s="38" t="str"/>
      <x:c r="Z100" s="38" t="str"/>
      <x:c r="AA100" s="43" t="str">
        <x:f>IF('Instructions'!$B$3="","",'Instructions'!$B$3)</x:f>
      </x:c>
      <x:c r="AB100" s="43" t="str">
        <x:f>IF(P100="","PENDING",IF('Instructions'!$B$3="","SET_INITIALS",IF(P100="keep",IF(OR(Q100="",R100="",S100="",T100="",U100="",W100=""),"INCOMPLETE_KEEP","COMPLETE"),IF(P100="exclude",IF(OR(V100="",W100=""),"INCOMPLETE_EXCLUDE","COMPLETE"),"NEEDS_CONTEXT"))))</x:f>
        <x:v>PENDING</x:v>
      </x:c>
    </x:row>
    <x:row r="101" ht="62" customHeight="1">
      <x:c r="A101" s="34" t="str">
        <x:v>SV-0098</x:v>
      </x:c>
      <x:c r="B101" s="34" t="str">
        <x:v>This report discusses two different ways of issuing a rafkróna: 
a), as base money; b) as a registered, traceable deposit to a payment 
account with the Central Bank, hereinafter referred to as a rafkróna 
account.</x:v>
      </x:c>
      <x:c r="C101" s="34" t="str"/>
      <x:c r="D101" s="34" t="str"/>
      <x:c r="E101" s="34" t="str"/>
      <x:c r="F101" s="34" t="str">
        <x:v>RAFKRÓNA?
11
II 1 Properties of the rafkróna
Technologically, there is little to prevent the Central Bank from issuing 
a rafkróna with the following properties:
• Available to the general public.
• Represents the holder’s claim against the Central Bank.
• Accessible 24/7/365, and in real time. 
This report discusses two different ways of issuing a rafkróna: 
a), as base money; b) as a registered, traceable deposit to a payment 
account with the Central Bank, hereinafter referred to as a rafkróna 
account. The rafkróna would be available to the public either year-
round or only in case of emergency, as an element in financial system 
contingency measures in response to a major interruption in the 
electronic payment service or to a financial crisis. It is likely that using 
the rafkróna as a prudential tool would be consistent with the Central 
Bank’s legal mandate.10 But the law should be interpreted with caution 
in this respect, as the ultimate design or technological execution could 
be a determining factor.
a) Electronic base money
A simple …</x:v>
      </x:c>
      <x:c r="G101" s="34" t="str">
        <x:v>PRD-0041-P0011-U01</x:v>
      </x:c>
      <x:c r="H101" s="34" t="str"/>
      <x:c r="I101" s="34" t="str">
        <x:v>IS_CBI_2018</x:v>
      </x:c>
      <x:c r="J101" s="34" t="n">
        <x:v>11</x:v>
      </x:c>
      <x:c r="K101" s="34" t="str">
        <x:v>en</x:v>
      </x:c>
      <x:c r="L101" s="34" t="str">
        <x:v>Central Bank of Iceland</x:v>
      </x:c>
      <x:c r="M101" s="34" t="str">
        <x:v>Retain the named authority's own CBDC decisions, explicit proposals, requirements, features, and executed findings. Exclude generic context, literature, foreign projects, and stakeholder views not explicitly adopted by the authority.</x:v>
      </x:c>
      <x:c r="N101" s="34" t="str">
        <x:v>text</x:v>
      </x:c>
      <x:c r="O101" s="34" t="str"/>
      <x:c r="P101" s="38" t="str"/>
      <x:c r="Q101" s="38" t="str"/>
      <x:c r="R101" s="38" t="str"/>
      <x:c r="S101" s="38" t="str"/>
      <x:c r="T101" s="38" t="str"/>
      <x:c r="U101" s="38" t="str"/>
      <x:c r="V101" s="38" t="str"/>
      <x:c r="W101" s="38" t="str"/>
      <x:c r="X101" s="38" t="str"/>
      <x:c r="Y101" s="38" t="str"/>
      <x:c r="Z101" s="38" t="str"/>
      <x:c r="AA101" s="43" t="str">
        <x:f>IF('Instructions'!$B$3="","",'Instructions'!$B$3)</x:f>
      </x:c>
      <x:c r="AB101" s="43" t="str">
        <x:f>IF(P101="","PENDING",IF('Instructions'!$B$3="","SET_INITIALS",IF(P101="keep",IF(OR(Q101="",R101="",S101="",T101="",U101="",W101=""),"INCOMPLETE_KEEP","COMPLETE"),IF(P101="exclude",IF(OR(V101="",W101=""),"INCOMPLETE_EXCLUDE","COMPLETE"),"NEEDS_CONTEXT"))))</x:f>
        <x:v>PENDING</x:v>
      </x:c>
    </x:row>
    <x:row r="102" ht="62" customHeight="1">
      <x:c r="A102" s="34" t="str">
        <x:v>SV-0099</x:v>
      </x:c>
      <x:c r="B102" s="34" t="str">
        <x:v>However, for reasons of practicality 
and financial inclusion, some level of ‘in-person’ service is likely to be needed.</x:v>
      </x:c>
      <x:c r="C102" s="34" t="str"/>
      <x:c r="D102" s="34" t="str"/>
      <x:c r="E102" s="34" t="str"/>
      <x:c r="F102" s="34" t="str">
        <x:v>Page 69 
Interoperability with cash 
Existing infrastructure might also be used to enable interoperability with cash. This points 
towards exploring the feasibility of using infrastructures, such as LINK, for CBDC to cash 
conversions. 
Since ATMs are predominantly cash dispensing (while it is an option to have them accept 
cash deposits it is not the dominant mode), the Bank will conduct further investigation into 
whether cash to CBDC conversion could be automated. However, for reasons of practicality 
and financial inclusion, some level of ‘in-person’ service is likely to be needed. This will be 
subject to further exploration. 
Next steps  
The Bank will engage with stakeholders to determine the functionality necessary for 
enabling conversions between CBDC and other forms of money, including, where 
appropriate, possible proofs of concept or feasibility tests. 
Interoperability will be a priority area for research and experimentation during the design 
phase, including through collaboration with the financial sector, technologists and other 
central banks.</x:v>
      </x:c>
      <x:c r="G102" s="34" t="str">
        <x:v>PRD-0076-P0070-U01</x:v>
      </x:c>
      <x:c r="H102" s="34" t="str"/>
      <x:c r="I102" s="34" t="str">
        <x:v>UK_BoE_2023_TechWP</x:v>
      </x:c>
      <x:c r="J102" s="34" t="n">
        <x:v>70</x:v>
      </x:c>
      <x:c r="K102" s="34" t="str">
        <x:v>en</x:v>
      </x:c>
      <x:c r="L102" s="34" t="str">
        <x:v>Bank of England and HM Treasury (digital pound)</x:v>
      </x:c>
      <x:c r="M102" s="34" t="str">
        <x:v>Retain the named authority's own CBDC decisions, explicit proposals, requirements, features, and executed findings. Exclude generic context, literature, foreign projects, and stakeholder views not explicitly adopted by the authority.</x:v>
      </x:c>
      <x:c r="N102" s="34" t="str">
        <x:v>text</x:v>
      </x:c>
      <x:c r="O102" s="34" t="str"/>
      <x:c r="P102" s="38" t="str"/>
      <x:c r="Q102" s="38" t="str"/>
      <x:c r="R102" s="38" t="str"/>
      <x:c r="S102" s="38" t="str"/>
      <x:c r="T102" s="38" t="str"/>
      <x:c r="U102" s="38" t="str"/>
      <x:c r="V102" s="38" t="str"/>
      <x:c r="W102" s="38" t="str"/>
      <x:c r="X102" s="38" t="str"/>
      <x:c r="Y102" s="38" t="str"/>
      <x:c r="Z102" s="38" t="str"/>
      <x:c r="AA102" s="43" t="str">
        <x:f>IF('Instructions'!$B$3="","",'Instructions'!$B$3)</x:f>
      </x:c>
      <x:c r="AB102" s="43" t="str">
        <x:f>IF(P102="","PENDING",IF('Instructions'!$B$3="","SET_INITIALS",IF(P102="keep",IF(OR(Q102="",R102="",S102="",T102="",U102="",W102=""),"INCOMPLETE_KEEP","COMPLETE"),IF(P102="exclude",IF(OR(V102="",W102=""),"INCOMPLETE_EXCLUDE","COMPLETE"),"NEEDS_CONTEXT"))))</x:f>
        <x:v>PENDING</x:v>
      </x:c>
    </x:row>
    <x:row r="103" ht="62" customHeight="1">
      <x:c r="A103" s="34" t="str">
        <x:v>SV-0100</x:v>
      </x:c>
      <x:c r="B103" s="34" t="str">
        <x:v>The use of a proof-of-work consensus mech-
anism raised concerns from the perspective of oper-
ational efficiency, since it was demonstrated that this  
consensus method could not provide the throughput  
required as volumes increased.</x:v>
      </x:c>
      <x:c r="C103" s="34" t="str"/>
      <x:c r="D103" s="34" t="str"/>
      <x:c r="E103" s="34" t="str"/>
      <x:c r="F103" s="34" t="str">
        <x:v>… DDR and, converse-
ly, to redeem DDR in exchange for Canadian dollars. 
Phase 1 was successful in delivering the intended 
functionality in a non-production setting. Importantly, 
the consensus mechanism utilized by the Phase 1 
platform was based on “proof of work,” which  
required all R3 members to perform validation of a 
proposed exchange of DDR between two participants 
as a requirement for that exchange to be recorded to 
the database. However , only participating Canadian 
banks in the project could transact in DDR over the 
ledger .16 The use of a proof-of-work consensus mech-
anism raised concerns from the perspective of oper-
ational efficiency, since it was demonstrated that this  
consensus method could not provide the throughput  
required as volumes increased. As well, the Ethere-
um solution provided full visibility into the central  
ledger for all participants in the system. Although this 
transparency was helpful for monitoring the status of 
all participants in the system, the platform did not 
support participant requirements for data privacy. 
In a proof-of-work solution, it is unclear when settle-
ment finality has been achieved, if ever . From a policy 
perspective, this presents a substantial challenge. 
The Phase 1 solution was also not integrated with any 
external systems (including col …</x:v>
      </x:c>
      <x:c r="G103" s="34" t="str">
        <x:v>PRD-0015-P0011-U01</x:v>
      </x:c>
      <x:c r="H103" s="34" t="str"/>
      <x:c r="I103" s="34" t="str">
        <x:v>CA_Jasper_Phase12_2017</x:v>
      </x:c>
      <x:c r="J103" s="34" t="n">
        <x:v>11</x:v>
      </x:c>
      <x:c r="K103" s="34" t="str">
        <x:v>en</x:v>
      </x:c>
      <x:c r="L103" s="34" t="str">
        <x:v>Bank of Canada and Payments Canada (Project Jasper)</x:v>
      </x:c>
      <x:c r="M103" s="34" t="str">
        <x:v>Retain executed Project Jasper design choices and findings. Exclude general DLT literature and external examples.</x:v>
      </x:c>
      <x:c r="N103" s="34" t="str">
        <x:v>text</x:v>
      </x:c>
      <x:c r="O103" s="34" t="str"/>
      <x:c r="P103" s="38" t="str"/>
      <x:c r="Q103" s="38" t="str"/>
      <x:c r="R103" s="38" t="str"/>
      <x:c r="S103" s="38" t="str"/>
      <x:c r="T103" s="38" t="str"/>
      <x:c r="U103" s="38" t="str"/>
      <x:c r="V103" s="38" t="str"/>
      <x:c r="W103" s="38" t="str"/>
      <x:c r="X103" s="38" t="str"/>
      <x:c r="Y103" s="38" t="str"/>
      <x:c r="Z103" s="38" t="str"/>
      <x:c r="AA103" s="43" t="str">
        <x:f>IF('Instructions'!$B$3="","",'Instructions'!$B$3)</x:f>
      </x:c>
      <x:c r="AB103" s="43" t="str">
        <x:f>IF(P103="","PENDING",IF('Instructions'!$B$3="","SET_INITIALS",IF(P103="keep",IF(OR(Q103="",R103="",S103="",T103="",U103="",W103=""),"INCOMPLETE_KEEP","COMPLETE"),IF(P103="exclude",IF(OR(V103="",W103=""),"INCOMPLETE_EXCLUDE","COMPLETE"),"NEEDS_CONTEXT"))))</x:f>
        <x:v>PENDING</x:v>
      </x:c>
    </x:row>
    <x:row r="104" ht="62" customHeight="1">
      <x:c r="A104" s="34" t="str">
        <x:v>SV-0101</x:v>
      </x:c>
      <x:c r="B104" s="34" t="str">
        <x:v>The use of 
digital monies in cross-border payments aims to resolve these issues through utilizing 
flows conducted via central banks and implementing distributed architectures, in contrast 
to the correspondent banking model.</x:v>
      </x:c>
      <x:c r="C104" s="34" t="str"/>
      <x:c r="D104" s="34" t="str"/>
      <x:c r="E104" s="34" t="str"/>
      <x:c r="F104" s="34" t="str">
        <x:v>… ity 
layer. 
The MAS, a system developed for tokenized asset scenarios, is used to demonstrate 
interoperability. With the integration of the MAS into the Digital Turkish Lira System, users 
can view and manage their tokenized assets via their mobile applications. 
5.4. Cross-Border Payments 
One of the CBRT’s priorities in the field of interoperability is the improvement and 
diversification of cross-border payments. Currently, cross-border transactions are costly 
and slow, involving complex processes with non-transparent intermediate steps. The use of 
digital monies in cross-border payments aims to resolve these issues through utilizing 
flows conducted via central banks and implementing distributed architectures, in contrast 
to the correspondent banking model. 
A proof-of-concept study on using digital monies for cross-border payments has been 
conducted, with a focus on making payments in local currencies. With a common platform, 
it is expected that transaction flows are simplified, transparency is enhanced, and</x:v>
      </x:c>
      <x:c r="G104" s="34" t="str">
        <x:v>PRD-0101-P0011-U01</x:v>
      </x:c>
      <x:c r="H104" s="34" t="str"/>
      <x:c r="I104" s="34" t="str">
        <x:v>TR_DigitalLira_Phase2_2025</x:v>
      </x:c>
      <x:c r="J104" s="34" t="n">
        <x:v>11</x:v>
      </x:c>
      <x:c r="K104" s="34" t="str">
        <x:v>en</x:v>
      </x:c>
      <x:c r="L104" s="34" t="str">
        <x:v>Central Bank of the Republic of Turkiye (Digital Turkish Lira)</x:v>
      </x:c>
      <x:c r="M104" s="34" t="str">
        <x:v>Retain the named authority's own CBDC decisions, explicit proposals, requirements, features, and executed findings. Exclude generic context, literature, foreign projects, and stakeholder views not explicitly adopted by the authority.</x:v>
      </x:c>
      <x:c r="N104" s="34" t="str">
        <x:v>text</x:v>
      </x:c>
      <x:c r="O104" s="34" t="str"/>
      <x:c r="P104" s="38" t="str"/>
      <x:c r="Q104" s="38" t="str"/>
      <x:c r="R104" s="38" t="str"/>
      <x:c r="S104" s="38" t="str"/>
      <x:c r="T104" s="38" t="str"/>
      <x:c r="U104" s="38" t="str"/>
      <x:c r="V104" s="38" t="str"/>
      <x:c r="W104" s="38" t="str"/>
      <x:c r="X104" s="38" t="str"/>
      <x:c r="Y104" s="38" t="str"/>
      <x:c r="Z104" s="38" t="str"/>
      <x:c r="AA104" s="43" t="str">
        <x:f>IF('Instructions'!$B$3="","",'Instructions'!$B$3)</x:f>
      </x:c>
      <x:c r="AB104" s="43" t="str">
        <x:f>IF(P104="","PENDING",IF('Instructions'!$B$3="","SET_INITIALS",IF(P104="keep",IF(OR(Q104="",R104="",S104="",T104="",U104="",W104=""),"INCOMPLETE_KEEP","COMPLETE"),IF(P104="exclude",IF(OR(V104="",W104=""),"INCOMPLETE_EXCLUDE","COMPLETE"),"NEEDS_CONTEXT"))))</x:f>
        <x:v>PENDING</x:v>
      </x:c>
    </x:row>
    <x:row r="105" ht="62" customHeight="1">
      <x:c r="A105" s="34" t="str">
        <x:v>SV-0102</x:v>
      </x:c>
      <x:c r="B105" s="34" t="str">
        <x:v>The results of e -Peso pilo t shows that no connections or transmission of operations 
problems were reported, so the network supported pretty good the pilot</x:v>
      </x:c>
      <x:c r="C105" s="34" t="str"/>
      <x:c r="D105" s="34" t="str"/>
      <x:c r="E105" s="34" t="str"/>
      <x:c r="F105" s="34" t="str">
        <x:v>… cation. 
The design was established to have the si mplest solution to manage the digital currency . 
DLT was not needed at this stage of the pilot and a token based system was elected over 
an account based form to privilege the well extended use of mobile phones i n Uruguay. 
The results were positive without any technical incident. Even if in the next stages of a 
pilot banks could be included, the technological solution must stay as simple as possible 
because the operation of the system and the cyber risk concerns m ust be under control.  
The results of e -Peso pilo t shows that no connections or transmission of operations 
problems were reported, so the network supported pretty good the pilot 
4. Operational risk: ‘printing money’ and Big Brother 
CBDCs can be  seen as a  digital version of printing physical cash. Each e -Peso digital 
note includes an identification (ID)  serial number so these digital notes could be traced 
back to a specific user, and each time that an operation was done the digital notes could 
be spread in  smaller denomination notes with their own ID serial number. This process 
has two important implications, (i) each digital note includes security aspects and (ii) the 
use of each note can be traced fro …</x:v>
      </x:c>
      <x:c r="G105" s="34" t="str">
        <x:v>PRD-0083-P0007-U01</x:v>
      </x:c>
      <x:c r="H105" s="34" t="str"/>
      <x:c r="I105" s="34" t="str">
        <x:v>UY_BCU_Seven_Lessons_2022</x:v>
      </x:c>
      <x:c r="J105" s="34" t="n">
        <x:v>7</x:v>
      </x:c>
      <x:c r="K105" s="34" t="str">
        <x:v>en</x:v>
      </x:c>
      <x:c r="L105" s="34" t="str">
        <x:v>Banco Central del Uruguay (e-Peso pilot)</x:v>
      </x:c>
      <x:c r="M105" s="34" t="str">
        <x:v>Retain BCU own-pilot findings and resulting design lessons; exclude cited literature.</x:v>
      </x:c>
      <x:c r="N105" s="34" t="str">
        <x:v>text</x:v>
      </x:c>
      <x:c r="O105" s="34" t="str"/>
      <x:c r="P105" s="38" t="str"/>
      <x:c r="Q105" s="38" t="str"/>
      <x:c r="R105" s="38" t="str"/>
      <x:c r="S105" s="38" t="str"/>
      <x:c r="T105" s="38" t="str"/>
      <x:c r="U105" s="38" t="str"/>
      <x:c r="V105" s="38" t="str"/>
      <x:c r="W105" s="38" t="str"/>
      <x:c r="X105" s="38" t="str"/>
      <x:c r="Y105" s="38" t="str"/>
      <x:c r="Z105" s="38" t="str"/>
      <x:c r="AA105" s="43" t="str">
        <x:f>IF('Instructions'!$B$3="","",'Instructions'!$B$3)</x:f>
      </x:c>
      <x:c r="AB105" s="43" t="str">
        <x:f>IF(P105="","PENDING",IF('Instructions'!$B$3="","SET_INITIALS",IF(P105="keep",IF(OR(Q105="",R105="",S105="",T105="",U105="",W105=""),"INCOMPLETE_KEEP","COMPLETE"),IF(P105="exclude",IF(OR(V105="",W105=""),"INCOMPLETE_EXCLUDE","COMPLETE"),"NEEDS_CONTEXT"))))</x:f>
        <x:v>PENDING</x:v>
      </x:c>
    </x:row>
    <x:row r="106" ht="62" customHeight="1">
      <x:c r="A106" s="34" t="str">
        <x:v>SV-0103</x:v>
      </x:c>
      <x:c r="B106" s="34" t="str">
        <x:v>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x:v>
      </x:c>
      <x:c r="C106" s="34" t="str"/>
      <x:c r="D106" s="34" t="str"/>
      <x:c r="E106" s="34" t="str"/>
      <x:c r="F106" s="34" t="str">
        <x:v>…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 
This Phase I report aims to contribute to a broad and transparent public 
dialogue about CBDC from a technical perspective. The report is not intended 
to advance any specific policy outcome, nor to signal that the Federal Reserve 
will make any imminent decisions about the appropriateness of issuing a retail 
or wholesale CBDC, nor to offer an indication of how one would necessarily be 
designed.
Problem Space
Cross-border payments are financial transactions conducted between central 
banks, private sector banks, corporations, and others. In …</x:v>
      </x:c>
      <x:c r="G106" s="34" t="str">
        <x:v>PRD-0081-P0004-U01</x:v>
      </x:c>
      <x:c r="H106" s="34" t="str"/>
      <x:c r="I106" s="34" t="str">
        <x:v>US_NYFed_CedarPhaseOne_2022</x:v>
      </x:c>
      <x:c r="J106" s="34" t="n">
        <x:v>4</x:v>
      </x:c>
      <x:c r="K106" s="34" t="str">
        <x:v>en</x:v>
      </x:c>
      <x:c r="L106" s="34" t="str">
        <x:v>Federal Reserve Bank of New York (Project Cedar Phase I)</x:v>
      </x:c>
      <x:c r="M106" s="34" t="str">
        <x:v>Retain executed Project Cedar design choices and findings. Exclude general wholesale-CBDC or DLT background.</x:v>
      </x:c>
      <x:c r="N106" s="34" t="str">
        <x:v>text</x:v>
      </x:c>
      <x:c r="O106" s="34" t="str"/>
      <x:c r="P106" s="38" t="str"/>
      <x:c r="Q106" s="38" t="str"/>
      <x:c r="R106" s="38" t="str"/>
      <x:c r="S106" s="38" t="str"/>
      <x:c r="T106" s="38" t="str"/>
      <x:c r="U106" s="38" t="str"/>
      <x:c r="V106" s="38" t="str"/>
      <x:c r="W106" s="38" t="str"/>
      <x:c r="X106" s="38" t="str"/>
      <x:c r="Y106" s="38" t="str"/>
      <x:c r="Z106" s="38" t="str"/>
      <x:c r="AA106" s="43" t="str">
        <x:f>IF('Instructions'!$B$3="","",'Instructions'!$B$3)</x:f>
      </x:c>
      <x:c r="AB106" s="43" t="str">
        <x:f>IF(P106="","PENDING",IF('Instructions'!$B$3="","SET_INITIALS",IF(P106="keep",IF(OR(Q106="",R106="",S106="",T106="",U106="",W106=""),"INCOMPLETE_KEEP","COMPLETE"),IF(P106="exclude",IF(OR(V106="",W106=""),"INCOMPLETE_EXCLUDE","COMPLETE"),"NEEDS_CONTEXT"))))</x:f>
        <x:v>PENDING</x:v>
      </x:c>
    </x:row>
    <x:row r="107" ht="62" customHeight="1">
      <x:c r="A107" s="34" t="str">
        <x:v>SV-0104</x:v>
      </x:c>
      <x:c r="B107" s="34" t="str">
        <x:v>Users will be able to access their digital Turkish lira accounts through any 
financial intermediary. In this way, similar to banknotes, the digital Turkish lira will be 
usable in an intermediary-agnostic manner.</x:v>
      </x:c>
      <x:c r="C107" s="34" t="str"/>
      <x:c r="D107" s="34" t="str"/>
      <x:c r="E107" s="34" t="str"/>
      <x:c r="F107" s="34" t="str">
        <x:v>… cial intermediaries 
operate the Service Layer component, which is under their control, to access the Digital 
Money System. The relevant parts of the wallet applications that serve end users are also 
considered components of the Digital Turkish Lira System.  
Transactions involving the digital Turkish lira will be carried out through financial 
intermediaries. In line with the adopted two-tier structure, central bank will be in charge 
of issuing the digital money, while financial intermediaries will ensure user access to the 
digital money. Users will be able to access their digital Turkish lira accounts through any 
financial intermediary. In this way, similar to banknotes, the digital Turkish lira will be 
usable in an intermediary-agnostic manner. 
The Digital Money System does not store users’ identity data. While transactions are 
recorded within the Digital Money System, users’ identity data is held solely by the financial 
intermediaries of their choice. Under the adopted architecture, the central bank does not 
possess identity data of end users and therefore does not associate any transaction with a 
specific user. Thus, it will not be technically possible for the central bank to track 
consumption habits or usage patterns. 
A digital identity is the set of representations associa …</x:v>
      </x:c>
      <x:c r="G107" s="34" t="str">
        <x:v>PRD-0101-P0004-U01</x:v>
      </x:c>
      <x:c r="H107" s="34" t="str"/>
      <x:c r="I107" s="34" t="str">
        <x:v>TR_DigitalLira_Phase2_2025</x:v>
      </x:c>
      <x:c r="J107" s="34" t="n">
        <x:v>4</x:v>
      </x:c>
      <x:c r="K107" s="34" t="str">
        <x:v>en</x:v>
      </x:c>
      <x:c r="L107" s="34" t="str">
        <x:v>Central Bank of the Republic of Turkiye (Digital Turkish Lira)</x:v>
      </x:c>
      <x:c r="M107" s="34" t="str">
        <x:v>Retain the named authority's own CBDC decisions, explicit proposals, requirements, features, and executed findings. Exclude generic context, literature, foreign projects, and stakeholder views not explicitly adopted by the authority.</x:v>
      </x:c>
      <x:c r="N107" s="34" t="str">
        <x:v>text</x:v>
      </x:c>
      <x:c r="O107" s="34" t="str"/>
      <x:c r="P107" s="38" t="str"/>
      <x:c r="Q107" s="38" t="str"/>
      <x:c r="R107" s="38" t="str"/>
      <x:c r="S107" s="38" t="str"/>
      <x:c r="T107" s="38" t="str"/>
      <x:c r="U107" s="38" t="str"/>
      <x:c r="V107" s="38" t="str"/>
      <x:c r="W107" s="38" t="str"/>
      <x:c r="X107" s="38" t="str"/>
      <x:c r="Y107" s="38" t="str"/>
      <x:c r="Z107" s="38" t="str"/>
      <x:c r="AA107" s="43" t="str">
        <x:f>IF('Instructions'!$B$3="","",'Instructions'!$B$3)</x:f>
      </x:c>
      <x:c r="AB107" s="43" t="str">
        <x:f>IF(P107="","PENDING",IF('Instructions'!$B$3="","SET_INITIALS",IF(P107="keep",IF(OR(Q107="",R107="",S107="",T107="",U107="",W107=""),"INCOMPLETE_KEEP","COMPLETE"),IF(P107="exclude",IF(OR(V107="",W107=""),"INCOMPLETE_EXCLUDE","COMPLETE"),"NEEDS_CONTEXT"))))</x:f>
        <x:v>PENDING</x:v>
      </x:c>
    </x:row>
    <x:row r="108" ht="62" customHeight="1">
      <x:c r="A108" s="34" t="str">
        <x:v>SV-0105</x:v>
      </x:c>
      <x:c r="B108" s="34" t="str">
        <x:v>A DLT-based wholesale 
settlement solution in Canada must be able to  
process, at a minimum, over 50,000 payment items 
per day, and at least 14 items per second, based on 
observation of the LVTS today.</x:v>
      </x:c>
      <x:c r="C108" s="34" t="str"/>
      <x:c r="D108" s="34" t="str"/>
      <x:c r="E108" s="34" t="str"/>
      <x:c r="F108" s="34" t="str">
        <x:v>…  circumstance. Timely settlement finality is 
crucial for financial and economic stability and  
represents a requirement of the international PFMIs.  
While final settlement occurs at a clear , well-defined 
point in time in current wholesale settlement  
arrangements, and is backed by a strong legal basis, 
this concept of final settlement may be less clear in 
a DLT environment. 
Scalability and Operational Resilience 
A common question around DLT is whether it can 
handle the transaction volumes observed in the  
incumbent infrastructures. A DLT-based wholesale 
settlement solution in Canada must be able to  
process, at a minimum, over 50,000 payment items 
per day, and at least 14 items per second, based on 
observation of the LVTS today. In DLT arrangements 
and, in particular , those that rely on proof-of-work 
consensus protocols, there could be a high compu -
tational requirement to validate proposed transac -
tions and record them on the ledger . Moreover , it can 
take time to achieve consensus among platform 
participants, particularly when communication and 
information-sharing between nodes occurs over  
a public Internet connection. Meeting the current  
volume benchmark using this arrangement would 
require careful attention to scalability in the design 
of the DLT s …</x:v>
      </x:c>
      <x:c r="G108" s="34" t="str">
        <x:v>PRD-0015-P0015-U01</x:v>
      </x:c>
      <x:c r="H108" s="34" t="str"/>
      <x:c r="I108" s="34" t="str">
        <x:v>CA_Jasper_Phase12_2017</x:v>
      </x:c>
      <x:c r="J108" s="34" t="n">
        <x:v>15</x:v>
      </x:c>
      <x:c r="K108" s="34" t="str">
        <x:v>en</x:v>
      </x:c>
      <x:c r="L108" s="34" t="str">
        <x:v>Bank of Canada and Payments Canada (Project Jasper)</x:v>
      </x:c>
      <x:c r="M108" s="34" t="str">
        <x:v>Retain executed Project Jasper design choices and findings. Exclude general DLT literature and external examples.</x:v>
      </x:c>
      <x:c r="N108" s="34" t="str">
        <x:v>text</x:v>
      </x:c>
      <x:c r="O108" s="34" t="str"/>
      <x:c r="P108" s="38" t="str"/>
      <x:c r="Q108" s="38" t="str"/>
      <x:c r="R108" s="38" t="str"/>
      <x:c r="S108" s="38" t="str"/>
      <x:c r="T108" s="38" t="str"/>
      <x:c r="U108" s="38" t="str"/>
      <x:c r="V108" s="38" t="str"/>
      <x:c r="W108" s="38" t="str"/>
      <x:c r="X108" s="38" t="str"/>
      <x:c r="Y108" s="38" t="str"/>
      <x:c r="Z108" s="38" t="str"/>
      <x:c r="AA108" s="43" t="str">
        <x:f>IF('Instructions'!$B$3="","",'Instructions'!$B$3)</x:f>
      </x:c>
      <x:c r="AB108" s="43" t="str">
        <x:f>IF(P108="","PENDING",IF('Instructions'!$B$3="","SET_INITIALS",IF(P108="keep",IF(OR(Q108="",R108="",S108="",T108="",U108="",W108=""),"INCOMPLETE_KEEP","COMPLETE"),IF(P108="exclude",IF(OR(V108="",W108=""),"INCOMPLETE_EXCLUDE","COMPLETE"),"NEEDS_CONTEXT"))))</x:f>
        <x:v>PENDING</x:v>
      </x:c>
    </x:row>
    <x:row r="109" ht="62" customHeight="1">
      <x:c r="A109" s="34" t="str">
        <x:v>SV-0106</x:v>
      </x:c>
      <x:c r="B109" s="34" t="str">
        <x:v>Использование инфраструктуры АО «НСПК» для платежей по QR-коду в магазине 
или в интернете позволяет сделать платеж безопасным и привычным для пользователей.</x:v>
      </x:c>
      <x:c r="C109" s="34" t="str">
        <x:v>Using NSPK JSC infrastructure for QR-code payments in stores or online makes payments secure and familiar for users.</x:v>
      </x:c>
      <x:c r="D109" s="34" t="str"/>
      <x:c r="E109" s="34" t="str"/>
      <x:c r="F109" s="34" t="str">
        <x:v>17
Цифровой рубль: 
текущий статус проекта
2. Пилотный проект  
цифрового рубля
Использование существующей инфраструктуры НСПК
В 2024 г. на платформе цифрового рубля была реализована возможность оплаты товаров и услуг 
с использованием QR-кодов, формируемых на базе существующей инфраструктуры АО «НСПК». 
Такой подход позволяет минимизировать издержки торгово-сервисных предприятий для приема 
оплаты в цифровых рублях.
Использование инфраструктуры АО «НСПК» для платежей по QR-коду в магазине 
или в интернете позволяет сделать платеж безопасным и привычным для пользователей. 
При этом такой платеж будет осуществляться внутри платформы цифрового рубля.
Совместно с участниками платежного рынка Банк России проводит работу по внедрению 
универсального QR-кода – единого технологического стандарта, обеспечивающего гражданам 
возможность после его сканирования самостоятельно выбирать платежный инструмент: Систему 
быстрых платежей, pay-сервис любого банка. Использовать универсальный QR-код уже можно 
и для платежей в цифровых рублях. Это позволит расширить возможности расчетов для граждан 
при оплате в безналичном порядк …</x:v>
      </x:c>
      <x:c r="G109" s="34" t="str">
        <x:v>PRD-0065-P0018-U01</x:v>
      </x:c>
      <x:c r="H109" s="34" t="str"/>
      <x:c r="I109" s="34" t="str">
        <x:v>RU_Russia_digital_ruble_30062025</x:v>
      </x:c>
      <x:c r="J109" s="34" t="n">
        <x:v>18</x:v>
      </x:c>
      <x:c r="K109" s="34" t="str">
        <x:v>ru/uk</x:v>
      </x:c>
      <x:c r="L109" s="34" t="str">
        <x:v>Bank of Russia (digital ruble)</x:v>
      </x:c>
      <x:c r="M109" s="34" t="str">
        <x:v>Retain implemented digital-ruble features, requirements, and reported results.</x:v>
      </x:c>
      <x:c r="N109" s="34" t="str">
        <x:v>text</x:v>
      </x:c>
      <x:c r="O109" s="34" t="str"/>
      <x:c r="P109" s="38" t="str"/>
      <x:c r="Q109" s="38" t="str"/>
      <x:c r="R109" s="38" t="str"/>
      <x:c r="S109" s="38" t="str"/>
      <x:c r="T109" s="38" t="str"/>
      <x:c r="U109" s="38" t="str"/>
      <x:c r="V109" s="38" t="str"/>
      <x:c r="W109" s="38" t="str"/>
      <x:c r="X109" s="38" t="str"/>
      <x:c r="Y109" s="38" t="str"/>
      <x:c r="Z109" s="38" t="str"/>
      <x:c r="AA109" s="43" t="str">
        <x:f>IF('Instructions'!$B$3="","",'Instructions'!$B$3)</x:f>
      </x:c>
      <x:c r="AB109" s="43" t="str">
        <x:f>IF(P109="","PENDING",IF('Instructions'!$B$3="","SET_INITIALS",IF(P109="keep",IF(OR(Q109="",R109="",S109="",T109="",U109="",W109=""),"INCOMPLETE_KEEP","COMPLETE"),IF(P109="exclude",IF(OR(V109="",W109=""),"INCOMPLETE_EXCLUDE","COMPLETE"),"NEEDS_CONTEXT"))))</x:f>
        <x:v>PENDING</x:v>
      </x:c>
    </x:row>
    <x:row r="110" ht="62" customHeight="1">
      <x:c r="A110" s="34" t="str">
        <x:v>SV-0107</x:v>
      </x:c>
      <x:c r="B110" s="34" t="str">
        <x:v>Address Consumer issues such as privacy - in particular  the potential loss 
of anonymity through traceability of digital transactions under certain 
circumstances or above threshold  values.</x:v>
      </x:c>
      <x:c r="C110" s="34" t="str"/>
      <x:c r="D110" s="34" t="str"/>
      <x:c r="E110" s="34" t="str"/>
      <x:c r="F110" s="34" t="str">
        <x:v>60 
trust account; 
● Pay for everyday purchases of goods and services at poi nt of sale and/or 
on-line; 
● Payment of bills; 
● Perform P2P (between two people) transactions offline; 
● Store digital currency in an e-wallet according to the limits established by 
the MMA; 
● Follow up on individual account and file complaints within any time li mit 
set; 
● Assure the timely reconciliation of transactions that have taken place off-
line; 
● Protect their personal information; 
Consumer Groups ● Address Consumer issues such as privacy - in particular  the potential loss 
of anonymity through traceability of digital transactions under certain 
circumstances or above threshold  values. 
Regional 
Groupings 
● The Maldives belongs to the SAARC regional grouping  - the South Asian 
Association for Regional Cooperation.  
● SAARC will in d ue course be seeking interoperability around its member 
countries in re spect of digital currency and instant payments. SAARC 
secretariat will need to be keep informed of the developments 
● The Government of the Maldives and MMA may be expected to make 
presentations about the progress of studies, PoCs and Pilot plans</x:v>
      </x:c>
      <x:c r="G110" s="34" t="str">
        <x:v>PRD-0079-P0060-U01</x:v>
      </x:c>
      <x:c r="H110" s="34" t="str"/>
      <x:c r="I110" s="34" t="str">
        <x:v>UN_ESCAP_ESCAP-2022-RP-National-study-central-bank-digital-currency-stablecoin-Maldives</x:v>
      </x:c>
      <x:c r="J110" s="34" t="n">
        <x:v>60</x:v>
      </x:c>
      <x:c r="K110" s="34" t="str">
        <x:v>en</x:v>
      </x:c>
      <x:c r="L110" s="34" t="str">
        <x:v>Maldives Monetary Authority / Maldives CBDC policy study</x:v>
      </x:c>
      <x:c r="M110" s="34" t="str">
        <x:v>UN ESCAP study: retain only concrete recommendations, findings, or positions explicitly tied to the Maldives Monetary Authority or Maldives CBDC project. Exclude literature and foreign examples.</x:v>
      </x:c>
      <x:c r="N110" s="34" t="str">
        <x:v>text</x:v>
      </x:c>
      <x:c r="O110" s="34" t="str"/>
      <x:c r="P110" s="38" t="str"/>
      <x:c r="Q110" s="38" t="str"/>
      <x:c r="R110" s="38" t="str"/>
      <x:c r="S110" s="38" t="str"/>
      <x:c r="T110" s="38" t="str"/>
      <x:c r="U110" s="38" t="str"/>
      <x:c r="V110" s="38" t="str"/>
      <x:c r="W110" s="38" t="str"/>
      <x:c r="X110" s="38" t="str"/>
      <x:c r="Y110" s="38" t="str"/>
      <x:c r="Z110" s="38" t="str"/>
      <x:c r="AA110" s="43" t="str">
        <x:f>IF('Instructions'!$B$3="","",'Instructions'!$B$3)</x:f>
      </x:c>
      <x:c r="AB110" s="43" t="str">
        <x:f>IF(P110="","PENDING",IF('Instructions'!$B$3="","SET_INITIALS",IF(P110="keep",IF(OR(Q110="",R110="",S110="",T110="",U110="",W110=""),"INCOMPLETE_KEEP","COMPLETE"),IF(P110="exclude",IF(OR(V110="",W110=""),"INCOMPLETE_EXCLUDE","COMPLETE"),"NEEDS_CONTEXT"))))</x:f>
        <x:v>PENDING</x:v>
      </x:c>
    </x:row>
    <x:row r="111" ht="62" customHeight="1">
      <x:c r="A111" s="34" t="str">
        <x:v>SV-0108</x:v>
      </x:c>
      <x:c r="B111" s="34" t="str">
        <x:v>The Federal Reserve Act does not authorize direct Federal Reserve accounts forindividuals, and such accounts would represent a significant expansion of the Federal Reserve’srole in the financial system and the economy.</x:v>
      </x:c>
      <x:c r="C111" s="34" t="str"/>
      <x:c r="D111" s="34" t="str"/>
      <x:c r="E111" s="34" t="str"/>
      <x:c r="F111" s="34" t="str">
        <x:v>… ign options for a CBDC. While nodecisions have been made on whether to pursue a CBDC, analysis to date suggests that a poten-tial U.S. CBDC, if one were created, would best serve the needs of the United States by beingprivacy-protected, intermediated, widely transferable, and identity-verified.Privacy-protected:Protecting consumer privacy is critical. Any CBDC would need to strike anappropriate balance, however, between safeguarding the privacy rights of consumers and affordingthe transparency necessary to deter criminal activity.Intermediated:The Federal Reserve Act does not authorize direct Federal Reserve accounts forindividuals, and such accounts would represent a significant expansion of the Federal Reserve’srole in the financial system and the economy. Under an intermediated model, the private sectorwould offer accounts or digital wallets to facilitate the management of CBDC holdings and pay-ments. Potential intermediaries could include commercial banks and regulated nonbank financialservice providers, and would operate in an open market for CBDC services. Although commercialbanks and nonbanks would offer services to individuals to manage their CBDC holdings and pay-19Narrower-purpose CBDCs could also be developed, such as one designed primarily for large-value institutional paymentsand not  …</x:v>
      </x:c>
      <x:c r="G111" s="34" t="str">
        <x:v>PRD-0080-P0017-U01</x:v>
      </x:c>
      <x:c r="H111" s="34" t="str"/>
      <x:c r="I111" s="34" t="str">
        <x:v>US_Fed_2022</x:v>
      </x:c>
      <x:c r="J111" s="34" t="n">
        <x:v>17</x:v>
      </x:c>
      <x:c r="K111" s="34" t="str">
        <x:v>en</x:v>
      </x:c>
      <x:c r="L111" s="34" t="str">
        <x:v>Board of Governors of the Federal Reserve System (potential US CBDC)</x:v>
      </x:c>
      <x:c r="M111" s="34" t="str">
        <x:v>Discussion paper, not an issuance decision. Retain explicit Federal Reserve positions, prerequisites, design preferences, or stated risks for a potential US CBDC. Exclude questions, option inventories, literature, and stakeholder views.</x:v>
      </x:c>
      <x:c r="N111" s="34" t="str">
        <x:v>text</x:v>
      </x:c>
      <x:c r="O111" s="34" t="str"/>
      <x:c r="P111" s="38" t="str"/>
      <x:c r="Q111" s="38" t="str"/>
      <x:c r="R111" s="38" t="str"/>
      <x:c r="S111" s="38" t="str"/>
      <x:c r="T111" s="38" t="str"/>
      <x:c r="U111" s="38" t="str"/>
      <x:c r="V111" s="38" t="str"/>
      <x:c r="W111" s="38" t="str"/>
      <x:c r="X111" s="38" t="str"/>
      <x:c r="Y111" s="38" t="str"/>
      <x:c r="Z111" s="38" t="str"/>
      <x:c r="AA111" s="43" t="str">
        <x:f>IF('Instructions'!$B$3="","",'Instructions'!$B$3)</x:f>
      </x:c>
      <x:c r="AB111" s="43" t="str">
        <x:f>IF(P111="","PENDING",IF('Instructions'!$B$3="","SET_INITIALS",IF(P111="keep",IF(OR(Q111="",R111="",S111="",T111="",U111="",W111=""),"INCOMPLETE_KEEP","COMPLETE"),IF(P111="exclude",IF(OR(V111="",W111=""),"INCOMPLETE_EXCLUDE","COMPLETE"),"NEEDS_CONTEXT"))))</x:f>
        <x:v>PENDING</x:v>
      </x:c>
    </x:row>
    <x:row r="112" ht="62" customHeight="1">
      <x:c r="A112" s="34" t="str">
        <x:v>SV-0109</x:v>
      </x:c>
      <x:c r="B112" s="34" t="str">
        <x:v>The baseline throughput scales 
linearly as capacity is increased from one to eight shards, without significant degradation 
of latency.</x:v>
      </x:c>
      <x:c r="C112" s="34" t="str"/>
      <x:c r="D112" s="34" t="str"/>
      <x:c r="E112" s="34" t="str"/>
      <x:c r="F112" s="34" t="str">
        <x:v>26 
Chart 3: Throughput with sentinel attestations 
We summarize our observations about system scalability: 
 The baseline variant demonstrates l inear scalability. The baseline throughput scales 
linearly as capacity is increased from one to eight shards, without significant degradation 
of latency. 
 The d egree of scalability is impacted  by supply audits . Auditing the supply entail s 
increased storage and computational overhead in the core  compared with the baseline, 
leading to a predictable performance impact.  Variant-values scales linearly or close to it,  
although at a lower rate than the baseline, if SAs are disabled. 
 Scalability of auditing with privacy-preserving commitments  remains unproven . 
Auditability with commitments is a compelling idea, as it would allow the system to detect 
discrepancies in  the supply  with …</x:v>
      </x:c>
      <x:c r="G112" s="34" t="str">
        <x:v>PRD-0108-P0029-U01</x:v>
      </x:c>
      <x:c r="H112" s="34" t="str"/>
      <x:c r="I112" s="34" t="str">
        <x:v>CA_BoC_RetailFeasibility_SDP2025_9</x:v>
      </x:c>
      <x:c r="J112" s="34" t="n">
        <x:v>29</x:v>
      </x:c>
      <x:c r="K112" s="34" t="str">
        <x:v>en</x:v>
      </x:c>
      <x:c r="L112" s="34" t="str">
        <x:v>Bank of Canada research on retail CBDC feasibility</x:v>
      </x:c>
      <x:c r="M112" s="34" t="str">
        <x:v>Staff research is not an adopted design. Retain empirical findings or explicit Bank of Canada conclusions tied to its potential CBDC; exclude model assumptions and literature.</x:v>
      </x:c>
      <x:c r="N112" s="34" t="str">
        <x:v>text</x:v>
      </x:c>
      <x:c r="O112" s="34" t="str"/>
      <x:c r="P112" s="38" t="str"/>
      <x:c r="Q112" s="38" t="str"/>
      <x:c r="R112" s="38" t="str"/>
      <x:c r="S112" s="38" t="str"/>
      <x:c r="T112" s="38" t="str"/>
      <x:c r="U112" s="38" t="str"/>
      <x:c r="V112" s="38" t="str"/>
      <x:c r="W112" s="38" t="str"/>
      <x:c r="X112" s="38" t="str"/>
      <x:c r="Y112" s="38" t="str"/>
      <x:c r="Z112" s="38" t="str"/>
      <x:c r="AA112" s="43" t="str">
        <x:f>IF('Instructions'!$B$3="","",'Instructions'!$B$3)</x:f>
      </x:c>
      <x:c r="AB112" s="43" t="str">
        <x:f>IF(P112="","PENDING",IF('Instructions'!$B$3="","SET_INITIALS",IF(P112="keep",IF(OR(Q112="",R112="",S112="",T112="",U112="",W112=""),"INCOMPLETE_KEEP","COMPLETE"),IF(P112="exclude",IF(OR(V112="",W112=""),"INCOMPLETE_EXCLUDE","COMPLETE"),"NEEDS_CONTEXT"))))</x:f>
        <x:v>PENDING</x:v>
      </x:c>
    </x:row>
    <x:row r="113" ht="62" customHeight="1">
      <x:c r="A113" s="34" t="str">
        <x:v>SV-0110</x:v>
      </x:c>
      <x:c r="B113" s="34" t="str">
        <x:v>Влияние цифрового рубля на денежно-кредитную политику Банка России в среднесроч -
ной перспективе будет незначительным.</x:v>
      </x:c>
      <x:c r="C113" s="34" t="str">
        <x:v>The impact of the digital ruble on the Bank of Russia's monetary policy will be insignificant in the medium term.</x:v>
      </x:c>
      <x:c r="D113" s="34" t="str"/>
      <x:c r="E113" s="34" t="str"/>
      <x:c r="F113" s="34" t="str">
        <x:v>26 Концепция цифрового рубля
VIII. Влияние цифрового рубля на денежно-кредитную 
политику и финансовую стабильность
Т рансмиссионный механизм денежно-кредитной политики
Влияние цифрового рубля на денежно-кредитную политику Банка России в среднесроч -
ной перспективе будет незначительным. При введении цифрового рубля возможен времен -
ный рост неопределенности для кредитных организаций относительно потоков клиентских 
средств, а также потенциального изменения структуры их балансов. Это может способство -
вать краткосрочному увеличению волатильности ставок денежного рынка.
Введение цифрового рубля также может привести к  некоторому росту стоимости 
фондирования для отдельных банков, для которых остатки на неоплачиваемых расчетных сче-
тах являются важным источником пассивов2. Для компенсации возросших процентных расхо-
дов эти б …</x:v>
      </x:c>
      <x:c r="G113" s="34" t="str">
        <x:v>PRD-0063-P0027-U01</x:v>
      </x:c>
      <x:c r="H113" s="34" t="str"/>
      <x:c r="I113" s="34" t="str">
        <x:v>RU_Russia_concept_08042021</x:v>
      </x:c>
      <x:c r="J113" s="34" t="n">
        <x:v>27</x:v>
      </x:c>
      <x:c r="K113" s="34" t="str">
        <x:v>ru/uk</x:v>
      </x:c>
      <x:c r="L113" s="34" t="str">
        <x:v>Bank of Russia (digital ruble)</x:v>
      </x:c>
      <x:c r="M113" s="34" t="str">
        <x:v>Retain the named authority's own CBDC decisions, explicit proposals, requirements, features, and executed findings. Exclude generic context, literature, foreign projects, and stakeholder views not explicitly adopted by the authority.</x:v>
      </x:c>
      <x:c r="N113" s="34" t="str">
        <x:v>text</x:v>
      </x:c>
      <x:c r="O113" s="34" t="str"/>
      <x:c r="P113" s="38" t="str"/>
      <x:c r="Q113" s="38" t="str"/>
      <x:c r="R113" s="38" t="str"/>
      <x:c r="S113" s="38" t="str"/>
      <x:c r="T113" s="38" t="str"/>
      <x:c r="U113" s="38" t="str"/>
      <x:c r="V113" s="38" t="str"/>
      <x:c r="W113" s="38" t="str"/>
      <x:c r="X113" s="38" t="str"/>
      <x:c r="Y113" s="38" t="str"/>
      <x:c r="Z113" s="38" t="str"/>
      <x:c r="AA113" s="43" t="str">
        <x:f>IF('Instructions'!$B$3="","",'Instructions'!$B$3)</x:f>
      </x:c>
      <x:c r="AB113" s="43" t="str">
        <x:f>IF(P113="","PENDING",IF('Instructions'!$B$3="","SET_INITIALS",IF(P113="keep",IF(OR(Q113="",R113="",S113="",T113="",U113="",W113=""),"INCOMPLETE_KEEP","COMPLETE"),IF(P113="exclude",IF(OR(V113="",W113=""),"INCOMPLETE_EXCLUDE","COMPLETE"),"NEEDS_CONTEXT"))))</x:f>
        <x:v>PENDING</x:v>
      </x:c>
    </x:row>
    <x:row r="114" ht="62" customHeight="1">
      <x:c r="A114" s="34" t="str">
        <x:v>SV-0111</x:v>
      </x:c>
      <x:c r="B114" s="34" t="str">
        <x:v>we have chosen at this stage to assume the 
existence of this participant as part of the architecture, including its direct integration into the core system 
of the digital shekel, with the goal of ensuring architectural flexibility.</x:v>
      </x:c>
      <x:c r="C114" s="34" t="str"/>
      <x:c r="D114" s="34" t="str"/>
      <x:c r="E114" s="34" t="str"/>
      <x:c r="F114" s="34" t="str">
        <x:v>… ss model for this type of participant? etc.). Some of the issues relate to policy and regulatory 
decisions, rather than architectural implementation.  
Given that the ASP's access to the core system is limited to specific activities, the initial analysis conducted 
within the framework of this document raised the possibility that there may be a situation  in which the 
advantages and efficiency of providing it with direct access to the central bank outweigh the negative aspects 
of the resulting regulatory and technological burden. Therefore, we have chosen at this stage to assume the 
existence of this participant as part of the architecture, including its direct integration into the core system 
of the digital shekel, with the goal of ensuring architectural flexibility. However, this assessment will need to 
be re -examined and tested in the real world in light  of the aforementioned business and regulatory 
questions. In particular, it will need to be understood whether it is possible to achieve the threshold to justify 
the existence of such a "player", namely a regulatory and technological burden that is less than that of a PSP. 
Box 1 – The communication between participants in the digital shekel system 
The digital shekel system will need to support the activity of numerous types of entities, and 
will r …</x:v>
      </x:c>
      <x:c r="G114" s="34" t="str">
        <x:v>PRD-0039-P0011-U01</x:v>
      </x:c>
      <x:c r="H114" s="34" t="str"/>
      <x:c r="I114" s="34" t="str">
        <x:v>IL_Israel_#U05d0#U05e8#U05db#U05d9#U05d8#U05e7#U05d8#U05d5#U05e8#U05d4-#U05dc#U05d5#U05d2#U05d9#U05ea-#U05d0#U05e0#U05d2#U05dc#U05d9#U05ea.pdf</x:v>
      </x:c>
      <x:c r="J114" s="34" t="n">
        <x:v>11</x:v>
      </x:c>
      <x:c r="K114" s="34" t="str">
        <x:v>en</x:v>
      </x:c>
      <x:c r="L114" s="34" t="str">
        <x:v>Bank of Israel (digital shekel)</x:v>
      </x:c>
      <x:c r="M114" s="34" t="str">
        <x:v>Retain Bank of Israel digital-shekel proposals, preferences, features, and requirements. Exclude figure fragments without a complete claim.</x:v>
      </x:c>
      <x:c r="N114" s="34" t="str">
        <x:v>text</x:v>
      </x:c>
      <x:c r="O114" s="34" t="str"/>
      <x:c r="P114" s="38" t="str"/>
      <x:c r="Q114" s="38" t="str"/>
      <x:c r="R114" s="38" t="str"/>
      <x:c r="S114" s="38" t="str"/>
      <x:c r="T114" s="38" t="str"/>
      <x:c r="U114" s="38" t="str"/>
      <x:c r="V114" s="38" t="str"/>
      <x:c r="W114" s="38" t="str"/>
      <x:c r="X114" s="38" t="str"/>
      <x:c r="Y114" s="38" t="str"/>
      <x:c r="Z114" s="38" t="str"/>
      <x:c r="AA114" s="43" t="str">
        <x:f>IF('Instructions'!$B$3="","",'Instructions'!$B$3)</x:f>
      </x:c>
      <x:c r="AB114" s="43" t="str">
        <x:f>IF(P114="","PENDING",IF('Instructions'!$B$3="","SET_INITIALS",IF(P114="keep",IF(OR(Q114="",R114="",S114="",T114="",U114="",W114=""),"INCOMPLETE_KEEP","COMPLETE"),IF(P114="exclude",IF(OR(V114="",W114=""),"INCOMPLETE_EXCLUDE","COMPLETE"),"NEEDS_CONTEXT"))))</x:f>
        <x:v>PENDING</x:v>
      </x:c>
    </x:row>
    <x:row r="115" ht="62" customHeight="1">
      <x:c r="A115" s="34" t="str">
        <x:v>SV-0112</x:v>
      </x:c>
      <x:c r="B115" s="34" t="str">
        <x:v>In ou r two-tier design, PII is managed 
exclusively by the MSBs (acting as wallet custodians) or the end user in the case of a self-
custody wallet.</x:v>
      </x:c>
      <x:c r="C115" s="34" t="str"/>
      <x:c r="D115" s="34" t="str"/>
      <x:c r="E115" s="34" t="str"/>
      <x:c r="F115" s="34" t="str">
        <x:v>…  end users throughout the design and 
development of an end-to-end retail CBDC system.  
3.7.1 Privacy design 
In designing  a micro -partitioned and UTXO -based, end-to-end retail CBDC system , we 
introduce several key privacy -focused design features of O penCBDC 2PC and additional 
components. These features are:  
Identity decoupled from transactions—User identities are separated from transactional data 
using unique cryptographic identifiers.  This prevents linkage to individuals, enhancing 
anonymity and protecting personal information. In ou r two-tier design, PII is managed 
exclusively by the MSBs (acting as wallet custodians) or the end user in the case of a self-
custody wallet. 
Minimal data retention for core transaction processors—The core transaction processor 
components (sentinels, coordinators and shards) have access to only the non-PII data (e.g., 
transaction hashes), enabling the CB to settle transactions without accessing end users’ PII. 
This ensures a high level of privacy for end users from the CB. 
Ephemeral keys for transaction signatures—Transaction signing keys are generated 
dynamically for each specific transaction, offering enhanced privacy compared with  long-
term keys. This approach ensures k-  …</x:v>
      </x:c>
      <x:c r="G115" s="34" t="str">
        <x:v>PRD-0108-P0030-U01</x:v>
      </x:c>
      <x:c r="H115" s="34" t="str"/>
      <x:c r="I115" s="34" t="str">
        <x:v>CA_BoC_RetailFeasibility_SDP2025_9</x:v>
      </x:c>
      <x:c r="J115" s="34" t="n">
        <x:v>30</x:v>
      </x:c>
      <x:c r="K115" s="34" t="str">
        <x:v>en</x:v>
      </x:c>
      <x:c r="L115" s="34" t="str">
        <x:v>Bank of Canada research on retail CBDC feasibility</x:v>
      </x:c>
      <x:c r="M115" s="34" t="str">
        <x:v>Staff research is not an adopted design. Retain empirical findings or explicit Bank of Canada conclusions tied to its potential CBDC; exclude model assumptions and literature.</x:v>
      </x:c>
      <x:c r="N115" s="34" t="str">
        <x:v>text</x:v>
      </x:c>
      <x:c r="O115" s="34" t="str"/>
      <x:c r="P115" s="38" t="str"/>
      <x:c r="Q115" s="38" t="str"/>
      <x:c r="R115" s="38" t="str"/>
      <x:c r="S115" s="38" t="str"/>
      <x:c r="T115" s="38" t="str"/>
      <x:c r="U115" s="38" t="str"/>
      <x:c r="V115" s="38" t="str"/>
      <x:c r="W115" s="38" t="str"/>
      <x:c r="X115" s="38" t="str"/>
      <x:c r="Y115" s="38" t="str"/>
      <x:c r="Z115" s="38" t="str"/>
      <x:c r="AA115" s="43" t="str">
        <x:f>IF('Instructions'!$B$3="","",'Instructions'!$B$3)</x:f>
      </x:c>
      <x:c r="AB115" s="43" t="str">
        <x:f>IF(P115="","PENDING",IF('Instructions'!$B$3="","SET_INITIALS",IF(P115="keep",IF(OR(Q115="",R115="",S115="",T115="",U115="",W115=""),"INCOMPLETE_KEEP","COMPLETE"),IF(P115="exclude",IF(OR(V115="",W115=""),"INCOMPLETE_EXCLUDE","COMPLETE"),"NEEDS_CONTEXT"))))</x:f>
        <x:v>PENDING</x:v>
      </x:c>
    </x:row>
    <x:row r="116" ht="62" customHeight="1">
      <x:c r="A116" s="34" t="str">
        <x:v>SV-0113</x:v>
      </x:c>
      <x:c r="B116" s="34" t="str">
        <x:v>For et kontobasert system vil Norges Bank trolig måtte ha 
det endelige ansvaret for den sentrale infrastrukturen, men ikke nødvendigvis for 
betalingstjenestene som kan bygges på toppen av den.</x:v>
      </x:c>
      <x:c r="C116" s="34" t="str"/>
      <x:c r="D116" s="34" t="str"/>
      <x:c r="E116" s="34" t="str"/>
      <x:c r="F116" s="34" t="str">
        <x:v>9 
NORGES BANK MEMO 
NR 1 | 2018 
DIGITALE 
SENTRALBANKPENGER 
Norges Banks rolle 
Norges Bank skal ha kontroll over og hovedansvaret for et eventuelt DSP-system. For 
et verdibasert system bør det vurderes om ansvaret kan defineres på samme måte som 
på kontantområdet i dag. For et kontobasert system vil Norges Bank trolig måtte ha 
det endelige ansvaret for den sentrale infrastrukturen, men ikke nødvendigvis for 
betalingstjenestene som kan bygges på toppen av den. 
Ingen av hovedmodellene fordrer at Norges Bank har direkte kundekontakt. Det er 
flere forhold som kan tilsi at Norges Bank operativt sett ikke skal stå for den tekniske 
utviklingen og daglige driften av et eventuelt DSP-system. 
Flere typer leverandører er aktuelle. Det kan kun være én leverandør av kjernen i 
løsningen, siden det kun kan finnes én kontostruktur eller ett register for DSP. For 
tjenestene ut mot kundene kan det være mange leverandører. 
Publikums etterspørsel etter DSP 
For at et betalingssystem3 skal kunne opprettholdes, k …</x:v>
      </x:c>
      <x:c r="G116" s="34" t="str">
        <x:v>PRD-0053-P0009-U01</x:v>
      </x:c>
      <x:c r="H116" s="34" t="str"/>
      <x:c r="I116" s="34" t="str">
        <x:v>NO_Norway_nbmemo-1-2018</x:v>
      </x:c>
      <x:c r="J116" s="34" t="n">
        <x:v>9</x:v>
      </x:c>
      <x:c r="K116" s="34" t="str">
        <x:v>en</x:v>
      </x:c>
      <x:c r="L116" s="34" t="str">
        <x:v>Norges Bank</x:v>
      </x:c>
      <x:c r="M116" s="34" t="str">
        <x:v>Retain the named authority's own CBDC decisions, explicit proposals, requirements, features, and executed findings. Exclude generic context, literature, foreign projects, and stakeholder views not explicitly adopted by the authority.</x:v>
      </x:c>
      <x:c r="N116" s="34" t="str">
        <x:v>text</x:v>
      </x:c>
      <x:c r="O116" s="34" t="str"/>
      <x:c r="P116" s="38" t="str"/>
      <x:c r="Q116" s="38" t="str"/>
      <x:c r="R116" s="38" t="str"/>
      <x:c r="S116" s="38" t="str"/>
      <x:c r="T116" s="38" t="str"/>
      <x:c r="U116" s="38" t="str"/>
      <x:c r="V116" s="38" t="str"/>
      <x:c r="W116" s="38" t="str"/>
      <x:c r="X116" s="38" t="str"/>
      <x:c r="Y116" s="38" t="str"/>
      <x:c r="Z116" s="38" t="str"/>
      <x:c r="AA116" s="43" t="str">
        <x:f>IF('Instructions'!$B$3="","",'Instructions'!$B$3)</x:f>
      </x:c>
      <x:c r="AB116" s="43" t="str">
        <x:f>IF(P116="","PENDING",IF('Instructions'!$B$3="","SET_INITIALS",IF(P116="keep",IF(OR(Q116="",R116="",S116="",T116="",U116="",W116=""),"INCOMPLETE_KEEP","COMPLETE"),IF(P116="exclude",IF(OR(V116="",W116=""),"INCOMPLETE_EXCLUDE","COMPLETE"),"NEEDS_CONTEXT"))))</x:f>
        <x:v>PENDING</x:v>
      </x:c>
    </x:row>
    <x:row r="117" ht="62" customHeight="1">
      <x:c r="A117" s="34" t="str">
        <x:v>SV-0114</x:v>
      </x:c>
      <x:c r="B117" s="34" t="str">
        <x:v>Tilbudet av DSP må være i samsvar med personvernregelverket. Ansvaret kan ikke 
utkontrakteres.</x:v>
      </x:c>
      <x:c r="C117" s="34" t="str"/>
      <x:c r="D117" s="34" t="str"/>
      <x:c r="E117" s="34" t="str"/>
      <x:c r="F117" s="34" t="str">
        <x:v>… ge løsningene vil som utgangspunkt falle innenfor legaldefinisjonen av e-penger i 
finansforetaksloven § 2-4 annet ledd første pkt: 
«Med elektroniske penger menes en elektronisk lagret pengeverdi representert ved en 
fordring på utstederen, som er utstedt etter mottak av midler for å utføre 
betalingstransaksjoner, og som er anerkjent som betalingsmiddel av andre foretak 
enn utstederen.» 
Dersom en ikke skulle vurdere tilbudet av DSP som en myndighetsfunksjon, må det 
derfor gjøres en nærmere vurdering av tilpasning til e-pengeregelverket.  
Tilbudet av DSP må være i samsvar med personvernregelverket. Ansvaret kan ikke 
utkontrakteres. I hovedløsningen vil Norges Bank eller enhet som driver DSP i liten 
grad måtte behandle personopplysninger. DSP vil utstedes til banker eller andre 
aktører som har tillatelse til å sette DSP ut i sirkulasjon, og det vil være disse som 
behandler personopplysninger knyttet til denne oppgaven. I den alternative 
løsningen vil Norges Bank eller enheten kontrollert av Norges Bank nødvendigvis 
måtte tilby kobling med identitet og konto og vil få opplysninger om de transaksjon ene 
som må gjennomføres. Dette vil kunne innebære omfattende oppgaver …</x:v>
      </x:c>
      <x:c r="G117" s="34" t="str">
        <x:v>PRD-0052-P0031-U01</x:v>
      </x:c>
      <x:c r="H117" s="34" t="str"/>
      <x:c r="I117" s="34" t="str">
        <x:v>NO_Norway_nb_memo_2_19_dsp</x:v>
      </x:c>
      <x:c r="J117" s="34" t="n">
        <x:v>31</x:v>
      </x:c>
      <x:c r="K117" s="34" t="str">
        <x:v>en</x:v>
      </x:c>
      <x:c r="L117" s="34" t="str">
        <x:v>Norges Bank (Norwegian CBDC work)</x:v>
      </x:c>
      <x:c r="M117" s="34" t="str">
        <x:v>Retain Norges Bank CBDC analysis only when it states an issuer proposal, preference, requirement, or own-project finding; exclude cited theory.</x:v>
      </x:c>
      <x:c r="N117" s="34" t="str">
        <x:v>text</x:v>
      </x:c>
      <x:c r="O117" s="34" t="str"/>
      <x:c r="P117" s="38" t="str"/>
      <x:c r="Q117" s="38" t="str"/>
      <x:c r="R117" s="38" t="str"/>
      <x:c r="S117" s="38" t="str"/>
      <x:c r="T117" s="38" t="str"/>
      <x:c r="U117" s="38" t="str"/>
      <x:c r="V117" s="38" t="str"/>
      <x:c r="W117" s="38" t="str"/>
      <x:c r="X117" s="38" t="str"/>
      <x:c r="Y117" s="38" t="str"/>
      <x:c r="Z117" s="38" t="str"/>
      <x:c r="AA117" s="43" t="str">
        <x:f>IF('Instructions'!$B$3="","",'Instructions'!$B$3)</x:f>
      </x:c>
      <x:c r="AB117" s="43" t="str">
        <x:f>IF(P117="","PENDING",IF('Instructions'!$B$3="","SET_INITIALS",IF(P117="keep",IF(OR(Q117="",R117="",S117="",T117="",U117="",W117=""),"INCOMPLETE_KEEP","COMPLETE"),IF(P117="exclude",IF(OR(V117="",W117=""),"INCOMPLETE_EXCLUDE","COMPLETE"),"NEEDS_CONTEXT"))))</x:f>
        <x:v>PENDING</x:v>
      </x:c>
    </x:row>
    <x:row r="118" ht="62" customHeight="1">
      <x:c r="A118" s="34" t="str">
        <x:v>SV-0115</x:v>
      </x:c>
      <x:c r="B118" s="34" t="str">
        <x:v>Following the 
successful completion of the proof-of-concept study, which included tests 
of the applicability of various distributed ledger technologies to the Central 
Bank Digital Currency, the Central Bank Digital Turkish Lira Research and 
Development Project was launched.</x:v>
      </x:c>
      <x:c r="C118" s="34" t="str"/>
      <x:c r="D118" s="34" t="str"/>
      <x:c r="E118" s="34" t="str"/>
      <x:c r="F118" s="34" t="str">
        <x:v>… epublic of Türkiye (CBRT) continues its work on the 
feasibility of introducing a digital Turkish lira complementary to the existing 
payments infrastructure. With the Central Bank Digital Turkish Lira Research 
and Development (R&amp;D) Project, the CBRT aims to determine the potential 
features of the digital Turkish lira, test different architectural setups and 
technological alternatives, and conduct pilot tests.
The CBRT’s research and development work for the Central Bank Digital 
Currency first started in 2020 with proof-of-concept studies. Following the 
successful completion of the proof-of-concept study, which included tests 
of the applicability of various distributed ledger technologies to the Central 
Bank Digital Currency, the Central Bank Digital Turkish Lira Research and 
Development Project was launched. Under the responsibility of the Digital 
Currency R&amp;D team established within the Central Bank, the research, 
development and testing of the project are being carried out in addition to 
the proof-of-concept studies in related fields.
The CBRT has a well-established technical capacity for developing and 
operating its own Real Time Gross Settlement payment systems. However, 
to build an operating capacity for digital currency including cryptography, 
specialized hardware and various advanced technologies, which are 
considered essential but d …</x:v>
      </x:c>
      <x:c r="G118" s="34" t="str">
        <x:v>PRD-0072-P0007-U01</x:v>
      </x:c>
      <x:c r="H118" s="34" t="str"/>
      <x:c r="I118" s="34" t="str">
        <x:v>TR_Turkey_Digital_Turkish_Lira_First_Phase_Evaluation_Report</x:v>
      </x:c>
      <x:c r="J118" s="34" t="n">
        <x:v>7</x:v>
      </x:c>
      <x:c r="K118" s="34" t="str">
        <x:v>en</x:v>
      </x:c>
      <x:c r="L118" s="34" t="str">
        <x:v>Central Bank of the Republic of Turkiye (Digital Turkish Lira)</x:v>
      </x:c>
      <x:c r="M118" s="34" t="str">
        <x:v>Retain CBRT adopted features, explicit proposals/requirements, and executed Phase 1 results. Exclude lists of future work without a conclusion.</x:v>
      </x:c>
      <x:c r="N118" s="34" t="str">
        <x:v>text</x:v>
      </x:c>
      <x:c r="O118" s="34" t="str"/>
      <x:c r="P118" s="38" t="str"/>
      <x:c r="Q118" s="38" t="str"/>
      <x:c r="R118" s="38" t="str"/>
      <x:c r="S118" s="38" t="str"/>
      <x:c r="T118" s="38" t="str"/>
      <x:c r="U118" s="38" t="str"/>
      <x:c r="V118" s="38" t="str"/>
      <x:c r="W118" s="38" t="str"/>
      <x:c r="X118" s="38" t="str"/>
      <x:c r="Y118" s="38" t="str"/>
      <x:c r="Z118" s="38" t="str"/>
      <x:c r="AA118" s="43" t="str">
        <x:f>IF('Instructions'!$B$3="","",'Instructions'!$B$3)</x:f>
      </x:c>
      <x:c r="AB118" s="43" t="str">
        <x:f>IF(P118="","PENDING",IF('Instructions'!$B$3="","SET_INITIALS",IF(P118="keep",IF(OR(Q118="",R118="",S118="",T118="",U118="",W118=""),"INCOMPLETE_KEEP","COMPLETE"),IF(P118="exclude",IF(OR(V118="",W118=""),"INCOMPLETE_EXCLUDE","COMPLETE"),"NEEDS_CONTEXT"))))</x:f>
        <x:v>PENDING</x:v>
      </x:c>
    </x:row>
    <x:row r="119" ht="62" customHeight="1">
      <x:c r="A119" s="34" t="str">
        <x:v>SV-0116</x:v>
      </x:c>
      <x:c r="B119" s="34" t="str">
        <x:v>the mobile wallet apps provided by financial institutions are also 
subject to cyber risks faced by existing e-wallets (e.g. fake QR codes).</x:v>
      </x:c>
      <x:c r="C119" s="34" t="str"/>
      <x:c r="D119" s="34" t="str"/>
      <x:c r="E119" s="34" t="str"/>
      <x:c r="F119" s="34" t="str">
        <x:v>… internet traffic would be possible 
(same as the scenario today for online banking).
(iii) Validator infrastructure
Only banks/PSPs can access. Hence, launching a DDoS attack against it requires 
compromising the bank server (whose protection should follow the respective 
Technology Risk Management guideline and which is relatively less likely). 
A successful DDoS attack against a bank server would only bring down the 
respective bank ’s wallet service, and the customers of other banks and PSPs 
should not be affected.
As for the retail front, the mobile wallet apps provided by financial institutions are also 
subject to cyber risks faced by existing e-wallets (e.g. fake QR codes).</x:v>
      </x:c>
      <x:c r="G119" s="34" t="str">
        <x:v>PRD-0090-P0026-U01</x:v>
      </x:c>
      <x:c r="H119" s="34" t="str"/>
      <x:c r="I119" s="34" t="str">
        <x:v>HK_HKMA_eHKD_PolicyDesign</x:v>
      </x:c>
      <x:c r="J119" s="34" t="n">
        <x:v>26</x:v>
      </x:c>
      <x:c r="K119" s="34" t="str">
        <x:v>en</x:v>
      </x:c>
      <x:c r="L119" s="34" t="str">
        <x:v>Hong Kong Monetary Authority (e-HKD)</x:v>
      </x:c>
      <x:c r="M119" s="34" t="str">
        <x:v>Retain HKMA policy/design positions for e-HKD; exclude generic literature and open questions.</x:v>
      </x:c>
      <x:c r="N119" s="34" t="str">
        <x:v>text</x:v>
      </x:c>
      <x:c r="O119" s="34" t="str"/>
      <x:c r="P119" s="38" t="str"/>
      <x:c r="Q119" s="38" t="str"/>
      <x:c r="R119" s="38" t="str"/>
      <x:c r="S119" s="38" t="str"/>
      <x:c r="T119" s="38" t="str"/>
      <x:c r="U119" s="38" t="str"/>
      <x:c r="V119" s="38" t="str"/>
      <x:c r="W119" s="38" t="str"/>
      <x:c r="X119" s="38" t="str"/>
      <x:c r="Y119" s="38" t="str"/>
      <x:c r="Z119" s="38" t="str"/>
      <x:c r="AA119" s="43" t="str">
        <x:f>IF('Instructions'!$B$3="","",'Instructions'!$B$3)</x:f>
      </x:c>
      <x:c r="AB119" s="43" t="str">
        <x:f>IF(P119="","PENDING",IF('Instructions'!$B$3="","SET_INITIALS",IF(P119="keep",IF(OR(Q119="",R119="",S119="",T119="",U119="",W119=""),"INCOMPLETE_KEEP","COMPLETE"),IF(P119="exclude",IF(OR(V119="",W119=""),"INCOMPLETE_EXCLUDE","COMPLETE"),"NEEDS_CONTEXT"))))</x:f>
        <x:v>PENDING</x:v>
      </x:c>
    </x:row>
    <x:row r="120" ht="62" customHeight="1">
      <x:c r="A120" s="34" t="str">
        <x:v>SV-0117</x:v>
      </x:c>
      <x:c r="B120" s="34" t="str">
        <x:v>Specifically, the project team has had the opportuni-
ty to explore and compare the capabilities of two  
distinct DLT platforms—the Ethereum and Corda 
platforms—to build out this settlement functionality, 
and to build and implement an LSM in the form of a 
central queue on the Corda platform.</x:v>
      </x:c>
      <x:c r="C120" s="34" t="str"/>
      <x:c r="D120" s="34" t="str"/>
      <x:c r="E120" s="34" t="str"/>
      <x:c r="F120" s="34" t="str">
        <x:v>… tion, and 
improved access for consumers of financial services 
around the world. In the area of payment clearing 
and settlement, DLT offers the prospect of reduced 
operating costs and potential improvements in 
achieving operational resilience.
Introduced in March 2016, Project Jasper is an  
exploration into the use of DLT for settling wholesale 
interbank payments in Canada. Two phases of the 
project have been successfully completed and have 
delivered substantial understanding and accom -
plishments regarding this emerging technology.  
Specifically, the project team has had the opportuni-
ty to explore and compare the capabilities of two  
distinct DLT platforms—the Ethereum and Corda 
platforms—to build out this settlement functionality, 
and to build and implement an LSM in the form of a 
central queue on the Corda platform. The analysis to 
date suggests that DLT platforms that employ a 
proof-of-work consensus protocol, as was built in 
Phase 1, do not deliver the necessary settlement  
finality and low operational risk required of core  
settlement systems. Phase 2 built a distributed  
ledger platform that employed an alternative  
consensus model using a “notary node” and could 
deliver improvements in settlement finality,  
scalability and privacy, but does not adequately  
address operational risk requirements. Further 
evaluation of DLT is still required a …</x:v>
      </x:c>
      <x:c r="G120" s="34" t="str">
        <x:v>PRD-0015-P0041-U01</x:v>
      </x:c>
      <x:c r="H120" s="34" t="str"/>
      <x:c r="I120" s="34" t="str">
        <x:v>CA_Jasper_Phase12_2017</x:v>
      </x:c>
      <x:c r="J120" s="34" t="n">
        <x:v>41</x:v>
      </x:c>
      <x:c r="K120" s="34" t="str">
        <x:v>en</x:v>
      </x:c>
      <x:c r="L120" s="34" t="str">
        <x:v>Bank of Canada and Payments Canada (Project Jasper)</x:v>
      </x:c>
      <x:c r="M120" s="34" t="str">
        <x:v>Retain executed Project Jasper design choices and findings. Exclude general DLT literature and external examples.</x:v>
      </x:c>
      <x:c r="N120" s="34" t="str">
        <x:v>text</x:v>
      </x:c>
      <x:c r="O120" s="34" t="str"/>
      <x:c r="P120" s="38" t="str"/>
      <x:c r="Q120" s="38" t="str"/>
      <x:c r="R120" s="38" t="str"/>
      <x:c r="S120" s="38" t="str"/>
      <x:c r="T120" s="38" t="str"/>
      <x:c r="U120" s="38" t="str"/>
      <x:c r="V120" s="38" t="str"/>
      <x:c r="W120" s="38" t="str"/>
      <x:c r="X120" s="38" t="str"/>
      <x:c r="Y120" s="38" t="str"/>
      <x:c r="Z120" s="38" t="str"/>
      <x:c r="AA120" s="43" t="str">
        <x:f>IF('Instructions'!$B$3="","",'Instructions'!$B$3)</x:f>
      </x:c>
      <x:c r="AB120" s="43" t="str">
        <x:f>IF(P120="","PENDING",IF('Instructions'!$B$3="","SET_INITIALS",IF(P120="keep",IF(OR(Q120="",R120="",S120="",T120="",U120="",W120=""),"INCOMPLETE_KEEP","COMPLETE"),IF(P120="exclude",IF(OR(V120="",W120=""),"INCOMPLETE_EXCLUDE","COMPLETE"),"NEEDS_CONTEXT"))))</x:f>
        <x:v>PENDING</x:v>
      </x:c>
    </x:row>
    <x:row r="121" ht="62" customHeight="1">
      <x:c r="A121" s="34" t="str">
        <x:v>SV-0118</x:v>
      </x:c>
      <x:c r="B121" s="34" t="str">
        <x:v>However, in later testing, after the compiler had been upgraded along with some libraries, 
the rate of scaling dropped to lower than two times, even though these upgrades were 
unrelated to the core logic .</x:v>
      </x:c>
      <x:c r="C121" s="34" t="str"/>
      <x:c r="D121" s="34" t="str"/>
      <x:c r="E121" s="34" t="str"/>
      <x:c r="F121" s="34" t="str">
        <x:v>42 
 Optimal relative ratios of components : We establish the r elative ratios of shards, 
coordinators and sentinels for one shard. Then, as the shard count is doubled to 2, 4 and 
8, the other components are doubled as well. A more in-depth approach would ascertain 
optimal ratios at each of those shard numbers separately. 
 Third-party changes: We observe early in our testing that throughput scales at a rate close 
to 2.0 , i.e., adding twice the capacity would also increase throughput by two times . 
However, in later testing, after the compiler had been upgraded along with some libraries, 
the rate of scaling dropped to lower than two times, even though these upgrades were 
unrelated to the core logic . We are unable to find the cause of this degradation. It shows 
how seemingly innocuous changes in large codebases that include third-party and open-
source contributions can have unforeseen impacts. This highlights the need for continual  
monitoring and measurement of the system as it evolves over its life cycle.</x:v>
      </x:c>
      <x:c r="G121" s="34" t="str">
        <x:v>PRD-0108-P0045-U01</x:v>
      </x:c>
      <x:c r="H121" s="34" t="str"/>
      <x:c r="I121" s="34" t="str">
        <x:v>CA_BoC_RetailFeasibility_SDP2025_9</x:v>
      </x:c>
      <x:c r="J121" s="34" t="n">
        <x:v>45</x:v>
      </x:c>
      <x:c r="K121" s="34" t="str">
        <x:v>en</x:v>
      </x:c>
      <x:c r="L121" s="34" t="str">
        <x:v>Bank of Canada research on retail CBDC feasibility</x:v>
      </x:c>
      <x:c r="M121" s="34" t="str">
        <x:v>Staff research is not an adopted design. Retain empirical findings or explicit Bank of Canada conclusions tied to its potential CBDC; exclude model assumptions and literature.</x:v>
      </x:c>
      <x:c r="N121" s="34" t="str">
        <x:v>text</x:v>
      </x:c>
      <x:c r="O121" s="34" t="str"/>
      <x:c r="P121" s="38" t="str"/>
      <x:c r="Q121" s="38" t="str"/>
      <x:c r="R121" s="38" t="str"/>
      <x:c r="S121" s="38" t="str"/>
      <x:c r="T121" s="38" t="str"/>
      <x:c r="U121" s="38" t="str"/>
      <x:c r="V121" s="38" t="str"/>
      <x:c r="W121" s="38" t="str"/>
      <x:c r="X121" s="38" t="str"/>
      <x:c r="Y121" s="38" t="str"/>
      <x:c r="Z121" s="38" t="str"/>
      <x:c r="AA121" s="43" t="str">
        <x:f>IF('Instructions'!$B$3="","",'Instructions'!$B$3)</x:f>
      </x:c>
      <x:c r="AB121" s="43" t="str">
        <x:f>IF(P121="","PENDING",IF('Instructions'!$B$3="","SET_INITIALS",IF(P121="keep",IF(OR(Q121="",R121="",S121="",T121="",U121="",W121=""),"INCOMPLETE_KEEP","COMPLETE"),IF(P121="exclude",IF(OR(V121="",W121=""),"INCOMPLETE_EXCLUDE","COMPLETE"),"NEEDS_CONTEXT"))))</x:f>
        <x:v>PENDING</x:v>
      </x:c>
    </x:row>
    <x:row r="122" ht="62" customHeight="1">
      <x:c r="A122" s="34" t="str">
        <x:v>SV-0119</x:v>
      </x:c>
      <x:c r="B122" s="34" t="str">
        <x:v>the alias will be presented to the payer to ensure the payment is being 
transferred to the correct payee (confirmation of payee)</x:v>
      </x:c>
      <x:c r="C122" s="34" t="str"/>
      <x:c r="D122" s="34" t="str"/>
      <x:c r="E122" s="34" t="str"/>
      <x:c r="F122" s="34" t="str">
        <x:v>… he user interface, provide the alias or wallet address of the payee, 
and request to perform a payment for the specified amount to the payee. The payer's PSP 
will perform several necessary checks such as: (1) Ensuring sufficient balance – it will  check 
that the end user's wallet has sufficient balance to perform the payment, and if not, that the 
payer has defined a reverse waterfall mechanism to fund the missing amount from their FI 
account; depending on the transaction characteristics, it may also check (2) Payee identity 
verification – the alias will be presented to the payer to ensure the payment is being 
transferred to the correct payee (confirmation of payee); (3) Compliance with anti -money 
laundering and counter -terrorism financing rules – ensuring the payment does not raise 
concerns of violating anti -money laundering rules; (4) Fraud monitoring – checking the 
payment against the fraud monitoring system. Based on the results of these checks, the PSP 
will either forward the payment request to the settlement engine or reject it. The payee's PSP 
will ensure that the payment opertion does not pose a risk of violating any rules and will also 
ensure that receiving the payment does not push the  …</x:v>
      </x:c>
      <x:c r="G122" s="34" t="str">
        <x:v>PRD-0038-P0068-U01</x:v>
      </x:c>
      <x:c r="H122" s="34" t="str"/>
      <x:c r="I122" s="34" t="str">
        <x:v>IL_BoI_2024</x:v>
      </x:c>
      <x:c r="J122" s="34" t="n">
        <x:v>68</x:v>
      </x:c>
      <x:c r="K122" s="34" t="str">
        <x:v>en</x:v>
      </x:c>
      <x:c r="L122" s="34" t="str">
        <x:v>Bank of Israel (digital shekel)</x:v>
      </x:c>
      <x:c r="M122" s="34" t="str">
        <x:v>Retain the named authority's own CBDC decisions, explicit proposals, requirements, features, and executed findings. Exclude generic context, literature, foreign projects, and stakeholder views not explicitly adopted by the authority.</x:v>
      </x:c>
      <x:c r="N122" s="34" t="str">
        <x:v>text</x:v>
      </x:c>
      <x:c r="O122" s="34" t="str"/>
      <x:c r="P122" s="38" t="str"/>
      <x:c r="Q122" s="38" t="str"/>
      <x:c r="R122" s="38" t="str"/>
      <x:c r="S122" s="38" t="str"/>
      <x:c r="T122" s="38" t="str"/>
      <x:c r="U122" s="38" t="str"/>
      <x:c r="V122" s="38" t="str"/>
      <x:c r="W122" s="38" t="str"/>
      <x:c r="X122" s="38" t="str"/>
      <x:c r="Y122" s="38" t="str"/>
      <x:c r="Z122" s="38" t="str"/>
      <x:c r="AA122" s="43" t="str">
        <x:f>IF('Instructions'!$B$3="","",'Instructions'!$B$3)</x:f>
      </x:c>
      <x:c r="AB122" s="43" t="str">
        <x:f>IF(P122="","PENDING",IF('Instructions'!$B$3="","SET_INITIALS",IF(P122="keep",IF(OR(Q122="",R122="",S122="",T122="",U122="",W122=""),"INCOMPLETE_KEEP","COMPLETE"),IF(P122="exclude",IF(OR(V122="",W122=""),"INCOMPLETE_EXCLUDE","COMPLETE"),"NEEDS_CONTEXT"))))</x:f>
        <x:v>PENDING</x:v>
      </x:c>
    </x:row>
    <x:row r="123" ht="62" customHeight="1">
      <x:c r="A123" s="34" t="str">
        <x:v>SV-0120</x:v>
      </x:c>
      <x:c r="B123" s="34" t="str">
        <x:v>Designs 2 
and 3, however, saw the throughput drop by 18% and 4% , respectively, relative to the 
transaction requests, while latency at the 99 th percentile increased  significantly to 2,000 
milliseconds and 800 milliseconds, respectively.</x:v>
      </x:c>
      <x:c r="C123" s="34" t="str"/>
      <x:c r="D123" s="34" t="str"/>
      <x:c r="E123" s="34" t="str"/>
      <x:c r="F123" s="34" t="str">
        <x:v>6 
Bank of Japan 
transaction requests, and latency was mostly unchanged from the base scenario. Designs 2 
and 3, however, saw the throughput drop by 18% and 4% , respectively, relative to the 
transaction requests, while latency at the 99 th percentile increased  significantly to 2,000 
milliseconds and 800 milliseconds, respectively.6 The utilization rates of the application server 
and database server were higher for all designs under the high-load scenario than the base 
scenario, and in Design 3, the database server’s CPU utilization rate approached the upper 
bound of 100%. 
Figure 3: Performance evaluation  results  
Below, we describe the source of the bottlenecks leading to performance declines in Designs 
2 and 3. 
Design 2 performance bottlenecks 
Looking in detail at the processing status of the database server in Design 2, we saw 
numerous occurrence …</x:v>
      </x:c>
      <x:c r="G123" s="34" t="str">
        <x:v>PRD-0043-P0008-U01</x:v>
      </x:c>
      <x:c r="H123" s="34" t="str"/>
      <x:c r="I123" s="34" t="str">
        <x:v>JP_BoJ_2022</x:v>
      </x:c>
      <x:c r="J123" s="34" t="n">
        <x:v>8</x:v>
      </x:c>
      <x:c r="K123" s="34" t="str">
        <x:v>en</x:v>
      </x:c>
      <x:c r="L123" s="34" t="str">
        <x:v>Bank of Japan</x:v>
      </x:c>
      <x:c r="M123" s="34" t="str">
        <x:v>Retain the named authority's own CBDC decisions, explicit proposals, requirements, features, and executed findings. Exclude generic context, literature, foreign projects, and stakeholder views not explicitly adopted by the authority.</x:v>
      </x:c>
      <x:c r="N123" s="34" t="str">
        <x:v>text</x:v>
      </x:c>
      <x:c r="O123" s="34" t="str"/>
      <x:c r="P123" s="38" t="str"/>
      <x:c r="Q123" s="38" t="str"/>
      <x:c r="R123" s="38" t="str"/>
      <x:c r="S123" s="38" t="str"/>
      <x:c r="T123" s="38" t="str"/>
      <x:c r="U123" s="38" t="str"/>
      <x:c r="V123" s="38" t="str"/>
      <x:c r="W123" s="38" t="str"/>
      <x:c r="X123" s="38" t="str"/>
      <x:c r="Y123" s="38" t="str"/>
      <x:c r="Z123" s="38" t="str"/>
      <x:c r="AA123" s="43" t="str">
        <x:f>IF('Instructions'!$B$3="","",'Instructions'!$B$3)</x:f>
      </x:c>
      <x:c r="AB123" s="43" t="str">
        <x:f>IF(P123="","PENDING",IF('Instructions'!$B$3="","SET_INITIALS",IF(P123="keep",IF(OR(Q123="",R123="",S123="",T123="",U123="",W123=""),"INCOMPLETE_KEEP","COMPLETE"),IF(P123="exclude",IF(OR(V123="",W123=""),"INCOMPLETE_EXCLUDE","COMPLETE"),"NEEDS_CONTEXT"))))</x:f>
        <x:v>PENDING</x:v>
      </x:c>
    </x:row>
    <x:row r="124" ht="62" customHeight="1">
      <x:c r="A124" s="34" t="str">
        <x:v>SV-0121</x:v>
      </x:c>
      <x:c r="B124" s="34" t="str">
        <x:v>the main use o f e-Pesos is the same as  
cash, to do small payments and not to compete with other means of payments or at 
least, no to compete in a different way than cash does</x:v>
      </x:c>
      <x:c r="C124" s="34" t="str"/>
      <x:c r="D124" s="34" t="str"/>
      <x:c r="E124" s="34" t="str"/>
      <x:c r="F124" s="34" t="str">
        <x:v>… 
within the banking sector. The first issue to discuss is if compete  with bank deposits  
and the importance of higher deposit rates to remain competitive. Even more, CBDC 
can compete with payment service providers questioning disintermediation. 
Although it would take some time for CBDC to be widely used, one very important 
issue in the e-Peso pilot plan was to impose a limit on the amount of e-money to have 
in the e -wallet. That is consistent with the international discussion (see e.g. Bindseil 
(2020) and Kumhof and Noone (2018)).  So, the main use o f e-Pesos is the same as  
cash, to do small payments and not to compete with other means of payments or at 
least, no to compete in a different way than cash does 
From another point of view, CDBC is encouraging potential new services , and can 
improve the efficiency of the means of payments.  
III. Conclusions</x:v>
      </x:c>
      <x:c r="G124" s="34" t="str">
        <x:v>PRD-0083-P0010-U01</x:v>
      </x:c>
      <x:c r="H124" s="34" t="str"/>
      <x:c r="I124" s="34" t="str">
        <x:v>UY_BCU_Seven_Lessons_2022</x:v>
      </x:c>
      <x:c r="J124" s="34" t="n">
        <x:v>10</x:v>
      </x:c>
      <x:c r="K124" s="34" t="str">
        <x:v>en</x:v>
      </x:c>
      <x:c r="L124" s="34" t="str">
        <x:v>Banco Central del Uruguay (e-Peso pilot)</x:v>
      </x:c>
      <x:c r="M124" s="34" t="str">
        <x:v>Retain BCU own-pilot findings and resulting design lessons; exclude cited literature.</x:v>
      </x:c>
      <x:c r="N124" s="34" t="str">
        <x:v>text</x:v>
      </x:c>
      <x:c r="O124" s="34" t="str"/>
      <x:c r="P124" s="38" t="str"/>
      <x:c r="Q124" s="38" t="str"/>
      <x:c r="R124" s="38" t="str"/>
      <x:c r="S124" s="38" t="str"/>
      <x:c r="T124" s="38" t="str"/>
      <x:c r="U124" s="38" t="str"/>
      <x:c r="V124" s="38" t="str"/>
      <x:c r="W124" s="38" t="str"/>
      <x:c r="X124" s="38" t="str"/>
      <x:c r="Y124" s="38" t="str"/>
      <x:c r="Z124" s="38" t="str"/>
      <x:c r="AA124" s="43" t="str">
        <x:f>IF('Instructions'!$B$3="","",'Instructions'!$B$3)</x:f>
      </x:c>
      <x:c r="AB124" s="43" t="str">
        <x:f>IF(P124="","PENDING",IF('Instructions'!$B$3="","SET_INITIALS",IF(P124="keep",IF(OR(Q124="",R124="",S124="",T124="",U124="",W124=""),"INCOMPLETE_KEEP","COMPLETE"),IF(P124="exclude",IF(OR(V124="",W124=""),"INCOMPLETE_EXCLUDE","COMPLETE"),"NEEDS_CONTEXT"))))</x:f>
        <x:v>PENDING</x:v>
      </x:c>
    </x:row>
    <x:row r="125" ht="62" customHeight="1">
      <x:c r="A125" s="34" t="str">
        <x:v>SV-0122</x:v>
      </x:c>
      <x:c r="B125" s="34" t="str">
        <x:v>Resilient: because CBDC would likely serve as a critical piece of national infrastructure, it would need to be 
able to handle hardware and software failures in parts of the CBDC system, or telecom network failures, while 
sustaining continuity of operations and without having a single point of failure that could break the system. It 
must also be resilient to, and able to adapt to, peaks in demand.</x:v>
      </x:c>
      <x:c r="C125" s="34" t="str"/>
      <x:c r="D125" s="34" t="str"/>
      <x:c r="E125" s="34" t="str"/>
      <x:c r="F125" s="34" t="str">
        <x:v>… re a ledger, to keep a record of CBDC transactions, and to maintain the overall 
stock and supply of CBDC. One reason for this is to prevent users being able to ‘double‑spend’ CBDC by sending 
the same units to different recipients. There are considerations, discussed later in this chapter, around whether the 
ledger is centralised or decentralised, and whether it uses an account‑based or token‑based data structure but, in 
all of these scenarios, a ledger is required.
The core ledger must be optimised around the following design principles:
• Resilient: because CBDC would likely serve as a critical piece of national infrastructure, it would need to be 
able to handle hardware and software failures in parts of the CBDC system, or telecom network failures, while 
sustaining continuity of operations and without having a single point of failure that could break the system. It 
must also be resilient to, and able to adapt to, peaks in demand.
• Secure: in particular, CBDC would need to maintain data integrity and be protected from data loss, data theft 
and cyber vulnerabilities. It must be possible to upgrade the security model as threats evolve.
• Available: CBDC payments would need to be available 24/7, and so the core ledger should also operate 24/7, 
with no planned downtime.
• Scalable: it must be possible to increase the capacity of the core ledger as demand increases over time.
• Fast: because CBDC would be used for retail payments, the ledger must be able to process and co …</x:v>
      </x:c>
      <x:c r="G125" s="34" t="str">
        <x:v>PRD-0075-P0044-U01</x:v>
      </x:c>
      <x:c r="H125" s="34" t="str"/>
      <x:c r="I125" s="34" t="str">
        <x:v>UK_BoE_2020_OpportChall</x:v>
      </x:c>
      <x:c r="J125" s="34" t="n">
        <x:v>44</x:v>
      </x:c>
      <x:c r="K125" s="34" t="str">
        <x:v>en</x:v>
      </x:c>
      <x:c r="L125" s="34" t="str">
        <x:v>Bank of England and HM Treasury (digital pound)</x:v>
      </x:c>
      <x:c r="M125" s="34" t="str">
        <x:v>Retain the named authority's own CBDC decisions, explicit proposals, requirements, features, and executed findings. Exclude generic context, literature, foreign projects, and stakeholder views not explicitly adopted by the authority.</x:v>
      </x:c>
      <x:c r="N125" s="34" t="str">
        <x:v>text</x:v>
      </x:c>
      <x:c r="O125" s="34" t="str"/>
      <x:c r="P125" s="38" t="str"/>
      <x:c r="Q125" s="38" t="str"/>
      <x:c r="R125" s="38" t="str"/>
      <x:c r="S125" s="38" t="str"/>
      <x:c r="T125" s="38" t="str"/>
      <x:c r="U125" s="38" t="str"/>
      <x:c r="V125" s="38" t="str"/>
      <x:c r="W125" s="38" t="str"/>
      <x:c r="X125" s="38" t="str"/>
      <x:c r="Y125" s="38" t="str"/>
      <x:c r="Z125" s="38" t="str"/>
      <x:c r="AA125" s="43" t="str">
        <x:f>IF('Instructions'!$B$3="","",'Instructions'!$B$3)</x:f>
      </x:c>
      <x:c r="AB125" s="43" t="str">
        <x:f>IF(P125="","PENDING",IF('Instructions'!$B$3="","SET_INITIALS",IF(P125="keep",IF(OR(Q125="",R125="",S125="",T125="",U125="",W125=""),"INCOMPLETE_KEEP","COMPLETE"),IF(P125="exclude",IF(OR(V125="",W125=""),"INCOMPLETE_EXCLUDE","COMPLETE"),"NEEDS_CONTEXT"))))</x:f>
        <x:v>PENDING</x:v>
      </x:c>
    </x:row>
    <x:row r="126" ht="62" customHeight="1">
      <x:c r="A126" s="34" t="str">
        <x:v>SV-0123</x:v>
      </x:c>
      <x:c r="B126" s="34" t="str">
        <x:v>By offering a 
payment instrument that is accepted in the same places that cash is accepted, a CBDC can help keep 
money flows received in money transfers primarily in the financial system.</x:v>
      </x:c>
      <x:c r="C126" s="34" t="str"/>
      <x:c r="D126" s="34" t="str"/>
      <x:c r="E126" s="34" t="str"/>
      <x:c r="F126" s="34" t="str">
        <x:v>… ts can only withdraw these transfers  at Banco 
de la Nacion’s  branches, which prevents them from having the money immediately. They also incur 
transportation and time costs to find an  agent or that Banco de la Nación’s branch. For their part, non-
contributory pension payments aimed at poor people with disabilities  can be collected at Banco de la 
Nación or its agents. In some cases, depending on the type of disability, pensions  can be delivered in 
cash to beneficiaries’ homes (implying the same costs and risks as in the previous case). By offering a 
payment instrument that is accepted in the same places that cash is accepted, a CBDC can help keep 
money flows received in money transfers primarily in the financial system. 
Despite the government has begun to open DNI Accounts, its usage to make payments is still limited  
(Box 6). 
BOX 6 
DNI ACCOUNTS 
A DNI account is a basic savings account offered by Banco de la Nación (BN) and linked to an 
account holder’s national identity document ( DNI) and cell phone. Activation and use are digital. DNI 
accounts can be used to receiv e government bonuses and make payments throughout the national 
territory. They are being opened progressively , following government instructions , in favor of 
beneficiaries of so …</x:v>
      </x:c>
      <x:c r="G126" s="34" t="str">
        <x:v>PRD-0059-P0027-U01</x:v>
      </x:c>
      <x:c r="H126" s="34" t="str"/>
      <x:c r="I126" s="34" t="str">
        <x:v>PE_Peru_cbdc-presentation</x:v>
      </x:c>
      <x:c r="J126" s="34" t="n">
        <x:v>27</x:v>
      </x:c>
      <x:c r="K126" s="34" t="str">
        <x:v>en</x:v>
      </x:c>
      <x:c r="L126" s="34" t="str">
        <x:v>Banco Central de Reserva del Peru</x:v>
      </x:c>
      <x:c r="M126" s="34" t="str">
        <x:v>Retain the named authority's own CBDC decisions, explicit proposals, requirements, features, and executed findings. Exclude generic context, literature, foreign projects, and stakeholder views not explicitly adopted by the authority.</x:v>
      </x:c>
      <x:c r="N126" s="34" t="str">
        <x:v>text</x:v>
      </x:c>
      <x:c r="O126" s="34" t="str"/>
      <x:c r="P126" s="38" t="str"/>
      <x:c r="Q126" s="38" t="str"/>
      <x:c r="R126" s="38" t="str"/>
      <x:c r="S126" s="38" t="str"/>
      <x:c r="T126" s="38" t="str"/>
      <x:c r="U126" s="38" t="str"/>
      <x:c r="V126" s="38" t="str"/>
      <x:c r="W126" s="38" t="str"/>
      <x:c r="X126" s="38" t="str"/>
      <x:c r="Y126" s="38" t="str"/>
      <x:c r="Z126" s="38" t="str"/>
      <x:c r="AA126" s="43" t="str">
        <x:f>IF('Instructions'!$B$3="","",'Instructions'!$B$3)</x:f>
      </x:c>
      <x:c r="AB126" s="43" t="str">
        <x:f>IF(P126="","PENDING",IF('Instructions'!$B$3="","SET_INITIALS",IF(P126="keep",IF(OR(Q126="",R126="",S126="",T126="",U126="",W126=""),"INCOMPLETE_KEEP","COMPLETE"),IF(P126="exclude",IF(OR(V126="",W126=""),"INCOMPLETE_EXCLUDE","COMPLETE"),"NEEDS_CONTEXT"))))</x:f>
        <x:v>PENDING</x:v>
      </x:c>
    </x:row>
    <x:row r="127" ht="62" customHeight="1">
      <x:c r="A127" s="34" t="str">
        <x:v>SV-0124</x:v>
      </x:c>
      <x:c r="B127" s="34" t="str">
        <x:v>Det trengs trolig en form for nettbank for regningsbetalinger og andre større betalinger 
konto-til-konto.</x:v>
      </x:c>
      <x:c r="C127" s="34" t="str"/>
      <x:c r="D127" s="34" t="str"/>
      <x:c r="E127" s="34" t="str"/>
      <x:c r="F127" s="34" t="str">
        <x:v>24 
NORGES BANK MEMO 
NR 1 | 2018 
DIGITALE 
SENTRALBANKPENGER 
infrastruktur eller en ordning for å overføre penger mellom det private 
bankkontosystemet og DSP-systemet. 
Publikum må kunne disponere midlene de har på sine DSP-kontoer i sentralbanken. 
Det trengs trolig en form for nettbank for regningsbetalinger og andre større betalinger 
konto-til-konto. Det trengs også instrumenter for betalinger til brukersteder og 
overføringer mellom privatpersoner. Betalingskort og betalingsapplikasjoner til 
mobiltelefoner kan være velegnede instrumenter for slike formål. For betalinger på 
brukersteder må det dessuten undersøkes om det er mulig å benytte allerede 
eksisterende infrastruktur (kortterminaler o.l.) eller om det er nødvendig eller ønskelig 
(for eksempel i beredskapsøyemed) å utvikle parallell og uavhengig 
betalingsinfrastruktur. 
Det må avgjøres hvor stor rolle Norges Bank skal ha i et sl …</x:v>
      </x:c>
      <x:c r="G127" s="34" t="str">
        <x:v>PRD-0053-P0024-U01</x:v>
      </x:c>
      <x:c r="H127" s="34" t="str"/>
      <x:c r="I127" s="34" t="str">
        <x:v>NO_Norway_nbmemo-1-2018</x:v>
      </x:c>
      <x:c r="J127" s="34" t="n">
        <x:v>24</x:v>
      </x:c>
      <x:c r="K127" s="34" t="str">
        <x:v>en</x:v>
      </x:c>
      <x:c r="L127" s="34" t="str">
        <x:v>Norges Bank</x:v>
      </x:c>
      <x:c r="M127" s="34" t="str">
        <x:v>Retain the named authority's own CBDC decisions, explicit proposals, requirements, features, and executed findings. Exclude generic context, literature, foreign projects, and stakeholder views not explicitly adopted by the authority.</x:v>
      </x:c>
      <x:c r="N127" s="34" t="str">
        <x:v>text</x:v>
      </x:c>
      <x:c r="O127" s="34" t="str"/>
      <x:c r="P127" s="38" t="str"/>
      <x:c r="Q127" s="38" t="str"/>
      <x:c r="R127" s="38" t="str"/>
      <x:c r="S127" s="38" t="str"/>
      <x:c r="T127" s="38" t="str"/>
      <x:c r="U127" s="38" t="str"/>
      <x:c r="V127" s="38" t="str"/>
      <x:c r="W127" s="38" t="str"/>
      <x:c r="X127" s="38" t="str"/>
      <x:c r="Y127" s="38" t="str"/>
      <x:c r="Z127" s="38" t="str"/>
      <x:c r="AA127" s="43" t="str">
        <x:f>IF('Instructions'!$B$3="","",'Instructions'!$B$3)</x:f>
      </x:c>
      <x:c r="AB127" s="43" t="str">
        <x:f>IF(P127="","PENDING",IF('Instructions'!$B$3="","SET_INITIALS",IF(P127="keep",IF(OR(Q127="",R127="",S127="",T127="",U127="",W127=""),"INCOMPLETE_KEEP","COMPLETE"),IF(P127="exclude",IF(OR(V127="",W127=""),"INCOMPLETE_EXCLUDE","COMPLETE"),"NEEDS_CONTEXT"))))</x:f>
        <x:v>PENDING</x:v>
      </x:c>
    </x:row>
    <x:row r="128" ht="62" customHeight="1">
      <x:c r="A128" s="34" t="str">
        <x:v>SV-0125</x:v>
      </x:c>
      <x:c r="B128" s="34" t="str">
        <x:v>The eCedi solution was tested in the field in online and offline scenarios with the overarching 
objective of assessing the feasibility of introducing a user-centered and inclusive digital version of 
the Ghana Cedi.</x:v>
      </x:c>
      <x:c r="C128" s="34" t="str"/>
      <x:c r="D128" s="34" t="str"/>
      <x:c r="E128" s="34" t="str"/>
      <x:c r="F128" s="34" t="str">
        <x:v>THE eCEDI REPORT  •  BANK OF GHANA
The eCedi solution was tested in the field in online and offline scenarios with the overarching 
objective of assessing the feasibility of introducing a user-centered and inclusive digital version of 
the Ghana Cedi. Testing took place in urban, peri-urban and rural areas. The target persons included 
males and females of eighteen (18) years and above from diverse socio-economic backgrounds. Pilot 
participants comprised tertiary students, small holder farming households, petty traders, micro, 
small and medium-sized enterprises (MSMEs), artisanal miners, bankers, engineers, and teachers. 
1. Accra (online test) 
Urban /  High value, high volume envir onment;
2. Tarkwa (online test) 
Peri-Urban /  High value, low volume 
environment; and
3. Sefwi Asafo (of …</x:v>
      </x:c>
      <x:c r="G128" s="34" t="str">
        <x:v>PRD-0031-P0013-U01</x:v>
      </x:c>
      <x:c r="H128" s="34" t="str"/>
      <x:c r="I128" s="34" t="str">
        <x:v>GH_Ghana_2023</x:v>
      </x:c>
      <x:c r="J128" s="34" t="n">
        <x:v>13</x:v>
      </x:c>
      <x:c r="K128" s="34" t="str">
        <x:v>en</x:v>
      </x:c>
      <x:c r="L128" s="34" t="str">
        <x:v>Bank of Ghana (eCedi)</x:v>
      </x:c>
      <x:c r="M128" s="34" t="str">
        <x:v>Retain the named authority's own CBDC decisions, explicit proposals, requirements, features, and executed findings. Exclude generic context, literature, foreign projects, and stakeholder views not explicitly adopted by the authority.</x:v>
      </x:c>
      <x:c r="N128" s="34" t="str">
        <x:v>text</x:v>
      </x:c>
      <x:c r="O128" s="34" t="str"/>
      <x:c r="P128" s="38" t="str"/>
      <x:c r="Q128" s="38" t="str"/>
      <x:c r="R128" s="38" t="str"/>
      <x:c r="S128" s="38" t="str"/>
      <x:c r="T128" s="38" t="str"/>
      <x:c r="U128" s="38" t="str"/>
      <x:c r="V128" s="38" t="str"/>
      <x:c r="W128" s="38" t="str"/>
      <x:c r="X128" s="38" t="str"/>
      <x:c r="Y128" s="38" t="str"/>
      <x:c r="Z128" s="38" t="str"/>
      <x:c r="AA128" s="43" t="str">
        <x:f>IF('Instructions'!$B$3="","",'Instructions'!$B$3)</x:f>
      </x:c>
      <x:c r="AB128" s="43" t="str">
        <x:f>IF(P128="","PENDING",IF('Instructions'!$B$3="","SET_INITIALS",IF(P128="keep",IF(OR(Q128="",R128="",S128="",T128="",U128="",W128=""),"INCOMPLETE_KEEP","COMPLETE"),IF(P128="exclude",IF(OR(V128="",W128=""),"INCOMPLETE_EXCLUDE","COMPLETE"),"NEEDS_CONTEXT"))))</x:f>
        <x:v>PENDING</x:v>
      </x:c>
    </x:row>
    <x:row r="129" ht="62" customHeight="1">
      <x:c r="A129" s="34" t="str">
        <x:v>SV-0126</x:v>
      </x:c>
      <x:c r="B129" s="34" t="str">
        <x:v>• Restricts access to approved 
participants</x:v>
      </x:c>
      <x:c r="C129" s="34" t="str"/>
      <x:c r="D129" s="34" t="str"/>
      <x:c r="E129" s="34" t="str"/>
      <x:c r="F129" s="34" t="str">
        <x:v>…  CBDC platform. Use case providers may also act as KYC providers for their own end users.
The pilot CBDC platform will offer interfaces for use case provider platforms to conduct approved 
functions. This project ecosystem is depicted in Figure 1.
Project Ecosystem
PROJECT ECOSYSTEM
Use Case Platform(s)
• Developed &amp; operated by use 
case providers for end users
• Integrated with Pilot CBDC 
Platform via privacy gateway
• Must KYC end users (directly or 
via third party KYC provider)
Pilot CBDC Platform
• Implemented by DFCRC, 
operated by RBA
• Restricts access to approved 
participants
• Private Ethereum (Quorum)
• JSON-RPC APIs, Smart Contract 
(ERC-20) Interfaces
Figure 1: Project Ecosystem
AUSTRALIAN CBDC PILOT FOR DIGITAL FINANCE INNOVATION:  WHITE PAPER
7</x:v>
      </x:c>
      <x:c r="G129" s="34" t="str">
        <x:v>PRD-0006-P0007-U01</x:v>
      </x:c>
      <x:c r="H129" s="34" t="str"/>
      <x:c r="I129" s="34" t="str">
        <x:v>AU_RBA_002</x:v>
      </x:c>
      <x:c r="J129" s="34" t="n">
        <x:v>7</x:v>
      </x:c>
      <x:c r="K129" s="34" t="str">
        <x:v>en</x:v>
      </x:c>
      <x:c r="L129" s="34" t="str">
        <x:v>Reserve Bank of Australia and Digital Finance CRC (Australian CBDC pilot)</x:v>
      </x:c>
      <x:c r="M129" s="34" t="str">
        <x:v>Retain explicit joint-project design choices and requirements. Exclude prospective use cases and participant views not adopted by the project.</x:v>
      </x:c>
      <x:c r="N129" s="34" t="str">
        <x:v>text</x:v>
      </x:c>
      <x:c r="O129" s="34" t="str"/>
      <x:c r="P129" s="38" t="str"/>
      <x:c r="Q129" s="38" t="str"/>
      <x:c r="R129" s="38" t="str"/>
      <x:c r="S129" s="38" t="str"/>
      <x:c r="T129" s="38" t="str"/>
      <x:c r="U129" s="38" t="str"/>
      <x:c r="V129" s="38" t="str"/>
      <x:c r="W129" s="38" t="str"/>
      <x:c r="X129" s="38" t="str"/>
      <x:c r="Y129" s="38" t="str"/>
      <x:c r="Z129" s="38" t="str"/>
      <x:c r="AA129" s="43" t="str">
        <x:f>IF('Instructions'!$B$3="","",'Instructions'!$B$3)</x:f>
      </x:c>
      <x:c r="AB129" s="43" t="str">
        <x:f>IF(P129="","PENDING",IF('Instructions'!$B$3="","SET_INITIALS",IF(P129="keep",IF(OR(Q129="",R129="",S129="",T129="",U129="",W129=""),"INCOMPLETE_KEEP","COMPLETE"),IF(P129="exclude",IF(OR(V129="",W129=""),"INCOMPLETE_EXCLUDE","COMPLETE"),"NEEDS_CONTEXT"))))</x:f>
        <x:v>PENDING</x:v>
      </x:c>
    </x:row>
    <x:row r="130" ht="62" customHeight="1">
      <x:c r="A130" s="34" t="str">
        <x:v>SV-0127</x:v>
      </x:c>
      <x:c r="B130" s="34" t="str">
        <x:v>Løsningen skal være tilgjengelig 24 timer i døgnet, 365 dager i 
året.</x:v>
      </x:c>
      <x:c r="C130" s="34" t="str"/>
      <x:c r="D130" s="34" t="str"/>
      <x:c r="E130" s="34" t="str"/>
      <x:c r="F130" s="34" t="str">
        <x:v>… system for brukeren, og den må så langt som mulig kunne 
tilpasses fremtidige teknologiske endringer. Løsningen skal benytte offentlig 
godkjente standarder og formater for å fremme samarbeid, innovasjon og 
informasjonsutveksling. 
- Tilgjengelighet: En løsning for DSP skal tilby tjenester som er tilgjengelige 
når brukerne trenger dem, lette å finne frem til, brukervennlige og universelt 
utformet. DSP skal være tilgjengelig for alle relevante brukergrupper 
uavhengig av alder og funksjonsevne, slik at ingen brukergrupper blir 
diskriminert. Løsningen skal være tilgjengelig 24 timer i døgnet, 365 dager i 
året. 
- Sikkerhet: IT-løsningen for DSP skal etterleve risikobaserte krav til 
driftssikkerhet, sikring mot brudd på konfidensialitet, integritet og 
tilgjengelighet, samt beskyttelse mot cyberangrep. Løsningen må etterleve alle 
lovpålagte krav som følger av for eksempel sikkerhetsloven og 
personopplysningsloven, samt internasjonale retningslinjer og standarder der 
dette er aktuelt.  
- Fleksibilitet: En løsning for DSP skal være utformet slik at den ikke fremstår 
som begrensende for endringer i funksjonalitet, organisering, eierskap og 
infras …</x:v>
      </x:c>
      <x:c r="G130" s="34" t="str">
        <x:v>PRD-0053-P0030-U01</x:v>
      </x:c>
      <x:c r="H130" s="34" t="str"/>
      <x:c r="I130" s="34" t="str">
        <x:v>NO_Norway_nbmemo-1-2018</x:v>
      </x:c>
      <x:c r="J130" s="34" t="n">
        <x:v>30</x:v>
      </x:c>
      <x:c r="K130" s="34" t="str">
        <x:v>en</x:v>
      </x:c>
      <x:c r="L130" s="34" t="str">
        <x:v>Norges Bank</x:v>
      </x:c>
      <x:c r="M130" s="34" t="str">
        <x:v>Retain the named authority's own CBDC decisions, explicit proposals, requirements, features, and executed findings. Exclude generic context, literature, foreign projects, and stakeholder views not explicitly adopted by the authority.</x:v>
      </x:c>
      <x:c r="N130" s="34" t="str">
        <x:v>text</x:v>
      </x:c>
      <x:c r="O130" s="34" t="str"/>
      <x:c r="P130" s="38" t="str"/>
      <x:c r="Q130" s="38" t="str"/>
      <x:c r="R130" s="38" t="str"/>
      <x:c r="S130" s="38" t="str"/>
      <x:c r="T130" s="38" t="str"/>
      <x:c r="U130" s="38" t="str"/>
      <x:c r="V130" s="38" t="str"/>
      <x:c r="W130" s="38" t="str"/>
      <x:c r="X130" s="38" t="str"/>
      <x:c r="Y130" s="38" t="str"/>
      <x:c r="Z130" s="38" t="str"/>
      <x:c r="AA130" s="43" t="str">
        <x:f>IF('Instructions'!$B$3="","",'Instructions'!$B$3)</x:f>
      </x:c>
      <x:c r="AB130" s="43" t="str">
        <x:f>IF(P130="","PENDING",IF('Instructions'!$B$3="","SET_INITIALS",IF(P130="keep",IF(OR(Q130="",R130="",S130="",T130="",U130="",W130=""),"INCOMPLETE_KEEP","COMPLETE"),IF(P130="exclude",IF(OR(V130="",W130=""),"INCOMPLETE_EXCLUDE","COMPLETE"),"NEEDS_CONTEXT"))))</x:f>
        <x:v>PENDING</x:v>
      </x:c>
    </x:row>
    <x:row r="131" ht="62" customHeight="1">
      <x:c r="A131" s="34" t="str">
        <x:v>SV-0128</x:v>
      </x:c>
      <x:c r="B131" s="34" t="str">
        <x:v>Various 
levels of holding limits (“tiers”) will be set for local residents, businesses, and tourists/visitors.</x:v>
      </x:c>
      <x:c r="C131" s="34" t="str"/>
      <x:c r="D131" s="34" t="str"/>
      <x:c r="E131" s="34" t="str"/>
      <x:c r="F131" s="34" t="str">
        <x:v>… rategy may not be in line with the Digital 
Dirham's primary purpose of being a payment method rather than a store of value or investment. If the 
advantages of offering remuneration are deemed to outweigh the disadvantages, this choice could be 
revisited at a later time. The wallets service and platform the CBUAE is developing will support and 
enforce holding and (potentially)transaction limits to avoid disruptive fluctuations in the Digital Dirham. 
These limits will be thoughtfully established and adjusted to ensure a seamless transition. Various 
levels of holding limits (“tiers”) will be set for local residents, businesses, and tourists/visitors. By 
linking Digital Dirham wallets to bank accounts, transactions that exceed pre-defined limits could 
still be processed by automatically drawing any excess debits from ordinary current accounts. This 
“reverse waterfall process” would allow users to also purchase large value goods and services 
using their Digital Dirham.
The Digital Dirham will be fully convertible with other forms of Dirham-denominated money. 
Monetary stability requires that all forms of money, such as cash, bank deposits, and central bank 
reserves, are interchangeable  …</x:v>
      </x:c>
      <x:c r="G131" s="34" t="str">
        <x:v>PRD-0001-P0010-U01</x:v>
      </x:c>
      <x:c r="H131" s="34" t="str"/>
      <x:c r="I131" s="34" t="str">
        <x:v>AE_UAE_001</x:v>
      </x:c>
      <x:c r="J131" s="34" t="n">
        <x:v>10</x:v>
      </x:c>
      <x:c r="K131" s="34" t="str">
        <x:v>en</x:v>
      </x:c>
      <x:c r="L131" s="34" t="str">
        <x:v>Central Bank of the United Arab Emirates (Digital Dirham)</x:v>
      </x:c>
      <x:c r="M131" s="34" t="str">
        <x:v>Retain the named authority's own CBDC decisions, explicit proposals, requirements, features, and executed findings. Exclude generic context, literature, foreign projects, and stakeholder views not explicitly adopted by the authority.</x:v>
      </x:c>
      <x:c r="N131" s="34" t="str">
        <x:v>text</x:v>
      </x:c>
      <x:c r="O131" s="34" t="str"/>
      <x:c r="P131" s="38" t="str"/>
      <x:c r="Q131" s="38" t="str"/>
      <x:c r="R131" s="38" t="str"/>
      <x:c r="S131" s="38" t="str"/>
      <x:c r="T131" s="38" t="str"/>
      <x:c r="U131" s="38" t="str"/>
      <x:c r="V131" s="38" t="str"/>
      <x:c r="W131" s="38" t="str"/>
      <x:c r="X131" s="38" t="str"/>
      <x:c r="Y131" s="38" t="str"/>
      <x:c r="Z131" s="38" t="str"/>
      <x:c r="AA131" s="43" t="str">
        <x:f>IF('Instructions'!$B$3="","",'Instructions'!$B$3)</x:f>
      </x:c>
      <x:c r="AB131" s="43" t="str">
        <x:f>IF(P131="","PENDING",IF('Instructions'!$B$3="","SET_INITIALS",IF(P131="keep",IF(OR(Q131="",R131="",S131="",T131="",U131="",W131=""),"INCOMPLETE_KEEP","COMPLETE"),IF(P131="exclude",IF(OR(V131="",W131=""),"INCOMPLETE_EXCLUDE","COMPLETE"),"NEEDS_CONTEXT"))))</x:f>
        <x:v>PENDING</x:v>
      </x:c>
    </x:row>
    <x:row r="132" ht="62" customHeight="1">
      <x:c r="A132" s="34" t="str">
        <x:v>SV-0129</x:v>
      </x:c>
      <x:c r="B132" s="34" t="str">
        <x:v>Overall, the analysis confirmed that holding limits can effectively restrict deposit outflows from
the banking sector, safeguarding financial stability and supporting the effective formulation and
implementation of monetary policy.</x:v>
      </x:c>
      <x:c r="C132" s="34" t="str"/>
      <x:c r="D132" s="34" t="str"/>
      <x:c r="E132" s="34" t="str"/>
      <x:c r="F132" s="34" t="str">
        <x:v>… dering that the gradual decline in the use of
banknotes for payments due to digitalisation corresponds with an increased use of deposit-based
instruments, the analysis showed that no aggregate bank deposit outflows would be recorded. Even
under a highly unlikely and extremely conservative scenario, given different hypothetical holding limits
in the range from €500 to €3,000 per person, the impact of potential digital euro demand on banks’
deposit outflows would be manageable, and there would be no significant impact on financial stability.
[ ]
Overall, the analysis confirmed that holding limits can effectively restrict deposit outflows from
the banking sector, safeguarding financial stability and supporting the effective formulation and
implementation of monetary policy. This analysis and the numerical results presented should be
read solely as a technical response to the specific request from the co-legislators, and not as the
outcome of the ECB’s full methodological process nor as the ECB’s position on an appropriate level for
holding limits. The estimates outlined in this analysis are illustrative and reflect an initial and partial
application of the methodology being developed by the ECB, rather than an exhaustive assessment.
The complete methodology encompasses three pillars (Figure 5) with additional asp …</x:v>
      </x:c>
      <x:c r="G132" s="34" t="str">
        <x:v>PRD-0091-P0024-U01</x:v>
      </x:c>
      <x:c r="H132" s="34" t="str"/>
      <x:c r="I132" s="34" t="str">
        <x:v>EU_ECB_ClosingReport_2025</x:v>
      </x:c>
      <x:c r="J132" s="34" t="n">
        <x:v>24</x:v>
      </x:c>
      <x:c r="K132" s="34" t="str">
        <x:v>en</x:v>
      </x:c>
      <x:c r="L132" s="34" t="str">
        <x:v>European Central Bank / Eurosystem (digital euro)</x:v>
      </x:c>
      <x:c r="M132" s="34" t="str">
        <x:v>Retain the named authority's own CBDC decisions, explicit proposals, requirements, features, and executed findings. Exclude generic context, literature, foreign projects, and stakeholder views not explicitly adopted by the authority.</x:v>
      </x:c>
      <x:c r="N132" s="34" t="str">
        <x:v>text</x:v>
      </x:c>
      <x:c r="O132" s="34" t="str"/>
      <x:c r="P132" s="38" t="str"/>
      <x:c r="Q132" s="38" t="str"/>
      <x:c r="R132" s="38" t="str"/>
      <x:c r="S132" s="38" t="str"/>
      <x:c r="T132" s="38" t="str"/>
      <x:c r="U132" s="38" t="str"/>
      <x:c r="V132" s="38" t="str"/>
      <x:c r="W132" s="38" t="str"/>
      <x:c r="X132" s="38" t="str"/>
      <x:c r="Y132" s="38" t="str"/>
      <x:c r="Z132" s="38" t="str"/>
      <x:c r="AA132" s="43" t="str">
        <x:f>IF('Instructions'!$B$3="","",'Instructions'!$B$3)</x:f>
      </x:c>
      <x:c r="AB132" s="43" t="str">
        <x:f>IF(P132="","PENDING",IF('Instructions'!$B$3="","SET_INITIALS",IF(P132="keep",IF(OR(Q132="",R132="",S132="",T132="",U132="",W132=""),"INCOMPLETE_KEEP","COMPLETE"),IF(P132="exclude",IF(OR(V132="",W132=""),"INCOMPLETE_EXCLUDE","COMPLETE"),"NEEDS_CONTEXT"))))</x:f>
        <x:v>PENDING</x:v>
      </x:c>
    </x:row>
    <x:row r="133" ht="62" customHeight="1">
      <x:c r="A133" s="34" t="str">
        <x:v>SV-0130</x:v>
      </x:c>
      <x:c r="B133" s="34" t="str">
        <x:v>having a component that can be remunerated and whose 
individual holdings can be controlled, coupled with a more cash-like one and 
also offering innovative features, such as the programmability of the money.</x:v>
      </x:c>
      <x:c r="C133" s="34" t="str"/>
      <x:c r="D133" s="34" t="str"/>
      <x:c r="E133" s="34" t="str"/>
      <x:c r="F133" s="34" t="str">
        <x:v>… integrated solution would be feasible, adaptable and open-ended. 
In fact, by combining the two components, it is technically possible to 
accommodate different end users with different needs in terms of privacy, 
inclusiveness, cash-likeness or programmability. The integrated solution would 
work as a bearer and a more private instrument as well as an account-based 
one closer to electronic money, shaped by what the market would value and 
demand. 
Thus, it would make it possible to modulate the features of the D€ according 
to the use cases, having a component that can be remunerated and whose 
individual holdings can be controlled, coupled with a more cash-like one and 
also offering innovative features, such as the programmability of the money. 
The latter would pave the way for the development of innovative applications 
by market players to quickly interact with and build value around the CBDC 
infrastructure. 
Using an open ledger for the DLT component would additionally broaden 
the openness towards Fintech companies, thereby fostering innovation and 
competition in the market, as they could perhaps implement additional 
solutions on top of the open ledger. 
The TIPS+/itCoin integration, while allowing for planning interoperability with 
other solutions, would also make it straig …</x:v>
      </x:c>
      <x:c r="G133" s="34" t="str">
        <x:v>PRD-0042-P0056-U01</x:v>
      </x:c>
      <x:c r="H133" s="34" t="str"/>
      <x:c r="I133" s="34" t="str">
        <x:v>IT_BdI_MISP_2021</x:v>
      </x:c>
      <x:c r="J133" s="34" t="n">
        <x:v>56</x:v>
      </x:c>
      <x:c r="K133" s="34" t="str">
        <x:v>en</x:v>
      </x:c>
      <x:c r="L133" s="34" t="str">
        <x:v>Banca d'Italia research context</x:v>
      </x:c>
      <x:c r="M133" s="34" t="str">
        <x:v>This research paper is not automatically an issuer commitment. Retain only Banca d'Italia own-project results or explicit institutional positions; exclude literature and model assumptions.</x:v>
      </x:c>
      <x:c r="N133" s="34" t="str">
        <x:v>text</x:v>
      </x:c>
      <x:c r="O133" s="34" t="str"/>
      <x:c r="P133" s="38" t="str"/>
      <x:c r="Q133" s="38" t="str"/>
      <x:c r="R133" s="38" t="str"/>
      <x:c r="S133" s="38" t="str"/>
      <x:c r="T133" s="38" t="str"/>
      <x:c r="U133" s="38" t="str"/>
      <x:c r="V133" s="38" t="str"/>
      <x:c r="W133" s="38" t="str"/>
      <x:c r="X133" s="38" t="str"/>
      <x:c r="Y133" s="38" t="str"/>
      <x:c r="Z133" s="38" t="str"/>
      <x:c r="AA133" s="43" t="str">
        <x:f>IF('Instructions'!$B$3="","",'Instructions'!$B$3)</x:f>
      </x:c>
      <x:c r="AB133" s="43" t="str">
        <x:f>IF(P133="","PENDING",IF('Instructions'!$B$3="","SET_INITIALS",IF(P133="keep",IF(OR(Q133="",R133="",S133="",T133="",U133="",W133=""),"INCOMPLETE_KEEP","COMPLETE"),IF(P133="exclude",IF(OR(V133="",W133=""),"INCOMPLETE_EXCLUDE","COMPLETE"),"NEEDS_CONTEXT"))))</x:f>
        <x:v>PENDING</x:v>
      </x:c>
    </x:row>
    <x:row r="134" ht="62" customHeight="1">
      <x:c r="A134" s="34" t="str">
        <x:v>SV-0131</x:v>
      </x:c>
      <x:c r="B134" s="34" t="str">
        <x:v>Personal data collected during user  
on-boarding and payment transactions 
should, by default, be limited to that required 
for those purposes.</x:v>
      </x:c>
      <x:c r="C134" s="34" t="str"/>
      <x:c r="D134" s="34" t="str"/>
      <x:c r="E134" s="34" t="str"/>
      <x:c r="F134" s="34" t="str">
        <x:v>Page 21 
Table B: Privacy technology requirements  
Privacy technology requirement  Data protection principle 
Any information accessed by the Bank 
would have to be effectively anonymised  
off-ledger.7 
Integrity and confidentiality 
Personal data collected during user  
on-boarding and payment transactions 
should, by default, be limited to that required 
for those purposes. Users might choose to 
provide additional data in exchange for 
advanced services. 
Data minimisation 
Lawfulness, fairness and transparency 
Know your customer data collection 
processes should support integration with 
user identity services.8 
Lawfulness, fairness and transparency 
PIP and ESIP access to transaction data 
within the CBDC system should be limited to 
the legal and regulatory minima, with users 
controlling their preferences. 
Lawfulness, fairness and transparency 
Integrity and confidentiality 
Data minimisation 
Where PIPs  …</x:v>
      </x:c>
      <x:c r="G134" s="34" t="str">
        <x:v>PRD-0076-P0022-U01</x:v>
      </x:c>
      <x:c r="H134" s="34" t="str"/>
      <x:c r="I134" s="34" t="str">
        <x:v>UK_BoE_2023_TechWP</x:v>
      </x:c>
      <x:c r="J134" s="34" t="n">
        <x:v>22</x:v>
      </x:c>
      <x:c r="K134" s="34" t="str">
        <x:v>en</x:v>
      </x:c>
      <x:c r="L134" s="34" t="str">
        <x:v>Bank of England and HM Treasury (digital pound)</x:v>
      </x:c>
      <x:c r="M134" s="34" t="str">
        <x:v>Retain the named authority's own CBDC decisions, explicit proposals, requirements, features, and executed findings. Exclude generic context, literature, foreign projects, and stakeholder views not explicitly adopted by the authority.</x:v>
      </x:c>
      <x:c r="N134" s="34" t="str">
        <x:v>text</x:v>
      </x:c>
      <x:c r="O134" s="34" t="str"/>
      <x:c r="P134" s="38" t="str"/>
      <x:c r="Q134" s="38" t="str"/>
      <x:c r="R134" s="38" t="str"/>
      <x:c r="S134" s="38" t="str"/>
      <x:c r="T134" s="38" t="str"/>
      <x:c r="U134" s="38" t="str"/>
      <x:c r="V134" s="38" t="str"/>
      <x:c r="W134" s="38" t="str"/>
      <x:c r="X134" s="38" t="str"/>
      <x:c r="Y134" s="38" t="str"/>
      <x:c r="Z134" s="38" t="str"/>
      <x:c r="AA134" s="43" t="str">
        <x:f>IF('Instructions'!$B$3="","",'Instructions'!$B$3)</x:f>
      </x:c>
      <x:c r="AB134" s="43" t="str">
        <x:f>IF(P134="","PENDING",IF('Instructions'!$B$3="","SET_INITIALS",IF(P134="keep",IF(OR(Q134="",R134="",S134="",T134="",U134="",W134=""),"INCOMPLETE_KEEP","COMPLETE"),IF(P134="exclude",IF(OR(V134="",W134=""),"INCOMPLETE_EXCLUDE","COMPLETE"),"NEEDS_CONTEXT"))))</x:f>
        <x:v>PENDING</x:v>
      </x:c>
    </x:row>
    <x:row r="135" ht="62" customHeight="1">
      <x:c r="A135" s="34" t="str">
        <x:v>SV-0132</x:v>
      </x:c>
      <x:c r="B135" s="34" t="str">
        <x:v>(v) taking measures to protect Americans from the risks of Central Bank 
Digital Currencies (CBDCs), which threaten the stability of the financial 
system, individual privacy, and the sovereignty of the United States, in-
cluding by prohibiting the establishment, issuance, circulation, and use 
of a CBDC within the jurisdiction of the United States.</x:v>
      </x:c>
      <x:c r="C135" s="34" t="str"/>
      <x:c r="D135" s="34" t="str"/>
      <x:c r="E135" s="34" t="str"/>
      <x:c r="F135" s="34" t="str">
        <x:v>… ing and promoting fair and open access to banking services 
for all law-abiding individual citizens and private-sector entities alike; 
(iv) providing regulatory clarity and certainty built on technology-neutral 
regulations, frameworks that account for emerging technologies, transparent 
decision making, and well-defined jurisdictional regulatory boundaries, 
all of which are essential to supporting a vibrant and inclusive digital 
economy and innovation in digital assets, permissionless blockchains, and 
distributed ledger technologies; and 
(v) taking measures to protect Americans from the risks of Central Bank 
Digital Currencies (CBDCs), which threaten the stability of the financial 
system, individual privacy, and the sovereignty of the United States, in-
cluding by prohibiting the establishment, issuance, circulation, and use 
of a CBDC within the jurisdiction of the United States. 
Sec. 2. Definitions. (a) For the purpose of this order, the term ‘‘digital 
asset’’ refers to any digital representation of value that is recorded on a 
distributed ledger, including cryptocurrencies, digital tokens, and stablecoins. 
(b) The term ‘‘blockchain’’ means any technology where data is: 
(i) shared across a network to create a public ledger of verified transactions 
or information among network participants; 
(ii) linked using cryptography to maintain the integrity of the public 
ledger and to execute other functions; 
(iii) distri …</x:v>
      </x:c>
      <x:c r="G135" s="34" t="str">
        <x:v>PRD-0109-P0001-U01</x:v>
      </x:c>
      <x:c r="H135" s="34" t="str"/>
      <x:c r="I135" s="34" t="str">
        <x:v>US_WhiteHouse_EO14178_2025</x:v>
      </x:c>
      <x:c r="J135" s="34" t="n">
        <x:v>1</x:v>
      </x:c>
      <x:c r="K135" s="34" t="str">
        <x:v>en</x:v>
      </x:c>
      <x:c r="L135" s="34" t="str">
        <x:v>United States federal executive policy on CBDC</x:v>
      </x:c>
      <x:c r="M135" s="34" t="str">
        <x:v>Retain explicit federal CBDC policy decisions or prohibitions. Exclude stablecoin provisions and general digital-asset policy not specific to CBDC.</x:v>
      </x:c>
      <x:c r="N135" s="34" t="str">
        <x:v>text</x:v>
      </x:c>
      <x:c r="O135" s="34" t="str"/>
      <x:c r="P135" s="38" t="str"/>
      <x:c r="Q135" s="38" t="str"/>
      <x:c r="R135" s="38" t="str"/>
      <x:c r="S135" s="38" t="str"/>
      <x:c r="T135" s="38" t="str"/>
      <x:c r="U135" s="38" t="str"/>
      <x:c r="V135" s="38" t="str"/>
      <x:c r="W135" s="38" t="str"/>
      <x:c r="X135" s="38" t="str"/>
      <x:c r="Y135" s="38" t="str"/>
      <x:c r="Z135" s="38" t="str"/>
      <x:c r="AA135" s="43" t="str">
        <x:f>IF('Instructions'!$B$3="","",'Instructions'!$B$3)</x:f>
      </x:c>
      <x:c r="AB135" s="43" t="str">
        <x:f>IF(P135="","PENDING",IF('Instructions'!$B$3="","SET_INITIALS",IF(P135="keep",IF(OR(Q135="",R135="",S135="",T135="",U135="",W135=""),"INCOMPLETE_KEEP","COMPLETE"),IF(P135="exclude",IF(OR(V135="",W135=""),"INCOMPLETE_EXCLUDE","COMPLETE"),"NEEDS_CONTEXT"))))</x:f>
        <x:v>PENDING</x:v>
      </x:c>
    </x:row>
    <x:row r="136" ht="62" customHeight="1">
      <x:c r="A136" s="34" t="str">
        <x:v>SV-0133</x:v>
      </x:c>
      <x:c r="B136" s="34" t="str">
        <x:v>The Bank will perform the  
review of the DDR LSM Object, add its signature and 
return the DDR LSM Object back to the sending  
participant.</x:v>
      </x:c>
      <x:c r="C136" s="34" t="str"/>
      <x:c r="D136" s="34" t="str"/>
      <x:c r="E136" s="34" t="str"/>
      <x:c r="F136" s="34" t="str">
        <x:v>… tep involves a participant submitting a transac-
tion item to the queue. For each proposed submis -
sion, the platform generates a “DDR LSM Object,” 
which, similar to the DDR Object and DDR Obligation 
explained above, contains data attributes provided by 
the sender that identify the sender and receiver , the 
date and, importantly, the LSM liquidity-allocation 
limit specified by the sender (described below).  Once 
the sending participant completes and adds its sig -
nature to the DDR LSM Object, it sends the Object to 
the Bank of Canada. The Bank will perform the  
review of the DDR LSM Object, add its signature and 
return the DDR LSM Object back to the sending  
participant. The Bank repeats this process for every 
proposed submission to the queue to keep track of 
queued items and to assure participants that the 
payment item has been recorded, as evidenced by 
the Bank’s signature on the DDR LSM Object. 
The platform then performs the necessary validation 
checks before sending the DDR LSM Object to the 
notary node, where the validation and uniqueness 
checks are completed, including verification of  
signatures and review of the data attributes.34 If the 
notary node is satisfied, it will add its signature to  …</x:v>
      </x:c>
      <x:c r="G136" s="34" t="str">
        <x:v>PRD-0015-P0027-U01</x:v>
      </x:c>
      <x:c r="H136" s="34" t="str"/>
      <x:c r="I136" s="34" t="str">
        <x:v>CA_Jasper_Phase12_2017</x:v>
      </x:c>
      <x:c r="J136" s="34" t="n">
        <x:v>27</x:v>
      </x:c>
      <x:c r="K136" s="34" t="str">
        <x:v>en</x:v>
      </x:c>
      <x:c r="L136" s="34" t="str">
        <x:v>Bank of Canada and Payments Canada (Project Jasper)</x:v>
      </x:c>
      <x:c r="M136" s="34" t="str">
        <x:v>Retain executed Project Jasper design choices and findings. Exclude general DLT literature and external examples.</x:v>
      </x:c>
      <x:c r="N136" s="34" t="str">
        <x:v>text</x:v>
      </x:c>
      <x:c r="O136" s="34" t="str"/>
      <x:c r="P136" s="38" t="str"/>
      <x:c r="Q136" s="38" t="str"/>
      <x:c r="R136" s="38" t="str"/>
      <x:c r="S136" s="38" t="str"/>
      <x:c r="T136" s="38" t="str"/>
      <x:c r="U136" s="38" t="str"/>
      <x:c r="V136" s="38" t="str"/>
      <x:c r="W136" s="38" t="str"/>
      <x:c r="X136" s="38" t="str"/>
      <x:c r="Y136" s="38" t="str"/>
      <x:c r="Z136" s="38" t="str"/>
      <x:c r="AA136" s="43" t="str">
        <x:f>IF('Instructions'!$B$3="","",'Instructions'!$B$3)</x:f>
      </x:c>
      <x:c r="AB136" s="43" t="str">
        <x:f>IF(P136="","PENDING",IF('Instructions'!$B$3="","SET_INITIALS",IF(P136="keep",IF(OR(Q136="",R136="",S136="",T136="",U136="",W136=""),"INCOMPLETE_KEEP","COMPLETE"),IF(P136="exclude",IF(OR(V136="",W136=""),"INCOMPLETE_EXCLUDE","COMPLETE"),"NEEDS_CONTEXT"))))</x:f>
        <x:v>PENDING</x:v>
      </x:c>
    </x:row>
    <x:row r="137" ht="62" customHeight="1">
      <x:c r="A137" s="34" t="str">
        <x:v>SV-0134</x:v>
      </x:c>
      <x:c r="B137" s="34" t="str">
        <x:v>性能・事務量については、概念実証より高負荷に対応可能なシステム 5の構
築を目指し、仮に将来、社会実装することとなった場合の性能要件実現に向けた技術
的な留意点や解決策の洗い出し・評価を行う予定である。</x:v>
      </x:c>
      <x:c r="C137" s="34" t="str">
        <x:v>Regarding performance and workload, the aim is to build a system capable of handling higher loads than the proof of concept, and to identify and evaluate technical considerations and solutions for achieving performance requirements should the system be implemented in society in the future.</x:v>
      </x:c>
      <x:c r="D137" s="34" t="str"/>
      <x:c r="E137" s="34" t="str"/>
      <x:c r="F137" s="34" t="str">
        <x:v>4 
い台帳設計を現時点で特定している訳ではない。 実験用システムによる検証結果を踏
まえつつ、その他の台帳設計についても机上で検討する予定である。 
また、プライバシーに配慮し、仲介機関において顧客 の個人情報を扱う部分（顧客
管理部分）と、決済を扱う部分（CBDC 台帳部分）を分離して構築することを予定し
ている4。 
さらに、性能・事務量については、概念実証より高負荷に対応可能なシステム 5の構
築を目指し、仮に将来、社会実装することとなった場合の性能要件実現に向けた技術
的な留意点や解決策の洗い出し・評価を行う予定である。 
このほか、機能や性能を拡張しやすいような工夫を設計段階で組み込み、技術的な
留意点や解決策の洗い出しを行うことも予定している。 
図表３ 実験用システムの概要 
4 この点、他の先進国の中央銀行も同様の考え方で、例えば、2023 年1 月にECB が公表したデジタルユ
ーロ・マーケットリサーチでは、「ユーロシステムが個人の残高を監視したり、取引履歴を追跡したり、
支払いパターンを推測することができないようにする」ことを暫定要件としている。また、2023 年２月
にイングランド銀行（BOE）と英国財務省が共同で行った市中協議でも、「BOE がアクセス可能なあら
ゆる情報は有効に匿名化される」要件としている。 
5 概念実証では、将来、実際に CBDC を発行することとなった場合の環境で求められる処理性能を、通
常時 1 秒あたり数万件、ピーク時同 10 万件以上と想定した。 
日銀ネット
(疑似)
中央システム
中央システム
仲介機関Y
勘定系
システム
(疑似)
仲介機関ネットワーク
仲介機関システム
エンドポイントデバイス
（ウォレッ …</x:v>
      </x:c>
      <x:c r="G137" s="34" t="str">
        <x:v>PRD-0045-P0005-U01</x:v>
      </x:c>
      <x:c r="H137" s="34" t="str"/>
      <x:c r="I137" s="34" t="str">
        <x:v>JP_BoJ_Pilot_JP</x:v>
      </x:c>
      <x:c r="J137" s="34" t="n">
        <x:v>5</x:v>
      </x:c>
      <x:c r="K137" s="34" t="str">
        <x:v>ja</x:v>
      </x:c>
      <x:c r="L137" s="34" t="str">
        <x:v>Bank of Japan (CBDC pilot)</x:v>
      </x:c>
      <x:c r="M137" s="34" t="str">
        <x:v>Japanese source. Retain Bank of Japan own-pilot decisions and executed results; exclude workgroup purposes without results.</x:v>
      </x:c>
      <x:c r="N137" s="34" t="str">
        <x:v>text</x:v>
      </x:c>
      <x:c r="O137" s="34" t="str"/>
      <x:c r="P137" s="38" t="str"/>
      <x:c r="Q137" s="38" t="str"/>
      <x:c r="R137" s="38" t="str"/>
      <x:c r="S137" s="38" t="str"/>
      <x:c r="T137" s="38" t="str"/>
      <x:c r="U137" s="38" t="str"/>
      <x:c r="V137" s="38" t="str"/>
      <x:c r="W137" s="38" t="str"/>
      <x:c r="X137" s="38" t="str"/>
      <x:c r="Y137" s="38" t="str"/>
      <x:c r="Z137" s="38" t="str"/>
      <x:c r="AA137" s="43" t="str">
        <x:f>IF('Instructions'!$B$3="","",'Instructions'!$B$3)</x:f>
      </x:c>
      <x:c r="AB137" s="43" t="str">
        <x:f>IF(P137="","PENDING",IF('Instructions'!$B$3="","SET_INITIALS",IF(P137="keep",IF(OR(Q137="",R137="",S137="",T137="",U137="",W137=""),"INCOMPLETE_KEEP","COMPLETE"),IF(P137="exclude",IF(OR(V137="",W137=""),"INCOMPLETE_EXCLUDE","COMPLETE"),"NEEDS_CONTEXT"))))</x:f>
        <x:v>PENDING</x:v>
      </x:c>
    </x:row>
    <x:row r="138" ht="62" customHeight="1">
      <x:c r="A138" s="34" t="str">
        <x:v>SV-0135</x:v>
      </x:c>
      <x:c r="B138" s="34" t="str">
        <x:v>The impression is that DLT requires more detailed specification of 
characteristics than account-based solutions, in part because there may be 
cases of doubt as to whether the characteristics have been fulfilled.</x:v>
      </x:c>
      <x:c r="C138" s="34" t="str"/>
      <x:c r="D138" s="34" t="str"/>
      <x:c r="E138" s="34" t="str"/>
      <x:c r="F138" s="34" t="str">
        <x:v>… chosen a technical design based on DLT to pilot 
test (see Riksbank (2020)). Our assessment in phases 1 and 2 was that DLT 
was not mature enough and that considerable development was necessary for 
it to be relevant for a CBDC. We assume that a number of central banks would 
have focused more on account solutions if time had been a constraint. 
Even though most of the focus in validation work has so far been on DLT, the 
design and characteristics of some existing account systems have been 
assessed, such as the Octopus system in Hong Kong.  
The impression is that DLT requires more detailed specification of 
characteristics than account-based solutions, in part because there may be 
cases of doubt as to whether the characteristics have been fulfilled. 
Furthermore, there are not as many market-tested DLT solutions to choose 
from as there are account-based solutions.  
4 See, eg, Riksbank (2020), National Bank of Ukraine (2019) and Central Bank of the Bahamas (2019). 
5 See, eg, Bank of England (2020), Auer and Boehme (2020), WEF (2020), Consensys (2020) and Allen 
et.al (2020).</x:v>
      </x:c>
      <x:c r="G138" s="34" t="str">
        <x:v>PRD-0055-P0007-U01</x:v>
      </x:c>
      <x:c r="H138" s="34" t="str"/>
      <x:c r="I138" s="34" t="str">
        <x:v>NO_Norway_norges-bank-memo-2_2020-eng</x:v>
      </x:c>
      <x:c r="J138" s="34" t="n">
        <x:v>7</x:v>
      </x:c>
      <x:c r="K138" s="34" t="str">
        <x:v>en</x:v>
      </x:c>
      <x:c r="L138" s="34" t="str">
        <x:v>Norges Bank</x:v>
      </x:c>
      <x:c r="M138" s="34" t="str">
        <x:v>Retain the named authority's own CBDC decisions, explicit proposals, requirements, features, and executed findings. Exclude generic context, literature, foreign projects, and stakeholder views not explicitly adopted by the authority.</x:v>
      </x:c>
      <x:c r="N138" s="34" t="str">
        <x:v>text</x:v>
      </x:c>
      <x:c r="O138" s="34" t="str"/>
      <x:c r="P138" s="38" t="str"/>
      <x:c r="Q138" s="38" t="str"/>
      <x:c r="R138" s="38" t="str"/>
      <x:c r="S138" s="38" t="str"/>
      <x:c r="T138" s="38" t="str"/>
      <x:c r="U138" s="38" t="str"/>
      <x:c r="V138" s="38" t="str"/>
      <x:c r="W138" s="38" t="str"/>
      <x:c r="X138" s="38" t="str"/>
      <x:c r="Y138" s="38" t="str"/>
      <x:c r="Z138" s="38" t="str"/>
      <x:c r="AA138" s="43" t="str">
        <x:f>IF('Instructions'!$B$3="","",'Instructions'!$B$3)</x:f>
      </x:c>
      <x:c r="AB138" s="43" t="str">
        <x:f>IF(P138="","PENDING",IF('Instructions'!$B$3="","SET_INITIALS",IF(P138="keep",IF(OR(Q138="",R138="",S138="",T138="",U138="",W138=""),"INCOMPLETE_KEEP","COMPLETE"),IF(P138="exclude",IF(OR(V138="",W138=""),"INCOMPLETE_EXCLUDE","COMPLETE"),"NEEDS_CONTEXT"))))</x:f>
        <x:v>PENDING</x:v>
      </x:c>
    </x:row>
    <x:row r="139" ht="62" customHeight="1">
      <x:c r="A139" s="34" t="str">
        <x:v>SV-0136</x:v>
      </x:c>
      <x:c r="B139" s="34" t="str">
        <x:v>The central bank would exchange reserves, bank notes and CBDC at par with financial 
institutions that have an account at the central bank, just as reserves and bank notes are 
exchanged at par today. This would lead to par exchange of bank notes and CBDC 
among the general public.</x:v>
      </x:c>
      <x:c r="C139" s="34" t="str"/>
      <x:c r="D139" s="34" t="str"/>
      <x:c r="E139" s="34" t="str"/>
      <x:c r="F139" s="34" t="str">
        <x:v>… h.  
The main attributes of the benchmark CBDC are set out below. We assume that the central bank 
has access to the technology that would allow the issuance of a CBDC with this list of features. 
Table 1 compares the features of the three types of central bank money—reserves, bank notes 
and the benchmark CBDC—with reference to thes e attributes.  
Denomination 
• The benchmark CBDC is denominated in the sovereign currency; for Canada, the 
Canadian dollar.  
Legal tender 
• Like cash, the benchmark CBDC is legal tender.15  
Convertibility 
• The central bank would exchange reserves, bank notes and CBDC at par with financial 
institutions that have an account at the central bank, just as reserves and bank notes are 
exchanged at par today. This would lead to par exchange of bank notes and CBDC 
among the general public.  
Non-interest-bearing 
• Like cash, the benchmark CBDC does not bear interest. 
Central bank fees 
• The central bank does not charge fees for distributing/exchanging or storing CBDC, or 
for making payments using CBDC.  
• Commercial banks could, however, decide to charge fees for services related to CBDC.  
Access to CBDC 
• Access is non-exclusive—anyone could use the CBDC —but access to related technology 
is required.  
• CBDC is held and transferred with a chip card or a digital wallet available to any person 
or firm with the technolog …</x:v>
      </x:c>
      <x:c r="G139" s="34" t="str">
        <x:v>PRD-0013-P0013-U01</x:v>
      </x:c>
      <x:c r="H139" s="34" t="str"/>
      <x:c r="I139" s="34" t="str">
        <x:v>CA_BoC_2017</x:v>
      </x:c>
      <x:c r="J139" s="34" t="n">
        <x:v>13</x:v>
      </x:c>
      <x:c r="K139" s="34" t="str">
        <x:v>en</x:v>
      </x:c>
      <x:c r="L139" s="34" t="str">
        <x:v>Bank of Canada</x:v>
      </x:c>
      <x:c r="M139" s="34" t="str">
        <x:v>Research or joint-project source: retain only executed own-project findings or concrete CBDC conclusions explicitly attributed to the named authority. Exclude author assumptions, literature, external examples, and unadopted proposals.</x:v>
      </x:c>
      <x:c r="N139" s="34" t="str">
        <x:v>text</x:v>
      </x:c>
      <x:c r="O139" s="34" t="str"/>
      <x:c r="P139" s="38" t="str"/>
      <x:c r="Q139" s="38" t="str"/>
      <x:c r="R139" s="38" t="str"/>
      <x:c r="S139" s="38" t="str"/>
      <x:c r="T139" s="38" t="str"/>
      <x:c r="U139" s="38" t="str"/>
      <x:c r="V139" s="38" t="str"/>
      <x:c r="W139" s="38" t="str"/>
      <x:c r="X139" s="38" t="str"/>
      <x:c r="Y139" s="38" t="str"/>
      <x:c r="Z139" s="38" t="str"/>
      <x:c r="AA139" s="43" t="str">
        <x:f>IF('Instructions'!$B$3="","",'Instructions'!$B$3)</x:f>
      </x:c>
      <x:c r="AB139" s="43" t="str">
        <x:f>IF(P139="","PENDING",IF('Instructions'!$B$3="","SET_INITIALS",IF(P139="keep",IF(OR(Q139="",R139="",S139="",T139="",U139="",W139=""),"INCOMPLETE_KEEP","COMPLETE"),IF(P139="exclude",IF(OR(V139="",W139=""),"INCOMPLETE_EXCLUDE","COMPLETE"),"NEEDS_CONTEXT"))))</x:f>
        <x:v>PENDING</x:v>
      </x:c>
    </x:row>
    <x:row r="140" ht="62" customHeight="1">
      <x:c r="A140" s="34" t="str">
        <x:v>SV-0137</x:v>
      </x:c>
      <x:c r="B140" s="34" t="str">
        <x:v>The interfaces for digital ruble devices and apps must support simple and user-friendly complaint 
procedures.</x:v>
      </x:c>
      <x:c r="C140" s="34" t="str"/>
      <x:c r="D140" s="34" t="str"/>
      <x:c r="E140" s="34" t="str"/>
      <x:c r="F140" s="34" t="str">
        <x:v>… sitively influence the overall level of financial inclusion.
Due to the fact that a digital ruble is a new phenomenon in the payment industry, it will take 
time for users to familiarise themselves with it. At the same time, using a digital ruble must be 
simple enough for the general public. Owing to the competition among financial intermediaries 
providing access to electronic wallets, it will be possible to create user-friendly wallet interfaces for 
consumers using modern technologies, such as voice recognition or biometric identification.
The interfaces for digital ruble devices and apps must support simple and user-friendly complaint 
procedures. It is necessary to establish a transparent complaint review procedure with fixed time 
frames to analyse complaints and send responses in a convenient form.
2.3. A DIGITAL RUBLE FOR BUSINESSES
For customers to be able to pay for goods, works and services using digital rubles, the same as 
with payment cards or instant payment services, enterprises need to offer them such an opportunity.
Customer operations in digital rubles might be processed using the existing bank and POS 
infrastructure. For instance, digital rubles might be used to make co …</x:v>
      </x:c>
      <x:c r="G140" s="34" t="str">
        <x:v>PRD-0064-P0016-U01</x:v>
      </x:c>
      <x:c r="H140" s="34" t="str"/>
      <x:c r="I140" s="34" t="str">
        <x:v>RU_Russia_consultation_paper_201013</x:v>
      </x:c>
      <x:c r="J140" s="34" t="n">
        <x:v>16</x:v>
      </x:c>
      <x:c r="K140" s="34" t="str">
        <x:v>en</x:v>
      </x:c>
      <x:c r="L140" s="34" t="str">
        <x:v>Bank of Russia (digital ruble)</x:v>
      </x:c>
      <x:c r="M140" s="34" t="str">
        <x:v>Retain explicit Bank of Russia proposals, preferences, and requirements. Exclude open questions and future research without a position.</x:v>
      </x:c>
      <x:c r="N140" s="34" t="str">
        <x:v>text</x:v>
      </x:c>
      <x:c r="O140" s="34" t="str"/>
      <x:c r="P140" s="38" t="str"/>
      <x:c r="Q140" s="38" t="str"/>
      <x:c r="R140" s="38" t="str"/>
      <x:c r="S140" s="38" t="str"/>
      <x:c r="T140" s="38" t="str"/>
      <x:c r="U140" s="38" t="str"/>
      <x:c r="V140" s="38" t="str"/>
      <x:c r="W140" s="38" t="str"/>
      <x:c r="X140" s="38" t="str"/>
      <x:c r="Y140" s="38" t="str"/>
      <x:c r="Z140" s="38" t="str"/>
      <x:c r="AA140" s="43" t="str">
        <x:f>IF('Instructions'!$B$3="","",'Instructions'!$B$3)</x:f>
      </x:c>
      <x:c r="AB140" s="43" t="str">
        <x:f>IF(P140="","PENDING",IF('Instructions'!$B$3="","SET_INITIALS",IF(P140="keep",IF(OR(Q140="",R140="",S140="",T140="",U140="",W140=""),"INCOMPLETE_KEEP","COMPLETE"),IF(P140="exclude",IF(OR(V140="",W140=""),"INCOMPLETE_EXCLUDE","COMPLETE"),"NEEDS_CONTEXT"))))</x:f>
        <x:v>PENDING</x:v>
      </x:c>
    </x:row>
    <x:row r="141" ht="62" customHeight="1">
      <x:c r="A141" s="34" t="str">
        <x:v>SV-0138</x:v>
      </x:c>
      <x:c r="B141" s="34" t="str">
        <x:v>CBDC shall be designed taking into account 
the risks, challenges and opportunities for 
payments innovation in a manner that 
serves the evolving needs of the national 
payment system</x:v>
      </x:c>
      <x:c r="C141" s="34" t="str"/>
      <x:c r="D141" s="34" t="str"/>
      <x:c r="E141" s="34" t="str"/>
      <x:c r="F141" s="34" t="str">
        <x:v>Classification: GENERAL
Project Agila
The eagle's outstretched wings and tail 
feathers symbolize the BSP's balanced, 
inclusive approach to growth and 
development, while also conveying the 
central monetary authority's mastery over 
its field.
CBDC development balances public and 
private sector broad stakeholder 
collaboration
The eagle's head and eyes expressing the 
BSP's vigilance and readiness to seize 
challenges and opportunities that rise over 
the horizon.
CBDC shall be designed taking into account 
the risks, challenges and opportunities for 
payments innovation in a manner that 
serves the evolving needs of the national 
payment system
The talons represent the strong will, resolve, 
and the monetary and financial tools that 
the central bank uses in discharging its 
mandates.
CBDC journey shall ensure that the BSP has 
strong institutional prerogative and 
maintain credibility in order to deliver a 
safe, efficient and inclusive national 
payment system.
CBDC Pilot Project</x:v>
      </x:c>
      <x:c r="G141" s="34" t="str">
        <x:v>PRD-0060-P0009-U01</x:v>
      </x:c>
      <x:c r="H141" s="34" t="str"/>
      <x:c r="I141" s="34" t="str">
        <x:v>PH_Philippines_EFLP2024_1_2c</x:v>
      </x:c>
      <x:c r="J141" s="34" t="n">
        <x:v>9</x:v>
      </x:c>
      <x:c r="K141" s="34" t="str">
        <x:v>en</x:v>
      </x:c>
      <x:c r="L141" s="34" t="str">
        <x:v>Bangko Sentral ng Pilipinas</x:v>
      </x:c>
      <x:c r="M141" s="34" t="str">
        <x:v>Retain the named authority's own CBDC decisions, explicit proposals, requirements, features, and executed findings. Exclude generic context, literature, foreign projects, and stakeholder views not explicitly adopted by the authority.</x:v>
      </x:c>
      <x:c r="N141" s="34" t="str">
        <x:v>text</x:v>
      </x:c>
      <x:c r="O141" s="34" t="str"/>
      <x:c r="P141" s="38" t="str"/>
      <x:c r="Q141" s="38" t="str"/>
      <x:c r="R141" s="38" t="str"/>
      <x:c r="S141" s="38" t="str"/>
      <x:c r="T141" s="38" t="str"/>
      <x:c r="U141" s="38" t="str"/>
      <x:c r="V141" s="38" t="str"/>
      <x:c r="W141" s="38" t="str"/>
      <x:c r="X141" s="38" t="str"/>
      <x:c r="Y141" s="38" t="str"/>
      <x:c r="Z141" s="38" t="str"/>
      <x:c r="AA141" s="43" t="str">
        <x:f>IF('Instructions'!$B$3="","",'Instructions'!$B$3)</x:f>
      </x:c>
      <x:c r="AB141" s="43" t="str">
        <x:f>IF(P141="","PENDING",IF('Instructions'!$B$3="","SET_INITIALS",IF(P141="keep",IF(OR(Q141="",R141="",S141="",T141="",U141="",W141=""),"INCOMPLETE_KEEP","COMPLETE"),IF(P141="exclude",IF(OR(V141="",W141=""),"INCOMPLETE_EXCLUDE","COMPLETE"),"NEEDS_CONTEXT"))))</x:f>
        <x:v>PENDING</x:v>
      </x:c>
    </x:row>
    <x:row r="142" ht="62" customHeight="1">
      <x:c r="A142" s="34" t="str">
        <x:v>SV-0139</x:v>
      </x:c>
      <x:c r="B142" s="34" t="str">
        <x:v>Transactions for offline payments 
are therefore instantly settled without accessing a 
backend system3.</x:v>
      </x:c>
      <x:c r="C142" s="34" t="str"/>
      <x:c r="D142" s="34" t="str"/>
      <x:c r="E142" s="34" t="str"/>
      <x:c r="F142" s="34" t="str">
        <x:v>… tual similarity with cash makes 
offline (no internet) transactions highly relevant. 
Another argument in favour of offline capabilities 
is the financial inclusion goal. For Ghana, it 
definitely makes much sense to provide retail 
CBDC capable of functioning in rural areas without 
internet access to ensure countrywide access and 
accelerate financial inclusion. From a perspective 
of technology, it is feasible to implement an 
offline eCedi with a smartcard (potentially – with 
a smartphone) using standard interfaces like NFC 
or Bluetooth. Transactions for offline payments 
are therefore instantly settled without accessing a 
backend system3.</x:v>
      </x:c>
      <x:c r="G142" s="34" t="str">
        <x:v>PRD-0030-P0027-U01</x:v>
      </x:c>
      <x:c r="H142" s="34" t="str"/>
      <x:c r="I142" s="34" t="str">
        <x:v>GH_Ghana_2021</x:v>
      </x:c>
      <x:c r="J142" s="34" t="n">
        <x:v>27</x:v>
      </x:c>
      <x:c r="K142" s="34" t="str">
        <x:v>en</x:v>
      </x:c>
      <x:c r="L142" s="34" t="str">
        <x:v>Bank of Ghana (eCedi)</x:v>
      </x:c>
      <x:c r="M142" s="34" t="str">
        <x:v>Retain Bank of Ghana eCedi design positions and requirements; exclude general CBDC literature.</x:v>
      </x:c>
      <x:c r="N142" s="34" t="str">
        <x:v>text</x:v>
      </x:c>
      <x:c r="O142" s="34" t="str"/>
      <x:c r="P142" s="38" t="str"/>
      <x:c r="Q142" s="38" t="str"/>
      <x:c r="R142" s="38" t="str"/>
      <x:c r="S142" s="38" t="str"/>
      <x:c r="T142" s="38" t="str"/>
      <x:c r="U142" s="38" t="str"/>
      <x:c r="V142" s="38" t="str"/>
      <x:c r="W142" s="38" t="str"/>
      <x:c r="X142" s="38" t="str"/>
      <x:c r="Y142" s="38" t="str"/>
      <x:c r="Z142" s="38" t="str"/>
      <x:c r="AA142" s="43" t="str">
        <x:f>IF('Instructions'!$B$3="","",'Instructions'!$B$3)</x:f>
      </x:c>
      <x:c r="AB142" s="43" t="str">
        <x:f>IF(P142="","PENDING",IF('Instructions'!$B$3="","SET_INITIALS",IF(P142="keep",IF(OR(Q142="",R142="",S142="",T142="",U142="",W142=""),"INCOMPLETE_KEEP","COMPLETE"),IF(P142="exclude",IF(OR(V142="",W142=""),"INCOMPLETE_EXCLUDE","COMPLETE"),"NEEDS_CONTEXT"))))</x:f>
        <x:v>PENDING</x:v>
      </x:c>
    </x:row>
    <x:row r="143" ht="62" customHeight="1">
      <x:c r="A143" s="34" t="str">
        <x:v>SV-0140</x:v>
      </x:c>
      <x:c r="B143" s="34" t="str">
        <x:v>User Held Model – The responsibility of key 
holding is with User and its device. Wallet is 
not recoverable in case of loss of user held 
device.</x:v>
      </x:c>
      <x:c r="C143" s="34" t="str"/>
      <x:c r="D143" s="34" t="str"/>
      <x:c r="E143" s="34" t="str"/>
      <x:c r="F143" s="34" t="str">
        <x:v>…  details are held in 
custody by the service provider, the security 
of the tokens shall be dependent on the 
15 Payment and Settlement Systems Report, Bank of Japan, 
https://www.boj.or.jp/research/brp/psr/data/psrb200702.pdf 
robustness of security protocols of the TSP. 
While dependency on external entity shall 
allow recoverability, it may also compromise 
with anonymity as the service provider shall 
always hav e visibility over the token 
movements in and out of the wallet.  
 User Held Model – The responsibility of key 
holding is with User and its device. Wallet is 
not recoverable in case of loss of user held 
device. 
5.6 Offline Functionality 
Digital payments traditionally rely on online 
communications with several intermediaries 
such as banks, payment networks, and 
payment processors to authorise and process 
payment transactions. While these 
communication networks are designed to be 
highly available with continuous uptime, there 
may be times when CBDC users will experience 
little or no access to network connectivity.  
In India out  of the 1.4 billion (143.3 crores) 
population, 825 million people have internet  
access. This means many Indians  …</x:v>
      </x:c>
      <x:c r="G143" s="34" t="str">
        <x:v>PRD-0088-P0033-U01</x:v>
      </x:c>
      <x:c r="H143" s="34" t="str"/>
      <x:c r="I143" s="34" t="str">
        <x:v>IN_RBI_ConceptNote_2022</x:v>
      </x:c>
      <x:c r="J143" s="34" t="n">
        <x:v>33</x:v>
      </x:c>
      <x:c r="K143" s="34" t="str">
        <x:v>en</x:v>
      </x:c>
      <x:c r="L143" s="34" t="str">
        <x:v>Reserve Bank of India (digital rupee)</x:v>
      </x:c>
      <x:c r="M143" s="34" t="str">
        <x:v>Retain RBI proposals, decisions, requirements, and operating-model claims for the digital rupee.</x:v>
      </x:c>
      <x:c r="N143" s="34" t="str">
        <x:v>text</x:v>
      </x:c>
      <x:c r="O143" s="34" t="str"/>
      <x:c r="P143" s="38" t="str"/>
      <x:c r="Q143" s="38" t="str"/>
      <x:c r="R143" s="38" t="str"/>
      <x:c r="S143" s="38" t="str"/>
      <x:c r="T143" s="38" t="str"/>
      <x:c r="U143" s="38" t="str"/>
      <x:c r="V143" s="38" t="str"/>
      <x:c r="W143" s="38" t="str"/>
      <x:c r="X143" s="38" t="str"/>
      <x:c r="Y143" s="38" t="str"/>
      <x:c r="Z143" s="38" t="str"/>
      <x:c r="AA143" s="43" t="str">
        <x:f>IF('Instructions'!$B$3="","",'Instructions'!$B$3)</x:f>
      </x:c>
      <x:c r="AB143" s="43" t="str">
        <x:f>IF(P143="","PENDING",IF('Instructions'!$B$3="","SET_INITIALS",IF(P143="keep",IF(OR(Q143="",R143="",S143="",T143="",U143="",W143=""),"INCOMPLETE_KEEP","COMPLETE"),IF(P143="exclude",IF(OR(V143="",W143=""),"INCOMPLETE_EXCLUDE","COMPLETE"),"NEEDS_CONTEXT"))))</x:f>
        <x:v>PENDING</x:v>
      </x:c>
    </x:row>
    <x:row r="144" ht="62" customHeight="1">
      <x:c r="A144" s="34" t="str">
        <x:v>SV-0141</x:v>
      </x:c>
      <x:c r="B144" s="34" t="str">
        <x:v>In the light of experience, “unusual 
transactions” were regularly redefined and daily monitoring was carried out on this basis.</x:v>
      </x:c>
      <x:c r="C144" s="34" t="str"/>
      <x:c r="D144" s="34" t="str"/>
      <x:c r="E144" s="34" t="str"/>
      <x:c r="F144" s="34" t="str">
        <x:v>29/39 
registration, was carried out by the IT Security Department , and in case of a ny potential 
data leakage, the MNB Data Protection Officer was to be notified. 
▪ This being a financial programme, it was of paramount importance to monitor transactions 
continuously, including to detect fraud. Staff from the Compliance Department and the 
Legal Directorate helped to develop the procedures. In the light of experience, “unusual 
transactions” were regularly redefined and daily monitoring was carried out on this basis. 
In addition, the compliance area held annual training sessions on “Prevention and 
combating of money laundering and terrorist financing ” for staff involved in the 
administration of the Student Safe. 
▪ Analytical accounting was performed within the system, but general ledger accounting was 
implemented in the SAP system by uploading consolidated data subject to coordination by 
and the involvement of the Cost Accounting and Finance Department.  
Chart 6: Collaboration with other departments 
7. CLOSING THE PROJECT 
7.1. Background to t …</x:v>
      </x:c>
      <x:c r="G144" s="34" t="str">
        <x:v>PRD-0034-P0029-U01</x:v>
      </x:c>
      <x:c r="H144" s="34" t="str"/>
      <x:c r="I144" s="34" t="str">
        <x:v>HU_Hungary_2025</x:v>
      </x:c>
      <x:c r="J144" s="34" t="n">
        <x:v>29</x:v>
      </x:c>
      <x:c r="K144" s="34" t="str">
        <x:v>en</x:v>
      </x:c>
      <x:c r="L144" s="34" t="str">
        <x:v>Magyar Nemzeti Bank (Student Safe / retail CBDC pilot context)</x:v>
      </x:c>
      <x:c r="M144" s="34" t="str">
        <x:v>Retain concrete central-bank pilot features and executed findings. Exclude educational framing, generic CBDC discussion, and unadopted recommendations.</x:v>
      </x:c>
      <x:c r="N144" s="34" t="str">
        <x:v>text</x:v>
      </x:c>
      <x:c r="O144" s="34" t="str"/>
      <x:c r="P144" s="38" t="str"/>
      <x:c r="Q144" s="38" t="str"/>
      <x:c r="R144" s="38" t="str"/>
      <x:c r="S144" s="38" t="str"/>
      <x:c r="T144" s="38" t="str"/>
      <x:c r="U144" s="38" t="str"/>
      <x:c r="V144" s="38" t="str"/>
      <x:c r="W144" s="38" t="str"/>
      <x:c r="X144" s="38" t="str"/>
      <x:c r="Y144" s="38" t="str"/>
      <x:c r="Z144" s="38" t="str"/>
      <x:c r="AA144" s="43" t="str">
        <x:f>IF('Instructions'!$B$3="","",'Instructions'!$B$3)</x:f>
      </x:c>
      <x:c r="AB144" s="43" t="str">
        <x:f>IF(P144="","PENDING",IF('Instructions'!$B$3="","SET_INITIALS",IF(P144="keep",IF(OR(Q144="",R144="",S144="",T144="",U144="",W144=""),"INCOMPLETE_KEEP","COMPLETE"),IF(P144="exclude",IF(OR(V144="",W144=""),"INCOMPLETE_EXCLUDE","COMPLETE"),"NEEDS_CONTEXT"))))</x:f>
        <x:v>PENDING</x:v>
      </x:c>
    </x:row>
    <x:row r="145" ht="62" customHeight="1">
      <x:c r="A145" s="34" t="str">
        <x:v>SV-0142</x:v>
      </x:c>
      <x:c r="B145" s="34" t="str">
        <x:v>In general, pilot participants demonstrated a 
substantial likelihood of using the eCedi, with 
those who are users of digital payment instruments 
indicating a far higher preference for the eCedi.</x:v>
      </x:c>
      <x:c r="C145" s="34" t="str"/>
      <x:c r="D145" s="34" t="str"/>
      <x:c r="E145" s="34" t="str"/>
      <x:c r="F145" s="34" t="str">
        <x:v>… worth 
highlighting the following two peculiar conditions 
during the study: 
• The Accra and Tarkwa studies were conducted 
in an uncontrolled environment since the Bank 
deliberately did not engage in mass education 
and awareness in these locations. 
• The public knowledge of the likely passing of 
the Electronic Levy Act 2022 coincided with the 
Baseline and Endline Surveys and heightened 
the price sensitivity of individuals. 
The result indicated a strong possibility of all 
participants adopting the eCedi if it were to be 
mainstreamed.
In general, pilot participants demonstrated a 
substantial likelihood of using the eCedi, with 
those who are users of digital payment instruments 
indicating a far higher preference for the eCedi.
CBDC Usage Likelihood
CBDC Knowledge Ranking
Merchants
Online Respondents
 Baseline   Endline
0 – I would 
not want 
to use it at 
present
1 – I would 
want to use 
it at present 
I am not 
sure about 
using it at 
present
Blank
19 %
65 %
45 %
35 %
27 %
1 %
7 %
70 %
60 %
50 %
40 %
30 %
20 %
10 %
0 %
Baseline Merchants (n= 614)  
Endline Merchants (n = 243)
Figure 14: Change in likelihood of adoption from Baseline to Endline.  
Question: Based on your current knowledge about “Central Bank Digital Currency” (CBDC), would you want to use CBDC?  
 …</x:v>
      </x:c>
      <x:c r="G145" s="34" t="str">
        <x:v>PRD-0031-P0027-U01</x:v>
      </x:c>
      <x:c r="H145" s="34" t="str"/>
      <x:c r="I145" s="34" t="str">
        <x:v>GH_Ghana_2023</x:v>
      </x:c>
      <x:c r="J145" s="34" t="n">
        <x:v>27</x:v>
      </x:c>
      <x:c r="K145" s="34" t="str">
        <x:v>en</x:v>
      </x:c>
      <x:c r="L145" s="34" t="str">
        <x:v>Bank of Ghana (eCedi)</x:v>
      </x:c>
      <x:c r="M145" s="34" t="str">
        <x:v>Retain the named authority's own CBDC decisions, explicit proposals, requirements, features, and executed findings. Exclude generic context, literature, foreign projects, and stakeholder views not explicitly adopted by the authority.</x:v>
      </x:c>
      <x:c r="N145" s="34" t="str">
        <x:v>text</x:v>
      </x:c>
      <x:c r="O145" s="34" t="str"/>
      <x:c r="P145" s="38" t="str"/>
      <x:c r="Q145" s="38" t="str"/>
      <x:c r="R145" s="38" t="str"/>
      <x:c r="S145" s="38" t="str"/>
      <x:c r="T145" s="38" t="str"/>
      <x:c r="U145" s="38" t="str"/>
      <x:c r="V145" s="38" t="str"/>
      <x:c r="W145" s="38" t="str"/>
      <x:c r="X145" s="38" t="str"/>
      <x:c r="Y145" s="38" t="str"/>
      <x:c r="Z145" s="38" t="str"/>
      <x:c r="AA145" s="43" t="str">
        <x:f>IF('Instructions'!$B$3="","",'Instructions'!$B$3)</x:f>
      </x:c>
      <x:c r="AB145" s="43" t="str">
        <x:f>IF(P145="","PENDING",IF('Instructions'!$B$3="","SET_INITIALS",IF(P145="keep",IF(OR(Q145="",R145="",S145="",T145="",U145="",W145=""),"INCOMPLETE_KEEP","COMPLETE"),IF(P145="exclude",IF(OR(V145="",W145=""),"INCOMPLETE_EXCLUDE","COMPLETE"),"NEEDS_CONTEXT"))))</x:f>
        <x:v>PENDING</x:v>
      </x:c>
    </x:row>
    <x:row r="146" ht="62" customHeight="1">
      <x:c r="A146" s="34" t="str">
        <x:v>SV-0143</x:v>
      </x:c>
      <x:c r="B146" s="34" t="str">
        <x:v>These factors reduce the applicability 
of introducing an offline e-HKD for the purpose 
of inclusion or resilience.</x:v>
      </x:c>
      <x:c r="C146" s="34" t="str"/>
      <x:c r="D146" s="34" t="str"/>
      <x:c r="E146" s="34" t="str"/>
      <x:c r="F146" s="34" t="str">
        <x:v>… y to deliver 
its intended value at scale.
3.1.3  Offline Payments
According to a survey by the Bank for 
International Settlements (BIS), financial 
inclusion, cash-like features, and resilience are 
the objectives most cited by central banks for 
offline central bank digital currency (CBDC) 
payments32.
In Hong Kong, the case for an offline e-HKD is 
less compelling. Hong Kong has near-universal 
broadband and mobile network coverage, high 
smartphone penetration and a mature digital 
payments ecosystem with long-standing offline 
solutions. These factors reduce the applicability 
of introducing an offline e-HKD for the purpose 
of inclusion or resilience.
The pilots examined whether an offline e-HKD 
would fill gaps not already addressed by private-
sector solutions. Under Phase 2, pilots were 
conducted to assess the potential demand for 
an offline e-HKD, the commercial viability of such 
a model and the optimal implementation design 
of an offline e-HKD for retail transactions.
Limited Improvement to Overall Resilience
For nearly 30 years, Hong Kong’s offline payment 
system has played a vital role in the jurisdiction’s 
retail payment landscape. Initially introduced 
for public transport pa …</x:v>
      </x:c>
      <x:c r="G146" s="34" t="str">
        <x:v>PRD-0093-P0026-U01</x:v>
      </x:c>
      <x:c r="H146" s="34" t="str"/>
      <x:c r="I146" s="34" t="str">
        <x:v>HK_HKMA_eHKD_Phase2_2025</x:v>
      </x:c>
      <x:c r="J146" s="34" t="n">
        <x:v>26</x:v>
      </x:c>
      <x:c r="K146" s="34" t="str">
        <x:v>en</x:v>
      </x:c>
      <x:c r="L146" s="34" t="str">
        <x:v>Hong Kong Monetary Authority (e-HKD Phase 2 pilots)</x:v>
      </x:c>
      <x:c r="M146" s="34" t="str">
        <x:v>Retain complete e-HKD pilot findings, conclusions, and HKMA requirements. Quote the complete claim before any trailing fragment.</x:v>
      </x:c>
      <x:c r="N146" s="34" t="str">
        <x:v>text</x:v>
      </x:c>
      <x:c r="O146" s="34" t="str"/>
      <x:c r="P146" s="38" t="str"/>
      <x:c r="Q146" s="38" t="str"/>
      <x:c r="R146" s="38" t="str"/>
      <x:c r="S146" s="38" t="str"/>
      <x:c r="T146" s="38" t="str"/>
      <x:c r="U146" s="38" t="str"/>
      <x:c r="V146" s="38" t="str"/>
      <x:c r="W146" s="38" t="str"/>
      <x:c r="X146" s="38" t="str"/>
      <x:c r="Y146" s="38" t="str"/>
      <x:c r="Z146" s="38" t="str"/>
      <x:c r="AA146" s="43" t="str">
        <x:f>IF('Instructions'!$B$3="","",'Instructions'!$B$3)</x:f>
      </x:c>
      <x:c r="AB146" s="43" t="str">
        <x:f>IF(P146="","PENDING",IF('Instructions'!$B$3="","SET_INITIALS",IF(P146="keep",IF(OR(Q146="",R146="",S146="",T146="",U146="",W146=""),"INCOMPLETE_KEEP","COMPLETE"),IF(P146="exclude",IF(OR(V146="",W146=""),"INCOMPLETE_EXCLUDE","COMPLETE"),"NEEDS_CONTEXT"))))</x:f>
        <x:v>PENDING</x:v>
      </x:c>
    </x:row>
    <x:row r="147" ht="62" customHeight="1">
      <x:c r="A147" s="34" t="str">
        <x:v>SV-0144</x:v>
      </x:c>
      <x:c r="B147" s="34" t="str">
        <x:v>The demand for digital 
payment solutions such as 
the eCedi was endorsed by 
the pilot. Also, individuals, 
businesses and FSPs 
indicated their willingness 
to use the eCedi when 
rolled out.</x:v>
      </x:c>
      <x:c r="C147" s="34" t="str"/>
      <x:c r="D147" s="34" t="str"/>
      <x:c r="E147" s="34" t="str"/>
      <x:c r="F147" s="34" t="str">
        <x:v>…  solution 
into existing  
ecosystem
Ease of adopting   
existing payment 
apps and interbank 
infrastructure for eCedi 
transactions
Partially met 
expectations
FSPs were able to adapt 
their existing payment 
solutions, relying on 
existing payment networks, 
customers and merchants 
to rollout the eCedi. 
However, it was on a limited 
scale and did not afford the 
opportunity to assess all 
possible scenarios
Sustainability Ability of the eCedi 
to have widespread 
adoption and usage 
into the foreseeable 
future
Partially met 
expectations
The demand for digital 
payment solutions such as 
the eCedi was endorsed by 
the pilot. Also, individuals, 
businesses and FSPs 
indicated their willingness 
to use the eCedi when 
rolled out. They further 
made recommendations for 
enhancing the solution
30</x:v>
      </x:c>
      <x:c r="G147" s="34" t="str">
        <x:v>PRD-0031-P0030-U01</x:v>
      </x:c>
      <x:c r="H147" s="34" t="str"/>
      <x:c r="I147" s="34" t="str">
        <x:v>GH_Ghana_2023</x:v>
      </x:c>
      <x:c r="J147" s="34" t="n">
        <x:v>30</x:v>
      </x:c>
      <x:c r="K147" s="34" t="str">
        <x:v>en</x:v>
      </x:c>
      <x:c r="L147" s="34" t="str">
        <x:v>Bank of Ghana (eCedi)</x:v>
      </x:c>
      <x:c r="M147" s="34" t="str">
        <x:v>Retain the named authority's own CBDC decisions, explicit proposals, requirements, features, and executed findings. Exclude generic context, literature, foreign projects, and stakeholder views not explicitly adopted by the authority.</x:v>
      </x:c>
      <x:c r="N147" s="34" t="str">
        <x:v>text</x:v>
      </x:c>
      <x:c r="O147" s="34" t="str"/>
      <x:c r="P147" s="38" t="str"/>
      <x:c r="Q147" s="38" t="str"/>
      <x:c r="R147" s="38" t="str"/>
      <x:c r="S147" s="38" t="str"/>
      <x:c r="T147" s="38" t="str"/>
      <x:c r="U147" s="38" t="str"/>
      <x:c r="V147" s="38" t="str"/>
      <x:c r="W147" s="38" t="str"/>
      <x:c r="X147" s="38" t="str"/>
      <x:c r="Y147" s="38" t="str"/>
      <x:c r="Z147" s="38" t="str"/>
      <x:c r="AA147" s="43" t="str">
        <x:f>IF('Instructions'!$B$3="","",'Instructions'!$B$3)</x:f>
      </x:c>
      <x:c r="AB147" s="43" t="str">
        <x:f>IF(P147="","PENDING",IF('Instructions'!$B$3="","SET_INITIALS",IF(P147="keep",IF(OR(Q147="",R147="",S147="",T147="",U147="",W147=""),"INCOMPLETE_KEEP","COMPLETE"),IF(P147="exclude",IF(OR(V147="",W147=""),"INCOMPLETE_EXCLUDE","COMPLETE"),"NEEDS_CONTEXT"))))</x:f>
        <x:v>PENDING</x:v>
      </x:c>
    </x:row>
    <x:row r="148" ht="62" customHeight="1">
      <x:c r="A148" s="34" t="str">
        <x:v>SV-0145</x:v>
      </x:c>
      <x:c r="B148" s="34" t="str">
        <x:v>e-MOP may draw on the acceptance 
basis of “Simple Pay” by leveraging wallet application software (apps) 
and physical carriers (such as cards or smart devices), rendering 
efficient, convenient and cost-effective payment services to residents 
and tourists.</x:v>
      </x:c>
      <x:c r="C148" s="34" t="str"/>
      <x:c r="D148" s="34" t="str"/>
      <x:c r="E148" s="34" t="str"/>
      <x:c r="F148" s="34" t="str">
        <x:v>… unique benefits to 
the existing payment ecosystem in Macao.  The distinctive features of 
e-MOP, like programmability, account-based and value-based hybrid 
models offering immediate settlement upon payment, are poised to 
create an environment conducive to more efficient, cost-effective 
and inclusive financial transactions and trade flows.  This will, in turn, 
stimulate the emergence of novel economic endeavours and establish 
a strong foundation towards high-quality economic development in 
the SAR.
3.6. As a digital form of legal tender, e-MOP may draw on the acceptance 
basis of “Simple Pay” by leveraging wallet application software (apps) 
and physical carriers (such as cards or smart devices), rendering 
efficient, convenient and cost-effective payment services to residents 
and tourists.  For merchants, given the distinct feature of settlement 
upon payment of e-MOP, as opposed to other electronic payment 
instruments with delayed settlements, this settlement efficiency of 
e-MOP may enhance cash flow efficiency for SMEs.  At the same 
time, apart from local retail payment scenarios, e-MOP can be 
deployed in a wide range of applications, such as public transport, 
parking facilities and e-government services, thereby contributing</x:v>
      </x:c>
      <x:c r="G148" s="34" t="str">
        <x:v>PRD-0050-P0022-U01</x:v>
      </x:c>
      <x:c r="H148" s="34" t="str"/>
      <x:c r="I148" s="34" t="str">
        <x:v>MO_AMCM_eMOP_WP</x:v>
      </x:c>
      <x:c r="J148" s="34" t="n">
        <x:v>22</x:v>
      </x:c>
      <x:c r="K148" s="34" t="str">
        <x:v>en</x:v>
      </x:c>
      <x:c r="L148" s="34" t="str">
        <x:v>Monetary Authority of Macao (e-MOP)</x:v>
      </x:c>
      <x:c r="M148" s="34" t="str">
        <x:v>Retain AMCM e-MOP decisions, aims, features, and requirements. Exclude incomplete OCR fragments.</x:v>
      </x:c>
      <x:c r="N148" s="34" t="str">
        <x:v>text</x:v>
      </x:c>
      <x:c r="O148" s="34" t="str"/>
      <x:c r="P148" s="38" t="str"/>
      <x:c r="Q148" s="38" t="str"/>
      <x:c r="R148" s="38" t="str"/>
      <x:c r="S148" s="38" t="str"/>
      <x:c r="T148" s="38" t="str"/>
      <x:c r="U148" s="38" t="str"/>
      <x:c r="V148" s="38" t="str"/>
      <x:c r="W148" s="38" t="str"/>
      <x:c r="X148" s="38" t="str"/>
      <x:c r="Y148" s="38" t="str"/>
      <x:c r="Z148" s="38" t="str"/>
      <x:c r="AA148" s="43" t="str">
        <x:f>IF('Instructions'!$B$3="","",'Instructions'!$B$3)</x:f>
      </x:c>
      <x:c r="AB148" s="43" t="str">
        <x:f>IF(P148="","PENDING",IF('Instructions'!$B$3="","SET_INITIALS",IF(P148="keep",IF(OR(Q148="",R148="",S148="",T148="",U148="",W148=""),"INCOMPLETE_KEEP","COMPLETE"),IF(P148="exclude",IF(OR(V148="",W148=""),"INCOMPLETE_EXCLUDE","COMPLETE"),"NEEDS_CONTEXT"))))</x:f>
        <x:v>PENDING</x:v>
      </x:c>
    </x:row>
    <x:row r="149" ht="62" customHeight="1">
      <x:c r="A149" s="34" t="str">
        <x:v>SV-0146</x:v>
      </x:c>
      <x:c r="B149" s="34" t="str">
        <x:v>Depending on their needs, individuals and companies will 
be able to exchange their money from one form to another, i.e. from the digital form to cash or non-
cash funds in their bank accounts, and back.</x:v>
      </x:c>
      <x:c r="C149" s="34" t="str"/>
      <x:c r="D149" s="34" t="str"/>
      <x:c r="E149" s="34" t="str"/>
      <x:c r="F149" s="34" t="str">
        <x:v>… tation?
A digital ruble will remain the Russian ruble which will be issued by the Bank of Russia in digital 
form in addition to the existing forms of money. Individuals will be able to transfer digital rubles 
to their electronic wallets and use them through their mobile and other devices both online and 
offline (that is without access to the Internet and mobile communication). A digital ruble will be an 
additional form of money and will be used alongside individuals’ and businesses’ cash rubles and 
funds in their commercial bank accounts. Depending on their needs, individuals and companies will 
be able to exchange their money from one form to another, i.e. from the digital form to cash or non-
cash funds in their bank accounts, and back. This requires special-purpose technologies that would 
enable the offline usage of a digital ruble. A digital ruble will combine the advantages of both cash 
and non-cash money.
The unified monetary system embracing the three forms of the Russian ruble, specifically the 
cash, non-cash and digital forms, will fully meet the current needs of the economy and create new 
opportunities for a faster implementation of innovations in the financial and real sectors.
It is essential to design a digital ruble so as to make payments secure, protected, fa …</x:v>
      </x:c>
      <x:c r="G149" s="34" t="str">
        <x:v>PRD-0064-P0004-U01</x:v>
      </x:c>
      <x:c r="H149" s="34" t="str"/>
      <x:c r="I149" s="34" t="str">
        <x:v>RU_Russia_consultation_paper_201013</x:v>
      </x:c>
      <x:c r="J149" s="34" t="n">
        <x:v>4</x:v>
      </x:c>
      <x:c r="K149" s="34" t="str">
        <x:v>en</x:v>
      </x:c>
      <x:c r="L149" s="34" t="str">
        <x:v>Bank of Russia (digital ruble)</x:v>
      </x:c>
      <x:c r="M149" s="34" t="str">
        <x:v>Retain explicit Bank of Russia proposals, preferences, and requirements. Exclude open questions and future research without a position.</x:v>
      </x:c>
      <x:c r="N149" s="34" t="str">
        <x:v>text</x:v>
      </x:c>
      <x:c r="O149" s="34" t="str"/>
      <x:c r="P149" s="38" t="str"/>
      <x:c r="Q149" s="38" t="str"/>
      <x:c r="R149" s="38" t="str"/>
      <x:c r="S149" s="38" t="str"/>
      <x:c r="T149" s="38" t="str"/>
      <x:c r="U149" s="38" t="str"/>
      <x:c r="V149" s="38" t="str"/>
      <x:c r="W149" s="38" t="str"/>
      <x:c r="X149" s="38" t="str"/>
      <x:c r="Y149" s="38" t="str"/>
      <x:c r="Z149" s="38" t="str"/>
      <x:c r="AA149" s="43" t="str">
        <x:f>IF('Instructions'!$B$3="","",'Instructions'!$B$3)</x:f>
      </x:c>
      <x:c r="AB149" s="43" t="str">
        <x:f>IF(P149="","PENDING",IF('Instructions'!$B$3="","SET_INITIALS",IF(P149="keep",IF(OR(Q149="",R149="",S149="",T149="",U149="",W149=""),"INCOMPLETE_KEEP","COMPLETE"),IF(P149="exclude",IF(OR(V149="",W149=""),"INCOMPLETE_EXCLUDE","COMPLETE"),"NEEDS_CONTEXT"))))</x:f>
        <x:v>PENDING</x:v>
      </x:c>
    </x:row>
    <x:row r="150" ht="62" customHeight="1">
      <x:c r="A150" s="34" t="str">
        <x:v>SV-0147</x:v>
      </x:c>
      <x:c r="B150" s="34" t="str">
        <x:v>the
draft Regulation requires the distribution of the digital euro in non-euro area countries to be based
on arrangements or agreements with local authorities, without which it would not be possible for
citizens of those countries to have digital euro holdings.</x:v>
      </x:c>
      <x:c r="C150" s="34" t="str"/>
      <x:c r="D150" s="34" t="str"/>
      <x:c r="E150" s="34" t="str"/>
      <x:c r="F150" s="34" t="str">
        <x:v>… igital euro legislative proposal, in which context it provides expert technical input, based on the
Opinion[ ] adopted by the Governing Council. At the request of the Council Presidency, the ECB
provided technical input in the following specific areas.
17
18
19
20
ECB analysis on the use of the digital euro outside the euro area (January 2025 CWP). The
analysis found that public authorities outside the euro area would have more influence on the
circulation of digital euro in their countries than on the circulation of euro cash. This is because the
draft Regulation requires the distribution of the digital euro in non-euro area countries to be based
on arrangements or agreements with local authorities, without which it would not be possible for
citizens of those countries to have digital euro holdings. In addition, the holding limit for non-euro
area residents needs to be equal to or lower than the limit for euro area residents. Residents
outside the euro area would need to gain access to digital euro services through European PSPs,
which are required to perform identity checks when onboarding users. This means that access for
non-residents would likely remain limited, which in turn would restrict the digital euro’s function as a
store of value outside the euro area, especially when compared with cash. At the same time, the
analysis highligh …</x:v>
      </x:c>
      <x:c r="G150" s="34" t="str">
        <x:v>PRD-0092-P0009-U01</x:v>
      </x:c>
      <x:c r="H150" s="34" t="str"/>
      <x:c r="I150" s="34" t="str">
        <x:v>EU_ECB_ThirdProgress_2025</x:v>
      </x:c>
      <x:c r="J150" s="34" t="n">
        <x:v>9</x:v>
      </x:c>
      <x:c r="K150" s="34" t="str">
        <x:v>en</x:v>
      </x:c>
      <x:c r="L150" s="34" t="str">
        <x:v>European Central Bank / Eurosystem (digital euro)</x:v>
      </x:c>
      <x:c r="M150" s="34" t="str">
        <x:v>Retain Eurosystem digital-euro decisions, commitments, requirements, and reported findings; exclude stakeholder discussion summaries unless adopted.</x:v>
      </x:c>
      <x:c r="N150" s="34" t="str">
        <x:v>text</x:v>
      </x:c>
      <x:c r="O150" s="34" t="str"/>
      <x:c r="P150" s="38" t="str"/>
      <x:c r="Q150" s="38" t="str"/>
      <x:c r="R150" s="38" t="str"/>
      <x:c r="S150" s="38" t="str"/>
      <x:c r="T150" s="38" t="str"/>
      <x:c r="U150" s="38" t="str"/>
      <x:c r="V150" s="38" t="str"/>
      <x:c r="W150" s="38" t="str"/>
      <x:c r="X150" s="38" t="str"/>
      <x:c r="Y150" s="38" t="str"/>
      <x:c r="Z150" s="38" t="str"/>
      <x:c r="AA150" s="43" t="str">
        <x:f>IF('Instructions'!$B$3="","",'Instructions'!$B$3)</x:f>
      </x:c>
      <x:c r="AB150" s="43" t="str">
        <x:f>IF(P150="","PENDING",IF('Instructions'!$B$3="","SET_INITIALS",IF(P150="keep",IF(OR(Q150="",R150="",S150="",T150="",U150="",W150=""),"INCOMPLETE_KEEP","COMPLETE"),IF(P150="exclude",IF(OR(V150="",W150=""),"INCOMPLETE_EXCLUDE","COMPLETE"),"NEEDS_CONTEXT"))))</x:f>
        <x:v>PENDING</x:v>
      </x:c>
    </x:row>
    <x:row r="151" ht="62" customHeight="1">
      <x:c r="A151" s="34" t="str">
        <x:v>SV-0148</x:v>
      </x:c>
      <x:c r="B151" s="34" t="str">
        <x:v>the central bank may also wish to impose some limits on the amount that could be held by each individual 
or business</x:v>
      </x:c>
      <x:c r="C151" s="34" t="str"/>
      <x:c r="D151" s="34" t="str"/>
      <x:c r="E151" s="34" t="str"/>
      <x:c r="F151" s="34" t="str">
        <x:v>… to be used primarily for transactions, rather than as a large‑scale 
store of value, remuneration could be tiered such that balances above a certain level pay a lower interest rate or 
no interest at all (Bindseil (2020)). The Bank could also introduce the potential for remuneration by initially 
‘remunerating’ CBDC at zero but leaving open the possibility of applying a non‑zero interest rate in the future.
Design choice 3: Limits
To address the concern that CBDC could lead to a degree of deposit outflow from the banking sector and into 
CBDC, the central bank may also wish to impose some limits on the amount that could be held by each individual 
or business. Setting aside the practicalities of this, limits on individual holdings of CBDC could help ensure that 
CBDC was used primarily for payments balances and not for large savings, reducing the extent of 
disintermediation of the banking system.
A hard limit would specify the total amount of CBDC that each type of user could hold (perhaps with a different 
limit for businesses and individuals). Such a limit would pose some practical challenges. For example, if a user 
reached its CBDC limit, would incoming payments to that account be blocked? In  …</x:v>
      </x:c>
      <x:c r="G151" s="34" t="str">
        <x:v>PRD-0075-P0040-U01</x:v>
      </x:c>
      <x:c r="H151" s="34" t="str"/>
      <x:c r="I151" s="34" t="str">
        <x:v>UK_BoE_2020_OpportChall</x:v>
      </x:c>
      <x:c r="J151" s="34" t="n">
        <x:v>40</x:v>
      </x:c>
      <x:c r="K151" s="34" t="str">
        <x:v>en</x:v>
      </x:c>
      <x:c r="L151" s="34" t="str">
        <x:v>Bank of England and HM Treasury (digital pound)</x:v>
      </x:c>
      <x:c r="M151" s="34" t="str">
        <x:v>Retain the named authority's own CBDC decisions, explicit proposals, requirements, features, and executed findings. Exclude generic context, literature, foreign projects, and stakeholder views not explicitly adopted by the authority.</x:v>
      </x:c>
      <x:c r="N151" s="34" t="str">
        <x:v>text</x:v>
      </x:c>
      <x:c r="O151" s="34" t="str"/>
      <x:c r="P151" s="38" t="str"/>
      <x:c r="Q151" s="38" t="str"/>
      <x:c r="R151" s="38" t="str"/>
      <x:c r="S151" s="38" t="str"/>
      <x:c r="T151" s="38" t="str"/>
      <x:c r="U151" s="38" t="str"/>
      <x:c r="V151" s="38" t="str"/>
      <x:c r="W151" s="38" t="str"/>
      <x:c r="X151" s="38" t="str"/>
      <x:c r="Y151" s="38" t="str"/>
      <x:c r="Z151" s="38" t="str"/>
      <x:c r="AA151" s="43" t="str">
        <x:f>IF('Instructions'!$B$3="","",'Instructions'!$B$3)</x:f>
      </x:c>
      <x:c r="AB151" s="43" t="str">
        <x:f>IF(P151="","PENDING",IF('Instructions'!$B$3="","SET_INITIALS",IF(P151="keep",IF(OR(Q151="",R151="",S151="",T151="",U151="",W151=""),"INCOMPLETE_KEEP","COMPLETE"),IF(P151="exclude",IF(OR(V151="",W151=""),"INCOMPLETE_EXCLUDE","COMPLETE"),"NEEDS_CONTEXT"))))</x:f>
        <x:v>PENDING</x:v>
      </x:c>
    </x:row>
    <x:row r="152" ht="62" customHeight="1">
      <x:c r="A152" s="34" t="str">
        <x:v>SV-0149</x:v>
      </x:c>
      <x:c r="B152" s="34" t="str">
        <x:v>W-Digital 
Rupiah is comparable with reserves in 
central bank. With this quality, w-Digital 
Rupiah held by banks could be included in 
statutory reserve compliance.</x:v>
      </x:c>
      <x:c r="C152" s="34" t="str"/>
      <x:c r="D152" s="34" t="str"/>
      <x:c r="E152" s="34" t="str"/>
      <x:c r="F152" s="34" t="str">
        <x:v>… nd coins, is absent.  
From a monetary standpoint, the impact 
of	Digital	Rupiah	issuance	is	inherently 	
neutral.  As described in sub-chapter 2.2.1, 
the issuance only alters the composition 
of Bank Indonesia’s monetary liabilities, 
without affecting the size of its balance 
sheet. Apart from that, Digital Rupiah does 
not provide remuneration (non-interest 
bearing) to its holders comparable to the 
existing central bank money
30. 
Digital	Rupiah,	as	a	form	of	Bank 	
Indonesia’s liability, is recognized as a 
component	of	base	money	(M0). W-Digital 
Rupiah is comparable with reserves in 
central bank. With this quality, w-Digital 
Rupiah held by banks could be included in 
statutory reserve compliance.</x:v>
      </x:c>
      <x:c r="G152" s="34" t="str">
        <x:v>PRD-0035-P0045-U01</x:v>
      </x:c>
      <x:c r="H152" s="34" t="str"/>
      <x:c r="I152" s="34" t="str">
        <x:v>ID_Indonesia_2022</x:v>
      </x:c>
      <x:c r="J152" s="34" t="n">
        <x:v>45</x:v>
      </x:c>
      <x:c r="K152" s="34" t="str">
        <x:v>en</x:v>
      </x:c>
      <x:c r="L152" s="34" t="str">
        <x:v>Bank Indonesia (Digital Rupiah)</x:v>
      </x:c>
      <x:c r="M152" s="34" t="str">
        <x:v>Retain Bank Indonesia Digital Rupiah decisions, roadmap commitments, features, and requirements.</x:v>
      </x:c>
      <x:c r="N152" s="34" t="str">
        <x:v>text</x:v>
      </x:c>
      <x:c r="O152" s="34" t="str"/>
      <x:c r="P152" s="38" t="str"/>
      <x:c r="Q152" s="38" t="str"/>
      <x:c r="R152" s="38" t="str"/>
      <x:c r="S152" s="38" t="str"/>
      <x:c r="T152" s="38" t="str"/>
      <x:c r="U152" s="38" t="str"/>
      <x:c r="V152" s="38" t="str"/>
      <x:c r="W152" s="38" t="str"/>
      <x:c r="X152" s="38" t="str"/>
      <x:c r="Y152" s="38" t="str"/>
      <x:c r="Z152" s="38" t="str"/>
      <x:c r="AA152" s="43" t="str">
        <x:f>IF('Instructions'!$B$3="","",'Instructions'!$B$3)</x:f>
      </x:c>
      <x:c r="AB152" s="43" t="str">
        <x:f>IF(P152="","PENDING",IF('Instructions'!$B$3="","SET_INITIALS",IF(P152="keep",IF(OR(Q152="",R152="",S152="",T152="",U152="",W152=""),"INCOMPLETE_KEEP","COMPLETE"),IF(P152="exclude",IF(OR(V152="",W152=""),"INCOMPLETE_EXCLUDE","COMPLETE"),"NEEDS_CONTEXT"))))</x:f>
        <x:v>PENDING</x:v>
      </x:c>
    </x:row>
    <x:row r="153" ht="62" customHeight="1">
      <x:c r="A153" s="34" t="str">
        <x:v>SV-0150</x:v>
      </x:c>
      <x:c r="B153" s="34" t="str">
        <x:v>The digital wallet would be provided by designated private service providers that are 
certified or licensed by the central bank.</x:v>
      </x:c>
      <x:c r="C153" s="34" t="str"/>
      <x:c r="D153" s="34" t="str"/>
      <x:c r="E153" s="34" t="str"/>
      <x:c r="F153" s="34" t="str">
        <x:v>… l bank does not charge fees for distributing/exchanging or storing CBDC, or 
for making payments using CBDC.  
• Commercial banks could, however, decide to charge fees for services related to CBDC.  
Access to CBDC 
• Access is non-exclusive—anyone could use the CBDC —but access to related technology 
is required.  
• CBDC is held and transferred with a chip card or a digital wallet available to any person 
or firm with the technology, through various devices, including personal computers, 
tablets and mobile phones with online capability.  
• The digital wallet would be provided by designated private service providers that are 
certified or licensed by the central bank. 
• As noted above, the underlying technology (like a digital ledger) is not specified here.  
15 The definition of legal tender varies across jurisdictions. In Canada, legal tender refers to the money approved for 
paying debts. And while bank notes are legal tender in Canada, there is no legal obligation for merchants to accept 
them.</x:v>
      </x:c>
      <x:c r="G153" s="34" t="str">
        <x:v>PRD-0013-P0013-U01</x:v>
      </x:c>
      <x:c r="H153" s="34" t="str"/>
      <x:c r="I153" s="34" t="str">
        <x:v>CA_BoC_2017</x:v>
      </x:c>
      <x:c r="J153" s="34" t="n">
        <x:v>13</x:v>
      </x:c>
      <x:c r="K153" s="34" t="str">
        <x:v>en</x:v>
      </x:c>
      <x:c r="L153" s="34" t="str">
        <x:v>Bank of Canada</x:v>
      </x:c>
      <x:c r="M153" s="34" t="str">
        <x:v>Research or joint-project source: retain only executed own-project findings or concrete CBDC conclusions explicitly attributed to the named authority. Exclude author assumptions, literature, external examples, and unadopted proposals.</x:v>
      </x:c>
      <x:c r="N153" s="34" t="str">
        <x:v>text</x:v>
      </x:c>
      <x:c r="O153" s="34" t="str"/>
      <x:c r="P153" s="38" t="str"/>
      <x:c r="Q153" s="38" t="str"/>
      <x:c r="R153" s="38" t="str"/>
      <x:c r="S153" s="38" t="str"/>
      <x:c r="T153" s="38" t="str"/>
      <x:c r="U153" s="38" t="str"/>
      <x:c r="V153" s="38" t="str"/>
      <x:c r="W153" s="38" t="str"/>
      <x:c r="X153" s="38" t="str"/>
      <x:c r="Y153" s="38" t="str"/>
      <x:c r="Z153" s="38" t="str"/>
      <x:c r="AA153" s="43" t="str">
        <x:f>IF('Instructions'!$B$3="","",'Instructions'!$B$3)</x:f>
      </x:c>
      <x:c r="AB153" s="43" t="str">
        <x:f>IF(P153="","PENDING",IF('Instructions'!$B$3="","SET_INITIALS",IF(P153="keep",IF(OR(Q153="",R153="",S153="",T153="",U153="",W153=""),"INCOMPLETE_KEEP","COMPLETE"),IF(P153="exclude",IF(OR(V153="",W153=""),"INCOMPLETE_EXCLUDE","COMPLETE"),"NEEDS_CONTEXT"))))</x:f>
        <x:v>PENDING</x:v>
      </x:c>
    </x:row>
    <x:row r="154" ht="62" customHeight="1">
      <x:c r="A154" s="34" t="str">
        <x:v>SV-0151</x:v>
      </x:c>
      <x:c r="B154" s="34" t="str">
        <x:v>An intermediary organization 
can play the role of an access point for the CBDC: it may own a private 
registry of identities that maps positions in the TIPS+ system or provide a  
value-added service for the storage of private keys on users’ behalf.</x:v>
      </x:c>
      <x:c r="C154" s="34" t="str"/>
      <x:c r="D154" s="34" t="str"/>
      <x:c r="E154" s="34" t="str"/>
      <x:c r="F154" s="34" t="str">
        <x:v>…  in 
the central system is the only information that TIPS+ needs to work properly. 
Moreover, to effectively remunerate positions and set limits on holdings at 
the centralized level, one should make sure that users can only hold a single 
position in the system. This can be achieved, for instance, by enhancing the 
TIPS+ platform with a centralized directory used to identify the same entity 
across different gatekeepers.
TIPS+ does not place any technical constraint regarding forms of intermediation, 
such as settlement agents or gatekeepers. An intermediary organization 
can play the role of an access point for the CBDC: it may own a private 
registry of identities that maps positions in the TIPS+ system or provide a  
value-added service for the storage of private keys on users’ behalf. For instance, 
gatekeepers could create some technical positions linked to prepaid services 
(physical cards or token-based mechanisms). Customers can buy these prepaid 
services from their intermediaries or authorized shops (users’ identities may or 
may not be traceable, depending on the policymaker’s preferences). Services 
of this kind can favour the inclusion of the unbanked and allow the usage of 
the D€ by non-resident people in the euro zone, similar to current currency 
exchange offices. 
Intermediaries provide access to the central p …</x:v>
      </x:c>
      <x:c r="G154" s="34" t="str">
        <x:v>PRD-0042-P0026-U01</x:v>
      </x:c>
      <x:c r="H154" s="34" t="str"/>
      <x:c r="I154" s="34" t="str">
        <x:v>IT_BdI_MISP_2021</x:v>
      </x:c>
      <x:c r="J154" s="34" t="n">
        <x:v>26</x:v>
      </x:c>
      <x:c r="K154" s="34" t="str">
        <x:v>en</x:v>
      </x:c>
      <x:c r="L154" s="34" t="str">
        <x:v>Banca d'Italia research context</x:v>
      </x:c>
      <x:c r="M154" s="34" t="str">
        <x:v>This research paper is not automatically an issuer commitment. Retain only Banca d'Italia own-project results or explicit institutional positions; exclude literature and model assumptions.</x:v>
      </x:c>
      <x:c r="N154" s="34" t="str">
        <x:v>text</x:v>
      </x:c>
      <x:c r="O154" s="34" t="str"/>
      <x:c r="P154" s="38" t="str"/>
      <x:c r="Q154" s="38" t="str"/>
      <x:c r="R154" s="38" t="str"/>
      <x:c r="S154" s="38" t="str"/>
      <x:c r="T154" s="38" t="str"/>
      <x:c r="U154" s="38" t="str"/>
      <x:c r="V154" s="38" t="str"/>
      <x:c r="W154" s="38" t="str"/>
      <x:c r="X154" s="38" t="str"/>
      <x:c r="Y154" s="38" t="str"/>
      <x:c r="Z154" s="38" t="str"/>
      <x:c r="AA154" s="43" t="str">
        <x:f>IF('Instructions'!$B$3="","",'Instructions'!$B$3)</x:f>
      </x:c>
      <x:c r="AB154" s="43" t="str">
        <x:f>IF(P154="","PENDING",IF('Instructions'!$B$3="","SET_INITIALS",IF(P154="keep",IF(OR(Q154="",R154="",S154="",T154="",U154="",W154=""),"INCOMPLETE_KEEP","COMPLETE"),IF(P154="exclude",IF(OR(V154="",W154=""),"INCOMPLETE_EXCLUDE","COMPLETE"),"NEEDS_CONTEXT"))))</x:f>
        <x:v>PENDING</x:v>
      </x:c>
    </x:row>
    <x:row r="155" ht="62" customHeight="1">
      <x:c r="A155" s="34" t="str">
        <x:v>SV-0152</x:v>
      </x:c>
      <x:c r="B155" s="34" t="str">
        <x:v>The 
outcome of the pilot projects has not changed the position of the CBE in this 
regard, meaning that the CBE still aims to design a potential Digital Lilangeni as 
a non-interest bearing CBDC with legal tender status.</x:v>
      </x:c>
      <x:c r="C155" s="34" t="str"/>
      <x:c r="D155" s="34" t="str"/>
      <x:c r="E155" s="34" t="str"/>
      <x:c r="F155" s="34" t="str">
        <x:v>… ing on both 
online and offline solutions. This should enable every Eswatini citizen to access 
the potential Digital Lilangeni, thus making it a fully financial inclusive means of 
payment. Furthermore, although it was not tested during the pilot projects, the 
CBE still considers the value of the CBDC integration into a USSD based system 
for any further potential CBDC engagement.  
• Non-interest bearing and legal tender: The pilot project tested a non -interest 
bearing Digital Lilangeni which should act as a legal tender in the country. The 
outcome of the pilot projects has not changed the position of the CBE in this 
regard, meaning that the CBE still aims to design a potential Digital Lilangeni as 
a non-interest bearing CBDC with legal tender status.</x:v>
      </x:c>
      <x:c r="G155" s="34" t="str">
        <x:v>PRD-0069-P0036-U01</x:v>
      </x:c>
      <x:c r="H155" s="34" t="str"/>
      <x:c r="I155" s="34" t="str">
        <x:v>SZ_Eswatini_2024-Fintech-Digital-Lilangeni-Design-Paper</x:v>
      </x:c>
      <x:c r="J155" s="34" t="n">
        <x:v>36</x:v>
      </x:c>
      <x:c r="K155" s="34" t="str">
        <x:v>en</x:v>
      </x:c>
      <x:c r="L155" s="34" t="str">
        <x:v>Central Bank of Eswatini (Digital Lilangeni)</x:v>
      </x:c>
      <x:c r="M155" s="34" t="str">
        <x:v>Retain Central Bank of Eswatini design decisions, proposals, features, and requirements; use the supplied render when text is sparse.</x:v>
      </x:c>
      <x:c r="N155" s="34" t="str">
        <x:v>text</x:v>
      </x:c>
      <x:c r="O155" s="34" t="str"/>
      <x:c r="P155" s="38" t="str"/>
      <x:c r="Q155" s="38" t="str"/>
      <x:c r="R155" s="38" t="str"/>
      <x:c r="S155" s="38" t="str"/>
      <x:c r="T155" s="38" t="str"/>
      <x:c r="U155" s="38" t="str"/>
      <x:c r="V155" s="38" t="str"/>
      <x:c r="W155" s="38" t="str"/>
      <x:c r="X155" s="38" t="str"/>
      <x:c r="Y155" s="38" t="str"/>
      <x:c r="Z155" s="38" t="str"/>
      <x:c r="AA155" s="43" t="str">
        <x:f>IF('Instructions'!$B$3="","",'Instructions'!$B$3)</x:f>
      </x:c>
      <x:c r="AB155" s="43" t="str">
        <x:f>IF(P155="","PENDING",IF('Instructions'!$B$3="","SET_INITIALS",IF(P155="keep",IF(OR(Q155="",R155="",S155="",T155="",U155="",W155=""),"INCOMPLETE_KEEP","COMPLETE"),IF(P155="exclude",IF(OR(V155="",W155=""),"INCOMPLETE_EXCLUDE","COMPLETE"),"NEEDS_CONTEXT"))))</x:f>
        <x:v>PENDING</x:v>
      </x:c>
    </x:row>
    <x:row r="156" ht="62" customHeight="1">
      <x:c r="A156" s="34" t="str">
        <x:v>SV-0153</x:v>
      </x:c>
      <x:c r="B156" s="34" t="str">
        <x:v>Fewer inter -system 
interactions may result in 
better settlement throughput 
and latency (no on - or off -
ramping into or out of 
tokenised money, and no 
interchange between different 
money tokens – interchange of 
commercial bank money 
occurs through existing highly 
performant infrastructure )</x:v>
      </x:c>
      <x:c r="C156" s="34" t="str"/>
      <x:c r="D156" s="34" t="str"/>
      <x:c r="E156" s="34" t="str"/>
      <x:c r="F156" s="34" t="str">
        <x:v>…  settlement using 
DTs, interchange of DTs 
occurs off the asset platform 
using ESA balances  
Money and assets on same 
platform, DvP settlement using 
DTs, interchange is facilitated 
by a third -party holding liquidity 
in both  DTs 
Money and assets on same 
platform, DvP settlement using 
DTs, interchange also occurs 
on the asset platform using 
wCBDC or RBDC 
Summary of 
findings  
Makes greater use of existing 
infrastructure (e.g. FSS, ESAs) 
Less likely to require significant 
changes to regulation or policy 
(e.g. access to ESAs)  
Fewer inter -system 
interactions may result in 
better settlement throughput 
and latency (no on - or off -
ramping into or out of 
tokenised money, and no 
interchange between different 
money tokens – interchange of 
commercial bank money 
occurs through existing highly 
performant infrastructure ) 
Atomic settlement is more 
difficult to achieve (or 
infeasible)  given money and 
assets on different platforms  
Unable to support more 
complex use cases (e.g., 
AMM) which rely on money 
and assets being on the same 
platform  
Changes the central bank’s 
role from operator of a 
centralised infrastructure to 
issuer of wCBDC on third-party 
platform (s) 
More likely to require 
significant changes to 
regulation and/ or policy (e.g. 
who can hold wCBDC , 
requirements for third -party 
platform providers ) 
Fragments commercial banks’ 
l …</x:v>
      </x:c>
      <x:c r="G156" s="34" t="str">
        <x:v>PRD-0007-P0040-U01</x:v>
      </x:c>
      <x:c r="H156" s="34" t="str"/>
      <x:c r="I156" s="34" t="str">
        <x:v>AU_RBA_003</x:v>
      </x:c>
      <x:c r="J156" s="34" t="n">
        <x:v>40</x:v>
      </x:c>
      <x:c r="K156" s="34" t="str">
        <x:v>en</x:v>
      </x:c>
      <x:c r="L156" s="34" t="str">
        <x:v>Reserve Bank of Australia and Digital Finance CRC (Project Acacia)</x:v>
      </x:c>
      <x:c r="M156" s="34" t="str">
        <x:v>Retain official Project Acacia design choices, requirements, and executed results. Exclude general tokenisation context and unadopted respondent suggestions.</x:v>
      </x:c>
      <x:c r="N156" s="34" t="str">
        <x:v>text</x:v>
      </x:c>
      <x:c r="O156" s="34" t="str"/>
      <x:c r="P156" s="38" t="str"/>
      <x:c r="Q156" s="38" t="str"/>
      <x:c r="R156" s="38" t="str"/>
      <x:c r="S156" s="38" t="str"/>
      <x:c r="T156" s="38" t="str"/>
      <x:c r="U156" s="38" t="str"/>
      <x:c r="V156" s="38" t="str"/>
      <x:c r="W156" s="38" t="str"/>
      <x:c r="X156" s="38" t="str"/>
      <x:c r="Y156" s="38" t="str"/>
      <x:c r="Z156" s="38" t="str"/>
      <x:c r="AA156" s="43" t="str">
        <x:f>IF('Instructions'!$B$3="","",'Instructions'!$B$3)</x:f>
      </x:c>
      <x:c r="AB156" s="43" t="str">
        <x:f>IF(P156="","PENDING",IF('Instructions'!$B$3="","SET_INITIALS",IF(P156="keep",IF(OR(Q156="",R156="",S156="",T156="",U156="",W156=""),"INCOMPLETE_KEEP","COMPLETE"),IF(P156="exclude",IF(OR(V156="",W156=""),"INCOMPLETE_EXCLUDE","COMPLETE"),"NEEDS_CONTEXT"))))</x:f>
        <x:v>PENDING</x:v>
      </x:c>
    </x:row>
    <x:row r="157" ht="62" customHeight="1">
      <x:c r="A157" s="34" t="str">
        <x:v>SV-0154</x:v>
      </x:c>
      <x:c r="B157" s="34" t="str">
        <x:v>Uniform: A CBDC should be exchanged 1:1 with cash and support the NZD as our single unit of 
account.</x:v>
      </x:c>
      <x:c r="C157" s="34" t="str"/>
      <x:c r="D157" s="34" t="str"/>
      <x:c r="E157" s="34" t="str"/>
      <x:c r="F157" s="34" t="str">
        <x:v>… to all.  
This Issues paper describes how a CBDC could contribute to the Reserve Bank’s stewardship 
objectives but how it could also present several significant risks and challenges. The opportunities 
and challenges of an abstract CBDC have led the Reserve Bank towards a set of high-level design 
principles. These principles provide an indication of what a future CBDC might need to look like 
and can be used as a guide for future investigations. The principles are summarised below. 
Table 4: CBDC design principles 
CBDC design principles 
1. Uniform: A CBDC should be exchanged 1:1 with cash and support the NZD as our single unit of 
account. 
2. Universal: A CBDC should provide low-cost, basic saving and payments to all households, including 
those that are financially and digitally excluded.  
3. Cash-like: A CBDC should facilitate autonomy and privacy in paying and saving, provide a personal 
back-up form of payment, and enable peer-to-peer payments. 
4. Innovative: A CBDC should be modern, be interoperable and drive innovation in New Zealand’s 
money and payments ecosystem, and provide a potential new monetary policy tool. 
5. Integrity: A CBDC should be unquestionably operatio …</x:v>
      </x:c>
      <x:c r="G157" s="34" t="str">
        <x:v>PRD-0057-P0034-U01</x:v>
      </x:c>
      <x:c r="H157" s="34" t="str"/>
      <x:c r="I157" s="34" t="str">
        <x:v>NZ_RBNZ_CBDCIssuesPaper_2021</x:v>
      </x:c>
      <x:c r="J157" s="34" t="n">
        <x:v>34</x:v>
      </x:c>
      <x:c r="K157" s="34" t="str">
        <x:v>en</x:v>
      </x:c>
      <x:c r="L157" s="34" t="str">
        <x:v>Reserve Bank of New Zealand</x:v>
      </x:c>
      <x:c r="M157" s="34" t="str">
        <x:v>Retain the named authority's own CBDC decisions, explicit proposals, requirements, features, and executed findings. Exclude generic context, literature, foreign projects, and stakeholder views not explicitly adopted by the authority.</x:v>
      </x:c>
      <x:c r="N157" s="34" t="str">
        <x:v>text</x:v>
      </x:c>
      <x:c r="O157" s="34" t="str"/>
      <x:c r="P157" s="38" t="str"/>
      <x:c r="Q157" s="38" t="str"/>
      <x:c r="R157" s="38" t="str"/>
      <x:c r="S157" s="38" t="str"/>
      <x:c r="T157" s="38" t="str"/>
      <x:c r="U157" s="38" t="str"/>
      <x:c r="V157" s="38" t="str"/>
      <x:c r="W157" s="38" t="str"/>
      <x:c r="X157" s="38" t="str"/>
      <x:c r="Y157" s="38" t="str"/>
      <x:c r="Z157" s="38" t="str"/>
      <x:c r="AA157" s="43" t="str">
        <x:f>IF('Instructions'!$B$3="","",'Instructions'!$B$3)</x:f>
      </x:c>
      <x:c r="AB157" s="43" t="str">
        <x:f>IF(P157="","PENDING",IF('Instructions'!$B$3="","SET_INITIALS",IF(P157="keep",IF(OR(Q157="",R157="",S157="",T157="",U157="",W157=""),"INCOMPLETE_KEEP","COMPLETE"),IF(P157="exclude",IF(OR(V157="",W157=""),"INCOMPLETE_EXCLUDE","COMPLETE"),"NEEDS_CONTEXT"))))</x:f>
        <x:v>PENDING</x:v>
      </x:c>
    </x:row>
    <x:row r="158" ht="62" customHeight="1">
      <x:c r="A158" s="34" t="str">
        <x:v>SV-0155</x:v>
      </x:c>
      <x:c r="B158" s="34" t="str">
        <x:v>Rationale:RBNZ’s initial preference is interoperability with existing payments systems.</x:v>
      </x:c>
      <x:c r="C158" s="34" t="str"/>
      <x:c r="D158" s="34" t="str"/>
      <x:c r="E158" s="34" t="str"/>
      <x:c r="F158" s="34" t="str">
        <x:v>9. INTEROPERABILITY WITH EXISTING PAYMENT SYSTEMS 
Stand alone ecosystemDeeply integrated with other payment ecosystems via APIs Harmonised with existing payment systems
Rationale:RBNZ’s initial preference is interoperability with existing payments systems. A standalone CBDC ecosystem may inhibit competition and may not help RBNZ’s objective of market-led innovation for the CBDC system.The following scenarios could be explored to enable interoperability between a CBDC system and existing payments systems:•Integrating with existing payment systems via APIs.•An intermediary institution required to integrate between the CBDC system and the existing payments ecosystem.
10. REVERSALS WHEN USING CBDCCBDC Platform allows users to carry out reversals Reversals are not possible - but tools are used to min …</x:v>
      </x:c>
      <x:c r="G158" s="34" t="str">
        <x:v>PRD-0058-P0045-U01</x:v>
      </x:c>
      <x:c r="H158" s="34" t="str"/>
      <x:c r="I158" s="34" t="str">
        <x:v>NZ_RBNZ_cbdc-insights-dossier-for-public-1</x:v>
      </x:c>
      <x:c r="J158" s="34" t="n">
        <x:v>45</x:v>
      </x:c>
      <x:c r="K158" s="34" t="str">
        <x:v>en</x:v>
      </x:c>
      <x:c r="L158" s="34" t="str">
        <x:v>Reserve Bank of New Zealand (digital cash/CBDC)</x:v>
      </x:c>
      <x:c r="M158" s="34" t="str">
        <x:v>Mixed workshop dossier: retain only text expressly labelled RBNZ initial preference or RBNZ workshopped preference. Exclude Accenture initial answers, questions, option tables, and unadopted participant material.</x:v>
      </x:c>
      <x:c r="N158" s="34" t="str">
        <x:v>text</x:v>
      </x:c>
      <x:c r="O158" s="34" t="str"/>
      <x:c r="P158" s="38" t="str"/>
      <x:c r="Q158" s="38" t="str"/>
      <x:c r="R158" s="38" t="str"/>
      <x:c r="S158" s="38" t="str"/>
      <x:c r="T158" s="38" t="str"/>
      <x:c r="U158" s="38" t="str"/>
      <x:c r="V158" s="38" t="str"/>
      <x:c r="W158" s="38" t="str"/>
      <x:c r="X158" s="38" t="str"/>
      <x:c r="Y158" s="38" t="str"/>
      <x:c r="Z158" s="38" t="str"/>
      <x:c r="AA158" s="43" t="str">
        <x:f>IF('Instructions'!$B$3="","",'Instructions'!$B$3)</x:f>
      </x:c>
      <x:c r="AB158" s="43" t="str">
        <x:f>IF(P158="","PENDING",IF('Instructions'!$B$3="","SET_INITIALS",IF(P158="keep",IF(OR(Q158="",R158="",S158="",T158="",U158="",W158=""),"INCOMPLETE_KEEP","COMPLETE"),IF(P158="exclude",IF(OR(V158="",W158=""),"INCOMPLETE_EXCLUDE","COMPLETE"),"NEEDS_CONTEXT"))))</x:f>
        <x:v>PENDING</x:v>
      </x:c>
    </x:row>
    <x:row r="159" ht="62" customHeight="1">
      <x:c r="A159" s="34" t="str">
        <x:v>SV-0156</x:v>
      </x:c>
      <x:c r="B159" s="34" t="str">
        <x:v>The system will support the participation of various types of FIs, whether or not they are connected 
to the RTGS system.</x:v>
      </x:c>
      <x:c r="C159" s="34" t="str"/>
      <x:c r="D159" s="34" t="str"/>
      <x:c r="E159" s="34" t="str"/>
      <x:c r="F159" s="34" t="str">
        <x:v>The Bank of Israel Steering Committee 
on the Potential Issuance of a Digital Shekel 
36 
• The system will support the participation of various types of FIs, whether or not they are connected 
to the RTGS system. 
• The activity of an ASP participant on the basis of the proposed functionality in the digital shekel  
system will be limited to a small number of operations, with the goal of minimizing the regulatory 
and technological burden on such participants within the system. 
• The system will be designed in such a way that it strives, as much as possible, to establis h the 
necessary communication between system participants for preliminary or complementary activities 
to those carried out on the digital shekel platform (checking the balance in an  …</x:v>
      </x:c>
      <x:c r="G159" s="34" t="str">
        <x:v>PRD-0039-P0036-U01</x:v>
      </x:c>
      <x:c r="H159" s="34" t="str"/>
      <x:c r="I159" s="34" t="str">
        <x:v>IL_Israel_#U05d0#U05e8#U05db#U05d9#U05d8#U05e7#U05d8#U05d5#U05e8#U05d4-#U05dc#U05d5#U05d2#U05d9#U05ea-#U05d0#U05e0#U05d2#U05dc#U05d9#U05ea.pdf</x:v>
      </x:c>
      <x:c r="J159" s="34" t="n">
        <x:v>36</x:v>
      </x:c>
      <x:c r="K159" s="34" t="str">
        <x:v>en</x:v>
      </x:c>
      <x:c r="L159" s="34" t="str">
        <x:v>Bank of Israel (digital shekel)</x:v>
      </x:c>
      <x:c r="M159" s="34" t="str">
        <x:v>Retain Bank of Israel digital-shekel proposals, preferences, features, and requirements. Exclude figure fragments without a complete claim.</x:v>
      </x:c>
      <x:c r="N159" s="34" t="str">
        <x:v>text</x:v>
      </x:c>
      <x:c r="O159" s="34" t="str"/>
      <x:c r="P159" s="38" t="str"/>
      <x:c r="Q159" s="38" t="str"/>
      <x:c r="R159" s="38" t="str"/>
      <x:c r="S159" s="38" t="str"/>
      <x:c r="T159" s="38" t="str"/>
      <x:c r="U159" s="38" t="str"/>
      <x:c r="V159" s="38" t="str"/>
      <x:c r="W159" s="38" t="str"/>
      <x:c r="X159" s="38" t="str"/>
      <x:c r="Y159" s="38" t="str"/>
      <x:c r="Z159" s="38" t="str"/>
      <x:c r="AA159" s="43" t="str">
        <x:f>IF('Instructions'!$B$3="","",'Instructions'!$B$3)</x:f>
      </x:c>
      <x:c r="AB159" s="43" t="str">
        <x:f>IF(P159="","PENDING",IF('Instructions'!$B$3="","SET_INITIALS",IF(P159="keep",IF(OR(Q159="",R159="",S159="",T159="",U159="",W159=""),"INCOMPLETE_KEEP","COMPLETE"),IF(P159="exclude",IF(OR(V159="",W159=""),"INCOMPLETE_EXCLUDE","COMPLETE"),"NEEDS_CONTEXT"))))</x:f>
        <x:v>PENDING</x:v>
      </x:c>
    </x:row>
    <x:row r="160" ht="62" customHeight="1">
      <x:c r="A160" s="34" t="str">
        <x:v>SV-0157</x:v>
      </x:c>
      <x:c r="B160" s="34" t="str">
        <x:v>The ability to utilise the analytics on aggregate retail payment data opens up new 
opportunities for the CBE in financial stability and monetary policy.</x:v>
      </x:c>
      <x:c r="C160" s="34" t="str"/>
      <x:c r="D160" s="34" t="str"/>
      <x:c r="E160" s="34" t="str"/>
      <x:c r="F160" s="34" t="str">
        <x:v>Digital Lilangeni Design Paper 
 10 
The Digital Lilangeni can also provide interoperability of new and existing financial service 
providers, payment aggregators, third party providers and fintech companies in Eswatini. 
As a central platform, both physical (i.e., cash) and electronic (i.e., m obile money) 
payments can be channelled and linked by the Digital Lilangeni.  
The ability to utilise the analytics on aggregate retail payment data opens up new 
opportunities for the CBE in financial stability and monetary policy. The availability of 
holistic data, keeping end users’ privacy in utmost respect, allows the Central Ban k to 
respond to market events more quickly and provide better -informed analysis for policy 
decisions.  
3. Current payment landscape in Eswatini 
The design of an effective CBDC ecosystem is based on a deep understanding of the 
current payment system in a country. It is important to understand the initiatives, 
strategies, as well as challenges and opportunities to create the appropriate CBDC design, 
which is outlined in this section …</x:v>
      </x:c>
      <x:c r="G160" s="34" t="str">
        <x:v>PRD-0069-P0011-U01</x:v>
      </x:c>
      <x:c r="H160" s="34" t="str"/>
      <x:c r="I160" s="34" t="str">
        <x:v>SZ_Eswatini_2024-Fintech-Digital-Lilangeni-Design-Paper</x:v>
      </x:c>
      <x:c r="J160" s="34" t="n">
        <x:v>11</x:v>
      </x:c>
      <x:c r="K160" s="34" t="str">
        <x:v>en</x:v>
      </x:c>
      <x:c r="L160" s="34" t="str">
        <x:v>Central Bank of Eswatini (Digital Lilangeni)</x:v>
      </x:c>
      <x:c r="M160" s="34" t="str">
        <x:v>Retain Central Bank of Eswatini design decisions, proposals, features, and requirements; use the supplied render when text is sparse.</x:v>
      </x:c>
      <x:c r="N160" s="34" t="str">
        <x:v>text</x:v>
      </x:c>
      <x:c r="O160" s="34" t="str"/>
      <x:c r="P160" s="38" t="str"/>
      <x:c r="Q160" s="38" t="str"/>
      <x:c r="R160" s="38" t="str"/>
      <x:c r="S160" s="38" t="str"/>
      <x:c r="T160" s="38" t="str"/>
      <x:c r="U160" s="38" t="str"/>
      <x:c r="V160" s="38" t="str"/>
      <x:c r="W160" s="38" t="str"/>
      <x:c r="X160" s="38" t="str"/>
      <x:c r="Y160" s="38" t="str"/>
      <x:c r="Z160" s="38" t="str"/>
      <x:c r="AA160" s="43" t="str">
        <x:f>IF('Instructions'!$B$3="","",'Instructions'!$B$3)</x:f>
      </x:c>
      <x:c r="AB160" s="43" t="str">
        <x:f>IF(P160="","PENDING",IF('Instructions'!$B$3="","SET_INITIALS",IF(P160="keep",IF(OR(Q160="",R160="",S160="",T160="",U160="",W160=""),"INCOMPLETE_KEEP","COMPLETE"),IF(P160="exclude",IF(OR(V160="",W160=""),"INCOMPLETE_EXCLUDE","COMPLETE"),"NEEDS_CONTEXT"))))</x:f>
        <x:v>PENDING</x:v>
      </x:c>
    </x:row>
    <x:row r="161" ht="62" customHeight="1">
      <x:c r="A161" s="34" t="str">
        <x:v>SV-0158</x:v>
      </x:c>
      <x:c r="B161" s="34" t="str">
        <x:v>When clients make payments on the CBDC platform, confidentiality restrictions may be established 
which imply that banks / financial intermediaries (models C and D) only have access to identification 
information about customers’ wallets and not about the purpose and destination of payments made 
by customers using their CBDC wallets.</x:v>
      </x:c>
      <x:c r="C161" s="34" t="str"/>
      <x:c r="D161" s="34" t="str"/>
      <x:c r="E161" s="34" t="str"/>
      <x:c r="F161" s="34" t="str">
        <x:v>31
A Digital Ruble
October 2020
4. Models and mechanisms for implementing  
a central bank digital currency
4.3. CONFIDENTIALITY
Confidentiality requires persons who have access to certain information not to pass such 
information to third parties without the consent of its owner.
When clients make payments on the CBDC platform, confidentiality restrictions may be established 
which imply that banks / financial intermediaries (models C and D) only have access to identification 
information about customers’ wallets and not about the purpose and destination of payments made 
by customers using their CBDC wallets.
The CBDC infrastructure guarantees the confidentiality of information for users but does not imply 
the anonymity of transactions. They require identification, and the data is recorded on the central 
bank’s platform. Payments and settlements in the CBDC system are not completely anonymous 
in the sense of anonymity of cash: for example, when cash changes hands or is used for payment 
in a shop (in this case, the personal information about the payer is not present anywhere). In this 
context, payments with a CBDC are similar to the already ver …</x:v>
      </x:c>
      <x:c r="G161" s="34" t="str">
        <x:v>PRD-0064-P0032-U01</x:v>
      </x:c>
      <x:c r="H161" s="34" t="str"/>
      <x:c r="I161" s="34" t="str">
        <x:v>RU_Russia_consultation_paper_201013</x:v>
      </x:c>
      <x:c r="J161" s="34" t="n">
        <x:v>32</x:v>
      </x:c>
      <x:c r="K161" s="34" t="str">
        <x:v>en</x:v>
      </x:c>
      <x:c r="L161" s="34" t="str">
        <x:v>Bank of Russia (digital ruble)</x:v>
      </x:c>
      <x:c r="M161" s="34" t="str">
        <x:v>Retain explicit Bank of Russia proposals, preferences, and requirements. Exclude open questions and future research without a position.</x:v>
      </x:c>
      <x:c r="N161" s="34" t="str">
        <x:v>text</x:v>
      </x:c>
      <x:c r="O161" s="34" t="str"/>
      <x:c r="P161" s="38" t="str"/>
      <x:c r="Q161" s="38" t="str"/>
      <x:c r="R161" s="38" t="str"/>
      <x:c r="S161" s="38" t="str"/>
      <x:c r="T161" s="38" t="str"/>
      <x:c r="U161" s="38" t="str"/>
      <x:c r="V161" s="38" t="str"/>
      <x:c r="W161" s="38" t="str"/>
      <x:c r="X161" s="38" t="str"/>
      <x:c r="Y161" s="38" t="str"/>
      <x:c r="Z161" s="38" t="str"/>
      <x:c r="AA161" s="43" t="str">
        <x:f>IF('Instructions'!$B$3="","",'Instructions'!$B$3)</x:f>
      </x:c>
      <x:c r="AB161" s="43" t="str">
        <x:f>IF(P161="","PENDING",IF('Instructions'!$B$3="","SET_INITIALS",IF(P161="keep",IF(OR(Q161="",R161="",S161="",T161="",U161="",W161=""),"INCOMPLETE_KEEP","COMPLETE"),IF(P161="exclude",IF(OR(V161="",W161=""),"INCOMPLETE_EXCLUDE","COMPLETE"),"NEEDS_CONTEXT"))))</x:f>
        <x:v>PENDING</x:v>
      </x:c>
    </x:row>
    <x:row r="162" ht="62" customHeight="1">
      <x:c r="A162" s="34" t="str">
        <x:v>SV-0159</x:v>
      </x:c>
      <x:c r="B162" s="34" t="str">
        <x:v>To improve the user friendliness of this model, 
users would only see account balances at intermediaries serving them, and the intermediaries would 
manage UTXO transactions for the users.</x:v>
      </x:c>
      <x:c r="C162" s="34" t="str"/>
      <x:c r="D162" s="34" t="str"/>
      <x:c r="E162" s="34" t="str"/>
      <x:c r="F162" s="34" t="str">
        <x:v>… tail 
system originated from.  This traceabi lity of UTXO transactions would allow an intermediary to 
distinguish e-money issued by different issuers.  Should an issuer become insolvent, an e -money 
owner (possibly with the help from the validator infrastructure) showing a transaction chain could 
prove his ownership of the backing assets, thereby allowing the central bank to honour claims.  The 
same would apply to CBDC in the intermediated model.  However, it could be relatively difficult 
for people to work directly on UTXO transactions.  To improve the user friendliness of this model, 
users would only see account balances at intermediaries serving them, and the intermediaries would 
manage UTXO transactions for the users. 
Alice is a customer of Bank X and holds a CBDC account balance at Bank X.  Bob is a customer of Bank Y and holds a CBDC account balance at Bank Y.  If Alice 
pays to Bob, Bank X will help her form a payment transaction in UTXO format and send it for endorsement signature by the validator infrastructure.  Then Bank X 
will debit Alice’s CBDC account balance and send the validated payment transaction to Bank Y.  Bank Y will help Bob to verify the content and signatures of the 
received payment transaction.  If the verification goes well,  …</x:v>
      </x:c>
      <x:c r="G162" s="34" t="str">
        <x:v>PRD-0032-P0030-U01</x:v>
      </x:c>
      <x:c r="H162" s="34" t="str"/>
      <x:c r="I162" s="34" t="str">
        <x:v>HK_HKMA_2021</x:v>
      </x:c>
      <x:c r="J162" s="34" t="n">
        <x:v>30</x:v>
      </x:c>
      <x:c r="K162" s="34" t="str">
        <x:v>en</x:v>
      </x:c>
      <x:c r="L162" s="34" t="str">
        <x:v>Hong Kong Monetary Authority (e-HKD)</x:v>
      </x:c>
      <x:c r="M162" s="34" t="str">
        <x:v>Retain HKMA e-HKD positions and architecture claims. A disclaimer that a study is not a final blueprint is not itself a design conclusion.</x:v>
      </x:c>
      <x:c r="N162" s="34" t="str">
        <x:v>text</x:v>
      </x:c>
      <x:c r="O162" s="34" t="str"/>
      <x:c r="P162" s="38" t="str"/>
      <x:c r="Q162" s="38" t="str"/>
      <x:c r="R162" s="38" t="str"/>
      <x:c r="S162" s="38" t="str"/>
      <x:c r="T162" s="38" t="str"/>
      <x:c r="U162" s="38" t="str"/>
      <x:c r="V162" s="38" t="str"/>
      <x:c r="W162" s="38" t="str"/>
      <x:c r="X162" s="38" t="str"/>
      <x:c r="Y162" s="38" t="str"/>
      <x:c r="Z162" s="38" t="str"/>
      <x:c r="AA162" s="43" t="str">
        <x:f>IF('Instructions'!$B$3="","",'Instructions'!$B$3)</x:f>
      </x:c>
      <x:c r="AB162" s="43" t="str">
        <x:f>IF(P162="","PENDING",IF('Instructions'!$B$3="","SET_INITIALS",IF(P162="keep",IF(OR(Q162="",R162="",S162="",T162="",U162="",W162=""),"INCOMPLETE_KEEP","COMPLETE"),IF(P162="exclude",IF(OR(V162="",W162=""),"INCOMPLETE_EXCLUDE","COMPLETE"),"NEEDS_CONTEXT"))))</x:f>
        <x:v>PENDING</x:v>
      </x:c>
    </x:row>
    <x:row r="163" ht="62" customHeight="1">
      <x:c r="A163" s="34" t="str">
        <x:v>SV-0160</x:v>
      </x:c>
      <x:c r="B163" s="34" t="str">
        <x:v>A robust design is necessary to guard against the po ssibility of over -issuance and doub le 
spending by an intermediary.</x:v>
      </x:c>
      <x:c r="C163" s="34" t="str"/>
      <x:c r="D163" s="34" t="str"/>
      <x:c r="E163" s="34" t="str"/>
      <x:c r="F163" s="34" t="str">
        <x:v>… ned such that the central bank does not record retail 
balances, resulting in minimum interactions between the two layers when payments are made in the 
retail layer.  The intermediaries would be responsible for maintaining the correctness of the retail 
balances. 
Figure 4.  A two-tier distribution model for rCBDC 
3.1.2 Cross-ledger synchronisation 
While desirable for cyber resilience and, sometimes, for user privacy considerations, the 
decoupling of the wholesale and retail layers poses challenges for cross-ledger synchronisation.  
A robust design is necessary to guard against the po ssibility of over -issuance and doub le 
spending by an intermediary.  The decoupling of the two layers poses challenges to maintaining 
congruence of the respective ledgers, especially, when all the communications between the two 
layers depend solely on the intermediaries.  In order to minimi se the central bank’s supervisory 
burden of implementing oversight on the intermediaries, a technology solution is needed to ensure 
that the intermediaries follow the rule and protocol, specifically, to prevent an interme diary from 
over-withdrawing CBDC as CBDC moves from the wholesale layer to the retail layer, or ov …</x:v>
      </x:c>
      <x:c r="G163" s="34" t="str">
        <x:v>PRD-0032-P0016-U01</x:v>
      </x:c>
      <x:c r="H163" s="34" t="str"/>
      <x:c r="I163" s="34" t="str">
        <x:v>HK_HKMA_2021</x:v>
      </x:c>
      <x:c r="J163" s="34" t="n">
        <x:v>16</x:v>
      </x:c>
      <x:c r="K163" s="34" t="str">
        <x:v>en</x:v>
      </x:c>
      <x:c r="L163" s="34" t="str">
        <x:v>Hong Kong Monetary Authority (e-HKD)</x:v>
      </x:c>
      <x:c r="M163" s="34" t="str">
        <x:v>Retain HKMA e-HKD positions and architecture claims. A disclaimer that a study is not a final blueprint is not itself a design conclusion.</x:v>
      </x:c>
      <x:c r="N163" s="34" t="str">
        <x:v>text</x:v>
      </x:c>
      <x:c r="O163" s="34" t="str"/>
      <x:c r="P163" s="38" t="str"/>
      <x:c r="Q163" s="38" t="str"/>
      <x:c r="R163" s="38" t="str"/>
      <x:c r="S163" s="38" t="str"/>
      <x:c r="T163" s="38" t="str"/>
      <x:c r="U163" s="38" t="str"/>
      <x:c r="V163" s="38" t="str"/>
      <x:c r="W163" s="38" t="str"/>
      <x:c r="X163" s="38" t="str"/>
      <x:c r="Y163" s="38" t="str"/>
      <x:c r="Z163" s="38" t="str"/>
      <x:c r="AA163" s="43" t="str">
        <x:f>IF('Instructions'!$B$3="","",'Instructions'!$B$3)</x:f>
      </x:c>
      <x:c r="AB163" s="43" t="str">
        <x:f>IF(P163="","PENDING",IF('Instructions'!$B$3="","SET_INITIALS",IF(P163="keep",IF(OR(Q163="",R163="",S163="",T163="",U163="",W163=""),"INCOMPLETE_KEEP","COMPLETE"),IF(P163="exclude",IF(OR(V163="",W163=""),"INCOMPLETE_EXCLUDE","COMPLETE"),"NEEDS_CONTEXT"))))</x:f>
        <x:v>PENDING</x:v>
      </x:c>
    </x:row>
    <x:row r="164" ht="62" customHeight="1">
      <x:c r="A164" s="34" t="str">
        <x:v>SV-0161</x:v>
      </x:c>
      <x:c r="B164" s="34" t="str">
        <x:v>CBDC would be interoperable, allowing conversion between CBDC and 
other forms of money, particularly cash and bank deposits.</x:v>
      </x:c>
      <x:c r="C164" s="34" t="str"/>
      <x:c r="D164" s="34" t="str"/>
      <x:c r="E164" s="34" t="str"/>
      <x:c r="F164" s="34" t="str">
        <x:v>… ely available and accepted in-store, online and 
peer-to-peer. Users should be able to make and receive payments using smart devices, 
smart cards, ecommerce websites and applications, and existing point-of-sale technologies. 
The Bank would need to establish standards to ensure a consistent minimum level of 
functionality and security. User balances would be recorded on the core ledger, but it might 
be necessary to store some balances locally to support offline payments. PIPs and ESIPs 
would carry out user authentication. 
Interoperability: CBDC would be interoperable, allowing conversion between CBDC and 
other forms of money, particularly cash and bank deposits. Subject to further evaluation and 
taking account of wider developments, this might be enabled through utilising existing 
payment infrastructure, such as Faster Payments System, New Payments Architecture or 
LINK. Further integrations might be added later to support specific payment or settlement 
needs.  
Programmability: The Bank will not pursue central bank-initiated programmable functions. 
This means that the Bank will not program CBDC to restrict its use. But PIPs could, with user 
consent, implement programmability features which are d …</x:v>
      </x:c>
      <x:c r="G164" s="34" t="str">
        <x:v>PRD-0076-P0007-U01</x:v>
      </x:c>
      <x:c r="H164" s="34" t="str"/>
      <x:c r="I164" s="34" t="str">
        <x:v>UK_BoE_2023_TechWP</x:v>
      </x:c>
      <x:c r="J164" s="34" t="n">
        <x:v>7</x:v>
      </x:c>
      <x:c r="K164" s="34" t="str">
        <x:v>en</x:v>
      </x:c>
      <x:c r="L164" s="34" t="str">
        <x:v>Bank of England and HM Treasury (digital pound)</x:v>
      </x:c>
      <x:c r="M164" s="34" t="str">
        <x:v>Retain the named authority's own CBDC decisions, explicit proposals, requirements, features, and executed findings. Exclude generic context, literature, foreign projects, and stakeholder views not explicitly adopted by the authority.</x:v>
      </x:c>
      <x:c r="N164" s="34" t="str">
        <x:v>text</x:v>
      </x:c>
      <x:c r="O164" s="34" t="str"/>
      <x:c r="P164" s="38" t="str"/>
      <x:c r="Q164" s="38" t="str"/>
      <x:c r="R164" s="38" t="str"/>
      <x:c r="S164" s="38" t="str"/>
      <x:c r="T164" s="38" t="str"/>
      <x:c r="U164" s="38" t="str"/>
      <x:c r="V164" s="38" t="str"/>
      <x:c r="W164" s="38" t="str"/>
      <x:c r="X164" s="38" t="str"/>
      <x:c r="Y164" s="38" t="str"/>
      <x:c r="Z164" s="38" t="str"/>
      <x:c r="AA164" s="43" t="str">
        <x:f>IF('Instructions'!$B$3="","",'Instructions'!$B$3)</x:f>
      </x:c>
      <x:c r="AB164" s="43" t="str">
        <x:f>IF(P164="","PENDING",IF('Instructions'!$B$3="","SET_INITIALS",IF(P164="keep",IF(OR(Q164="",R164="",S164="",T164="",U164="",W164=""),"INCOMPLETE_KEEP","COMPLETE"),IF(P164="exclude",IF(OR(V164="",W164=""),"INCOMPLETE_EXCLUDE","COMPLETE"),"NEEDS_CONTEXT"))))</x:f>
        <x:v>PENDING</x:v>
      </x:c>
    </x:row>
    <x:row r="165" ht="62" customHeight="1">
      <x:c r="A165" s="34" t="str">
        <x:v>SV-0162</x:v>
      </x:c>
      <x:c r="B165" s="34" t="str">
        <x:v>Such an e-krona could, by agreement with the ECB, use the euro digital platform. This 
would enable a major cost advantage and compatibility between Swedish and 
European payments.</x:v>
      </x:c>
      <x:c r="C165" s="34" t="str"/>
      <x:c r="D165" s="34" t="str"/>
      <x:c r="E165" s="34" t="str"/>
      <x:c r="F165" s="34" t="str">
        <x:v>… yment market legislation would be shaped around it, 
which could affect Sweden. If new infrastructure is developed with advanced and 
more efficient technologies, the Swedish krona needs to be technologically up to 
speed to remain competitive and avoid dependence on the euro. Should there be a 
strong demand in Sweden for the use of the digital euro, some payment flows could 
move away from the Swedish krona. All in all, this raises the question of the need for 
a possible e-krona to protect the role and competitiveness of the Swedish krona. 
Such an e-krona could, by agreement with the ECB, use the euro digital platform. This 
would enable a major cost advantage and compatibility between Swedish and 
European payments. In addition, the digital euro is planned to have offline 
capabilities, and a possible e-krona based on the same platform could therefore 
strengthen Sweden’s preparedness. 
The introduction of an e-krona in Sweden requires a decision by the Riksdag. To 
enable timely implementation, should the Riksdag take such a decision, the processes 
need to start as soon as possible. It is proposed that a committee on the necessary</x:v>
      </x:c>
      <x:c r="G165" s="34" t="str">
        <x:v>PRD-0103-P0063-U01</x:v>
      </x:c>
      <x:c r="H165" s="34" t="str"/>
      <x:c r="I165" s="34" t="str">
        <x:v>SE_Riksbank_PaymentsReport_2026</x:v>
      </x:c>
      <x:c r="J165" s="34" t="n">
        <x:v>63</x:v>
      </x:c>
      <x:c r="K165" s="34" t="str">
        <x:v>en</x:v>
      </x:c>
      <x:c r="L165" s="34" t="str">
        <x:v>Sveriges Riksbank</x:v>
      </x:c>
      <x:c r="M165" s="34" t="str">
        <x:v>Retain the named authority's own CBDC decisions, explicit proposals, requirements, features, and executed findings. Exclude generic context, literature, foreign projects, and stakeholder views not explicitly adopted by the authority.</x:v>
      </x:c>
      <x:c r="N165" s="34" t="str">
        <x:v>text</x:v>
      </x:c>
      <x:c r="O165" s="34" t="str"/>
      <x:c r="P165" s="38" t="str"/>
      <x:c r="Q165" s="38" t="str"/>
      <x:c r="R165" s="38" t="str"/>
      <x:c r="S165" s="38" t="str"/>
      <x:c r="T165" s="38" t="str"/>
      <x:c r="U165" s="38" t="str"/>
      <x:c r="V165" s="38" t="str"/>
      <x:c r="W165" s="38" t="str"/>
      <x:c r="X165" s="38" t="str"/>
      <x:c r="Y165" s="38" t="str"/>
      <x:c r="Z165" s="38" t="str"/>
      <x:c r="AA165" s="43" t="str">
        <x:f>IF('Instructions'!$B$3="","",'Instructions'!$B$3)</x:f>
      </x:c>
      <x:c r="AB165" s="43" t="str">
        <x:f>IF(P165="","PENDING",IF('Instructions'!$B$3="","SET_INITIALS",IF(P165="keep",IF(OR(Q165="",R165="",S165="",T165="",U165="",W165=""),"INCOMPLETE_KEEP","COMPLETE"),IF(P165="exclude",IF(OR(V165="",W165=""),"INCOMPLETE_EXCLUDE","COMPLETE"),"NEEDS_CONTEXT"))))</x:f>
        <x:v>PENDING</x:v>
      </x:c>
    </x:row>
    <x:row r="166" ht="62" customHeight="1">
      <x:c r="A166" s="34" t="str">
        <x:v>SV-0163</x:v>
      </x:c>
      <x:c r="B166" s="34" t="str">
        <x:v>It should be noted that no cyber security study of the e-HKD distribution infrastructure 
has been conducted so far.</x:v>
      </x:c>
      <x:c r="C166" s="34" t="str"/>
      <x:c r="D166" s="34" t="str"/>
      <x:c r="E166" s="34" t="str"/>
      <x:c r="F166" s="34" t="str">
        <x:v>…  by human beings and therefore remain susceptible to human error.
(ii) Oracle risk (ability to verify conditions)
Oracles retrieve and verify external data for smart contracts. As the data extracted 
by oracles (e.g. flight delay information) determines how a smart contract will 
be executed (e.g. whether compensation should be paid to a policyholder), 
trustworthiness of oracles is crucial for smart contract execution. If the data 
retrieved by oracles is compromised, it could result in contracts being executed 
under incorrect circumstances.
It should be noted that no cyber security study of the e-HKD distribution infrastructure 
has been conducted so far. A proper evaluation would require rigorous modelling, 
enumeration of attack vectors and assessment of likelihood of these attacks, preferably 
based on a commonly adopted framework like STRIDE. 13
4.3 Increasing economic vulnerability to power/network 
outages
Like most other types of digital payment systems, transactions of rCBDC would still rely 
on the availability of electricity and data networks.
While Hong Kong has one of the most reliable power grids and network systems, 
power/network outages do occur, especially during extreme weathe …</x:v>
      </x:c>
      <x:c r="G166" s="34" t="str">
        <x:v>PRD-0090-P0027-U01</x:v>
      </x:c>
      <x:c r="H166" s="34" t="str"/>
      <x:c r="I166" s="34" t="str">
        <x:v>HK_HKMA_eHKD_PolicyDesign</x:v>
      </x:c>
      <x:c r="J166" s="34" t="n">
        <x:v>27</x:v>
      </x:c>
      <x:c r="K166" s="34" t="str">
        <x:v>en</x:v>
      </x:c>
      <x:c r="L166" s="34" t="str">
        <x:v>Hong Kong Monetary Authority (e-HKD)</x:v>
      </x:c>
      <x:c r="M166" s="34" t="str">
        <x:v>Retain HKMA policy/design positions for e-HKD; exclude generic literature and open questions.</x:v>
      </x:c>
      <x:c r="N166" s="34" t="str">
        <x:v>text</x:v>
      </x:c>
      <x:c r="O166" s="34" t="str"/>
      <x:c r="P166" s="38" t="str"/>
      <x:c r="Q166" s="38" t="str"/>
      <x:c r="R166" s="38" t="str"/>
      <x:c r="S166" s="38" t="str"/>
      <x:c r="T166" s="38" t="str"/>
      <x:c r="U166" s="38" t="str"/>
      <x:c r="V166" s="38" t="str"/>
      <x:c r="W166" s="38" t="str"/>
      <x:c r="X166" s="38" t="str"/>
      <x:c r="Y166" s="38" t="str"/>
      <x:c r="Z166" s="38" t="str"/>
      <x:c r="AA166" s="43" t="str">
        <x:f>IF('Instructions'!$B$3="","",'Instructions'!$B$3)</x:f>
      </x:c>
      <x:c r="AB166" s="43" t="str">
        <x:f>IF(P166="","PENDING",IF('Instructions'!$B$3="","SET_INITIALS",IF(P166="keep",IF(OR(Q166="",R166="",S166="",T166="",U166="",W166=""),"INCOMPLETE_KEEP","COMPLETE"),IF(P166="exclude",IF(OR(V166="",W166=""),"INCOMPLETE_EXCLUDE","COMPLETE"),"NEEDS_CONTEXT"))))</x:f>
        <x:v>PENDING</x:v>
      </x:c>
    </x:row>
    <x:row r="167" ht="62" customHeight="1">
      <x:c r="A167" s="34" t="str">
        <x:v>SV-0164</x:v>
      </x:c>
      <x:c r="B167" s="34" t="str">
        <x:v>designated banks 
would be required to submit US$1 to the HKMA to purchase HK$7.80 of CIs 
before issuing HK$7.80 e-HKD to the depositors (Figure 7). Under this approach, 
e-HKD would be issued by the designated banks and hence would become the 
liabilities of the designated banks instead of the Government, but with full backing 
by the USD via CIs.</x:v>
      </x:c>
      <x:c r="C167" s="34" t="str"/>
      <x:c r="D167" s="34" t="str"/>
      <x:c r="E167" s="34" t="str"/>
      <x:c r="F167" s="34" t="str">
        <x:v>30
e-HKD: A Policy and Design Perspective
(ii) Banks submitting USD in exchange for Certificate of Indebtedness (CIs) 
(Banknote approach)
As a natural extension of the existing framework for banknotes (except the $10 
note), e-HKD could also be issued in a way similar to the existing banknote 
issuance arrangement through the note-issuing banks. Specifically, when 
depositors request to convert HK$7.80 of deposits to e-HKD, designated banks 
would be required to submit US$1 to the HKMA to purchase HK$7.80 of CIs 
before issuing HK$7.80 e-HKD to the depositors (Figure 7). Under this approach, 
e-HKD would be issued by the designated banks and hence would become the 
liabilities of the designated banks instead of the Government, but with full backing 
by the USD via CIs.
(4) Issue HK$7.8 of e-HKD
(1) Convert HK$7.8 of deposits to e-HKD
(3) Issue HK$7.8 of CIs
(2) Submit US$1
   Figure 7: Mechanism of issuing e-HKD by submitting USD to the HKMA in exchange for CIs</x:v>
      </x:c>
      <x:c r="G167" s="34" t="str">
        <x:v>PRD-0090-P0031-U01</x:v>
      </x:c>
      <x:c r="H167" s="34" t="str"/>
      <x:c r="I167" s="34" t="str">
        <x:v>HK_HKMA_eHKD_PolicyDesign</x:v>
      </x:c>
      <x:c r="J167" s="34" t="n">
        <x:v>31</x:v>
      </x:c>
      <x:c r="K167" s="34" t="str">
        <x:v>en</x:v>
      </x:c>
      <x:c r="L167" s="34" t="str">
        <x:v>Hong Kong Monetary Authority (e-HKD)</x:v>
      </x:c>
      <x:c r="M167" s="34" t="str">
        <x:v>Retain HKMA policy/design positions for e-HKD; exclude generic literature and open questions.</x:v>
      </x:c>
      <x:c r="N167" s="34" t="str">
        <x:v>text</x:v>
      </x:c>
      <x:c r="O167" s="34" t="str"/>
      <x:c r="P167" s="38" t="str"/>
      <x:c r="Q167" s="38" t="str"/>
      <x:c r="R167" s="38" t="str"/>
      <x:c r="S167" s="38" t="str"/>
      <x:c r="T167" s="38" t="str"/>
      <x:c r="U167" s="38" t="str"/>
      <x:c r="V167" s="38" t="str"/>
      <x:c r="W167" s="38" t="str"/>
      <x:c r="X167" s="38" t="str"/>
      <x:c r="Y167" s="38" t="str"/>
      <x:c r="Z167" s="38" t="str"/>
      <x:c r="AA167" s="43" t="str">
        <x:f>IF('Instructions'!$B$3="","",'Instructions'!$B$3)</x:f>
      </x:c>
      <x:c r="AB167" s="43" t="str">
        <x:f>IF(P167="","PENDING",IF('Instructions'!$B$3="","SET_INITIALS",IF(P167="keep",IF(OR(Q167="",R167="",S167="",T167="",U167="",W167=""),"INCOMPLETE_KEEP","COMPLETE"),IF(P167="exclude",IF(OR(V167="",W167=""),"INCOMPLETE_EXCLUDE","COMPLETE"),"NEEDS_CONTEXT"))))</x:f>
        <x:v>PENDING</x:v>
      </x:c>
    </x:row>
    <x:row r="168" ht="62" customHeight="1">
      <x:c r="A168" s="34" t="str">
        <x:v>SV-0165</x:v>
      </x:c>
      <x:c r="B168" s="34" t="str">
        <x:v>As such, they can also operate as end users and perform transactions for themselves, 
make payments between them and other financial institutions, and between them and the 
Bank of Israel, including payments requiring final s ettlement (currently done in the RTGS 
system).</x:v>
      </x:c>
      <x:c r="C168" s="34" t="str"/>
      <x:c r="D168" s="34" t="str"/>
      <x:c r="E168" s="34" t="str"/>
      <x:c r="F168" s="34" t="str">
        <x:v>… rganisation, etc., is eligible to be an end user and hold a digital shekel 
wallet. The necessary condition for this is the ability to undergo a "know your customer" 
procedure by a PSP. The government, through its various entities, will also be an end user 
and hold digital shekel wallet(s). Participants in the system may also hold a wallet and 
operate as end users – for example, as mentioned in section 3.3.2, entities serving as FIs will 
be required to hold a wallet 30 to support their customers' ability t o fund and defund their 
wallets. As such, they can also operate as end users and perform transactions for themselves, 
make payments between them and other financial institutions, and between them and the 
Bank of Israel, including payments requiring final s ettlement (currently done in the RTGS 
system). Consequently, the digital shekel  will also meet the common definition of a 
wholesale CBDC. 
Box 2: Wholesale CBDC, Retail CBDC, and Multipurpose CBDC 
In the CBDC literature and practice, a distinction is commonly made between two types of 
CBDC: wholesale (wCBDC) and retail (rCBDC). In fact, a wCBDC has existed in Israel and many 
other countries for many years31  in the form of money in the current accounts of authorised 
entities in the RTGS system. In contrast, the idea of issuing an rCBDC – a central bank digital 
currency for retail  …</x:v>
      </x:c>
      <x:c r="G168" s="34" t="str">
        <x:v>PRD-0038-P0051-U01</x:v>
      </x:c>
      <x:c r="H168" s="34" t="str"/>
      <x:c r="I168" s="34" t="str">
        <x:v>IL_BoI_2024</x:v>
      </x:c>
      <x:c r="J168" s="34" t="n">
        <x:v>51</x:v>
      </x:c>
      <x:c r="K168" s="34" t="str">
        <x:v>en</x:v>
      </x:c>
      <x:c r="L168" s="34" t="str">
        <x:v>Bank of Israel (digital shekel)</x:v>
      </x:c>
      <x:c r="M168" s="34" t="str">
        <x:v>Retain the named authority's own CBDC decisions, explicit proposals, requirements, features, and executed findings. Exclude generic context, literature, foreign projects, and stakeholder views not explicitly adopted by the authority.</x:v>
      </x:c>
      <x:c r="N168" s="34" t="str">
        <x:v>text</x:v>
      </x:c>
      <x:c r="O168" s="34" t="str"/>
      <x:c r="P168" s="38" t="str"/>
      <x:c r="Q168" s="38" t="str"/>
      <x:c r="R168" s="38" t="str"/>
      <x:c r="S168" s="38" t="str"/>
      <x:c r="T168" s="38" t="str"/>
      <x:c r="U168" s="38" t="str"/>
      <x:c r="V168" s="38" t="str"/>
      <x:c r="W168" s="38" t="str"/>
      <x:c r="X168" s="38" t="str"/>
      <x:c r="Y168" s="38" t="str"/>
      <x:c r="Z168" s="38" t="str"/>
      <x:c r="AA168" s="43" t="str">
        <x:f>IF('Instructions'!$B$3="","",'Instructions'!$B$3)</x:f>
      </x:c>
      <x:c r="AB168" s="43" t="str">
        <x:f>IF(P168="","PENDING",IF('Instructions'!$B$3="","SET_INITIALS",IF(P168="keep",IF(OR(Q168="",R168="",S168="",T168="",U168="",W168=""),"INCOMPLETE_KEEP","COMPLETE"),IF(P168="exclude",IF(OR(V168="",W168=""),"INCOMPLETE_EXCLUDE","COMPLETE"),"NEEDS_CONTEXT"))))</x:f>
        <x:v>PENDING</x:v>
      </x:c>
    </x:row>
    <x:row r="169" ht="62" customHeight="1">
      <x:c r="A169" s="34" t="str">
        <x:v>SV-0166</x:v>
      </x:c>
      <x:c r="B169" s="34" t="str">
        <x:v>It is an aim of th is project to ensure that Maldivian FinTech companies are involved in 
the development of the CBDC and stablecoin / asset tokenization initiatives .</x:v>
      </x:c>
      <x:c r="C169" s="34" t="str"/>
      <x:c r="D169" s="34" t="str"/>
      <x:c r="E169" s="34" t="str"/>
      <x:c r="F169" s="34" t="str">
        <x:v>… roviders of conventional or b lockchain 
infrastructure and the tele coms providers, and the provider s of front-end 
technology such as mobile Apps , QR code registry, directory services, PoS 
technology 
• Regional groupings, in the case of the Maldives, SAARC, who will have an interest 
in potential cross-border payment and collateral arrangements and will wish to 
share learning about the uses of new technologies. 
The table in Annex 7 provides details of the expected ro les and responsibilities of the 
stakeholders. 
5.3 Role of FinTechs 
It is an aim of th is project to ensure that Maldivian FinTech companies are involved in 
the development of the CBDC and stablecoin / asset tokenization initiatives . A list of 
current FinTechs is provided as Annex 8. 
The main opportunity for FinTechs is in  the provision of end-customer products such as 
mobile Apps  and products that exploit the oppo rtunities for Open Banking  or DeFi . A 
centralised mobile App for CBDC use which includes the ability to have multiple wallets</x:v>
      </x:c>
      <x:c r="G169" s="34" t="str">
        <x:v>PRD-0079-P0041-U01</x:v>
      </x:c>
      <x:c r="H169" s="34" t="str"/>
      <x:c r="I169" s="34" t="str">
        <x:v>UN_ESCAP_ESCAP-2022-RP-National-study-central-bank-digital-currency-stablecoin-Maldives</x:v>
      </x:c>
      <x:c r="J169" s="34" t="n">
        <x:v>41</x:v>
      </x:c>
      <x:c r="K169" s="34" t="str">
        <x:v>en</x:v>
      </x:c>
      <x:c r="L169" s="34" t="str">
        <x:v>Maldives Monetary Authority / Maldives CBDC policy study</x:v>
      </x:c>
      <x:c r="M169" s="34" t="str">
        <x:v>UN ESCAP study: retain only concrete recommendations, findings, or positions explicitly tied to the Maldives Monetary Authority or Maldives CBDC project. Exclude literature and foreign examples.</x:v>
      </x:c>
      <x:c r="N169" s="34" t="str">
        <x:v>text</x:v>
      </x:c>
      <x:c r="O169" s="34" t="str"/>
      <x:c r="P169" s="38" t="str"/>
      <x:c r="Q169" s="38" t="str"/>
      <x:c r="R169" s="38" t="str"/>
      <x:c r="S169" s="38" t="str"/>
      <x:c r="T169" s="38" t="str"/>
      <x:c r="U169" s="38" t="str"/>
      <x:c r="V169" s="38" t="str"/>
      <x:c r="W169" s="38" t="str"/>
      <x:c r="X169" s="38" t="str"/>
      <x:c r="Y169" s="38" t="str"/>
      <x:c r="Z169" s="38" t="str"/>
      <x:c r="AA169" s="43" t="str">
        <x:f>IF('Instructions'!$B$3="","",'Instructions'!$B$3)</x:f>
      </x:c>
      <x:c r="AB169" s="43" t="str">
        <x:f>IF(P169="","PENDING",IF('Instructions'!$B$3="","SET_INITIALS",IF(P169="keep",IF(OR(Q169="",R169="",S169="",T169="",U169="",W169=""),"INCOMPLETE_KEEP","COMPLETE"),IF(P169="exclude",IF(OR(V169="",W169=""),"INCOMPLETE_EXCLUDE","COMPLETE"),"NEEDS_CONTEXT"))))</x:f>
        <x:v>PENDING</x:v>
      </x:c>
    </x:row>
    <x:row r="170" ht="62" customHeight="1">
      <x:c r="A170" s="34" t="str">
        <x:v>SV-0167</x:v>
      </x:c>
      <x:c r="B170" s="34" t="str">
        <x:v>Dersom det tilbys omfattende programmerings-
alternativer på toppen av DSP, som for eksempel legger til rette for 
tokenisering av aktiva på toppen av DSP-registeret, vil det i praksis kunne gi 
Norges Bank ansvar utover oppgavene etter sentralbankloven.</x:v>
      </x:c>
      <x:c r="C170" s="34" t="str"/>
      <x:c r="D170" s="34" t="str"/>
      <x:c r="E170" s="34" t="str"/>
      <x:c r="F170" s="34" t="str">
        <x:v>…  registeret eller avgrensede programmeringsfunksjoner. 
Programmeringsfunksjonalitet bidrar til oppfyllelse av egenskapene. For 
eksempel kan det legge til rette for at tredjeparter kan tilby løsninger for 
offline-betalinger, betalinger med ulik grad av personvern, og utvikling av 
nisjeløsninger. Det kan legge til rette for tokenisering ved at visse typer aktiva, 
for eksempel aksjer, kan gis en digital representasjon i registeret.  
Programmeringsfunksjonalitet kan gi gevinster, men kan også innebære risiko 
og andre utilsiktede virkninger. Dersom det tilbys omfattende programmerings-
alternativer på toppen av DSP, som for eksempel legger til rette for 
tokenisering av aktiva på toppen av DSP-registeret, vil det i praksis kunne gi 
Norges Bank ansvar utover oppgavene etter sentralbankloven. Det vil også 
innebære at mange typer aktører og myndigheter utenfor betalingssystemet vil 
kunne ha synspunkter på arkitekturen i registeret og hvordan registeret drives, 
som potensielt kan komme i konflikt med Norges Banks arbeid med å fremme 
et effektivt og sikkert betalingssystem.   
29 Se Gudgeon m.fl. (2020) og Bank of England (2020).</x:v>
      </x:c>
      <x:c r="G170" s="34" t="str">
        <x:v>PRD-0054-P0036-U01</x:v>
      </x:c>
      <x:c r="H170" s="34" t="str"/>
      <x:c r="I170" s="34" t="str">
        <x:v>NO_Norway_norges-bank-memo-1-2021</x:v>
      </x:c>
      <x:c r="J170" s="34" t="n">
        <x:v>36</x:v>
      </x:c>
      <x:c r="K170" s="34" t="str">
        <x:v>en</x:v>
      </x:c>
      <x:c r="L170" s="34" t="str">
        <x:v>Norges Bank (Norwegian CBDC work)</x:v>
      </x:c>
      <x:c r="M170" s="34" t="str">
        <x:v>Retain Norges Bank CBDC positions and requirements; exclude generic or cited research.</x:v>
      </x:c>
      <x:c r="N170" s="34" t="str">
        <x:v>text</x:v>
      </x:c>
      <x:c r="O170" s="34" t="str"/>
      <x:c r="P170" s="38" t="str"/>
      <x:c r="Q170" s="38" t="str"/>
      <x:c r="R170" s="38" t="str"/>
      <x:c r="S170" s="38" t="str"/>
      <x:c r="T170" s="38" t="str"/>
      <x:c r="U170" s="38" t="str"/>
      <x:c r="V170" s="38" t="str"/>
      <x:c r="W170" s="38" t="str"/>
      <x:c r="X170" s="38" t="str"/>
      <x:c r="Y170" s="38" t="str"/>
      <x:c r="Z170" s="38" t="str"/>
      <x:c r="AA170" s="43" t="str">
        <x:f>IF('Instructions'!$B$3="","",'Instructions'!$B$3)</x:f>
      </x:c>
      <x:c r="AB170" s="43" t="str">
        <x:f>IF(P170="","PENDING",IF('Instructions'!$B$3="","SET_INITIALS",IF(P170="keep",IF(OR(Q170="",R170="",S170="",T170="",U170="",W170=""),"INCOMPLETE_KEEP","COMPLETE"),IF(P170="exclude",IF(OR(V170="",W170=""),"INCOMPLETE_EXCLUDE","COMPLETE"),"NEEDS_CONTEXT"))))</x:f>
        <x:v>PENDING</x:v>
      </x:c>
    </x:row>
    <x:row r="171" ht="62" customHeight="1">
      <x:c r="A171" s="34" t="str">
        <x:v>SV-0168</x:v>
      </x:c>
      <x:c r="B171" s="34" t="str">
        <x:v>Findings from Phase 1 of the e-HKD 
Pilot Programme (Phase 1) showed that 
programmability implemented through smart 
contracts and supported by an e-HKD could 
address many of these constraints and enable 
wider adoption of retail conditional transactions.</x:v>
      </x:c>
      <x:c r="C171" s="34" t="str"/>
      <x:c r="D171" s="34" t="str"/>
      <x:c r="E171" s="34" t="str"/>
      <x:c r="F171" s="34" t="str">
        <x:v>… perating in siloed environments, automating 
complex payment structures involving 
multiple conditions or ecosystems is difficult. 
Consequently, conditional payments are mostly 
confined to simple arrangements with a small 
number of parties.
These limitations present appealing opportunities 
for innovation. By enhancing programmability 
and interoperability, the financial sector could 
unlock the broader potential of conditional 
payments, making them more accessible to 
individuals and corporates with diverse needs.
Programmability at Scale
Findings from Phase 1 of the e-HKD 
Pilot Programme (Phase 1) showed that 
programmability implemented through smart 
contracts and supported by an e-HKD could 
address many of these constraints and enable 
wider adoption of retail conditional transactions.</x:v>
      </x:c>
      <x:c r="G171" s="34" t="str">
        <x:v>PRD-0093-P0015-U01</x:v>
      </x:c>
      <x:c r="H171" s="34" t="str"/>
      <x:c r="I171" s="34" t="str">
        <x:v>HK_HKMA_eHKD_Phase2_2025</x:v>
      </x:c>
      <x:c r="J171" s="34" t="n">
        <x:v>15</x:v>
      </x:c>
      <x:c r="K171" s="34" t="str">
        <x:v>en</x:v>
      </x:c>
      <x:c r="L171" s="34" t="str">
        <x:v>Hong Kong Monetary Authority (e-HKD Phase 2 pilots)</x:v>
      </x:c>
      <x:c r="M171" s="34" t="str">
        <x:v>Retain complete e-HKD pilot findings, conclusions, and HKMA requirements. Quote the complete claim before any trailing fragment.</x:v>
      </x:c>
      <x:c r="N171" s="34" t="str">
        <x:v>text</x:v>
      </x:c>
      <x:c r="O171" s="34" t="str"/>
      <x:c r="P171" s="38" t="str"/>
      <x:c r="Q171" s="38" t="str"/>
      <x:c r="R171" s="38" t="str"/>
      <x:c r="S171" s="38" t="str"/>
      <x:c r="T171" s="38" t="str"/>
      <x:c r="U171" s="38" t="str"/>
      <x:c r="V171" s="38" t="str"/>
      <x:c r="W171" s="38" t="str"/>
      <x:c r="X171" s="38" t="str"/>
      <x:c r="Y171" s="38" t="str"/>
      <x:c r="Z171" s="38" t="str"/>
      <x:c r="AA171" s="43" t="str">
        <x:f>IF('Instructions'!$B$3="","",'Instructions'!$B$3)</x:f>
      </x:c>
      <x:c r="AB171" s="43" t="str">
        <x:f>IF(P171="","PENDING",IF('Instructions'!$B$3="","SET_INITIALS",IF(P171="keep",IF(OR(Q171="",R171="",S171="",T171="",U171="",W171=""),"INCOMPLETE_KEEP","COMPLETE"),IF(P171="exclude",IF(OR(V171="",W171=""),"INCOMPLETE_EXCLUDE","COMPLETE"),"NEEDS_CONTEXT"))))</x:f>
        <x:v>PENDING</x:v>
      </x:c>
    </x:row>
    <x:row r="172" ht="62" customHeight="1">
      <x:c r="A172" s="34" t="str">
        <x:v>SV-0169</x:v>
      </x:c>
      <x:c r="B172" s="34" t="str">
        <x:v>in the digital currency system, the 
central bank does not know which account belongs to which user since 
it does not have the identity information of the end users.</x:v>
      </x:c>
      <x:c r="C172" s="34" t="str"/>
      <x:c r="D172" s="34" t="str"/>
      <x:c r="E172" s="34" t="str"/>
      <x:c r="F172" s="34" t="str">
        <x:v>… es are on the second tier. Financial 
intermediaries can be banks or licensed institutions that comply with the 
specified regulations. End users participate in the system through financial 
intermediaries. In the model, the central bank is responsible for the issuance 
of money and financial intermediaries are responsible for its distribution.
Architecture
The architecture preferred in a digital currency system resembles the 
“Hybrid Digital Currency”11 architecture. There may be variants of the hybrid 
architecture. As a point of divergence, in the digital currency system, the 
central bank does not know which account belongs to which user since 
it does not have the identity information of the end users. Another point 
is that financial intermediaries also have accounts in the digital currency 
system. Since the identity information of intermediary institutions is shared 
with the central bank, the balances of intermediary institutions can be 
known by the central bank. 
The digital currency system is designed in accordance with the 
principle of “first, do no harm.” In the two-tier structure, which is also used 
in existing retail payment systems, the central bank does not have a direct 
relationship with end users, so the operational respons …</x:v>
      </x:c>
      <x:c r="G172" s="34" t="str">
        <x:v>PRD-0072-P0029-U01</x:v>
      </x:c>
      <x:c r="H172" s="34" t="str"/>
      <x:c r="I172" s="34" t="str">
        <x:v>TR_Turkey_Digital_Turkish_Lira_First_Phase_Evaluation_Report</x:v>
      </x:c>
      <x:c r="J172" s="34" t="n">
        <x:v>29</x:v>
      </x:c>
      <x:c r="K172" s="34" t="str">
        <x:v>en</x:v>
      </x:c>
      <x:c r="L172" s="34" t="str">
        <x:v>Central Bank of the Republic of Turkiye (Digital Turkish Lira)</x:v>
      </x:c>
      <x:c r="M172" s="34" t="str">
        <x:v>Retain CBRT adopted features, explicit proposals/requirements, and executed Phase 1 results. Exclude lists of future work without a conclusion.</x:v>
      </x:c>
      <x:c r="N172" s="34" t="str">
        <x:v>text</x:v>
      </x:c>
      <x:c r="O172" s="34" t="str"/>
      <x:c r="P172" s="38" t="str"/>
      <x:c r="Q172" s="38" t="str"/>
      <x:c r="R172" s="38" t="str"/>
      <x:c r="S172" s="38" t="str"/>
      <x:c r="T172" s="38" t="str"/>
      <x:c r="U172" s="38" t="str"/>
      <x:c r="V172" s="38" t="str"/>
      <x:c r="W172" s="38" t="str"/>
      <x:c r="X172" s="38" t="str"/>
      <x:c r="Y172" s="38" t="str"/>
      <x:c r="Z172" s="38" t="str"/>
      <x:c r="AA172" s="43" t="str">
        <x:f>IF('Instructions'!$B$3="","",'Instructions'!$B$3)</x:f>
      </x:c>
      <x:c r="AB172" s="43" t="str">
        <x:f>IF(P172="","PENDING",IF('Instructions'!$B$3="","SET_INITIALS",IF(P172="keep",IF(OR(Q172="",R172="",S172="",T172="",U172="",W172=""),"INCOMPLETE_KEEP","COMPLETE"),IF(P172="exclude",IF(OR(V172="",W172=""),"INCOMPLETE_EXCLUDE","COMPLETE"),"NEEDS_CONTEXT"))))</x:f>
        <x:v>PENDING</x:v>
      </x:c>
    </x:row>
    <x:row r="173" ht="62" customHeight="1">
      <x:c r="A173" s="34" t="str">
        <x:v>SV-0170</x:v>
      </x:c>
      <x:c r="B173" s="34" t="str">
        <x:v>Hvis brukeren mister tilgangen til koden 
eller blir utsatt for ondsinnet programvare, vil brukeren kunne miste eller bli 
frastjålet midlene sine.</x:v>
      </x:c>
      <x:c r="C173" s="34" t="str"/>
      <x:c r="D173" s="34" t="str"/>
      <x:c r="E173" s="34" t="str"/>
      <x:c r="F173" s="34" t="str">
        <x:v>… er 
for å representere data som gir brukeren tilgang til DSP. Dette kan medføre at 
det blir vanskelig for en bruker å disponere over DSP dersom løsningen til 
denne aktøren svikter eller brukeren av annen grunn vil velge et annet 
brukergrensesnitt. Det finnes mange standardiserte løsninger for å holde 
orden på kryptografiske koder, for eksempel ved bruk av standardiserte 
«seeds».34 En DSP-løsning bør teknisk og regulatorisk legge til rette for at en 
bruker ikke blir låst inne til et brukergrensesnitt.  
Denne løsningen har også svakheter. Hvis brukeren mister tilgangen til koden 
eller blir utsatt for ondsinnet programvare, vil brukeren kunne miste eller bli 
frastjålet midlene sine. Det finnes ulike løsninger for å redusere denne 
sårbarheten. Kunden kan velge å lagre kodene på enheter som ikke er online, 
og med jevne mellomrom overføre mindre beløp til online bruk. Kunden kan 
også benytte sikker hardware, dvs. at enkelte hardware-komponenter på 
brukerens utstyr er isolerte, som vanskeliggjør tilgang for ondsinnet 
programvare.  
Den andre løsningen for wallets er såkalte «custodial wallets». Dette 
innebærer at en tredjepartsaktør oppbevarer brukerens kryptografiske goder. 
Brukeren kan disponere over sine midler ved  …</x:v>
      </x:c>
      <x:c r="G173" s="34" t="str">
        <x:v>PRD-0054-P0039-U01</x:v>
      </x:c>
      <x:c r="H173" s="34" t="str"/>
      <x:c r="I173" s="34" t="str">
        <x:v>NO_Norway_norges-bank-memo-1-2021</x:v>
      </x:c>
      <x:c r="J173" s="34" t="n">
        <x:v>39</x:v>
      </x:c>
      <x:c r="K173" s="34" t="str">
        <x:v>en</x:v>
      </x:c>
      <x:c r="L173" s="34" t="str">
        <x:v>Norges Bank (Norwegian CBDC work)</x:v>
      </x:c>
      <x:c r="M173" s="34" t="str">
        <x:v>Retain Norges Bank CBDC positions and requirements; exclude generic or cited research.</x:v>
      </x:c>
      <x:c r="N173" s="34" t="str">
        <x:v>text</x:v>
      </x:c>
      <x:c r="O173" s="34" t="str"/>
      <x:c r="P173" s="38" t="str"/>
      <x:c r="Q173" s="38" t="str"/>
      <x:c r="R173" s="38" t="str"/>
      <x:c r="S173" s="38" t="str"/>
      <x:c r="T173" s="38" t="str"/>
      <x:c r="U173" s="38" t="str"/>
      <x:c r="V173" s="38" t="str"/>
      <x:c r="W173" s="38" t="str"/>
      <x:c r="X173" s="38" t="str"/>
      <x:c r="Y173" s="38" t="str"/>
      <x:c r="Z173" s="38" t="str"/>
      <x:c r="AA173" s="43" t="str">
        <x:f>IF('Instructions'!$B$3="","",'Instructions'!$B$3)</x:f>
      </x:c>
      <x:c r="AB173" s="43" t="str">
        <x:f>IF(P173="","PENDING",IF('Instructions'!$B$3="","SET_INITIALS",IF(P173="keep",IF(OR(Q173="",R173="",S173="",T173="",U173="",W173=""),"INCOMPLETE_KEEP","COMPLETE"),IF(P173="exclude",IF(OR(V173="",W173=""),"INCOMPLETE_EXCLUDE","COMPLETE"),"NEEDS_CONTEXT"))))</x:f>
        <x:v>PENDING</x:v>
      </x:c>
    </x:row>
    <x:row r="174" ht="62" customHeight="1">
      <x:c r="A174" s="34" t="str">
        <x:v>SV-0171</x:v>
      </x:c>
      <x:c r="B174" s="34" t="str">
        <x:v>A retail CBDC is designed to provide the citizens of Eswatini with an additional means of 
payment. As such, it offers them the possibility of making digital payments between one 
another (P2P), paying at the merchant checkout with Digital Lilangeni (P2B) as  well as 
making transactions with governmental institutions (e.g., receive or pay funds, tax bills, 
G2P, P2G).</x:v>
      </x:c>
      <x:c r="C174" s="34" t="str"/>
      <x:c r="D174" s="34" t="str"/>
      <x:c r="E174" s="34" t="str"/>
      <x:c r="F174" s="34" t="str">
        <x:v>…  smart 
card for digital payments (online or offline). 
Beyond customer-directed payments, payments can also be made between merchants 
using Digital Lilangeni (B2B). Merchants have the choice whether they keep their liquidity 
in CBDC or convert it to bank deposits or cash out. Additionally, payments with the Digital 
Lilangeni provide immediate liquidity for the merchants, which helps them to rotate their 
earnings faster, for example, grocery stores that are able to replenish more products 
when they have money available for it. 
End users 
A retail CBDC is designed to provide the citizens of Eswatini with an additional means of 
payment. As such, it offers them the possibility of making digital payments between one 
another (P2P), paying at the merchant checkout with Digital Lilangeni (P2B) as  well as 
making transactions with governmental institutions (e.g., receive or pay funds, tax bills, 
G2P, P2G).</x:v>
      </x:c>
      <x:c r="G174" s="34" t="str">
        <x:v>PRD-0069-P0032-U01</x:v>
      </x:c>
      <x:c r="H174" s="34" t="str"/>
      <x:c r="I174" s="34" t="str">
        <x:v>SZ_Eswatini_2024-Fintech-Digital-Lilangeni-Design-Paper</x:v>
      </x:c>
      <x:c r="J174" s="34" t="n">
        <x:v>32</x:v>
      </x:c>
      <x:c r="K174" s="34" t="str">
        <x:v>en</x:v>
      </x:c>
      <x:c r="L174" s="34" t="str">
        <x:v>Central Bank of Eswatini (Digital Lilangeni)</x:v>
      </x:c>
      <x:c r="M174" s="34" t="str">
        <x:v>Retain Central Bank of Eswatini design decisions, proposals, features, and requirements; use the supplied render when text is sparse.</x:v>
      </x:c>
      <x:c r="N174" s="34" t="str">
        <x:v>text</x:v>
      </x:c>
      <x:c r="O174" s="34" t="str"/>
      <x:c r="P174" s="38" t="str"/>
      <x:c r="Q174" s="38" t="str"/>
      <x:c r="R174" s="38" t="str"/>
      <x:c r="S174" s="38" t="str"/>
      <x:c r="T174" s="38" t="str"/>
      <x:c r="U174" s="38" t="str"/>
      <x:c r="V174" s="38" t="str"/>
      <x:c r="W174" s="38" t="str"/>
      <x:c r="X174" s="38" t="str"/>
      <x:c r="Y174" s="38" t="str"/>
      <x:c r="Z174" s="38" t="str"/>
      <x:c r="AA174" s="43" t="str">
        <x:f>IF('Instructions'!$B$3="","",'Instructions'!$B$3)</x:f>
      </x:c>
      <x:c r="AB174" s="43" t="str">
        <x:f>IF(P174="","PENDING",IF('Instructions'!$B$3="","SET_INITIALS",IF(P174="keep",IF(OR(Q174="",R174="",S174="",T174="",U174="",W174=""),"INCOMPLETE_KEEP","COMPLETE"),IF(P174="exclude",IF(OR(V174="",W174=""),"INCOMPLETE_EXCLUDE","COMPLETE"),"NEEDS_CONTEXT"))))</x:f>
        <x:v>PENDING</x:v>
      </x:c>
    </x:row>
    <x:row r="175" ht="62" customHeight="1">
      <x:c r="A175" s="34" t="str">
        <x:v>SV-0172</x:v>
      </x:c>
      <x:c r="B175" s="34" t="str">
        <x:v>The governance of the API layer should be clearly defined from the beginning to 
ensure minimal impact in the CBDC ecosystem when changes are implemented in the 
API layer.</x:v>
      </x:c>
      <x:c r="C175" s="34" t="str"/>
      <x:c r="D175" s="34" t="str"/>
      <x:c r="E175" s="34" t="str"/>
      <x:c r="F175" s="34" t="str">
        <x:v>…  The API should be well documented to enable adoption.  
• The API specification should be stable and should not require frequent updates.  
• The API layer should be reliable. Multiple identical requests should always receive the 
same response, error messages should be clear and concise. 
• The API specification should consist of a number of well-defined functions, to support 
extensibility (see Section 3.5). Highly encapsulated API specifications could facilitate a 
higher degree of extensibility and legacy compatibility during upgrades. 
• The governance of the API layer should be clearly defined from the beginning to 
ensure minimal impact in the CBDC ecosystem when changes are implemented in the 
API layer. 
Box A: Project Rosalind 
Project Rosalind is a collaboration between the BIS Innovation Hub London Centre and 
the Bank. The project aims to develop a best-in-class API specification for a retail CBDC 
in order to gain understanding on how a CBDC could deliver its core functionality. By 
focusing on the API design, Rosalind allows the design of the core ledger to be 
abstracted.  
The project will explore some of the functionalities required to enable a diverse and 
innovative set of use cases developed by the private sector. Through this 
 …</x:v>
      </x:c>
      <x:c r="G175" s="34" t="str">
        <x:v>PRD-0076-P0061-U01</x:v>
      </x:c>
      <x:c r="H175" s="34" t="str"/>
      <x:c r="I175" s="34" t="str">
        <x:v>UK_BoE_2023_TechWP</x:v>
      </x:c>
      <x:c r="J175" s="34" t="n">
        <x:v>61</x:v>
      </x:c>
      <x:c r="K175" s="34" t="str">
        <x:v>en</x:v>
      </x:c>
      <x:c r="L175" s="34" t="str">
        <x:v>Bank of England and HM Treasury (digital pound)</x:v>
      </x:c>
      <x:c r="M175" s="34" t="str">
        <x:v>Retain the named authority's own CBDC decisions, explicit proposals, requirements, features, and executed findings. Exclude generic context, literature, foreign projects, and stakeholder views not explicitly adopted by the authority.</x:v>
      </x:c>
      <x:c r="N175" s="34" t="str">
        <x:v>text</x:v>
      </x:c>
      <x:c r="O175" s="34" t="str"/>
      <x:c r="P175" s="38" t="str"/>
      <x:c r="Q175" s="38" t="str"/>
      <x:c r="R175" s="38" t="str"/>
      <x:c r="S175" s="38" t="str"/>
      <x:c r="T175" s="38" t="str"/>
      <x:c r="U175" s="38" t="str"/>
      <x:c r="V175" s="38" t="str"/>
      <x:c r="W175" s="38" t="str"/>
      <x:c r="X175" s="38" t="str"/>
      <x:c r="Y175" s="38" t="str"/>
      <x:c r="Z175" s="38" t="str"/>
      <x:c r="AA175" s="43" t="str">
        <x:f>IF('Instructions'!$B$3="","",'Instructions'!$B$3)</x:f>
      </x:c>
      <x:c r="AB175" s="43" t="str">
        <x:f>IF(P175="","PENDING",IF('Instructions'!$B$3="","SET_INITIALS",IF(P175="keep",IF(OR(Q175="",R175="",S175="",T175="",U175="",W175=""),"INCOMPLETE_KEEP","COMPLETE"),IF(P175="exclude",IF(OR(V175="",W175=""),"INCOMPLETE_EXCLUDE","COMPLETE"),"NEEDS_CONTEXT"))))</x:f>
        <x:v>PENDING</x:v>
      </x:c>
    </x:row>
    <x:row r="176" ht="62" customHeight="1">
      <x:c r="A176" s="34" t="str">
        <x:v>SV-0173</x:v>
      </x:c>
      <x:c r="B176" s="34" t="str">
        <x:v>При переводе средств между кошельками клиентов – физических лиц на пассивной сторо-
не баланса Банка России средства перемещаются с цифрового кошелька клиента А на циф -
ровой кошелек клиента Б.</x:v>
      </x:c>
      <x:c r="C176" s="34" t="str">
        <x:v>When funds are transferred between the wallets of individual clients, on the liability side of the Bank of Russia's balance sheet, funds move from client A's digital wallet to client B's digital wallet.</x:v>
      </x:c>
      <x:c r="D176" s="34" t="str"/>
      <x:c r="E176" s="34" t="str"/>
      <x:c r="F176" s="34" t="str">
        <x:v>…  получателя (например, номер телефона), отправляет поруче-
ние в кредитную организацию А на перевод цифровых рублей клиенту Б.
Кредитная организация А  выполняет процедуры, предусмотренные законодательством 
в сфере ПОД / ФТ / ФРОМУ, валютным законодательством, и осуществляет по поручению кли -
ента А перевод цифровых рублей с его кошелька на кошелек клиента Б на платформе цифро-
вого рубля.
Платформа цифрового рубля через мобильные приложения кредитных организаций А и Б 
направляет клиентам уведомления о зачислении и списании цифровых рублей.
При переводе средств между кошельками клиентов – физических лиц на пассивной сторо-
не баланса Банка России средства перемещаются с цифрового кошелька клиента А на циф -
ровой кошелек клиента Б. Балансы кредитных организаций не задействованы при переводе 
средств между кошельками клиентов.
Цифровой 
кошелек
клиента АКЛИЕНТ А
Цифровой 
кошелек 
клиента Б
ПОД/ФТ/ФРОМУ
Клиент А через мобильное приложение кредитной организации А направляет поручение 
в кредитную организацию А на перевод цифровых рублей другому физическому лицу (клиенту Б)
Кредитная организация А выполняет процедуры, предусмотренные законодательством в сфере ПОД/ФТ/ФРОМУ , 
валютным законодательством, и переводит цифровые рубли с кошелька клиента А на кошелек клиента Б 
на …</x:v>
      </x:c>
      <x:c r="G176" s="34" t="str">
        <x:v>PRD-0063-P0015-U01</x:v>
      </x:c>
      <x:c r="H176" s="34" t="str"/>
      <x:c r="I176" s="34" t="str">
        <x:v>RU_Russia_concept_08042021</x:v>
      </x:c>
      <x:c r="J176" s="34" t="n">
        <x:v>15</x:v>
      </x:c>
      <x:c r="K176" s="34" t="str">
        <x:v>ru/uk</x:v>
      </x:c>
      <x:c r="L176" s="34" t="str">
        <x:v>Bank of Russia (digital ruble)</x:v>
      </x:c>
      <x:c r="M176" s="34" t="str">
        <x:v>Retain the named authority's own CBDC decisions, explicit proposals, requirements, features, and executed findings. Exclude generic context, literature, foreign projects, and stakeholder views not explicitly adopted by the authority.</x:v>
      </x:c>
      <x:c r="N176" s="34" t="str">
        <x:v>text</x:v>
      </x:c>
      <x:c r="O176" s="34" t="str"/>
      <x:c r="P176" s="38" t="str"/>
      <x:c r="Q176" s="38" t="str"/>
      <x:c r="R176" s="38" t="str"/>
      <x:c r="S176" s="38" t="str"/>
      <x:c r="T176" s="38" t="str"/>
      <x:c r="U176" s="38" t="str"/>
      <x:c r="V176" s="38" t="str"/>
      <x:c r="W176" s="38" t="str"/>
      <x:c r="X176" s="38" t="str"/>
      <x:c r="Y176" s="38" t="str"/>
      <x:c r="Z176" s="38" t="str"/>
      <x:c r="AA176" s="43" t="str">
        <x:f>IF('Instructions'!$B$3="","",'Instructions'!$B$3)</x:f>
      </x:c>
      <x:c r="AB176" s="43" t="str">
        <x:f>IF(P176="","PENDING",IF('Instructions'!$B$3="","SET_INITIALS",IF(P176="keep",IF(OR(Q176="",R176="",S176="",T176="",U176="",W176=""),"INCOMPLETE_KEEP","COMPLETE"),IF(P176="exclude",IF(OR(V176="",W176=""),"INCOMPLETE_EXCLUDE","COMPLETE"),"NEEDS_CONTEXT"))))</x:f>
        <x:v>PENDING</x:v>
      </x:c>
    </x:row>
    <x:row r="177" ht="62" customHeight="1">
      <x:c r="A177" s="34" t="str">
        <x:v>SV-0174</x:v>
      </x:c>
      <x:c r="B177" s="34" t="str">
        <x:v>It appears as a liability on the central bank’s 
balance sheet</x:v>
      </x:c>
      <x:c r="C177" s="34" t="str"/>
      <x:c r="D177" s="34" t="str"/>
      <x:c r="E177" s="34" t="str"/>
      <x:c r="F177" s="34" t="str">
        <x:v>… s/BS_SpeechesView.aspx?Id=1111 
exchangeable one-to-one at par (1:1) with the 
fiat currency 9. While money in digital form is 
predominant in India— for example in bank 
accounts recorded as book entries on 
commercial bank ledgers—a CBDC would differ 
from existing digital money available to the 
public because a CBDC would be a liability of 
the Reserve Bank, and not of a commercial 
bank.  
2.2 Features of CBDC  
The features of CBDC include: 
• CBDC is sovereign currency issued by 
Central Banks in alignment with their 
monetary policy 
• It appears as a liability on the central bank’s 
balance sheet 
• Must be accepted as a medium of payment, 
legal tender, and a safe store of value by all 
citizens, enterprises, and government 
agencies. 
• Freely convertible against commercial bank 
money and cash 
• Fungible legal tender for which holders need 
not have a bank account 
• Expected to l ower the  cost of issuance of 
money and transactions</x:v>
      </x:c>
      <x:c r="G177" s="34" t="str">
        <x:v>PRD-0088-P0015-U01</x:v>
      </x:c>
      <x:c r="H177" s="34" t="str"/>
      <x:c r="I177" s="34" t="str">
        <x:v>IN_RBI_ConceptNote_2022</x:v>
      </x:c>
      <x:c r="J177" s="34" t="n">
        <x:v>15</x:v>
      </x:c>
      <x:c r="K177" s="34" t="str">
        <x:v>en</x:v>
      </x:c>
      <x:c r="L177" s="34" t="str">
        <x:v>Reserve Bank of India (digital rupee)</x:v>
      </x:c>
      <x:c r="M177" s="34" t="str">
        <x:v>Retain RBI proposals, decisions, requirements, and operating-model claims for the digital rupee.</x:v>
      </x:c>
      <x:c r="N177" s="34" t="str">
        <x:v>text</x:v>
      </x:c>
      <x:c r="O177" s="34" t="str"/>
      <x:c r="P177" s="38" t="str"/>
      <x:c r="Q177" s="38" t="str"/>
      <x:c r="R177" s="38" t="str"/>
      <x:c r="S177" s="38" t="str"/>
      <x:c r="T177" s="38" t="str"/>
      <x:c r="U177" s="38" t="str"/>
      <x:c r="V177" s="38" t="str"/>
      <x:c r="W177" s="38" t="str"/>
      <x:c r="X177" s="38" t="str"/>
      <x:c r="Y177" s="38" t="str"/>
      <x:c r="Z177" s="38" t="str"/>
      <x:c r="AA177" s="43" t="str">
        <x:f>IF('Instructions'!$B$3="","",'Instructions'!$B$3)</x:f>
      </x:c>
      <x:c r="AB177" s="43" t="str">
        <x:f>IF(P177="","PENDING",IF('Instructions'!$B$3="","SET_INITIALS",IF(P177="keep",IF(OR(Q177="",R177="",S177="",T177="",U177="",W177=""),"INCOMPLETE_KEEP","COMPLETE"),IF(P177="exclude",IF(OR(V177="",W177=""),"INCOMPLETE_EXCLUDE","COMPLETE"),"NEEDS_CONTEXT"))))</x:f>
        <x:v>PENDING</x:v>
      </x:c>
    </x:row>
    <x:row r="178" ht="62" customHeight="1">
      <x:c r="A178" s="34" t="str">
        <x:v>SV-0175</x:v>
      </x:c>
      <x:c r="B178" s="34" t="str">
        <x:v>The Riksbank will be responsible at the very least for the issue, 
redemption and settlement of the e-krona.</x:v>
      </x:c>
      <x:c r="C178" s="34" t="str"/>
      <x:c r="D178" s="34" t="str"/>
      <x:c r="E178" s="34" t="str"/>
      <x:c r="F178" s="34" t="str">
        <x:v>… s. The supply of e-krona should be determined in a similar manner. As 
the e-krona is in a system that does not come under the finality directive, it is best suited 
for small payments. Large payments will continue to be made through the RIX system. 
 The Riksbank supplies the central infrastructure for the e-krona, but the interaction with 
users of the e-krona will be entirely or partly through private or public sector agents with 
authorisation to mediate payments. Thus, an interface is needed to which these payment 
mediators can connect. The Riksbank will be responsible at the very least for the issue, 
redemption and settlement of the e-krona. It is an open question whether the Riksbank 
should supply a very simple and fundamental payment service that allows users to access 
their e-kronas without going through a payment services provider. 
 It should be possible to buy e-kronas through a transfer in RIX, but there should be 
alternatives for the payment services providers and users who are not participants in RIX.  
 The e-krona can have a function that under certain circumstances, in accordance with the 
anti -money laundering regulations, allows partly anonymous payments. A reg …</x:v>
      </x:c>
      <x:c r="G178" s="34" t="str">
        <x:v>PRD-0067-P0042-U01</x:v>
      </x:c>
      <x:c r="H178" s="34" t="str"/>
      <x:c r="I178" s="34" t="str">
        <x:v>SE_Riksbank_2017</x:v>
      </x:c>
      <x:c r="J178" s="34" t="n">
        <x:v>42</x:v>
      </x:c>
      <x:c r="K178" s="34" t="str">
        <x:v>en</x:v>
      </x:c>
      <x:c r="L178" s="34" t="str">
        <x:v>Sveriges Riksbank (e-krona)</x:v>
      </x:c>
      <x:c r="M178" s="34" t="str">
        <x:v>Retain Riksbank e-krona proposals, preferences, and requirements; exclude generic background.</x:v>
      </x:c>
      <x:c r="N178" s="34" t="str">
        <x:v>text</x:v>
      </x:c>
      <x:c r="O178" s="34" t="str"/>
      <x:c r="P178" s="38" t="str"/>
      <x:c r="Q178" s="38" t="str"/>
      <x:c r="R178" s="38" t="str"/>
      <x:c r="S178" s="38" t="str"/>
      <x:c r="T178" s="38" t="str"/>
      <x:c r="U178" s="38" t="str"/>
      <x:c r="V178" s="38" t="str"/>
      <x:c r="W178" s="38" t="str"/>
      <x:c r="X178" s="38" t="str"/>
      <x:c r="Y178" s="38" t="str"/>
      <x:c r="Z178" s="38" t="str"/>
      <x:c r="AA178" s="43" t="str">
        <x:f>IF('Instructions'!$B$3="","",'Instructions'!$B$3)</x:f>
      </x:c>
      <x:c r="AB178" s="43" t="str">
        <x:f>IF(P178="","PENDING",IF('Instructions'!$B$3="","SET_INITIALS",IF(P178="keep",IF(OR(Q178="",R178="",S178="",T178="",U178="",W178=""),"INCOMPLETE_KEEP","COMPLETE"),IF(P178="exclude",IF(OR(V178="",W178=""),"INCOMPLETE_EXCLUDE","COMPLETE"),"NEEDS_CONTEXT"))))</x:f>
        <x:v>PENDING</x:v>
      </x:c>
    </x:row>
    <x:row r="179" ht="62" customHeight="1">
      <x:c r="A179" s="34" t="str">
        <x:v>SV-0176</x:v>
      </x:c>
      <x:c r="B179" s="34" t="str">
        <x:v>The main 
factor behind this is that for each transaction instruction, holder ID updates were processed for 
multiple tokens, and because exchange processes happen for a constant fraction, the number 
of processes ballooned compared with the other designs. These resource constraints 
decreased throughput and increased latency.</x:v>
      </x:c>
      <x:c r="C179" s="34" t="str"/>
      <x:c r="D179" s="34" t="str"/>
      <x:c r="E179" s="34" t="str"/>
      <x:c r="F179" s="34" t="str">
        <x:v>… uring the time that a record is locked, 
processing is paused on the database server, and the status of the record needs to be 
monitored constantly so that the later transaction is processed  as soon as the record lock is 
lifted. This means that the CPU utilization rate increases with the number of processes on hold 
for a single record. 
Design 3 performance bottlenecks 
Because the database server in Design 3 had a CPU utilization rate approaching 100% under 
the high-load scenario, we see that processing exhausted the available resources. The main 
factor behind this is that for each transaction instruction, holder ID updates were processed for 
multiple tokens, and because exchange processes happen for a constant fraction, the number 
of processes ballooned compared with the other designs. These resource constraints 
decreased throughput and increased latency. 
3.2  Performance issues towards achieving a production -ready system  
Based on the results of the performance evaluation reported in Section 3 .1 above, we 
examined the strategies to achieve the processing performance needed towards achieving a 
production-ready system and the issues that would be faced. 
The performance evaluation results showed that the record locking in Design 2 and the 
resource deficiency in Design 3 each brought about  performance bottlenecks (Figure 4). 
Record locking did not pose a problem  in Design 1, but it co …</x:v>
      </x:c>
      <x:c r="G179" s="34" t="str">
        <x:v>PRD-0043-P0009-U01</x:v>
      </x:c>
      <x:c r="H179" s="34" t="str"/>
      <x:c r="I179" s="34" t="str">
        <x:v>JP_BoJ_2022</x:v>
      </x:c>
      <x:c r="J179" s="34" t="n">
        <x:v>9</x:v>
      </x:c>
      <x:c r="K179" s="34" t="str">
        <x:v>en</x:v>
      </x:c>
      <x:c r="L179" s="34" t="str">
        <x:v>Bank of Japan</x:v>
      </x:c>
      <x:c r="M179" s="34" t="str">
        <x:v>Retain the named authority's own CBDC decisions, explicit proposals, requirements, features, and executed findings. Exclude generic context, literature, foreign projects, and stakeholder views not explicitly adopted by the authority.</x:v>
      </x:c>
      <x:c r="N179" s="34" t="str">
        <x:v>text</x:v>
      </x:c>
      <x:c r="O179" s="34" t="str"/>
      <x:c r="P179" s="38" t="str"/>
      <x:c r="Q179" s="38" t="str"/>
      <x:c r="R179" s="38" t="str"/>
      <x:c r="S179" s="38" t="str"/>
      <x:c r="T179" s="38" t="str"/>
      <x:c r="U179" s="38" t="str"/>
      <x:c r="V179" s="38" t="str"/>
      <x:c r="W179" s="38" t="str"/>
      <x:c r="X179" s="38" t="str"/>
      <x:c r="Y179" s="38" t="str"/>
      <x:c r="Z179" s="38" t="str"/>
      <x:c r="AA179" s="43" t="str">
        <x:f>IF('Instructions'!$B$3="","",'Instructions'!$B$3)</x:f>
      </x:c>
      <x:c r="AB179" s="43" t="str">
        <x:f>IF(P179="","PENDING",IF('Instructions'!$B$3="","SET_INITIALS",IF(P179="keep",IF(OR(Q179="",R179="",S179="",T179="",U179="",W179=""),"INCOMPLETE_KEEP","COMPLETE"),IF(P179="exclude",IF(OR(V179="",W179=""),"INCOMPLETE_EXCLUDE","COMPLETE"),"NEEDS_CONTEXT"))))</x:f>
        <x:v>PENDING</x:v>
      </x:c>
    </x:row>
    <x:row r="180" ht="62" customHeight="1">
      <x:c r="A180" s="34" t="str">
        <x:v>SV-0177</x:v>
      </x:c>
      <x:c r="B180" s="34" t="str">
        <x:v>Firm A redeems DTs for traditional bank deposits.</x:v>
      </x:c>
      <x:c r="C180" s="34" t="str"/>
      <x:c r="D180" s="34" t="str"/>
      <x:c r="E180" s="34" t="str"/>
      <x:c r="F180" s="34" t="str">
        <x:v>PROJECT ACACIA – CONSULTATION PAPER | NOVEMBER 2024           45 
Model E: ‘Unified’ ledger 
​
​
​</x:v>
      </x:c>
      <x:c r="G180" s="34" t="str">
        <x:v>PRD-0007-P0046-U01</x:v>
      </x:c>
      <x:c r="H180" s="34" t="str"/>
      <x:c r="I180" s="34" t="str">
        <x:v>AU_RBA_003</x:v>
      </x:c>
      <x:c r="J180" s="34" t="n">
        <x:v>46</x:v>
      </x:c>
      <x:c r="K180" s="34" t="str">
        <x:v>en</x:v>
      </x:c>
      <x:c r="L180" s="34" t="str">
        <x:v>Reserve Bank of Australia and Digital Finance CRC (Project Acacia)</x:v>
      </x:c>
      <x:c r="M180" s="34" t="str">
        <x:v>Retain official Project Acacia design choices, requirements, and executed results. Exclude general tokenisation context and unadopted respondent suggestions.</x:v>
      </x:c>
      <x:c r="N180" s="34" t="str">
        <x:v>text_and_render</x:v>
      </x:c>
      <x:c r="O180" s="34" t="str">
        <x:v>renders/PRD-0007-P0046.jpg</x:v>
      </x:c>
      <x:c r="P180" s="38" t="str"/>
      <x:c r="Q180" s="38" t="str"/>
      <x:c r="R180" s="38" t="str"/>
      <x:c r="S180" s="38" t="str"/>
      <x:c r="T180" s="38" t="str"/>
      <x:c r="U180" s="38" t="str"/>
      <x:c r="V180" s="38" t="str"/>
      <x:c r="W180" s="38" t="str"/>
      <x:c r="X180" s="38" t="str"/>
      <x:c r="Y180" s="38" t="str"/>
      <x:c r="Z180" s="38" t="str"/>
      <x:c r="AA180" s="43" t="str">
        <x:f>IF('Instructions'!$B$3="","",'Instructions'!$B$3)</x:f>
      </x:c>
      <x:c r="AB180" s="43" t="str">
        <x:f>IF(P180="","PENDING",IF('Instructions'!$B$3="","SET_INITIALS",IF(P180="keep",IF(OR(Q180="",R180="",S180="",T180="",U180="",W180=""),"INCOMPLETE_KEEP","COMPLETE"),IF(P180="exclude",IF(OR(V180="",W180=""),"INCOMPLETE_EXCLUDE","COMPLETE"),"NEEDS_CONTEXT"))))</x:f>
        <x:v>PENDING</x:v>
      </x:c>
    </x:row>
    <x:row r="181" ht="62" customHeight="1">
      <x:c r="A181" s="34" t="str">
        <x:v>SV-0178</x:v>
      </x:c>
      <x:c r="B181" s="34" t="str">
        <x:v>This two -tier hybrid approach was also tested during the FSP Pilot Project, where 
Swaziland Building Society (SBS) was the intermediary to take over the integration of a 
Digital Lilangeni into their system and to offer the CBDC payment option as a service to 
its employees including selected CBE staff members with accounts at SBS. The CBE took 
on the role of minting, while SBS handled the distribution to and onboarding of end users 
in the pilot ecosystem.</x:v>
      </x:c>
      <x:c r="C181" s="34" t="str"/>
      <x:c r="D181" s="34" t="str"/>
      <x:c r="E181" s="34" t="str"/>
      <x:c r="F181" s="34" t="str">
        <x:v>… institutions) take over the distribution of the Digital Lilangeni to the end users in this 
model. Likewise, all customer -facing activities (e.g., KYC, onboarding processes an d 
customer support) fall to the intermediaries in this two -tier model. This approach 
corresponds to the current cash cycle, in which the intermediaries also assume this role. 
The intermediaries' expertise in dealing with end customers can thus be used effi ciently 
in a two-tier CBDC ecosystem and the intervention in the existing system is only minimally 
invasive. 
This two -tier hybrid approach was also tested during the FSP Pilot Project, where 
Swaziland Building Society (SBS) was the intermediary to take over the integration of a 
Digital Lilangeni into their system and to offer the CBDC payment option as a service to 
its employees including selected CBE staff members with accounts at SBS. The CBE took 
on the role of minting, while SBS handled the distribution to and onboarding of end users 
in the pilot ecosystem.  
d) Governance in a two-tier hybrid model 
The roles and responsibilities of the entities involved must be clarified in advance for a 
successful CBDC ecosystem. The following paragraphs describe and discuss the roles of 
the participants in a two-tier hybrid model (see Figure 7).</x:v>
      </x:c>
      <x:c r="G181" s="34" t="str">
        <x:v>PRD-0069-P0030-U01</x:v>
      </x:c>
      <x:c r="H181" s="34" t="str"/>
      <x:c r="I181" s="34" t="str">
        <x:v>SZ_Eswatini_2024-Fintech-Digital-Lilangeni-Design-Paper</x:v>
      </x:c>
      <x:c r="J181" s="34" t="n">
        <x:v>30</x:v>
      </x:c>
      <x:c r="K181" s="34" t="str">
        <x:v>en</x:v>
      </x:c>
      <x:c r="L181" s="34" t="str">
        <x:v>Central Bank of Eswatini (Digital Lilangeni)</x:v>
      </x:c>
      <x:c r="M181" s="34" t="str">
        <x:v>Retain Central Bank of Eswatini design decisions, proposals, features, and requirements; use the supplied render when text is sparse.</x:v>
      </x:c>
      <x:c r="N181" s="34" t="str">
        <x:v>text</x:v>
      </x:c>
      <x:c r="O181" s="34" t="str"/>
      <x:c r="P181" s="38" t="str"/>
      <x:c r="Q181" s="38" t="str"/>
      <x:c r="R181" s="38" t="str"/>
      <x:c r="S181" s="38" t="str"/>
      <x:c r="T181" s="38" t="str"/>
      <x:c r="U181" s="38" t="str"/>
      <x:c r="V181" s="38" t="str"/>
      <x:c r="W181" s="38" t="str"/>
      <x:c r="X181" s="38" t="str"/>
      <x:c r="Y181" s="38" t="str"/>
      <x:c r="Z181" s="38" t="str"/>
      <x:c r="AA181" s="43" t="str">
        <x:f>IF('Instructions'!$B$3="","",'Instructions'!$B$3)</x:f>
      </x:c>
      <x:c r="AB181" s="43" t="str">
        <x:f>IF(P181="","PENDING",IF('Instructions'!$B$3="","SET_INITIALS",IF(P181="keep",IF(OR(Q181="",R181="",S181="",T181="",U181="",W181=""),"INCOMPLETE_KEEP","COMPLETE"),IF(P181="exclude",IF(OR(V181="",W181=""),"INCOMPLETE_EXCLUDE","COMPLETE"),"NEEDS_CONTEXT"))))</x:f>
        <x:v>PENDING</x:v>
      </x:c>
    </x:row>
    <x:row r="182" ht="62" customHeight="1">
      <x:c r="A182" s="34" t="str">
        <x:v>SV-0179</x:v>
      </x:c>
      <x:c r="B182" s="34" t="str">
        <x:v>The user should be able to see the exchange rate and the total fees that wil l be 
charged for the payment transaction before approving the transaction.</x:v>
      </x:c>
      <x:c r="C182" s="34" t="str"/>
      <x:c r="D182" s="34" t="str"/>
      <x:c r="E182" s="34" t="str"/>
      <x:c r="F182" s="34" t="str">
        <x:v>… -
money laundering, counter -terrorism financing, and other checks. Without such 
proof, the payment transaction will not proceed.64 
 A PSP should be able to stop an incoming payment resulting from a foreign payment 
if it cannot verify that the foreign payment has passed the required checks and 
complied with the rules. 
 There should be a mechanism to ensure that the digital shekel payment is returned 
to the end user if the international payment transaction is not completed for reasons 
beyond the control of the digital shekel system. 
 The user should be able to see the exchange rate and the total fees that wil l be 
charged for the payment transaction before approving the transaction. 
 It should be possible to receive confirmation from the international system that the 
foreign payment has been completed and present it to the digital shekel end user. 
63 Connecting the digital shekel to wCBDC systems could also streamline these processes. 
64 See: Bank for International Settlements. (2024). Project Mandala: Streamlining cross -border 
transaction compliance .</x:v>
      </x:c>
      <x:c r="G182" s="34" t="str">
        <x:v>PRD-0038-P0085-U01</x:v>
      </x:c>
      <x:c r="H182" s="34" t="str"/>
      <x:c r="I182" s="34" t="str">
        <x:v>IL_BoI_2024</x:v>
      </x:c>
      <x:c r="J182" s="34" t="n">
        <x:v>85</x:v>
      </x:c>
      <x:c r="K182" s="34" t="str">
        <x:v>en</x:v>
      </x:c>
      <x:c r="L182" s="34" t="str">
        <x:v>Bank of Israel (digital shekel)</x:v>
      </x:c>
      <x:c r="M182" s="34" t="str">
        <x:v>Retain the named authority's own CBDC decisions, explicit proposals, requirements, features, and executed findings. Exclude generic context, literature, foreign projects, and stakeholder views not explicitly adopted by the authority.</x:v>
      </x:c>
      <x:c r="N182" s="34" t="str">
        <x:v>text</x:v>
      </x:c>
      <x:c r="O182" s="34" t="str"/>
      <x:c r="P182" s="38" t="str"/>
      <x:c r="Q182" s="38" t="str"/>
      <x:c r="R182" s="38" t="str"/>
      <x:c r="S182" s="38" t="str"/>
      <x:c r="T182" s="38" t="str"/>
      <x:c r="U182" s="38" t="str"/>
      <x:c r="V182" s="38" t="str"/>
      <x:c r="W182" s="38" t="str"/>
      <x:c r="X182" s="38" t="str"/>
      <x:c r="Y182" s="38" t="str"/>
      <x:c r="Z182" s="38" t="str"/>
      <x:c r="AA182" s="43" t="str">
        <x:f>IF('Instructions'!$B$3="","",'Instructions'!$B$3)</x:f>
      </x:c>
      <x:c r="AB182" s="43" t="str">
        <x:f>IF(P182="","PENDING",IF('Instructions'!$B$3="","SET_INITIALS",IF(P182="keep",IF(OR(Q182="",R182="",S182="",T182="",U182="",W182=""),"INCOMPLETE_KEEP","COMPLETE"),IF(P182="exclude",IF(OR(V182="",W182=""),"INCOMPLETE_EXCLUDE","COMPLETE"),"NEEDS_CONTEXT"))))</x:f>
        <x:v>PENDING</x:v>
      </x:c>
    </x:row>
    <x:row r="183" ht="62" customHeight="1">
      <x:c r="A183" s="34" t="str">
        <x:v>SV-0180</x:v>
      </x:c>
      <x:c r="B183" s="34" t="str">
        <x:v>Selv om et DSP-register i seg selv ikke er basert på desentralisert teknologi, 
utelukker ikke dette at DSP kan utnytte fordeler ved DLT.</x:v>
      </x:c>
      <x:c r="C183" s="34" t="str"/>
      <x:c r="D183" s="34" t="str"/>
      <x:c r="E183" s="34" t="str"/>
      <x:c r="F183" s="34" t="str">
        <x:v>36 
NORGES BANK MEMO 
NR 1 | 2021 
DIGITALE 
SENTRALBANKPENGER 
3. RAPPORT FRA 
ARBEIDSGRUPPEN 
Selv om et DSP-register i seg selv ikke er basert på desentralisert teknologi, 
utelukker ikke dette at DSP kan utnytte fordeler ved DLT. Såkalte 
«overlay»,«layer 2» eller «side-chain»-løsninger innebærer at enheter i et 
basisregister «låses inn» til bruk i et annet register for bruk der og for senere 
konsolidering med basisregisteret etter fastsatte regler.29 En kunne tenke seg 
en løsning der brukerne kan låse DSP fra basisregisteret i Norges Bank inn i 
et DLT «overlay»-register for å benytte tjenestene i dette registeret. Aktiviteter 
i et «overlay»-register vil ikke nødvendigvis utelukke ansvar eller 
omdømmerisiko for Norges Bank knyttet til disse aktivitetene. Dette in …</x:v>
      </x:c>
      <x:c r="G183" s="34" t="str">
        <x:v>PRD-0054-P0036-U01</x:v>
      </x:c>
      <x:c r="H183" s="34" t="str"/>
      <x:c r="I183" s="34" t="str">
        <x:v>NO_Norway_norges-bank-memo-1-2021</x:v>
      </x:c>
      <x:c r="J183" s="34" t="n">
        <x:v>36</x:v>
      </x:c>
      <x:c r="K183" s="34" t="str">
        <x:v>en</x:v>
      </x:c>
      <x:c r="L183" s="34" t="str">
        <x:v>Norges Bank (Norwegian CBDC work)</x:v>
      </x:c>
      <x:c r="M183" s="34" t="str">
        <x:v>Retain Norges Bank CBDC positions and requirements; exclude generic or cited research.</x:v>
      </x:c>
      <x:c r="N183" s="34" t="str">
        <x:v>text</x:v>
      </x:c>
      <x:c r="O183" s="34" t="str"/>
      <x:c r="P183" s="38" t="str"/>
      <x:c r="Q183" s="38" t="str"/>
      <x:c r="R183" s="38" t="str"/>
      <x:c r="S183" s="38" t="str"/>
      <x:c r="T183" s="38" t="str"/>
      <x:c r="U183" s="38" t="str"/>
      <x:c r="V183" s="38" t="str"/>
      <x:c r="W183" s="38" t="str"/>
      <x:c r="X183" s="38" t="str"/>
      <x:c r="Y183" s="38" t="str"/>
      <x:c r="Z183" s="38" t="str"/>
      <x:c r="AA183" s="43" t="str">
        <x:f>IF('Instructions'!$B$3="","",'Instructions'!$B$3)</x:f>
      </x:c>
      <x:c r="AB183" s="43" t="str">
        <x:f>IF(P183="","PENDING",IF('Instructions'!$B$3="","SET_INITIALS",IF(P183="keep",IF(OR(Q183="",R183="",S183="",T183="",U183="",W183=""),"INCOMPLETE_KEEP","COMPLETE"),IF(P183="exclude",IF(OR(V183="",W183=""),"INCOMPLETE_EXCLUDE","COMPLETE"),"NEEDS_CONTEXT"))))</x:f>
        <x:v>PENDING</x:v>
      </x:c>
    </x:row>
    <x:row r="184" ht="62" customHeight="1">
      <x:c r="A184" s="34" t="str">
        <x:v>SV-0181</x:v>
      </x:c>
      <x:c r="B184" s="34" t="str">
        <x:v>This will influence banks’ 
needs with regard to transactions with the central bank, which will have to be taken into account 
when tuning the operational procedure of monetary policy and in order to ensure financial stability.</x:v>
      </x:c>
      <x:c r="C184" s="34" t="str"/>
      <x:c r="D184" s="34" t="str"/>
      <x:c r="E184" s="34" t="str"/>
      <x:c r="F184" s="34" t="str">
        <x:v>19
A Digital Ruble
October 2020
• Since the introduction of a digital ruble will have an impact on money circulation and the financial 
sector, the Bank of Russia will take this into account when pursuing its monetary and financial 
stability policies.
• The advent of a digital ruble will result in the redistribution of funds of households and businesses 
between cash, bank accounts, and electronic wallets in digital rubles. This will influence banks’ 
needs with regard to transactions with the central bank, which will have to be taken into account 
when tuning the operational procedure of monetary policy and in order to ensure financial stability.
• Over time, the introduction of a digital ruble may help improve the monetary policy transmission 
mechanism, given that the spread of a digital ruble may increase financial accessibility and 
financial inclusion for a wider range of users.
• The introduction of a digital ruble also increases the stability and reliability of the money 
circulation system, which is important both for achieving monetary policy objectives and for 
ensuring financial stability.
3.1. A DIGITAL RUBLE AND MONETARY POLICY
Through its monetary policy, the Bank of Russ …</x:v>
      </x:c>
      <x:c r="G184" s="34" t="str">
        <x:v>PRD-0064-P0020-U01</x:v>
      </x:c>
      <x:c r="H184" s="34" t="str"/>
      <x:c r="I184" s="34" t="str">
        <x:v>RU_Russia_consultation_paper_201013</x:v>
      </x:c>
      <x:c r="J184" s="34" t="n">
        <x:v>20</x:v>
      </x:c>
      <x:c r="K184" s="34" t="str">
        <x:v>en</x:v>
      </x:c>
      <x:c r="L184" s="34" t="str">
        <x:v>Bank of Russia (digital ruble)</x:v>
      </x:c>
      <x:c r="M184" s="34" t="str">
        <x:v>Retain explicit Bank of Russia proposals, preferences, and requirements. Exclude open questions and future research without a position.</x:v>
      </x:c>
      <x:c r="N184" s="34" t="str">
        <x:v>text</x:v>
      </x:c>
      <x:c r="O184" s="34" t="str"/>
      <x:c r="P184" s="38" t="str"/>
      <x:c r="Q184" s="38" t="str"/>
      <x:c r="R184" s="38" t="str"/>
      <x:c r="S184" s="38" t="str"/>
      <x:c r="T184" s="38" t="str"/>
      <x:c r="U184" s="38" t="str"/>
      <x:c r="V184" s="38" t="str"/>
      <x:c r="W184" s="38" t="str"/>
      <x:c r="X184" s="38" t="str"/>
      <x:c r="Y184" s="38" t="str"/>
      <x:c r="Z184" s="38" t="str"/>
      <x:c r="AA184" s="43" t="str">
        <x:f>IF('Instructions'!$B$3="","",'Instructions'!$B$3)</x:f>
      </x:c>
      <x:c r="AB184" s="43" t="str">
        <x:f>IF(P184="","PENDING",IF('Instructions'!$B$3="","SET_INITIALS",IF(P184="keep",IF(OR(Q184="",R184="",S184="",T184="",U184="",W184=""),"INCOMPLETE_KEEP","COMPLETE"),IF(P184="exclude",IF(OR(V184="",W184=""),"INCOMPLETE_EXCLUDE","COMPLETE"),"NEEDS_CONTEXT"))))</x:f>
        <x:v>PENDING</x:v>
      </x:c>
    </x:row>
    <x:row r="185" ht="62" customHeight="1">
      <x:c r="A185" s="34" t="str">
        <x:v>SV-0182</x:v>
      </x:c>
      <x:c r="B185" s="34" t="str">
        <x:v>Two options for meeting user privacy requirements are currently under 
development. One is for the sender to perform the validation themselves 
and then convince the receiver beyond doubt that they have done so, 
without providing additional transaction information. This is the idea 
behind zero knowledge proofs, and Corda is designed to adopt this 
technology as it matures. The other option is to send the necessary data 
to the recipient’s computer for verification, but to do so in such a way 
that the recipient cannot see it, even though they have full control of 
their computer . This is what homomorphic encryption will allow as it 
matures and is what secure enclave technology, such as that provided  
by Intel’s SGX, offers today. Corda is designed to take full advantage  
of Intel SGX.</x:v>
      </x:c>
      <x:c r="C185" s="34" t="str"/>
      <x:c r="D185" s="34" t="str"/>
      <x:c r="E185" s="34" t="str"/>
      <x:c r="F185" s="34" t="str">
        <x:v>… and only validating transactions that do not 
involve objects with historic designations. The unique-
ness function performed by the notary prevents the 
“double spend” problem without relying on a costly 
proof-of-work mechanism. 
28 The wallet application is “CordApp,” a distributed application that sits 
above the Jasper platform. 
29 This is a rather fortuitous, unplanned bonus of the LSM design.  
The inhale/exhale procedure resets the time of issuance throughout  
the day and shortens the length of chains back to issuance. See page 23
30 Two options for meeting user privacy requirements are currently under 
development. One is for the sender to perform the validation themselves 
and then convince the receiver beyond doubt that they have done so, 
without providing additional transaction information. This is the idea 
behind zero knowledge proofs, and Corda is designed to adopt this 
technology as it matures. The other option is to send the necessary data 
to the recipient’s computer for verification, but to do so in such a way 
that the recipient cannot see it, even though they have full control of 
their computer . This is what homomorphic encryption will allow as it 
matures and is what secure enclave technology, such as that provided  
by Intel’s SGX, offers today. Corda is designed to take full advantage  
of Intel SGX.</x:v>
      </x:c>
      <x:c r="G185" s="34" t="str">
        <x:v>PRD-0015-P0022-U01</x:v>
      </x:c>
      <x:c r="H185" s="34" t="str"/>
      <x:c r="I185" s="34" t="str">
        <x:v>CA_Jasper_Phase12_2017</x:v>
      </x:c>
      <x:c r="J185" s="34" t="n">
        <x:v>22</x:v>
      </x:c>
      <x:c r="K185" s="34" t="str">
        <x:v>en</x:v>
      </x:c>
      <x:c r="L185" s="34" t="str">
        <x:v>Bank of Canada and Payments Canada (Project Jasper)</x:v>
      </x:c>
      <x:c r="M185" s="34" t="str">
        <x:v>Retain executed Project Jasper design choices and findings. Exclude general DLT literature and external examples.</x:v>
      </x:c>
      <x:c r="N185" s="34" t="str">
        <x:v>text</x:v>
      </x:c>
      <x:c r="O185" s="34" t="str"/>
      <x:c r="P185" s="38" t="str"/>
      <x:c r="Q185" s="38" t="str"/>
      <x:c r="R185" s="38" t="str"/>
      <x:c r="S185" s="38" t="str"/>
      <x:c r="T185" s="38" t="str"/>
      <x:c r="U185" s="38" t="str"/>
      <x:c r="V185" s="38" t="str"/>
      <x:c r="W185" s="38" t="str"/>
      <x:c r="X185" s="38" t="str"/>
      <x:c r="Y185" s="38" t="str"/>
      <x:c r="Z185" s="38" t="str"/>
      <x:c r="AA185" s="43" t="str">
        <x:f>IF('Instructions'!$B$3="","",'Instructions'!$B$3)</x:f>
      </x:c>
      <x:c r="AB185" s="43" t="str">
        <x:f>IF(P185="","PENDING",IF('Instructions'!$B$3="","SET_INITIALS",IF(P185="keep",IF(OR(Q185="",R185="",S185="",T185="",U185="",W185=""),"INCOMPLETE_KEEP","COMPLETE"),IF(P185="exclude",IF(OR(V185="",W185=""),"INCOMPLETE_EXCLUDE","COMPLETE"),"NEEDS_CONTEXT"))))</x:f>
        <x:v>PENDING</x:v>
      </x:c>
    </x:row>
    <x:row r="186" ht="62" customHeight="1">
      <x:c r="A186" s="34" t="str">
        <x:v>SV-0183</x:v>
      </x:c>
      <x:c r="B186" s="34" t="str">
        <x:v>Access technology recovery Support the end user’s ability to recover the access 
technology (for example, the loss of a card or the 
erasure of the cellular device).</x:v>
      </x:c>
      <x:c r="C186" s="34" t="str"/>
      <x:c r="D186" s="34" t="str"/>
      <x:c r="E186" s="34" t="str"/>
      <x:c r="F186" s="34" t="str">
        <x:v>… cement Enforcement of limits, specifically, maximum balance 
holding limits. 
Advanced payments services Support the end user’s ability to carry out advanced 
payment transactions (conditional paym ents, 
periodical payment orders, batch payment, etc.).  
Advanced information services Support the end user’s ability to obtain advanced 
information services: budget management, business 
analysis, etc. 
User interface Support the end user’s ability to manage his digital 
shekel activity (to view his balance, the history of 
transactions, etc.).  
Access technology recovery Support the end user’s ability to recover the access 
technology (for example, the loss of a card or the 
erasure of the cellular device).  
CBDC balance recovery Provide a solution for a situation in which all means of 
access to the system are unavailable to the end user. 
For example, a situation in which a particular PSP is no 
longer active and the syste m will have to support the 
end user’s ability to connect his balance to a new 
payment provider.  
Access technology offboarding Abolish the connection of a particular access device to 
the system.  
CBDC account offboarding Removal of the end user from the digital shekel 
system, at his request.</x:v>
      </x:c>
      <x:c r="G186" s="34" t="str">
        <x:v>PRD-0039-P0014-U01</x:v>
      </x:c>
      <x:c r="H186" s="34" t="str"/>
      <x:c r="I186" s="34" t="str">
        <x:v>IL_Israel_#U05d0#U05e8#U05db#U05d9#U05d8#U05e7#U05d8#U05d5#U05e8#U05d4-#U05dc#U05d5#U05d2#U05d9#U05ea-#U05d0#U05e0#U05d2#U05dc#U05d9#U05ea.pdf</x:v>
      </x:c>
      <x:c r="J186" s="34" t="n">
        <x:v>14</x:v>
      </x:c>
      <x:c r="K186" s="34" t="str">
        <x:v>en</x:v>
      </x:c>
      <x:c r="L186" s="34" t="str">
        <x:v>Bank of Israel (digital shekel)</x:v>
      </x:c>
      <x:c r="M186" s="34" t="str">
        <x:v>Retain Bank of Israel digital-shekel proposals, preferences, features, and requirements. Exclude figure fragments without a complete claim.</x:v>
      </x:c>
      <x:c r="N186" s="34" t="str">
        <x:v>text</x:v>
      </x:c>
      <x:c r="O186" s="34" t="str"/>
      <x:c r="P186" s="38" t="str"/>
      <x:c r="Q186" s="38" t="str"/>
      <x:c r="R186" s="38" t="str"/>
      <x:c r="S186" s="38" t="str"/>
      <x:c r="T186" s="38" t="str"/>
      <x:c r="U186" s="38" t="str"/>
      <x:c r="V186" s="38" t="str"/>
      <x:c r="W186" s="38" t="str"/>
      <x:c r="X186" s="38" t="str"/>
      <x:c r="Y186" s="38" t="str"/>
      <x:c r="Z186" s="38" t="str"/>
      <x:c r="AA186" s="43" t="str">
        <x:f>IF('Instructions'!$B$3="","",'Instructions'!$B$3)</x:f>
      </x:c>
      <x:c r="AB186" s="43" t="str">
        <x:f>IF(P186="","PENDING",IF('Instructions'!$B$3="","SET_INITIALS",IF(P186="keep",IF(OR(Q186="",R186="",S186="",T186="",U186="",W186=""),"INCOMPLETE_KEEP","COMPLETE"),IF(P186="exclude",IF(OR(V186="",W186=""),"INCOMPLETE_EXCLUDE","COMPLETE"),"NEEDS_CONTEXT"))))</x:f>
        <x:v>PENDING</x:v>
      </x:c>
    </x:row>
    <x:row r="187" ht="62" customHeight="1">
      <x:c r="A187" s="34" t="str">
        <x:v>SV-0184</x:v>
      </x:c>
      <x:c r="B187" s="34" t="str">
        <x:v>This account could be pseudonymous on the core 
ledger, meaning that the core ledger would not need to record identity information. However, the Payment 
Interface Provider would record the identity of the user on its own systems, and would know which 
pseudonymous account(s) the user holds at the Bank.</x:v>
      </x:c>
      <x:c r="C187" s="34" t="str"/>
      <x:c r="D187" s="34" t="str"/>
      <x:c r="E187" s="34" t="str"/>
      <x:c r="F187" s="34" t="str">
        <x:v>… rm model, Payment Interface Providers would be private sector firms that would manage all the 
interaction with users of CBDC and provide overlay services that extend the functionality of CBDC. In practical 
terms, they could:
• Provide a user‑friendly interface, such as a mobile application or website, to allow the user to initiate payments 
and manage their CBDC.
• Apply Know Your Customer checks to verify the identity of users (or commission a third‑party service to do 
this).
• Register one or more accounts for the user in the core ledger. This account could be pseudonymous on the core 
ledger, meaning that the core ledger would not need to record identity information. However, the Payment 
Interface Provider would record the identity of the user on its own systems, and would know which 
pseudonymous account(s) the user holds at the Bank.
• Authenticate the user when they initiate payments, to protect them against fraud (eg if the user’s phone has 
been stolen), protect their personal data and ensure cyber‑resilience.
• Apply anti‑money laundering and sanctions checks to relevant payments (or commission a third‑party service 
to do this).
• Develop overlay services (see below) to provide additional functionality.
• Some Payment Interface Providers might also want to provide ‘merchant services’ to enable retailers and 
businesses to take CBDC payments from consumers.
In the basi …</x:v>
      </x:c>
      <x:c r="G187" s="34" t="str">
        <x:v>PRD-0075-P0028-U01</x:v>
      </x:c>
      <x:c r="H187" s="34" t="str"/>
      <x:c r="I187" s="34" t="str">
        <x:v>UK_BoE_2020_OpportChall</x:v>
      </x:c>
      <x:c r="J187" s="34" t="n">
        <x:v>28</x:v>
      </x:c>
      <x:c r="K187" s="34" t="str">
        <x:v>en</x:v>
      </x:c>
      <x:c r="L187" s="34" t="str">
        <x:v>Bank of England and HM Treasury (digital pound)</x:v>
      </x:c>
      <x:c r="M187" s="34" t="str">
        <x:v>Retain the named authority's own CBDC decisions, explicit proposals, requirements, features, and executed findings. Exclude generic context, literature, foreign projects, and stakeholder views not explicitly adopted by the authority.</x:v>
      </x:c>
      <x:c r="N187" s="34" t="str">
        <x:v>text</x:v>
      </x:c>
      <x:c r="O187" s="34" t="str"/>
      <x:c r="P187" s="38" t="str"/>
      <x:c r="Q187" s="38" t="str"/>
      <x:c r="R187" s="38" t="str"/>
      <x:c r="S187" s="38" t="str"/>
      <x:c r="T187" s="38" t="str"/>
      <x:c r="U187" s="38" t="str"/>
      <x:c r="V187" s="38" t="str"/>
      <x:c r="W187" s="38" t="str"/>
      <x:c r="X187" s="38" t="str"/>
      <x:c r="Y187" s="38" t="str"/>
      <x:c r="Z187" s="38" t="str"/>
      <x:c r="AA187" s="43" t="str">
        <x:f>IF('Instructions'!$B$3="","",'Instructions'!$B$3)</x:f>
      </x:c>
      <x:c r="AB187" s="43" t="str">
        <x:f>IF(P187="","PENDING",IF('Instructions'!$B$3="","SET_INITIALS",IF(P187="keep",IF(OR(Q187="",R187="",S187="",T187="",U187="",W187=""),"INCOMPLETE_KEEP","COMPLETE"),IF(P187="exclude",IF(OR(V187="",W187=""),"INCOMPLETE_EXCLUDE","COMPLETE"),"NEEDS_CONTEXT"))))</x:f>
        <x:v>PENDING</x:v>
      </x:c>
    </x:row>
    <x:row r="188" ht="62" customHeight="1">
      <x:c r="A188" s="34" t="str">
        <x:v>SV-0185</x:v>
      </x:c>
      <x:c r="B188" s="34" t="str">
        <x:v>the CBDC system must function
independently of banks’ payment systems.</x:v>
      </x:c>
      <x:c r="C188" s="34" t="str"/>
      <x:c r="D188" s="34" t="str"/>
      <x:c r="E188" s="34" t="str"/>
      <x:c r="F188" s="34" t="str">
        <x:v>arrangements in the payment system, the CBDC system must function
independently of banks’ payment systems. CBDC’s can also have other
economic benefits, including a function as legal tender.
Development of retail CBDC in other countries
So far, only a few central banks in developing countries and emerging
economies have introduced a retail CBDC. Surveys conducted by the BIS
show that almost all central banks are studying CBDCs,  with focus
typically being given to the objectives and ramifications of introducing a
CBDC, necessary characteristics and legal implications. A number of central
banks have developed simple test versions to increase their k …</x:v>
      </x:c>
      <x:c r="G188" s="34" t="str">
        <x:v>PRD-0094-P0039-U01</x:v>
      </x:c>
      <x:c r="H188" s="34" t="str"/>
      <x:c r="I188" s="34" t="str">
        <x:v>NO_NB_FI2024_CBDC</x:v>
      </x:c>
      <x:c r="J188" s="34" t="n">
        <x:v>39</x:v>
      </x:c>
      <x:c r="K188" s="34" t="str">
        <x:v>en</x:v>
      </x:c>
      <x:c r="L188" s="34" t="str">
        <x:v>Norges Bank (Norwegian CBDC work)</x:v>
      </x:c>
      <x:c r="M188" s="34" t="str">
        <x:v>Retain only Norges Bank CBDC positions or CBDC implications. Existing Norwegian payment products are context unless explicitly linked to CBDC design.</x:v>
      </x:c>
      <x:c r="N188" s="34" t="str">
        <x:v>text</x:v>
      </x:c>
      <x:c r="O188" s="34" t="str"/>
      <x:c r="P188" s="38" t="str"/>
      <x:c r="Q188" s="38" t="str"/>
      <x:c r="R188" s="38" t="str"/>
      <x:c r="S188" s="38" t="str"/>
      <x:c r="T188" s="38" t="str"/>
      <x:c r="U188" s="38" t="str"/>
      <x:c r="V188" s="38" t="str"/>
      <x:c r="W188" s="38" t="str"/>
      <x:c r="X188" s="38" t="str"/>
      <x:c r="Y188" s="38" t="str"/>
      <x:c r="Z188" s="38" t="str"/>
      <x:c r="AA188" s="43" t="str">
        <x:f>IF('Instructions'!$B$3="","",'Instructions'!$B$3)</x:f>
      </x:c>
      <x:c r="AB188" s="43" t="str">
        <x:f>IF(P188="","PENDING",IF('Instructions'!$B$3="","SET_INITIALS",IF(P188="keep",IF(OR(Q188="",R188="",S188="",T188="",U188="",W188=""),"INCOMPLETE_KEEP","COMPLETE"),IF(P188="exclude",IF(OR(V188="",W188=""),"INCOMPLETE_EXCLUDE","COMPLETE"),"NEEDS_CONTEXT"))))</x:f>
        <x:v>PENDING</x:v>
      </x:c>
    </x:row>
    <x:row r="189" ht="62" customHeight="1">
      <x:c r="A189" s="34" t="str">
        <x:v>SV-0186</x:v>
      </x:c>
      <x:c r="B189" s="34" t="str">
        <x:v>The use of a unified 
ledger optimizes automation and customization of 
asset (programmability)</x:v>
      </x:c>
      <x:c r="C189" s="34" t="str"/>
      <x:c r="D189" s="34" t="str"/>
      <x:c r="E189" s="34" t="str"/>
      <x:c r="F189" s="34" t="str">
        <x:v>… solution 
that can be implemented on both platforms while 
maintaining the confidentiality of participant 
transactions is necessary.
Monitoring solutions to maintain transaction 
confidentiality involve adding a node with 
The digital asset layer represents the digital 
assets transacting on the wRD platform. In the 
wRD technology architecture, Bank Indonesia can 
manage 2 (two) types of digital assets: the Rupiah 
Digital and the digital securities. The existence 
of various digital assets on a single platform is 
known as a unified ledger. The use of a unified 
ledger optimizes automation and customization of 
asset (programmability), integration of one asset 
with another (composability), and simultaneous 
settlement of multiple assets (atomic settlement).
The Immediate State phase PoC focuses on 
developing the Rupiah Digital (cash ledger) 
assets across all test scenarios. Digital securities 
assets are developed in a limited manner within 
the Delivery Versus Payment (DVP)
16 scenario. 
Further exploration of digital securities assets will be 
conducted at a later stage.
specific features for supervision. This specific 
node is the observer node, which receives a copy  …</x:v>
      </x:c>
      <x:c r="G189" s="34" t="str">
        <x:v>PRD-0037-P0021-U01</x:v>
      </x:c>
      <x:c r="H189" s="34" t="str"/>
      <x:c r="I189" s="34" t="str">
        <x:v>ID_Indonesia_2024</x:v>
      </x:c>
      <x:c r="J189" s="34" t="n">
        <x:v>21</x:v>
      </x:c>
      <x:c r="K189" s="34" t="str">
        <x:v>en</x:v>
      </x:c>
      <x:c r="L189" s="34" t="str">
        <x:v>Bank Indonesia (Digital Rupiah)</x:v>
      </x:c>
      <x:c r="M189" s="34" t="str">
        <x:v>Retain the named authority's own CBDC decisions, explicit proposals, requirements, features, and executed findings. Exclude generic context, literature, foreign projects, and stakeholder views not explicitly adopted by the authority.</x:v>
      </x:c>
      <x:c r="N189" s="34" t="str">
        <x:v>text</x:v>
      </x:c>
      <x:c r="O189" s="34" t="str"/>
      <x:c r="P189" s="38" t="str"/>
      <x:c r="Q189" s="38" t="str"/>
      <x:c r="R189" s="38" t="str"/>
      <x:c r="S189" s="38" t="str"/>
      <x:c r="T189" s="38" t="str"/>
      <x:c r="U189" s="38" t="str"/>
      <x:c r="V189" s="38" t="str"/>
      <x:c r="W189" s="38" t="str"/>
      <x:c r="X189" s="38" t="str"/>
      <x:c r="Y189" s="38" t="str"/>
      <x:c r="Z189" s="38" t="str"/>
      <x:c r="AA189" s="43" t="str">
        <x:f>IF('Instructions'!$B$3="","",'Instructions'!$B$3)</x:f>
      </x:c>
      <x:c r="AB189" s="43" t="str">
        <x:f>IF(P189="","PENDING",IF('Instructions'!$B$3="","SET_INITIALS",IF(P189="keep",IF(OR(Q189="",R189="",S189="",T189="",U189="",W189=""),"INCOMPLETE_KEEP","COMPLETE"),IF(P189="exclude",IF(OR(V189="",W189=""),"INCOMPLETE_EXCLUDE","COMPLETE"),"NEEDS_CONTEXT"))))</x:f>
        <x:v>PENDING</x:v>
      </x:c>
    </x:row>
    <x:row r="190" ht="62" customHeight="1">
      <x:c r="A190" s="34" t="str">
        <x:v>SV-0187</x:v>
      </x:c>
      <x:c r="B190" s="34" t="str">
        <x:v>The development will commence with 
w-Digital Rupiah at the initial stage serving 
as the overall foundation of Digital Rupiah.</x:v>
      </x:c>
      <x:c r="C190" s="34" t="str"/>
      <x:c r="D190" s="34" t="str"/>
      <x:c r="E190" s="34" t="str"/>
      <x:c r="F190" s="34" t="str">
        <x:v>… ign 
configuration is an essential part in 
Digital	Rupiah	issuance. Digital Rupiah 
design configuration consists of five main 
elements: (i) issuance; (ii) distribution 
and recording of transactions; (iii) access; 
(iv) use cases and interlinkage; and (v) 
infrastructure and technology (Figure 3).
2.2.1 Issuance
Digital	Rupiah	will	be	issued	in	two	forms: 	
wholesale	Digital	Rupiah	(w-Digital	Rupiah) 	
and	retail	Digital	Rupiah	(r-Digital	Rupiah) 	
which will be developed using an integrated 
end-to-end approach from wholesale to 
retail. The development will commence with 
w-Digital Rupiah at the initial stage serving 
as the overall foundation of Digital Rupiah. 
Digital Rupiah is designed to be available in 
both wholesale and retail use cases, leading 
to greater potential adoption. The use of 
w-Digital Rupiah in the wholesale market 
is expected to support financial markets 
development and digital economy and 
finance integration.
Digital	Rupiah	would	be	a	complementary	to 	
banknotes, coins, and third-party reserves 
at Bank Indonesia. They would play a role 
as risk-free settlement assets. Digital 
Rupiah is a direct claim of its holder to 
Bank Indonesia, with comparable issuance 
mechanism an …</x:v>
      </x:c>
      <x:c r="G190" s="34" t="str">
        <x:v>PRD-0035-P0031-U01</x:v>
      </x:c>
      <x:c r="H190" s="34" t="str"/>
      <x:c r="I190" s="34" t="str">
        <x:v>ID_Indonesia_2022</x:v>
      </x:c>
      <x:c r="J190" s="34" t="n">
        <x:v>31</x:v>
      </x:c>
      <x:c r="K190" s="34" t="str">
        <x:v>en</x:v>
      </x:c>
      <x:c r="L190" s="34" t="str">
        <x:v>Bank Indonesia (Digital Rupiah)</x:v>
      </x:c>
      <x:c r="M190" s="34" t="str">
        <x:v>Retain Bank Indonesia Digital Rupiah decisions, roadmap commitments, features, and requirements.</x:v>
      </x:c>
      <x:c r="N190" s="34" t="str">
        <x:v>text</x:v>
      </x:c>
      <x:c r="O190" s="34" t="str"/>
      <x:c r="P190" s="38" t="str"/>
      <x:c r="Q190" s="38" t="str"/>
      <x:c r="R190" s="38" t="str"/>
      <x:c r="S190" s="38" t="str"/>
      <x:c r="T190" s="38" t="str"/>
      <x:c r="U190" s="38" t="str"/>
      <x:c r="V190" s="38" t="str"/>
      <x:c r="W190" s="38" t="str"/>
      <x:c r="X190" s="38" t="str"/>
      <x:c r="Y190" s="38" t="str"/>
      <x:c r="Z190" s="38" t="str"/>
      <x:c r="AA190" s="43" t="str">
        <x:f>IF('Instructions'!$B$3="","",'Instructions'!$B$3)</x:f>
      </x:c>
      <x:c r="AB190" s="43" t="str">
        <x:f>IF(P190="","PENDING",IF('Instructions'!$B$3="","SET_INITIALS",IF(P190="keep",IF(OR(Q190="",R190="",S190="",T190="",U190="",W190=""),"INCOMPLETE_KEEP","COMPLETE"),IF(P190="exclude",IF(OR(V190="",W190=""),"INCOMPLETE_EXCLUDE","COMPLETE"),"NEEDS_CONTEXT"))))</x:f>
        <x:v>PENDING</x:v>
      </x:c>
    </x:row>
    <x:row r="191" ht="62" customHeight="1">
      <x:c r="A191" s="34" t="str">
        <x:v>SV-0188</x:v>
      </x:c>
      <x:c r="B191" s="34" t="str">
        <x:v>• Multiple use cases for allowing person-to-person (P2P) and person-to-business (P2B) transfers.</x:v>
      </x:c>
      <x:c r="C191" s="34" t="str"/>
      <x:c r="D191" s="34" t="str"/>
      <x:c r="E191" s="34" t="str"/>
      <x:c r="F191" s="34" t="str">
        <x:v>9 CBDC: Promoting digital payments in Peru 
with Peru’s current payments  landscape. To this end, a CBDC for Peru should include the following 
features: 
• Instant and final payments, at low or no cost, and enabling small-ticket transactions. 
• Universally accessible, easy to use, and able to operate on- and offline. 
• Multiple use cases for allowing person-to-person (P2P) and person-to-business (P2B) transfers. 
• Interoperability with bank accounts, e-money accounts, and other payment options. 
• Adequate application of holding and transaction limits for targeted customer segments. 
In no case, the CBDC adoption would imply stopping the issuance of physical money by the 
BCRP. The public would have at its disposal the two forms of money issued by the central bank, i.e., a 
CBDC would complement the means of payment that the BCRP  makes available to the public by 
offering a public service to those who cannot be served by existing payment options.  …</x:v>
      </x:c>
      <x:c r="G191" s="34" t="str">
        <x:v>PRD-0059-P0009-U01</x:v>
      </x:c>
      <x:c r="H191" s="34" t="str"/>
      <x:c r="I191" s="34" t="str">
        <x:v>PE_Peru_cbdc-presentation</x:v>
      </x:c>
      <x:c r="J191" s="34" t="n">
        <x:v>9</x:v>
      </x:c>
      <x:c r="K191" s="34" t="str">
        <x:v>en</x:v>
      </x:c>
      <x:c r="L191" s="34" t="str">
        <x:v>Banco Central de Reserva del Peru</x:v>
      </x:c>
      <x:c r="M191" s="34" t="str">
        <x:v>Retain the named authority's own CBDC decisions, explicit proposals, requirements, features, and executed findings. Exclude generic context, literature, foreign projects, and stakeholder views not explicitly adopted by the authority.</x:v>
      </x:c>
      <x:c r="N191" s="34" t="str">
        <x:v>text</x:v>
      </x:c>
      <x:c r="O191" s="34" t="str"/>
      <x:c r="P191" s="38" t="str"/>
      <x:c r="Q191" s="38" t="str"/>
      <x:c r="R191" s="38" t="str"/>
      <x:c r="S191" s="38" t="str"/>
      <x:c r="T191" s="38" t="str"/>
      <x:c r="U191" s="38" t="str"/>
      <x:c r="V191" s="38" t="str"/>
      <x:c r="W191" s="38" t="str"/>
      <x:c r="X191" s="38" t="str"/>
      <x:c r="Y191" s="38" t="str"/>
      <x:c r="Z191" s="38" t="str"/>
      <x:c r="AA191" s="43" t="str">
        <x:f>IF('Instructions'!$B$3="","",'Instructions'!$B$3)</x:f>
      </x:c>
      <x:c r="AB191" s="43" t="str">
        <x:f>IF(P191="","PENDING",IF('Instructions'!$B$3="","SET_INITIALS",IF(P191="keep",IF(OR(Q191="",R191="",S191="",T191="",U191="",W191=""),"INCOMPLETE_KEEP","COMPLETE"),IF(P191="exclude",IF(OR(V191="",W191=""),"INCOMPLETE_EXCLUDE","COMPLETE"),"NEEDS_CONTEXT"))))</x:f>
        <x:v>PENDING</x:v>
      </x:c>
    </x:row>
    <x:row r="192" ht="62" customHeight="1">
      <x:c r="A192" s="34" t="str">
        <x:v>SV-0189</x:v>
      </x:c>
      <x:c r="B192" s="34" t="str">
        <x:v>the ECB will delegate
certain DESP tasks to external providers of support services, which will further contribute to data</x:v>
      </x:c>
      <x:c r="C192" s="34" t="str"/>
      <x:c r="D192" s="34" t="str"/>
      <x:c r="E192" s="34" t="str"/>
      <x:c r="F192" s="34" t="str">
        <x:v>…  euro service platform (DESP). The DESP is the technical platform for
settling digital euro transactions and providing functions that cannot be accomplished by individual
intermediaries. It features a best-in-class privacy model that will apply strict data segregation,
ensuring that the Eurosystem cannot link transactions to users or infer any of their behaviours or
identity attributes. Only PSPs will be able to identify the end user and link that identity to individual
transactions. Furthermore, as provided for in the digital euro Regulation, the ECB will delegate
certain DESP tasks to external providers of support services, which will further contribute to data
 21</x:v>
      </x:c>
      <x:c r="G192" s="34" t="str">
        <x:v>PRD-0092-P0009-U01</x:v>
      </x:c>
      <x:c r="H192" s="34" t="str"/>
      <x:c r="I192" s="34" t="str">
        <x:v>EU_ECB_ThirdProgress_2025</x:v>
      </x:c>
      <x:c r="J192" s="34" t="n">
        <x:v>9</x:v>
      </x:c>
      <x:c r="K192" s="34" t="str">
        <x:v>en</x:v>
      </x:c>
      <x:c r="L192" s="34" t="str">
        <x:v>European Central Bank / Eurosystem (digital euro)</x:v>
      </x:c>
      <x:c r="M192" s="34" t="str">
        <x:v>Retain Eurosystem digital-euro decisions, commitments, requirements, and reported findings; exclude stakeholder discussion summaries unless adopted.</x:v>
      </x:c>
      <x:c r="N192" s="34" t="str">
        <x:v>text</x:v>
      </x:c>
      <x:c r="O192" s="34" t="str"/>
      <x:c r="P192" s="38" t="str"/>
      <x:c r="Q192" s="38" t="str"/>
      <x:c r="R192" s="38" t="str"/>
      <x:c r="S192" s="38" t="str"/>
      <x:c r="T192" s="38" t="str"/>
      <x:c r="U192" s="38" t="str"/>
      <x:c r="V192" s="38" t="str"/>
      <x:c r="W192" s="38" t="str"/>
      <x:c r="X192" s="38" t="str"/>
      <x:c r="Y192" s="38" t="str"/>
      <x:c r="Z192" s="38" t="str"/>
      <x:c r="AA192" s="43" t="str">
        <x:f>IF('Instructions'!$B$3="","",'Instructions'!$B$3)</x:f>
      </x:c>
      <x:c r="AB192" s="43" t="str">
        <x:f>IF(P192="","PENDING",IF('Instructions'!$B$3="","SET_INITIALS",IF(P192="keep",IF(OR(Q192="",R192="",S192="",T192="",U192="",W192=""),"INCOMPLETE_KEEP","COMPLETE"),IF(P192="exclude",IF(OR(V192="",W192=""),"INCOMPLETE_EXCLUDE","COMPLETE"),"NEEDS_CONTEXT"))))</x:f>
        <x:v>PENDING</x:v>
      </x:c>
    </x:row>
    <x:row r="193" ht="62" customHeight="1">
      <x:c r="A193" s="34" t="str">
        <x:v>SV-0190</x:v>
      </x:c>
      <x:c r="B193" s="34" t="str">
        <x:v>En tokenbasert registerløsning er i utgangspunktet basert på at det er tilgang 
til kryptografiske koder og ikke identifisering som benyttes for å disponere over 
penger.</x:v>
      </x:c>
      <x:c r="C193" s="34" t="str"/>
      <x:c r="D193" s="34" t="str"/>
      <x:c r="E193" s="34" t="str"/>
      <x:c r="F193" s="34" t="str">
        <x:v>… registeret og senere konsolideres mot registeret, og som også 
kan inkludere offline-betalinger. I sistnevnte kan såkalt sikker hardware 
benyttes. Dette er imidlertid relativt umoden teknologi. Teknisk testing kan gi 
ytterligere innsikt i denne teknologien. Løsninger basert på senere 
konsolidering mot et DSP-register innebærer at betalinger ikke er endelige. 
Det må vurderes nærmere om det er akseptabelt at betalinger ikke er endelige 
i en offline-situasjon, eller om det må utvikles et regelverk som gjør at slike 
betalinger er endelige.  
En tokenbasert registerløsning er i utgangspunktet basert på at det er tilgang 
til kryptografiske koder og ikke identifisering som benyttes for å disponere over 
penger. Det må likevel gjøres koblinger med identitet og registeroppføringer i 
forbindelse med oppfyllelse av regulatoriske krav. Denne identifiseringen kan 
være mer eller mindre direkte og mer eller mindre omfattende, blant annet 
avhengig av hvordan ulike egenskaper veies mot hverandre. For eksempel vil 
større grad av identifisering legge til rette for ulike friksjoner mot 
bankinnskudd, slik som renter og beløpsgrenser, men kan redusere det 
opplevde personvernet og bidra til at muligheten for å miste penger i mindre 
grad tjener som friksjon.   …</x:v>
      </x:c>
      <x:c r="G193" s="34" t="str">
        <x:v>PRD-0054-P0046-U01</x:v>
      </x:c>
      <x:c r="H193" s="34" t="str"/>
      <x:c r="I193" s="34" t="str">
        <x:v>NO_Norway_norges-bank-memo-1-2021</x:v>
      </x:c>
      <x:c r="J193" s="34" t="n">
        <x:v>46</x:v>
      </x:c>
      <x:c r="K193" s="34" t="str">
        <x:v>en</x:v>
      </x:c>
      <x:c r="L193" s="34" t="str">
        <x:v>Norges Bank (Norwegian CBDC work)</x:v>
      </x:c>
      <x:c r="M193" s="34" t="str">
        <x:v>Retain Norges Bank CBDC positions and requirements; exclude generic or cited research.</x:v>
      </x:c>
      <x:c r="N193" s="34" t="str">
        <x:v>text</x:v>
      </x:c>
      <x:c r="O193" s="34" t="str"/>
      <x:c r="P193" s="38" t="str"/>
      <x:c r="Q193" s="38" t="str"/>
      <x:c r="R193" s="38" t="str"/>
      <x:c r="S193" s="38" t="str"/>
      <x:c r="T193" s="38" t="str"/>
      <x:c r="U193" s="38" t="str"/>
      <x:c r="V193" s="38" t="str"/>
      <x:c r="W193" s="38" t="str"/>
      <x:c r="X193" s="38" t="str"/>
      <x:c r="Y193" s="38" t="str"/>
      <x:c r="Z193" s="38" t="str"/>
      <x:c r="AA193" s="43" t="str">
        <x:f>IF('Instructions'!$B$3="","",'Instructions'!$B$3)</x:f>
      </x:c>
      <x:c r="AB193" s="43" t="str">
        <x:f>IF(P193="","PENDING",IF('Instructions'!$B$3="","SET_INITIALS",IF(P193="keep",IF(OR(Q193="",R193="",S193="",T193="",U193="",W193=""),"INCOMPLETE_KEEP","COMPLETE"),IF(P193="exclude",IF(OR(V193="",W193=""),"INCOMPLETE_EXCLUDE","COMPLETE"),"NEEDS_CONTEXT"))))</x:f>
        <x:v>PENDING</x:v>
      </x:c>
    </x:row>
    <x:row r="194" ht="62" customHeight="1">
      <x:c r="A194" s="34" t="str">
        <x:v>SV-0191</x:v>
      </x:c>
      <x:c r="B194" s="34" t="str">
        <x:v>PIPs undertake know your customer checks and anti-money 
laundering (AML) compliance</x:v>
      </x:c>
      <x:c r="C194" s="34" t="str"/>
      <x:c r="D194" s="34" t="str"/>
      <x:c r="E194" s="34" t="str"/>
      <x:c r="F194" s="34" t="str">
        <x:v>Page 18 
Categories Functionality and features 
Economic 
design • Ability to implement limits policy 
Identity, data 
and privacy 
• No access to users’ personal data by the Bank 
• PIPs undertake know your customer checks and anti-money 
laundering (AML) compliance 
• CBDC would not be anonymous 
• Potential for users to have privacy controls on wallets 
• Potential for tiered wallets based on ID information 
The payments use cases for CBDC are likely to evolve over time. There will need to be 
careful consideration of the ability to meet future payment needs which extend beyond those 
covered in the table.</x:v>
      </x:c>
      <x:c r="G194" s="34" t="str">
        <x:v>PRD-0076-P0019-U01</x:v>
      </x:c>
      <x:c r="H194" s="34" t="str"/>
      <x:c r="I194" s="34" t="str">
        <x:v>UK_BoE_2023_TechWP</x:v>
      </x:c>
      <x:c r="J194" s="34" t="n">
        <x:v>19</x:v>
      </x:c>
      <x:c r="K194" s="34" t="str">
        <x:v>en</x:v>
      </x:c>
      <x:c r="L194" s="34" t="str">
        <x:v>Bank of England and HM Treasury (digital pound)</x:v>
      </x:c>
      <x:c r="M194" s="34" t="str">
        <x:v>Retain the named authority's own CBDC decisions, explicit proposals, requirements, features, and executed findings. Exclude generic context, literature, foreign projects, and stakeholder views not explicitly adopted by the authority.</x:v>
      </x:c>
      <x:c r="N194" s="34" t="str">
        <x:v>text</x:v>
      </x:c>
      <x:c r="O194" s="34" t="str"/>
      <x:c r="P194" s="38" t="str"/>
      <x:c r="Q194" s="38" t="str"/>
      <x:c r="R194" s="38" t="str"/>
      <x:c r="S194" s="38" t="str"/>
      <x:c r="T194" s="38" t="str"/>
      <x:c r="U194" s="38" t="str"/>
      <x:c r="V194" s="38" t="str"/>
      <x:c r="W194" s="38" t="str"/>
      <x:c r="X194" s="38" t="str"/>
      <x:c r="Y194" s="38" t="str"/>
      <x:c r="Z194" s="38" t="str"/>
      <x:c r="AA194" s="43" t="str">
        <x:f>IF('Instructions'!$B$3="","",'Instructions'!$B$3)</x:f>
      </x:c>
      <x:c r="AB194" s="43" t="str">
        <x:f>IF(P194="","PENDING",IF('Instructions'!$B$3="","SET_INITIALS",IF(P194="keep",IF(OR(Q194="",R194="",S194="",T194="",U194="",W194=""),"INCOMPLETE_KEEP","COMPLETE"),IF(P194="exclude",IF(OR(V194="",W194=""),"INCOMPLETE_EXCLUDE","COMPLETE"),"NEEDS_CONTEXT"))))</x:f>
        <x:v>PENDING</x:v>
      </x:c>
    </x:row>
    <x:row r="195" ht="62" customHeight="1">
      <x:c r="A195" s="34" t="str">
        <x:v>SV-0192</x:v>
      </x:c>
      <x:c r="B195" s="34" t="str">
        <x:v>The e-CNY system will make 
financial services more accessible, providing fiat money for a large population in 
various scenarios.</x:v>
      </x:c>
      <x:c r="C195" s="34" t="str"/>
      <x:c r="D195" s="34" t="str"/>
      <x:c r="E195" s="34" t="str"/>
      <x:c r="F195" s="34" t="str">
        <x:v>… up or 
redundancy to the retail system backed by commercial bank deposits, offer diversified 
payment products and improve payment efficiency and safety. 
Third, e -CNY aims to support equal access to digital payment and financial 
inclusion. As digital technology and electronic pay ments develop, the use of cash in 
retail payments has been declining. However, it is the mandate of the central bank to 
ensure the public’s direct access to cash, and to make sure the unit of account is 
consistent in the digital economy era by digitalising cash. The e-CNY system will make 
financial services more accessible, providing fiat money for a large population in 
various scenarios.  
Fourth, e-CNY aims to echo international initiatives and explore ways to improve 
cross-border payments. First of all, c ross-border payment involves various 
contentious issues such as monetary sovereignty, foreign exchange policies and 
arrangements, as well as regulatory and compliance requirements. Though technically 
ready for cross -border use, e -CNY is still designed main ly for domestic retail 
payments at present. Looking ahead, the People’s Bank of China (PBoC) will actively 
respond to initiatives of the G20 and other internation …</x:v>
      </x:c>
      <x:c r="G195" s="34" t="str">
        <x:v>PRD-0018-P0049-U01</x:v>
      </x:c>
      <x:c r="H195" s="34" t="str"/>
      <x:c r="I195" s="34" t="str">
        <x:v>CN_China_BIS_2022</x:v>
      </x:c>
      <x:c r="J195" s="34" t="n">
        <x:v>49</x:v>
      </x:c>
      <x:c r="K195" s="34" t="str">
        <x:v>en</x:v>
      </x:c>
      <x:c r="L195" s="34" t="str">
        <x:v>People's Bank of China (e-CNY)</x:v>
      </x:c>
      <x:c r="M195" s="34" t="str">
        <x:v>This is a BIS research source, not automatically a PBOC position. Retain only concrete e-CNY features or decisions explicitly attributed to the PBOC; exclude modelling, literature, and foreign CBDCs.</x:v>
      </x:c>
      <x:c r="N195" s="34" t="str">
        <x:v>text</x:v>
      </x:c>
      <x:c r="O195" s="34" t="str"/>
      <x:c r="P195" s="38" t="str"/>
      <x:c r="Q195" s="38" t="str"/>
      <x:c r="R195" s="38" t="str"/>
      <x:c r="S195" s="38" t="str"/>
      <x:c r="T195" s="38" t="str"/>
      <x:c r="U195" s="38" t="str"/>
      <x:c r="V195" s="38" t="str"/>
      <x:c r="W195" s="38" t="str"/>
      <x:c r="X195" s="38" t="str"/>
      <x:c r="Y195" s="38" t="str"/>
      <x:c r="Z195" s="38" t="str"/>
      <x:c r="AA195" s="43" t="str">
        <x:f>IF('Instructions'!$B$3="","",'Instructions'!$B$3)</x:f>
      </x:c>
      <x:c r="AB195" s="43" t="str">
        <x:f>IF(P195="","PENDING",IF('Instructions'!$B$3="","SET_INITIALS",IF(P195="keep",IF(OR(Q195="",R195="",S195="",T195="",U195="",W195=""),"INCOMPLETE_KEEP","COMPLETE"),IF(P195="exclude",IF(OR(V195="",W195=""),"INCOMPLETE_EXCLUDE","COMPLETE"),"NEEDS_CONTEXT"))))</x:f>
        <x:v>PENDING</x:v>
      </x:c>
    </x:row>
    <x:row r="196" ht="62" customHeight="1">
      <x:c r="A196" s="34" t="str">
        <x:v>SV-0193</x:v>
      </x:c>
      <x:c r="B196" s="34" t="str">
        <x:v>Besides the 173 users onboarded to 
participate in the test, a number of 
persons and businesses, estimated to 
be fifty per cent (50  %) of the users, 
also expressed interest in joining the pilot to carry 
out transactions in the eCedi offline scenario.</x:v>
      </x:c>
      <x:c r="C196" s="34" t="str"/>
      <x:c r="D196" s="34" t="str"/>
      <x:c r="E196" s="34" t="str"/>
      <x:c r="F196" s="34" t="str">
        <x:v>… orroborated by 
an independent research undertaken by the 
Consultative Group to Assist the Poor (CGAP). (See 
Financial Inclusion Diaries – Appendix 1).
b. Will target users be able to use it?
It was observed that users´ and 
merchants´ familiarity with mobile 
money made it easier for them to 
use the eCedi for payments after a 
brief training. Testing began almost 
immediately with users making purchases and top-
ups at pubs, grocery shops, food vendors, a mobile 
money agent and a printing service shop.
c. Will target users want to use it?
Besides the 173 users onboarded to 
participate in the test, a number of 
persons and businesses, estimated to 
be fifty per cent (50  %) of the users, 
also expressed interest in joining the pilot to carry 
out transactions in the eCedi offline scenario. 
The early results from the consumer research 
that accompanied the pilot indicated that there 
is strong trust in the eCedi on account of it being 
issued by the BoG. In general, individuals and 
merchants reported positive experiences with the 
eCedi and indicated their willingness to use it if 
introduced. Users stated that affordability, user-
friendliness, safety and service availability were of 
prime importance in digital payment solution and 
recommended that the issues be considered in 
mainstreaming the eCedi. The chart below shows 
 …</x:v>
      </x:c>
      <x:c r="G196" s="34" t="str">
        <x:v>PRD-0031-P0022-U01</x:v>
      </x:c>
      <x:c r="H196" s="34" t="str"/>
      <x:c r="I196" s="34" t="str">
        <x:v>GH_Ghana_2023</x:v>
      </x:c>
      <x:c r="J196" s="34" t="n">
        <x:v>22</x:v>
      </x:c>
      <x:c r="K196" s="34" t="str">
        <x:v>en</x:v>
      </x:c>
      <x:c r="L196" s="34" t="str">
        <x:v>Bank of Ghana (eCedi)</x:v>
      </x:c>
      <x:c r="M196" s="34" t="str">
        <x:v>Retain the named authority's own CBDC decisions, explicit proposals, requirements, features, and executed findings. Exclude generic context, literature, foreign projects, and stakeholder views not explicitly adopted by the authority.</x:v>
      </x:c>
      <x:c r="N196" s="34" t="str">
        <x:v>text</x:v>
      </x:c>
      <x:c r="O196" s="34" t="str"/>
      <x:c r="P196" s="38" t="str"/>
      <x:c r="Q196" s="38" t="str"/>
      <x:c r="R196" s="38" t="str"/>
      <x:c r="S196" s="38" t="str"/>
      <x:c r="T196" s="38" t="str"/>
      <x:c r="U196" s="38" t="str"/>
      <x:c r="V196" s="38" t="str"/>
      <x:c r="W196" s="38" t="str"/>
      <x:c r="X196" s="38" t="str"/>
      <x:c r="Y196" s="38" t="str"/>
      <x:c r="Z196" s="38" t="str"/>
      <x:c r="AA196" s="43" t="str">
        <x:f>IF('Instructions'!$B$3="","",'Instructions'!$B$3)</x:f>
      </x:c>
      <x:c r="AB196" s="43" t="str">
        <x:f>IF(P196="","PENDING",IF('Instructions'!$B$3="","SET_INITIALS",IF(P196="keep",IF(OR(Q196="",R196="",S196="",T196="",U196="",W196=""),"INCOMPLETE_KEEP","COMPLETE"),IF(P196="exclude",IF(OR(V196="",W196=""),"INCOMPLETE_EXCLUDE","COMPLETE"),"NEEDS_CONTEXT"))))</x:f>
        <x:v>PENDING</x:v>
      </x:c>
    </x:row>
    <x:row r="197" ht="62" customHeight="1">
      <x:c r="A197" s="34" t="str">
        <x:v>SV-0194</x:v>
      </x:c>
      <x:c r="B197" s="34" t="str">
        <x:v>Transaction validation ensures that all 
conditions required for a transaction are met 
(e.g., sufficient balance, participants acting 
within their authority). This process is performed 
by smart contracts (when executed) and the 
transaction participants.</x:v>
      </x:c>
      <x:c r="C197" s="34" t="str"/>
      <x:c r="D197" s="34" t="str"/>
      <x:c r="E197" s="34" t="str"/>
      <x:c r="F197" s="34" t="str">
        <x:v>Figure 34. Consensus Mechanism in R3 Corda
2. Consensus Mechanism in Kaleido 
Hyperledger Besu
1. Consensus Mechanism in R3 Corda
The consensus mechanism in R3 Corda can be 
divided into 2 (two) main components: transaction 
validation and transaction uniqueness.
i. Transaction Validation      
Transaction validation ensures that all 
conditions required for a transaction are met 
(e.g., sufficient balance, participants acting 
within their authority). This process is performed 
by smart contracts (when executed) and the 
transaction participants. Every transaction 
must comply with the smart contract terms. 
Before sending the transaction to the notary 
(explained in section ii: Transaction Uniqueness), 
the participants must sign the transaction, 
indicating it has been validated. Before signing, 
participants review the transaction to ensure it 
adheres to the smart contract terms and meets 
all necessary requirements for validity.
ii. Transaction Uniqueness 
Transaction uniqueness prevents double-
spending by verifying that each transaction 
input has not been used in another transa …</x:v>
      </x:c>
      <x:c r="G197" s="34" t="str">
        <x:v>PRD-0037-P0042-U01</x:v>
      </x:c>
      <x:c r="H197" s="34" t="str"/>
      <x:c r="I197" s="34" t="str">
        <x:v>ID_Indonesia_2024</x:v>
      </x:c>
      <x:c r="J197" s="34" t="n">
        <x:v>42</x:v>
      </x:c>
      <x:c r="K197" s="34" t="str">
        <x:v>en</x:v>
      </x:c>
      <x:c r="L197" s="34" t="str">
        <x:v>Bank Indonesia (Digital Rupiah)</x:v>
      </x:c>
      <x:c r="M197" s="34" t="str">
        <x:v>Retain the named authority's own CBDC decisions, explicit proposals, requirements, features, and executed findings. Exclude generic context, literature, foreign projects, and stakeholder views not explicitly adopted by the authority.</x:v>
      </x:c>
      <x:c r="N197" s="34" t="str">
        <x:v>text</x:v>
      </x:c>
      <x:c r="O197" s="34" t="str"/>
      <x:c r="P197" s="38" t="str"/>
      <x:c r="Q197" s="38" t="str"/>
      <x:c r="R197" s="38" t="str"/>
      <x:c r="S197" s="38" t="str"/>
      <x:c r="T197" s="38" t="str"/>
      <x:c r="U197" s="38" t="str"/>
      <x:c r="V197" s="38" t="str"/>
      <x:c r="W197" s="38" t="str"/>
      <x:c r="X197" s="38" t="str"/>
      <x:c r="Y197" s="38" t="str"/>
      <x:c r="Z197" s="38" t="str"/>
      <x:c r="AA197" s="43" t="str">
        <x:f>IF('Instructions'!$B$3="","",'Instructions'!$B$3)</x:f>
      </x:c>
      <x:c r="AB197" s="43" t="str">
        <x:f>IF(P197="","PENDING",IF('Instructions'!$B$3="","SET_INITIALS",IF(P197="keep",IF(OR(Q197="",R197="",S197="",T197="",U197="",W197=""),"INCOMPLETE_KEEP","COMPLETE"),IF(P197="exclude",IF(OR(V197="",W197=""),"INCOMPLETE_EXCLUDE","COMPLETE"),"NEEDS_CONTEXT"))))</x:f>
        <x:v>PENDING</x:v>
      </x:c>
    </x:row>
    <x:row r="198" ht="62" customHeight="1">
      <x:c r="A198" s="34" t="str">
        <x:v>SV-0195</x:v>
      </x:c>
      <x:c r="B198" s="34" t="str">
        <x:v>I 
praksis kan dette gjøres ved at Norges Bank selger tokenpenger til banker, som kan 
opprette registeradresser for pengene til sine kunder.</x:v>
      </x:c>
      <x:c r="C198" s="34" t="str"/>
      <x:c r="D198" s="34" t="str"/>
      <x:c r="E198" s="34" t="str"/>
      <x:c r="F198" s="34" t="str">
        <x:v>27 
NORGES BANK MEMO 
NR 2 | 2019 
DIGITALE SENTRALBANKER 
2. RAPPORT FRA 
ARBEIDSGRUPPEN 
4.3. Veksling mot bankpenger 
For hovedløsningen vil det være mest praktisk at kundene anskaffer tokenpenger 
etter samme prinsipper som anskaffelse av kontanter i dag, dvs. gjennom banker. Det 
kan vurderes om andre, for eksempel e-pengeforetak, også kan få en slik rolle. I 
praksis kan dette gjøres ved at Norges Bank selger tokenpenger til banker, som kan 
opprette registeradresser for pengene til sine kunder. Dette vil beskrives nærmere 
under teknologivalg nedenfor.   
For alternativ løsning vil det mest praktiske være at kunden veksler om til DSP «e-
penger» på samme måte som for e-penger i dag, dvs. ved overføring direkte fra 
bankkonto, bruk av debetkort eller med kredittkort. Oppgjøret mellom bankene og 
DSP-foretaket skjer gjennom respektive kontoer i sentralbanken.     
4.4. Begrense store fall i etterspørselen etter 
bankinnskudd 
For hovedløsningen kan det være utfordringer knyttet til å unngå store fall i 
etterspørselen etter bankpenger. …</x:v>
      </x:c>
      <x:c r="G198" s="34" t="str">
        <x:v>PRD-0052-P0027-U01</x:v>
      </x:c>
      <x:c r="H198" s="34" t="str"/>
      <x:c r="I198" s="34" t="str">
        <x:v>NO_Norway_nb_memo_2_19_dsp</x:v>
      </x:c>
      <x:c r="J198" s="34" t="n">
        <x:v>27</x:v>
      </x:c>
      <x:c r="K198" s="34" t="str">
        <x:v>en</x:v>
      </x:c>
      <x:c r="L198" s="34" t="str">
        <x:v>Norges Bank (Norwegian CBDC work)</x:v>
      </x:c>
      <x:c r="M198" s="34" t="str">
        <x:v>Retain Norges Bank CBDC analysis only when it states an issuer proposal, preference, requirement, or own-project finding; exclude cited theory.</x:v>
      </x:c>
      <x:c r="N198" s="34" t="str">
        <x:v>text</x:v>
      </x:c>
      <x:c r="O198" s="34" t="str"/>
      <x:c r="P198" s="38" t="str"/>
      <x:c r="Q198" s="38" t="str"/>
      <x:c r="R198" s="38" t="str"/>
      <x:c r="S198" s="38" t="str"/>
      <x:c r="T198" s="38" t="str"/>
      <x:c r="U198" s="38" t="str"/>
      <x:c r="V198" s="38" t="str"/>
      <x:c r="W198" s="38" t="str"/>
      <x:c r="X198" s="38" t="str"/>
      <x:c r="Y198" s="38" t="str"/>
      <x:c r="Z198" s="38" t="str"/>
      <x:c r="AA198" s="43" t="str">
        <x:f>IF('Instructions'!$B$3="","",'Instructions'!$B$3)</x:f>
      </x:c>
      <x:c r="AB198" s="43" t="str">
        <x:f>IF(P198="","PENDING",IF('Instructions'!$B$3="","SET_INITIALS",IF(P198="keep",IF(OR(Q198="",R198="",S198="",T198="",U198="",W198=""),"INCOMPLETE_KEEP","COMPLETE"),IF(P198="exclude",IF(OR(V198="",W198=""),"INCOMPLETE_EXCLUDE","COMPLETE"),"NEEDS_CONTEXT"))))</x:f>
        <x:v>PENDING</x:v>
      </x:c>
    </x:row>
    <x:row r="199" ht="62" customHeight="1">
      <x:c r="A199" s="34" t="str">
        <x:v>SV-0196</x:v>
      </x:c>
      <x:c r="B199" s="34" t="str">
        <x:v>Wholesale CBDC has been given greater focus in the study than in previous
phases.</x:v>
      </x:c>
      <x:c r="C199" s="34" t="str"/>
      <x:c r="D199" s="34" t="str"/>
      <x:c r="E199" s="34" t="str"/>
      <x:c r="F199" s="34" t="str">
        <x:v>…  a CBDC solution should be
designed, what uses it aims to satisfy and how different stakeholders should
be motivated to provide the solution with the desired applications and
distribution. The study is based on the premise that banks and other
payment service providers will develop CBDC-based retail payment
services. This means that payment-related control functions will also be the
responsibility of payment service providers. Norges Bank will have neither
direct contact with end-users nor access to information related to users'
CBDC payments.
Wholesale CBDC has been given greater focus in the study than in previous
phases. Norges Bank is investigating solutions for settlement of payments
and trading on tokenised platforms in central bank money and the
ramifications for Norges Bank’s areas of responsibility. Tokenisation in the
18</x:v>
      </x:c>
      <x:c r="G199" s="34" t="str">
        <x:v>PRD-0094-P0041-U01</x:v>
      </x:c>
      <x:c r="H199" s="34" t="str"/>
      <x:c r="I199" s="34" t="str">
        <x:v>NO_NB_FI2024_CBDC</x:v>
      </x:c>
      <x:c r="J199" s="34" t="n">
        <x:v>41</x:v>
      </x:c>
      <x:c r="K199" s="34" t="str">
        <x:v>en</x:v>
      </x:c>
      <x:c r="L199" s="34" t="str">
        <x:v>Norges Bank (Norwegian CBDC work)</x:v>
      </x:c>
      <x:c r="M199" s="34" t="str">
        <x:v>Retain only Norges Bank CBDC positions or CBDC implications. Existing Norwegian payment products are context unless explicitly linked to CBDC design.</x:v>
      </x:c>
      <x:c r="N199" s="34" t="str">
        <x:v>text</x:v>
      </x:c>
      <x:c r="O199" s="34" t="str"/>
      <x:c r="P199" s="38" t="str"/>
      <x:c r="Q199" s="38" t="str"/>
      <x:c r="R199" s="38" t="str"/>
      <x:c r="S199" s="38" t="str"/>
      <x:c r="T199" s="38" t="str"/>
      <x:c r="U199" s="38" t="str"/>
      <x:c r="V199" s="38" t="str"/>
      <x:c r="W199" s="38" t="str"/>
      <x:c r="X199" s="38" t="str"/>
      <x:c r="Y199" s="38" t="str"/>
      <x:c r="Z199" s="38" t="str"/>
      <x:c r="AA199" s="43" t="str">
        <x:f>IF('Instructions'!$B$3="","",'Instructions'!$B$3)</x:f>
      </x:c>
      <x:c r="AB199" s="43" t="str">
        <x:f>IF(P199="","PENDING",IF('Instructions'!$B$3="","SET_INITIALS",IF(P199="keep",IF(OR(Q199="",R199="",S199="",T199="",U199="",W199=""),"INCOMPLETE_KEEP","COMPLETE"),IF(P199="exclude",IF(OR(V199="",W199=""),"INCOMPLETE_EXCLUDE","COMPLETE"),"NEEDS_CONTEXT"))))</x:f>
        <x:v>PENDING</x:v>
      </x:c>
    </x:row>
    <x:row r="200" ht="62" customHeight="1">
      <x:c r="A200" s="34" t="str">
        <x:v>SV-0197</x:v>
      </x:c>
      <x:c r="B200" s="34" t="str">
        <x:v>A significant contribution to the global DLT body 
of knowledge was made, as it is thought that this was 
the first time that the Istanbul Byzantine Fault Tolerance 
consensus mechanism and Pedersen commitments  
for confidentiality had been used with Quorum.</x:v>
      </x:c>
      <x:c r="C200" s="34" t="str"/>
      <x:c r="D200" s="34" t="str"/>
      <x:c r="E200" s="34" t="str"/>
      <x:c r="F200" s="34" t="str">
        <x:v>…  in the latter part 
of 2017, with the project team consisting of seven 
banking industry participants, a technical service 
provider (ConsenSys), and consulting practice 
PricewaterhouseCoopers Inc. The results of this  
project are captured in this paper, which describes  
the key objectives, approach, technical testing  
results and insights gained from this proof of concept.
The scope of Project Khokha was to trial interbank 
wholesale settlement using DLT. Several astute insights 
were attained from taking a robust approach to the 
trial. A significant contribution to the global DLT body 
of knowledge was made, as it is thought that this was 
the first time that the Istanbul Byzantine Fault Tolerance 
consensus mechanism and Pedersen commitments  
for confidentiality had been used with Quorum. 
Furthermore, the DLT nodes were operated under  
a variety of deployment models (on-premise, on-premise 
virtual machine, and cloud) and across distributed sites 
while processing the current South African real-time gross 
settlement system’s high-value payments transaction 
volumes within a two-hour window.
An important outcome from this project is the realisation 
that there is more with which to deepen and expand our 
knowledge. It is evident that significant benefits will be 
realised by leveraging collaboration across an industry – 
and  …</x:v>
      </x:c>
      <x:c r="G200" s="34" t="str">
        <x:v>PRD-0087-P0002-U01</x:v>
      </x:c>
      <x:c r="H200" s="34" t="str"/>
      <x:c r="I200" s="34" t="str">
        <x:v>ZA_SARB_SARB_ProjectKhokha-20180605</x:v>
      </x:c>
      <x:c r="J200" s="34" t="n">
        <x:v>2</x:v>
      </x:c>
      <x:c r="K200" s="34" t="str">
        <x:v>en</x:v>
      </x:c>
      <x:c r="L200" s="34" t="str">
        <x:v>South African Reserve Bank</x:v>
      </x:c>
      <x:c r="M200" s="34" t="str">
        <x:v>Retain the named authority's own CBDC decisions, explicit proposals, requirements, features, and executed findings. Exclude generic context, literature, foreign projects, and stakeholder views not explicitly adopted by the authority.</x:v>
      </x:c>
      <x:c r="N200" s="34" t="str">
        <x:v>text</x:v>
      </x:c>
      <x:c r="O200" s="34" t="str"/>
      <x:c r="P200" s="38" t="str"/>
      <x:c r="Q200" s="38" t="str"/>
      <x:c r="R200" s="38" t="str"/>
      <x:c r="S200" s="38" t="str"/>
      <x:c r="T200" s="38" t="str"/>
      <x:c r="U200" s="38" t="str"/>
      <x:c r="V200" s="38" t="str"/>
      <x:c r="W200" s="38" t="str"/>
      <x:c r="X200" s="38" t="str"/>
      <x:c r="Y200" s="38" t="str"/>
      <x:c r="Z200" s="38" t="str"/>
      <x:c r="AA200" s="43" t="str">
        <x:f>IF('Instructions'!$B$3="","",'Instructions'!$B$3)</x:f>
      </x:c>
      <x:c r="AB200" s="43" t="str">
        <x:f>IF(P200="","PENDING",IF('Instructions'!$B$3="","SET_INITIALS",IF(P200="keep",IF(OR(Q200="",R200="",S200="",T200="",U200="",W200=""),"INCOMPLETE_KEEP","COMPLETE"),IF(P200="exclude",IF(OR(V200="",W200=""),"INCOMPLETE_EXCLUDE","COMPLETE"),"NEEDS_CONTEXT"))))</x:f>
        <x:v>PENDING</x:v>
      </x:c>
    </x:row>
    <x:row r="201" ht="62" customHeight="1">
      <x:c r="A201" s="34" t="str">
        <x:v>SV-0198</x:v>
      </x:c>
      <x:c r="B201" s="34" t="str">
        <x:v>Men 
sentralbankens balanse kan forberedes slik at utlånene til bankene ikke 
nødvendigvis øker. Sentralbanken kan kjøpe aktiva slik at bankenes reserver 
er større enn det de trenger å være i forkant.</x:v>
      </x:c>
      <x:c r="C201" s="34" t="str"/>
      <x:c r="D201" s="34" t="str"/>
      <x:c r="E201" s="34" t="str"/>
      <x:c r="F201" s="34" t="str">
        <x:v>55 
NORGES BANK MEMO 
NR 1 | 2021 
DIGITALE 
SENTRALBANKPENGER 
3. RAPPORT FRA 
ARBEIDSGRUPPEN 
Figur 10. Publikum tar ut innskudd fra bankene og veksler til DSP 
Sentralbankens balanse må øke dersom DSP ikke erstatter kontanter eller 
andre eksisterende krav private ellers har på sentralbanken. Men 
sentralbankens balanse kan forberedes slik at utlånene til bankene ikke 
nødvendigvis øker. Sentralbanken kan kjøpe aktiva slik at bankenes reserver 
er større enn det de trenger å være i forkant. Da kan bankene i stedet for å 
låne mer fra sentralbanken tære på sine innskudd i sentralbanken (reserver). 
Uansett om sentralbanken velger å låne ut mer til bankene, eller kjøpe andre 
papirer, vil imidlertid sentralbankens balanse øke. Hvordan dette skal 
gjennomføres er ikke vurdert i denne rapporten. 
Lån fra sentralbanken til bankene ytes mot sikkerhet, og bankene har 
begrenset beholdning av statspapirer og andre aktiva som lett kan pantsettes. 
Men hvis Norges Bank kjøper papirer av andre, vil ikke bankenes 
beholdninger av aktiva som  …</x:v>
      </x:c>
      <x:c r="G201" s="34" t="str">
        <x:v>PRD-0054-P0055-U01</x:v>
      </x:c>
      <x:c r="H201" s="34" t="str"/>
      <x:c r="I201" s="34" t="str">
        <x:v>NO_Norway_norges-bank-memo-1-2021</x:v>
      </x:c>
      <x:c r="J201" s="34" t="n">
        <x:v>55</x:v>
      </x:c>
      <x:c r="K201" s="34" t="str">
        <x:v>en</x:v>
      </x:c>
      <x:c r="L201" s="34" t="str">
        <x:v>Norges Bank (Norwegian CBDC work)</x:v>
      </x:c>
      <x:c r="M201" s="34" t="str">
        <x:v>Retain Norges Bank CBDC positions and requirements; exclude generic or cited research.</x:v>
      </x:c>
      <x:c r="N201" s="34" t="str">
        <x:v>text</x:v>
      </x:c>
      <x:c r="O201" s="34" t="str"/>
      <x:c r="P201" s="38" t="str"/>
      <x:c r="Q201" s="38" t="str"/>
      <x:c r="R201" s="38" t="str"/>
      <x:c r="S201" s="38" t="str"/>
      <x:c r="T201" s="38" t="str"/>
      <x:c r="U201" s="38" t="str"/>
      <x:c r="V201" s="38" t="str"/>
      <x:c r="W201" s="38" t="str"/>
      <x:c r="X201" s="38" t="str"/>
      <x:c r="Y201" s="38" t="str"/>
      <x:c r="Z201" s="38" t="str"/>
      <x:c r="AA201" s="43" t="str">
        <x:f>IF('Instructions'!$B$3="","",'Instructions'!$B$3)</x:f>
      </x:c>
      <x:c r="AB201" s="43" t="str">
        <x:f>IF(P201="","PENDING",IF('Instructions'!$B$3="","SET_INITIALS",IF(P201="keep",IF(OR(Q201="",R201="",S201="",T201="",U201="",W201=""),"INCOMPLETE_KEEP","COMPLETE"),IF(P201="exclude",IF(OR(V201="",W201=""),"INCOMPLETE_EXCLUDE","COMPLETE"),"NEEDS_CONTEXT"))))</x:f>
        <x:v>PENDING</x:v>
      </x:c>
    </x:row>
    <x:row r="202" ht="62" customHeight="1">
      <x:c r="A202" s="34" t="str">
        <x:v>SV-0199</x:v>
      </x:c>
      <x:c r="B202" s="34" t="str">
        <x:v>integration with other DLTs or interactions with technical 
components outside the Eurosystem’s control, pose other challenges from 
a cyber-security standpoint at the platform level and require an increase of 
defence mechanisms and protection of the D€ with ad hoc policies.</x:v>
      </x:c>
      <x:c r="C202" s="34" t="str"/>
      <x:c r="D202" s="34" t="str"/>
      <x:c r="E202" s="34" t="str"/>
      <x:c r="F202" s="34" t="str">
        <x:v>… , a fragmentation of the 
market would ensue, potentially undermining the credibility of the whole D€, 
even though this risk might be mitigated by the need for such products to be 
interoperable with the TIPS+ platform. 
Furthermore, nowadays the Eurosystem puts great emphasis on the possible 
vulnerabilities of systems under its responsibility. For instance, the features 
of a public ledger, accessible online via internet, and the development of 
smart contracts, could increase the attack surface and vulnerability risks of 
the D€. Moreover, integration with other DLTs or interactions with technical 
components outside the Eurosystem’s control, pose other challenges from 
a cyber-security standpoint at the platform level and require an increase of 
defence mechanisms and protection of the D€ with ad hoc policies. 
Considering, instead, the integrated solution from a performance standpoint, 
although with different characteristics, both components would offer reliable 
but different solutions. TIPS+ guarantees high scalability and large transaction 
volumes that make it suitable for retail users’ needs, while itCoin, like many 
payment systems based on DLT, has reduced performance for on-ledger 
transactions (about 50 transactions per second), which could be significantly 
increased by resorting to off-ledger transactions supported by a Payment 
79 As s …</x:v>
      </x:c>
      <x:c r="G202" s="34" t="str">
        <x:v>PRD-0042-P0058-U01</x:v>
      </x:c>
      <x:c r="H202" s="34" t="str"/>
      <x:c r="I202" s="34" t="str">
        <x:v>IT_BdI_MISP_2021</x:v>
      </x:c>
      <x:c r="J202" s="34" t="n">
        <x:v>58</x:v>
      </x:c>
      <x:c r="K202" s="34" t="str">
        <x:v>en</x:v>
      </x:c>
      <x:c r="L202" s="34" t="str">
        <x:v>Banca d'Italia research context</x:v>
      </x:c>
      <x:c r="M202" s="34" t="str">
        <x:v>This research paper is not automatically an issuer commitment. Retain only Banca d'Italia own-project results or explicit institutional positions; exclude literature and model assumptions.</x:v>
      </x:c>
      <x:c r="N202" s="34" t="str">
        <x:v>text</x:v>
      </x:c>
      <x:c r="O202" s="34" t="str"/>
      <x:c r="P202" s="38" t="str"/>
      <x:c r="Q202" s="38" t="str"/>
      <x:c r="R202" s="38" t="str"/>
      <x:c r="S202" s="38" t="str"/>
      <x:c r="T202" s="38" t="str"/>
      <x:c r="U202" s="38" t="str"/>
      <x:c r="V202" s="38" t="str"/>
      <x:c r="W202" s="38" t="str"/>
      <x:c r="X202" s="38" t="str"/>
      <x:c r="Y202" s="38" t="str"/>
      <x:c r="Z202" s="38" t="str"/>
      <x:c r="AA202" s="43" t="str">
        <x:f>IF('Instructions'!$B$3="","",'Instructions'!$B$3)</x:f>
      </x:c>
      <x:c r="AB202" s="43" t="str">
        <x:f>IF(P202="","PENDING",IF('Instructions'!$B$3="","SET_INITIALS",IF(P202="keep",IF(OR(Q202="",R202="",S202="",T202="",U202="",W202=""),"INCOMPLETE_KEEP","COMPLETE"),IF(P202="exclude",IF(OR(V202="",W202=""),"INCOMPLETE_EXCLUDE","COMPLETE"),"NEEDS_CONTEXT"))))</x:f>
        <x:v>PENDING</x:v>
      </x:c>
    </x:row>
    <x:row r="203" ht="62" customHeight="1">
      <x:c r="A203" s="34" t="str">
        <x:v>SV-0200</x:v>
      </x:c>
      <x:c r="B203" s="34" t="str">
        <x:v>Nonetheless, increased 
transparency needs to be balanced against other 
policy goals such as personal data protection 
policies.</x:v>
      </x:c>
      <x:c r="C203" s="34" t="str"/>
      <x:c r="D203" s="34" t="str"/>
      <x:c r="E203" s="34" t="str"/>
      <x:c r="F203" s="34" t="str">
        <x:v>… tor is transparent to 
them. Unlike existing mechanisms, PBM Creators 
do not need to sign contracts with individual 
merchants for each new voucher scheme.  
Consequently, this is more scalable than existing 
infrastructures.
Transparency
PBM smart contracts, if deployed onto public 
ledgers, offer greater transparency for government 
social programmes. For example, the total amount 
of digital vouchers created by campaign organisers 
could be visible and the flow of PBM from 
government agencies to citizens and to merchants 
could be traced. Nonetheless, increased 
transparency needs to be balanced against other 
policy goals such as personal data protection 
policies. 
Transferability
Like a physical voucher, the transfer of PBM 
tokens amongst merchants and recipients can be 
facilitated without requiring a central coordinating 
party. This makes it possible to cater to the unique 
operational needs of programmes. Furthermore, if 
the PBM was not used within its validity period, 
the underlying digital currency backing the PBM 
could be “released” back to the government 
agencies who funded the programme and 
recycled for future use.
Some programmes might wish to enable citizens 
to transfer their vouchers …</x:v>
      </x:c>
      <x:c r="G203" s="34" t="str">
        <x:v>PRD-0068-P0022-U01</x:v>
      </x:c>
      <x:c r="H203" s="34" t="str"/>
      <x:c r="I203" s="34" t="str">
        <x:v>SG_MAS_mas-project-orchid-report</x:v>
      </x:c>
      <x:c r="J203" s="34" t="n">
        <x:v>22</x:v>
      </x:c>
      <x:c r="K203" s="34" t="str">
        <x:v>en</x:v>
      </x:c>
      <x:c r="L203" s="34" t="str">
        <x:v>Monetary Authority of Singapore (Project Orchid / purpose-bound money)</x:v>
      </x:c>
      <x:c r="M203" s="34" t="str">
        <x:v>Retain complete Project Orchid decisions, requirements, and executed findings. Exclude future research and incomplete fragments.</x:v>
      </x:c>
      <x:c r="N203" s="34" t="str">
        <x:v>text</x:v>
      </x:c>
      <x:c r="O203" s="34" t="str"/>
      <x:c r="P203" s="38" t="str"/>
      <x:c r="Q203" s="38" t="str"/>
      <x:c r="R203" s="38" t="str"/>
      <x:c r="S203" s="38" t="str"/>
      <x:c r="T203" s="38" t="str"/>
      <x:c r="U203" s="38" t="str"/>
      <x:c r="V203" s="38" t="str"/>
      <x:c r="W203" s="38" t="str"/>
      <x:c r="X203" s="38" t="str"/>
      <x:c r="Y203" s="38" t="str"/>
      <x:c r="Z203" s="38" t="str"/>
      <x:c r="AA203" s="43" t="str">
        <x:f>IF('Instructions'!$B$3="","",'Instructions'!$B$3)</x:f>
      </x:c>
      <x:c r="AB203" s="43" t="str">
        <x:f>IF(P203="","PENDING",IF('Instructions'!$B$3="","SET_INITIALS",IF(P203="keep",IF(OR(Q203="",R203="",S203="",T203="",U203="",W203=""),"INCOMPLETE_KEEP","COMPLETE"),IF(P203="exclude",IF(OR(V203="",W203=""),"INCOMPLETE_EXCLUDE","COMPLETE"),"NEEDS_CONTEXT"))))</x:f>
        <x:v>PENDING</x:v>
      </x:c>
    </x:row>
    <x:row r="204" ht="62" customHeight="1">
      <x:c r="A204" s="34" t="str">
        <x:v>SV-0201</x:v>
      </x:c>
      <x:c r="B204" s="34" t="str">
        <x:v>U
nde
r
t
he
pr
e
m
i
s
e
of
s
e
c
ur
i
t
y
a
nd
c
om
pl
i
a
nc
e
,
t
hi
s
f
e
a
t
ur
e
e
na
bl
e
s
s
e
l
f
-
e
xe
c
ut
i
ng
pa
y
m
e
nt
s
a
c
c
or
di
ng
t
o
pr
e
de
f
i
ne
d
c
ondi
t
i
ons
or
t
e
r
m
s
a
gr
e
e
d
be
t
w
e
e
n
t
w
o
s
i
de
s
,
s
o
a
s
t
o
f
a
c
i
l
i
t
a
t
e
bus
i
ne
s
s
m
ode
l
i
nnova
t
i
on.</x:v>
      </x:c>
      <x:c r="C204" s="34" t="str"/>
      <x:c r="D204" s="34" t="str"/>
      <x:c r="E204" s="34" t="str"/>
      <x:c r="F204" s="34" t="str">
        <x:v>… f
i
c
a
t
i
on,
a
nd
r
e
pudi
a
t
i
on
unf
e
a
s
i
bl
e
.
A
m
ul
t
i
-
l
a
y
e
r
s
e
c
ur
i
t
y
s
y
s
t
e
m
ha
s
be
e
n
i
ni
t
i
a
l
l
y
e
s
t
a
bl
i
s
he
d
t
o
g
ua
r
a
nt
e
e
t
ha
t
e
-
C
N
Y
ha
s
a
s
a
f
e
l
i
f
e
c
y
c
l
e
a
nd
r
i
s
ks
a
r
e
m
a
na
ge
a
bl
e
.
3.2.7
3.2.7
3.2.7
3.2.7
P
r
ogr
am
m
ab
i
l
i
t
y
P
r
ogr
am
m
ab
i
l
i
t
y
P
r
ogr
am
m
ab
i
l
i
t
y
P
r
ogr
am
m
ab
i
l
i
t
y
E
-
C
N
Y
obt
a
i
ns
pr
ogr
a
m
m
a
bi
l
i
t
y
f
r
om
de
pl
oy
i
ng
s
m
a
r
t
c
ont
r
a
c
t
s
t
ha
t
don
’
t
i
m
pa
i
r
i
t
s
m
one
t
a
r
y
f
unc
t
i
ons
.
U
nde
r
t
he
pr
e
m
i
s
e
of
s
e
c
ur
i
t
y
a
nd
c
om
pl
i
a
nc
e
,
t
hi
s
f
e
a
t
ur
e
e
na
bl
e
s
s
e
l
f
-
e
xe
c
ut
i
ng
pa
y
m
e
nt
s
a
c
c
or
di
ng
t
o
pr
e
de
f
i
ne
d
c
ondi
t
i
ons
or
t
e
r
m
s
a
gr
e
e
d
be
t
w
e
e
n
t
w
o
s
i
de
s
,
s
o
a
s
t
o
f
a
c
i
l
i
t
a
t
e
bus
i
ne
s
s
m
ode
l
i
nnova
t
i
on.
3.3
3.3
3.3
3.3
D
e
s
i
gn
D
e
s
i
gn
D
e
s
i
gn
D
e
s
i
gn
of
of
of
of
e
-
C
N
Y
e
-
C
N
Y
e
-
C
N
Y
e
-
C
N
Y
op
e
r
at
i
on
al
op
e
r
at
i
on
al
op
e
r
at
i
on
al
op
e
r
at
i
on
al
s
ys
t
e
m
s
ys
t
e
m
s
ys
t
e
m
s
ys
t
e
m
I
n
l
i
ne
w
i
t
h
t
he
c
e
nt
r
a
l
ba
nk
’
s
m
a
nda
t
e
s
,
t
he
r
e
a
r
e
t
w
o
opt
i
ons
t
o
ope
r
a
t
e
di
g
i
t
a
l
f
i
a
t
c
ur
r
e
nc
y
.
O
ne
i
s
s
i
ng
l
e
-
t
i
e
r
ope
r
a
t
i
on
unde
r
w
hi
c
h
t
he
c
e
nt
r
a
l
ba
nk
di
r
e
c
t
l
y
pr
ovi
de
s
i
s
s
ua
nc
e
,
c
i
r
c
ul
a
t
i
on,
a
nd
m
a
i
nt
e
na
nc
e
s …</x:v>
      </x:c>
      <x:c r="G204" s="34" t="str">
        <x:v>PRD-0017-P0009-U01</x:v>
      </x:c>
      <x:c r="H204" s="34" t="str"/>
      <x:c r="I204" s="34" t="str">
        <x:v>CN_China_2021</x:v>
      </x:c>
      <x:c r="J204" s="34" t="n">
        <x:v>9</x:v>
      </x:c>
      <x:c r="K204" s="34" t="str">
        <x:v>en</x:v>
      </x:c>
      <x:c r="L204" s="34" t="str">
        <x:v>People's Bank of China (e-CNY)</x:v>
      </x:c>
      <x:c r="M204" s="34" t="str">
        <x:v>Retain PBOC e-CNY decisions, features, and requirements; exclude background and cited research.</x:v>
      </x:c>
      <x:c r="N204" s="34" t="str">
        <x:v>text</x:v>
      </x:c>
      <x:c r="O204" s="34" t="str"/>
      <x:c r="P204" s="38" t="str"/>
      <x:c r="Q204" s="38" t="str"/>
      <x:c r="R204" s="38" t="str"/>
      <x:c r="S204" s="38" t="str"/>
      <x:c r="T204" s="38" t="str"/>
      <x:c r="U204" s="38" t="str"/>
      <x:c r="V204" s="38" t="str"/>
      <x:c r="W204" s="38" t="str"/>
      <x:c r="X204" s="38" t="str"/>
      <x:c r="Y204" s="38" t="str"/>
      <x:c r="Z204" s="38" t="str"/>
      <x:c r="AA204" s="43" t="str">
        <x:f>IF('Instructions'!$B$3="","",'Instructions'!$B$3)</x:f>
      </x:c>
      <x:c r="AB204" s="43" t="str">
        <x:f>IF(P204="","PENDING",IF('Instructions'!$B$3="","SET_INITIALS",IF(P204="keep",IF(OR(Q204="",R204="",S204="",T204="",U204="",W204=""),"INCOMPLETE_KEEP","COMPLETE"),IF(P204="exclude",IF(OR(V204="",W204=""),"INCOMPLETE_EXCLUDE","COMPLETE"),"NEEDS_CONTEXT"))))</x:f>
        <x:v>PENDING</x:v>
      </x:c>
    </x:row>
    <x:row r="205" ht="62" customHeight="1">
      <x:c r="A205" s="34" t="str">
        <x:v>SV-0202</x:v>
      </x:c>
      <x:c r="B205" s="34" t="str">
        <x:v>The integrated solution is based on two models that rely on distributed 
technologies that can be configured to implement a resilient solution. 
For instance, the adoption of geographical distribution is a powerful 
mitigation measure for a cyber incident or natural disaster.</x:v>
      </x:c>
      <x:c r="C205" s="34" t="str"/>
      <x:c r="D205" s="34" t="str"/>
      <x:c r="E205" s="34" t="str"/>
      <x:c r="F205" s="34" t="str">
        <x:v>… t 
Contracts (itCoin, other programmable DLTs);
• with the introduction of technical positions in TIPS+, for instance 
used for pre-paid services.
Beneficial from a 
monetary policy 
perspective 
[Requirement 4 (R4): 
monetary policy option]
The integrated solution includes the possibility to remunerate 
accounts created in the account-based system.
Mitigation of the 
probability that a 
cyber-incident, natural 
disaster, pandemic or 
other extreme events 
could hinder the 
provision of payment 
services  
[Requirement 5 (R5): 
back-up system]
The integrated solution is based on two models that rely on distributed 
technologies that can be configured to implement a resilient solution. 
For instance, the adoption of geographical distribution is a powerful 
mitigation measure for a cyber incident or natural disaster.
The international 
role of the euro 
gains relevance as a 
Eurosystem objective 
[Requirement 6 (R6): 
international use]
Due to its intrinsic nature, both sides of the D€ integrated solution 
allow economic operators outside of the Eurosystem to have an 
easier and smoother access to central bank money for cross-border 
transactions, paving the way for a consolidation of the international 
role of the euro.
The Eurosystem decides 
to proactively support 
improvements in 
the overall costs and 
ecological footprint 
of the monetary and 
paymen …</x:v>
      </x:c>
      <x:c r="G205" s="34" t="str">
        <x:v>PRD-0042-P0054-U01</x:v>
      </x:c>
      <x:c r="H205" s="34" t="str"/>
      <x:c r="I205" s="34" t="str">
        <x:v>IT_BdI_MISP_2021</x:v>
      </x:c>
      <x:c r="J205" s="34" t="n">
        <x:v>54</x:v>
      </x:c>
      <x:c r="K205" s="34" t="str">
        <x:v>en</x:v>
      </x:c>
      <x:c r="L205" s="34" t="str">
        <x:v>Banca d'Italia research context</x:v>
      </x:c>
      <x:c r="M205" s="34" t="str">
        <x:v>This research paper is not automatically an issuer commitment. Retain only Banca d'Italia own-project results or explicit institutional positions; exclude literature and model assumptions.</x:v>
      </x:c>
      <x:c r="N205" s="34" t="str">
        <x:v>text</x:v>
      </x:c>
      <x:c r="O205" s="34" t="str"/>
      <x:c r="P205" s="38" t="str"/>
      <x:c r="Q205" s="38" t="str"/>
      <x:c r="R205" s="38" t="str"/>
      <x:c r="S205" s="38" t="str"/>
      <x:c r="T205" s="38" t="str"/>
      <x:c r="U205" s="38" t="str"/>
      <x:c r="V205" s="38" t="str"/>
      <x:c r="W205" s="38" t="str"/>
      <x:c r="X205" s="38" t="str"/>
      <x:c r="Y205" s="38" t="str"/>
      <x:c r="Z205" s="38" t="str"/>
      <x:c r="AA205" s="43" t="str">
        <x:f>IF('Instructions'!$B$3="","",'Instructions'!$B$3)</x:f>
      </x:c>
      <x:c r="AB205" s="43" t="str">
        <x:f>IF(P205="","PENDING",IF('Instructions'!$B$3="","SET_INITIALS",IF(P205="keep",IF(OR(Q205="",R205="",S205="",T205="",U205="",W205=""),"INCOMPLETE_KEEP","COMPLETE"),IF(P205="exclude",IF(OR(V205="",W205=""),"INCOMPLETE_EXCLUDE","COMPLETE"),"NEEDS_CONTEXT"))))</x:f>
        <x:v>PENDING</x:v>
      </x:c>
    </x:row>
    <x:row r="206" ht="62" customHeight="1">
      <x:c r="A206" s="34" t="str">
        <x:v>SV-0203</x:v>
      </x:c>
      <x:c r="B206" s="34" t="str">
        <x:v>Makes greater use of existing 
infrastructure (e.g. FSS, ESAs)</x:v>
      </x:c>
      <x:c r="C206" s="34" t="str"/>
      <x:c r="D206" s="34" t="str"/>
      <x:c r="E206" s="34" t="str"/>
      <x:c r="F206" s="34" t="str">
        <x:v>… ss 
platforms and  interchange  
uses ESA balances  
Money and assets on same 
platform, DvP settlement using 
wCBDC 
Money and assets on same 
platform, DvP settlement using 
DTs, interchange of DTs 
occurs off the asset platform 
using ESA balances  
Money and assets on same 
platform, DvP settlement using 
DTs, interchange is facilitated 
by a third -party holding liquidity 
in both  DTs 
Money and assets on same 
platform, DvP settlement using 
DTs, interchange also occurs 
on the asset platform using 
wCBDC or RBDC 
Summary of 
findings  
Makes greater use of existing 
infrastructure (e.g. FSS, ESAs) 
Less likely to require significant 
changes to regulation or policy 
(e.g. access to ESAs)  
Fewer inter -system 
interactions may result in 
better settlement throughput 
and latency (no on - or off -
ramping into or out of 
tokenised money, and no 
interchange between different 
money tokens – interchange of 
commercial bank money 
occurs through existing highly 
performant infrastructure ) 
Atomic settlement is more 
difficult to achieve (or 
infeasible)  given money and 
assets on different platforms  
Unable to support more 
complex use  …</x:v>
      </x:c>
      <x:c r="G206" s="34" t="str">
        <x:v>PRD-0007-P0040-U01</x:v>
      </x:c>
      <x:c r="H206" s="34" t="str"/>
      <x:c r="I206" s="34" t="str">
        <x:v>AU_RBA_003</x:v>
      </x:c>
      <x:c r="J206" s="34" t="n">
        <x:v>40</x:v>
      </x:c>
      <x:c r="K206" s="34" t="str">
        <x:v>en</x:v>
      </x:c>
      <x:c r="L206" s="34" t="str">
        <x:v>Reserve Bank of Australia and Digital Finance CRC (Project Acacia)</x:v>
      </x:c>
      <x:c r="M206" s="34" t="str">
        <x:v>Retain official Project Acacia design choices, requirements, and executed results. Exclude general tokenisation context and unadopted respondent suggestions.</x:v>
      </x:c>
      <x:c r="N206" s="34" t="str">
        <x:v>text</x:v>
      </x:c>
      <x:c r="O206" s="34" t="str"/>
      <x:c r="P206" s="38" t="str"/>
      <x:c r="Q206" s="38" t="str"/>
      <x:c r="R206" s="38" t="str"/>
      <x:c r="S206" s="38" t="str"/>
      <x:c r="T206" s="38" t="str"/>
      <x:c r="U206" s="38" t="str"/>
      <x:c r="V206" s="38" t="str"/>
      <x:c r="W206" s="38" t="str"/>
      <x:c r="X206" s="38" t="str"/>
      <x:c r="Y206" s="38" t="str"/>
      <x:c r="Z206" s="38" t="str"/>
      <x:c r="AA206" s="43" t="str">
        <x:f>IF('Instructions'!$B$3="","",'Instructions'!$B$3)</x:f>
      </x:c>
      <x:c r="AB206" s="43" t="str">
        <x:f>IF(P206="","PENDING",IF('Instructions'!$B$3="","SET_INITIALS",IF(P206="keep",IF(OR(Q206="",R206="",S206="",T206="",U206="",W206=""),"INCOMPLETE_KEEP","COMPLETE"),IF(P206="exclude",IF(OR(V206="",W206=""),"INCOMPLETE_EXCLUDE","COMPLETE"),"NEEDS_CONTEXT"))))</x:f>
        <x:v>PENDING</x:v>
      </x:c>
    </x:row>
    <x:row r="207" ht="62" customHeight="1">
      <x:c r="A207" s="34" t="str">
        <x:v>SV-0204</x:v>
      </x:c>
      <x:c r="B207" s="34" t="str">
        <x:v>On 
the other hand, it would be possible to impose a cap on individuals’ 
rafkróna account balances (a maximum balance). Such a provision 
could reduce the risk of a run on the banks, thereby mitigating the 
risk to financial stability, but it would also mean deviating from the 
custom of always satisfying demand for banknotes and coin.</x:v>
      </x:c>
      <x:c r="C207" s="34" t="str"/>
      <x:c r="D207" s="34" t="str"/>
      <x:c r="E207" s="34" t="str"/>
      <x:c r="F207" s="34" t="str">
        <x:v>… n Chapter V 3.
V 2 Impact of interest on rafkróna accounts 
If the Central Bank paid interest on individuals’ rafkróna account bal-
ances, it would be necessary to examine the impact on the commercial 
banks’ deposit and lending rates. The commercial banks could need 
to offer higher deposit rates so as to avoid losing deposit business to 
the Central Bank. The smaller the differential between interest rates 
on financial institutions’ deposit accounts with the Central Bank and 
the rates on rafkróna accounts, the greater than impact would be. On 
the other hand, it would be possible to impose a cap on individuals’ 
rafkróna account balances (a maximum balance). Such a provision 
could reduce the risk of a run on the banks, thereby mitigating the 
risk to financial stability, but it would also mean deviating from the 
custom of always satisfying demand for banknotes and coin.44 Higher 
commercial bank deposit rates could also prompt the banks to raise 
their lending rates in a bid to recoup the lost income from interest 
rate spreads. This, in turn, could have a dampening effect on demand 
for credit. Provisions on maximum balances and positive or negative 
financial shocks can also affect both demand for rafkrónur and the 
public’s willingness to keep money on deposit with the central bank 
rather than with commercial banks. 
Interest on rafkróna/e-currency accounts with the central bank 
could also function as a  …</x:v>
      </x:c>
      <x:c r="G207" s="34" t="str">
        <x:v>PRD-0041-P0024-U01</x:v>
      </x:c>
      <x:c r="H207" s="34" t="str"/>
      <x:c r="I207" s="34" t="str">
        <x:v>IS_CBI_2018</x:v>
      </x:c>
      <x:c r="J207" s="34" t="n">
        <x:v>24</x:v>
      </x:c>
      <x:c r="K207" s="34" t="str">
        <x:v>en</x:v>
      </x:c>
      <x:c r="L207" s="34" t="str">
        <x:v>Central Bank of Iceland</x:v>
      </x:c>
      <x:c r="M207" s="34" t="str">
        <x:v>Retain the named authority's own CBDC decisions, explicit proposals, requirements, features, and executed findings. Exclude generic context, literature, foreign projects, and stakeholder views not explicitly adopted by the authority.</x:v>
      </x:c>
      <x:c r="N207" s="34" t="str">
        <x:v>text</x:v>
      </x:c>
      <x:c r="O207" s="34" t="str"/>
      <x:c r="P207" s="38" t="str"/>
      <x:c r="Q207" s="38" t="str"/>
      <x:c r="R207" s="38" t="str"/>
      <x:c r="S207" s="38" t="str"/>
      <x:c r="T207" s="38" t="str"/>
      <x:c r="U207" s="38" t="str"/>
      <x:c r="V207" s="38" t="str"/>
      <x:c r="W207" s="38" t="str"/>
      <x:c r="X207" s="38" t="str"/>
      <x:c r="Y207" s="38" t="str"/>
      <x:c r="Z207" s="38" t="str"/>
      <x:c r="AA207" s="43" t="str">
        <x:f>IF('Instructions'!$B$3="","",'Instructions'!$B$3)</x:f>
      </x:c>
      <x:c r="AB207" s="43" t="str">
        <x:f>IF(P207="","PENDING",IF('Instructions'!$B$3="","SET_INITIALS",IF(P207="keep",IF(OR(Q207="",R207="",S207="",T207="",U207="",W207=""),"INCOMPLETE_KEEP","COMPLETE"),IF(P207="exclude",IF(OR(V207="",W207=""),"INCOMPLETE_EXCLUDE","COMPLETE"),"NEEDS_CONTEXT"))))</x:f>
        <x:v>PENDING</x:v>
      </x:c>
    </x:row>
    <x:row r="208" ht="62" customHeight="1">
      <x:c r="A208" s="34" t="str">
        <x:v>SV-0205</x:v>
      </x:c>
      <x:c r="B208" s="34" t="str">
        <x:v>One of the pillars of the eCedi interoperability is its 
interconnection with the GhIPSS</x:v>
      </x:c>
      <x:c r="C208" s="34" t="str"/>
      <x:c r="D208" s="34" t="str"/>
      <x:c r="E208" s="34" t="str"/>
      <x:c r="F208" s="34" t="str">
        <x:v>… ant investments and time would be 
required to create the infrastructure from scratch 
to introduce a new instrument like the eCedi. This 
extremely important task demands careful analysis, 
particularly when interoperability is required with 
existing infrastructure. Ghana, with its already 
established payment infrastructure, will have to 
design the eCedi, with interoperability with existing 
infrastructures in mind while enabling innovative 
functionalities on the eCedi platform. 
7.3.1. eCedi interconnecting with existing 
infrastructures
One of the pillars of the eCedi interoperability is its 
interconnection with the GhIPSS [Fig. 11]. GhIPSS´ 
payment infrastructure is currently used by all 
banks in Ghana including the ARB Apex Bank and 
its affiliates, savings and loans companies, and third 
party payment providers. 
In line with its mandate, GhIPSS has implemented 
and manages the following:
• National Switch &amp; Biometric Smart Card Payment 
System – e-zwich
• Cheque Codeline Clearing System
• Ghana Automated Clearing House systems – 
Direct Credit &amp; Direct Debit
• National Switching and Processing System – Gh-
link.
Consequently, eCedi`s integration with GhiPS …</x:v>
      </x:c>
      <x:c r="G208" s="34" t="str">
        <x:v>PRD-0030-P0028-U01</x:v>
      </x:c>
      <x:c r="H208" s="34" t="str"/>
      <x:c r="I208" s="34" t="str">
        <x:v>GH_Ghana_2021</x:v>
      </x:c>
      <x:c r="J208" s="34" t="n">
        <x:v>28</x:v>
      </x:c>
      <x:c r="K208" s="34" t="str">
        <x:v>en</x:v>
      </x:c>
      <x:c r="L208" s="34" t="str">
        <x:v>Bank of Ghana (eCedi)</x:v>
      </x:c>
      <x:c r="M208" s="34" t="str">
        <x:v>Retain Bank of Ghana eCedi design positions and requirements; exclude general CBDC literature.</x:v>
      </x:c>
      <x:c r="N208" s="34" t="str">
        <x:v>text</x:v>
      </x:c>
      <x:c r="O208" s="34" t="str"/>
      <x:c r="P208" s="38" t="str"/>
      <x:c r="Q208" s="38" t="str"/>
      <x:c r="R208" s="38" t="str"/>
      <x:c r="S208" s="38" t="str"/>
      <x:c r="T208" s="38" t="str"/>
      <x:c r="U208" s="38" t="str"/>
      <x:c r="V208" s="38" t="str"/>
      <x:c r="W208" s="38" t="str"/>
      <x:c r="X208" s="38" t="str"/>
      <x:c r="Y208" s="38" t="str"/>
      <x:c r="Z208" s="38" t="str"/>
      <x:c r="AA208" s="43" t="str">
        <x:f>IF('Instructions'!$B$3="","",'Instructions'!$B$3)</x:f>
      </x:c>
      <x:c r="AB208" s="43" t="str">
        <x:f>IF(P208="","PENDING",IF('Instructions'!$B$3="","SET_INITIALS",IF(P208="keep",IF(OR(Q208="",R208="",S208="",T208="",U208="",W208=""),"INCOMPLETE_KEEP","COMPLETE"),IF(P208="exclude",IF(OR(V208="",W208=""),"INCOMPLETE_EXCLUDE","COMPLETE"),"NEEDS_CONTEXT"))))</x:f>
        <x:v>PENDING</x:v>
      </x:c>
    </x:row>
    <x:row r="209" ht="62" customHeight="1">
      <x:c r="A209" s="34" t="str">
        <x:v>SV-0206</x:v>
      </x:c>
      <x:c r="B209" s="34" t="str">
        <x:v>The programme showed how an interbank 
CBDC could help secure the development 
of tokenised financial markets by providing 
stakeholders with the benefits of distributed 
ledger technology, in particular distributed 
ledger-based end-to-end processing of 
tokenised securities settlement and 
payment-versus-payment transactions, 
including cross-border transactions, while 
benefiting from secure central bank money 
settlement for the transactions made in this 
manner.</x:v>
      </x:c>
      <x:c r="C209" s="34" t="str"/>
      <x:c r="D209" s="34" t="str"/>
      <x:c r="E209" s="34" t="str"/>
      <x:c r="F209" s="34" t="str">
        <x:v>… ue 
de France has selected a varied panel 
of partners that include foreign central 
banks, leading commercial banks, market 
infrastructure managers and Fintechs. This 
diversity of views within the financial sector 
has allowed for a clear understanding of 
the use cases of a CBDC and its potential 
impact on the financial ecosystem. The tests 
conducted under real conditions focused 
on delivery versus payment (DvP), payment 
versus payment (PvP) transactions, and 
cross-border payments involving, in most 
cases, tokenised financial assets.
The programme showed how an interbank 
CBDC could help secure the development 
of tokenised financial markets by providing 
stakeholders with the benefits of distributed 
ledger technology, in particular distributed 
ledger-based end-to-end processing of 
tokenised securities settlement and 
payment-versus-payment transactions, 
including cross-border transactions, while 
benefiting from secure central bank money 
settlement for the transactions made in this 
manner. Many jurisdictions are considering 
issuing a CBDC to support cross-border 
transactions and cross-currency payments, a</x:v>
      </x:c>
      <x:c r="G209" s="34" t="str">
        <x:v>PRD-0029-P0010-U01</x:v>
      </x:c>
      <x:c r="H209" s="34" t="str"/>
      <x:c r="I209" s="34" t="str">
        <x:v>FR_BdF_2022</x:v>
      </x:c>
      <x:c r="J209" s="34" t="n">
        <x:v>10</x:v>
      </x:c>
      <x:c r="K209" s="34" t="str">
        <x:v>fr</x:v>
      </x:c>
      <x:c r="L209" s="34" t="str">
        <x:v>Banque de France (wholesale CBDC programme)</x:v>
      </x:c>
      <x:c r="M209" s="34" t="str">
        <x:v>Retain Banque de France own-programme decisions and executed findings. Exclude foreign experiments and general market regulation without a CBDC-specific conclusion.</x:v>
      </x:c>
      <x:c r="N209" s="34" t="str">
        <x:v>text</x:v>
      </x:c>
      <x:c r="O209" s="34" t="str"/>
      <x:c r="P209" s="38" t="str"/>
      <x:c r="Q209" s="38" t="str"/>
      <x:c r="R209" s="38" t="str"/>
      <x:c r="S209" s="38" t="str"/>
      <x:c r="T209" s="38" t="str"/>
      <x:c r="U209" s="38" t="str"/>
      <x:c r="V209" s="38" t="str"/>
      <x:c r="W209" s="38" t="str"/>
      <x:c r="X209" s="38" t="str"/>
      <x:c r="Y209" s="38" t="str"/>
      <x:c r="Z209" s="38" t="str"/>
      <x:c r="AA209" s="43" t="str">
        <x:f>IF('Instructions'!$B$3="","",'Instructions'!$B$3)</x:f>
      </x:c>
      <x:c r="AB209" s="43" t="str">
        <x:f>IF(P209="","PENDING",IF('Instructions'!$B$3="","SET_INITIALS",IF(P209="keep",IF(OR(Q209="",R209="",S209="",T209="",U209="",W209=""),"INCOMPLETE_KEEP","COMPLETE"),IF(P209="exclude",IF(OR(V209="",W209=""),"INCOMPLETE_EXCLUDE","COMPLETE"),"NEEDS_CONTEXT"))))</x:f>
        <x:v>PENDING</x:v>
      </x:c>
    </x:row>
    <x:row r="210" ht="62" customHeight="1">
      <x:c r="A210" s="34" t="str">
        <x:v>SV-0207</x:v>
      </x:c>
      <x:c r="B210" s="34" t="str">
        <x:v>This mechanism ensures that 
funds are only released if merchants deliver on 
their obligations, thereby mitigating risks such as 
bankruptcy or malpractice.</x:v>
      </x:c>
      <x:c r="C210" s="34" t="str"/>
      <x:c r="D210" s="34" t="str"/>
      <x:c r="E210" s="34" t="str"/>
      <x:c r="F210" s="34" t="str">
        <x:v>e-HKD Pilot Programme  | Phase 2 Report
21
Phase 1 demonstrated that an e-HKD, if 
programmed using a conditioned “wrapper”, 
could facilitate phased payments for goods and 
services under a prepayment scheme using 
smart contracts. This mechanism ensures that 
funds are only released if merchants deliver on 
their obligations, thereby mitigating risks such as 
bankruptcy or malpractice. 
Phase 2 extended this work by examining the 
commercial model in greater detail. Survey 
findings revealed notable divergences between 
consumer and merchant expectations. For 
consumers, discounts remain the primary 
incentive of subscribing to prepayment schemes. 
Almost half of the consumers surveyed 
prioritised savings over value-added features 
such as escrow-based protection. 
Merchants, particularly small and medium 
enterprises (SMEs), expressed concerns about 
liquidity constraints under an escrow model, 
whereas prepayment schemes  …</x:v>
      </x:c>
      <x:c r="G210" s="34" t="str">
        <x:v>PRD-0093-P0025-U01</x:v>
      </x:c>
      <x:c r="H210" s="34" t="str"/>
      <x:c r="I210" s="34" t="str">
        <x:v>HK_HKMA_eHKD_Phase2_2025</x:v>
      </x:c>
      <x:c r="J210" s="34" t="n">
        <x:v>25</x:v>
      </x:c>
      <x:c r="K210" s="34" t="str">
        <x:v>en</x:v>
      </x:c>
      <x:c r="L210" s="34" t="str">
        <x:v>Hong Kong Monetary Authority (e-HKD Phase 2 pilots)</x:v>
      </x:c>
      <x:c r="M210" s="34" t="str">
        <x:v>Retain complete e-HKD pilot findings, conclusions, and HKMA requirements. Quote the complete claim before any trailing fragment.</x:v>
      </x:c>
      <x:c r="N210" s="34" t="str">
        <x:v>text</x:v>
      </x:c>
      <x:c r="O210" s="34" t="str"/>
      <x:c r="P210" s="38" t="str"/>
      <x:c r="Q210" s="38" t="str"/>
      <x:c r="R210" s="38" t="str"/>
      <x:c r="S210" s="38" t="str"/>
      <x:c r="T210" s="38" t="str"/>
      <x:c r="U210" s="38" t="str"/>
      <x:c r="V210" s="38" t="str"/>
      <x:c r="W210" s="38" t="str"/>
      <x:c r="X210" s="38" t="str"/>
      <x:c r="Y210" s="38" t="str"/>
      <x:c r="Z210" s="38" t="str"/>
      <x:c r="AA210" s="43" t="str">
        <x:f>IF('Instructions'!$B$3="","",'Instructions'!$B$3)</x:f>
      </x:c>
      <x:c r="AB210" s="43" t="str">
        <x:f>IF(P210="","PENDING",IF('Instructions'!$B$3="","SET_INITIALS",IF(P210="keep",IF(OR(Q210="",R210="",S210="",T210="",U210="",W210=""),"INCOMPLETE_KEEP","COMPLETE"),IF(P210="exclude",IF(OR(V210="",W210=""),"INCOMPLETE_EXCLUDE","COMPLETE"),"NEEDS_CONTEXT"))))</x:f>
        <x:v>PENDING</x:v>
      </x:c>
    </x:row>
    <x:row r="211" ht="62" customHeight="1">
      <x:c r="A211" s="34" t="str">
        <x:v>SV-0208</x:v>
      </x:c>
      <x:c r="B211" s="34" t="str">
        <x:v>Over sight of the eCedi implementation is the 
responsibility of a Steering Committee chaired 
by the First Deputy Governor.</x:v>
      </x:c>
      <x:c r="C211" s="34" t="str"/>
      <x:c r="D211" s="34" t="str"/>
      <x:c r="E211" s="34" t="str"/>
      <x:c r="F211" s="34" t="str">
        <x:v>BANK OF GHANA  •  THE eCEDI REPORT
2.1 Preparations
Preparatory measures that were taken included:
• Project Governance: 
 Over sight of the eCedi implementation is the 
responsibility of a Steering Committee chaired 
by the First Deputy Governor.  Its role is to 
consider and explore the introduction of a digital 
version of the Ghana Cedi in a manner that will 
not compromise Bank of Ghana’s statutory 
responsibility for maintaining price stability, 
ensuring a safe and resilient payment system and 
safeguarding public trust in money. A Technical 
Committee consisting of persons from relevant 
departments of BoG with expertise in FinTech, 
payment systems, information technology, law, 
currency and banking has been charged with the 
eCedi implementation. The Technical Committee 
repor …</x:v>
      </x:c>
      <x:c r="G211" s="34" t="str">
        <x:v>PRD-0031-P0014-U01</x:v>
      </x:c>
      <x:c r="H211" s="34" t="str"/>
      <x:c r="I211" s="34" t="str">
        <x:v>GH_Ghana_2023</x:v>
      </x:c>
      <x:c r="J211" s="34" t="n">
        <x:v>14</x:v>
      </x:c>
      <x:c r="K211" s="34" t="str">
        <x:v>en</x:v>
      </x:c>
      <x:c r="L211" s="34" t="str">
        <x:v>Bank of Ghana (eCedi)</x:v>
      </x:c>
      <x:c r="M211" s="34" t="str">
        <x:v>Retain the named authority's own CBDC decisions, explicit proposals, requirements, features, and executed findings. Exclude generic context, literature, foreign projects, and stakeholder views not explicitly adopted by the authority.</x:v>
      </x:c>
      <x:c r="N211" s="34" t="str">
        <x:v>text</x:v>
      </x:c>
      <x:c r="O211" s="34" t="str"/>
      <x:c r="P211" s="38" t="str"/>
      <x:c r="Q211" s="38" t="str"/>
      <x:c r="R211" s="38" t="str"/>
      <x:c r="S211" s="38" t="str"/>
      <x:c r="T211" s="38" t="str"/>
      <x:c r="U211" s="38" t="str"/>
      <x:c r="V211" s="38" t="str"/>
      <x:c r="W211" s="38" t="str"/>
      <x:c r="X211" s="38" t="str"/>
      <x:c r="Y211" s="38" t="str"/>
      <x:c r="Z211" s="38" t="str"/>
      <x:c r="AA211" s="43" t="str">
        <x:f>IF('Instructions'!$B$3="","",'Instructions'!$B$3)</x:f>
      </x:c>
      <x:c r="AB211" s="43" t="str">
        <x:f>IF(P211="","PENDING",IF('Instructions'!$B$3="","SET_INITIALS",IF(P211="keep",IF(OR(Q211="",R211="",S211="",T211="",U211="",W211=""),"INCOMPLETE_KEEP","COMPLETE"),IF(P211="exclude",IF(OR(V211="",W211=""),"INCOMPLETE_EXCLUDE","COMPLETE"),"NEEDS_CONTEXT"))))</x:f>
        <x:v>PENDING</x:v>
      </x:c>
    </x:row>
    <x:row r="212" ht="62" customHeight="1">
      <x:c r="A212" s="34" t="str">
        <x:v>SV-0209</x:v>
      </x:c>
      <x:c r="B212" s="34" t="str">
        <x:v>The Bank of Russia will take these changes into account when determining 
the parameters of its monetary policy operational procedure so that they do not interfere with the 
achievement of the Bank of Russia’s operational objective of maintaining overnight money market 
rates close to the Bank of Russia’s key rate.</x:v>
      </x:c>
      <x:c r="C212" s="34" t="str"/>
      <x:c r="D212" s="34" t="str"/>
      <x:c r="E212" s="34" t="str"/>
      <x:c r="F212" s="34" t="str">
        <x:v>… al Ruble
October 2020
3. The importance of a digital ruble for the central bank’s  
policy to maintain price and financial stability
to take into account the potential redistribution of funds between digital rubles and customer 
accounts in their internal liquidity management practices at the level of credit institutions.
The redistribution of funds from bank accounts to a CBDC at the initial stage of its implementation 
will have an impact on banking sector liquidity, and a significant change in the structural balance 
of liquidity may occur. The Bank of Russia will take these changes into account when determining 
the parameters of its monetary policy operational procedure so that they do not interfere with the 
achievement of the Bank of Russia’s operational objective of maintaining overnight money market 
rates close to the Bank of Russia’s key rate.
Monetary policy transmission mechanism
A distinction should be made between the possible impact of the introduction of a digital ruble 
on the monetary policy transmission mechanism at the initial stage of the introduction of a CBDC, 
i.e. at the stage when the financial sector is adapting to it, and later, after the financial system has 
adjusted to the appearance of an additional form of money.
At the introduction stage of a digital ruble, when economic agents have just started using it and 
there will be a redistribution of funds between ba …</x:v>
      </x:c>
      <x:c r="G212" s="34" t="str">
        <x:v>PRD-0064-P0021-U01</x:v>
      </x:c>
      <x:c r="H212" s="34" t="str"/>
      <x:c r="I212" s="34" t="str">
        <x:v>RU_Russia_consultation_paper_201013</x:v>
      </x:c>
      <x:c r="J212" s="34" t="n">
        <x:v>21</x:v>
      </x:c>
      <x:c r="K212" s="34" t="str">
        <x:v>en</x:v>
      </x:c>
      <x:c r="L212" s="34" t="str">
        <x:v>Bank of Russia (digital ruble)</x:v>
      </x:c>
      <x:c r="M212" s="34" t="str">
        <x:v>Retain explicit Bank of Russia proposals, preferences, and requirements. Exclude open questions and future research without a position.</x:v>
      </x:c>
      <x:c r="N212" s="34" t="str">
        <x:v>text</x:v>
      </x:c>
      <x:c r="O212" s="34" t="str"/>
      <x:c r="P212" s="38" t="str"/>
      <x:c r="Q212" s="38" t="str"/>
      <x:c r="R212" s="38" t="str"/>
      <x:c r="S212" s="38" t="str"/>
      <x:c r="T212" s="38" t="str"/>
      <x:c r="U212" s="38" t="str"/>
      <x:c r="V212" s="38" t="str"/>
      <x:c r="W212" s="38" t="str"/>
      <x:c r="X212" s="38" t="str"/>
      <x:c r="Y212" s="38" t="str"/>
      <x:c r="Z212" s="38" t="str"/>
      <x:c r="AA212" s="43" t="str">
        <x:f>IF('Instructions'!$B$3="","",'Instructions'!$B$3)</x:f>
      </x:c>
      <x:c r="AB212" s="43" t="str">
        <x:f>IF(P212="","PENDING",IF('Instructions'!$B$3="","SET_INITIALS",IF(P212="keep",IF(OR(Q212="",R212="",S212="",T212="",U212="",W212=""),"INCOMPLETE_KEEP","COMPLETE"),IF(P212="exclude",IF(OR(V212="",W212=""),"INCOMPLETE_EXCLUDE","COMPLETE"),"NEEDS_CONTEXT"))))</x:f>
        <x:v>PENDING</x:v>
      </x:c>
    </x:row>
    <x:row r="213" ht="62" customHeight="1">
      <x:c r="A213" s="34" t="str">
        <x:v>SV-0210</x:v>
      </x:c>
      <x:c r="B213" s="34" t="str">
        <x:v>In offline mode, the risk of “double-spending” 
will exist because it will be technically possible 
to use a  CBDC unit more than once without 
updating the common ledger of CBDC, 
however, the same can be mitigated to a larger 
extent by technical solutions  and appropriate 
business rules including monetary limi t on 
offline transactions.</x:v>
      </x:c>
      <x:c r="C213" s="34" t="str"/>
      <x:c r="D213" s="34" t="str"/>
      <x:c r="E213" s="34" t="str"/>
      <x:c r="F213" s="34" t="str">
        <x:v>… oposed an Offline Payment 
System (OPS). Th e protocol outlined by Visa 
allows CBDCs to be directly downloaded onto a 
personal device, such as a smartphone or 
tablet. The money is stored on a secure 
hardware embedded in that device and 
managed by a wallet provider.  The CBDC can 
be transacted from one device to another device 
directly without any intermediaries such as 
banks, payment networks, or payment 
processors using Bluetooth and Near Field 
Communication. However, Visa’s solution does 
not account for double spending of tokens. 
In offline mode, the risk of “double-spending” 
will exist because it will be technically possible 
to use a  CBDC unit more than once without 
updating the common ledger of CBDC, 
however, the same can be mitigated to a larger 
extent by technical solutions  and appropriate 
business rules including monetary limi t on 
offline transactions. 
The use of offline transactions would be 
beneficial in remote locations and offer 
availability and resilience benefits when 
electrical power or mobile network is not 
available. For offline transactions, the wallets 
must be able to independently verify the 
authenticity of any CBDC transaction without 
communicating with the server during the 
transactions. It may be highlighted that even in 
16 Finding a secure solution for offline use of 
the case of offline transactions, ther …</x:v>
      </x:c>
      <x:c r="G213" s="34" t="str">
        <x:v>PRD-0088-P0034-U01</x:v>
      </x:c>
      <x:c r="H213" s="34" t="str"/>
      <x:c r="I213" s="34" t="str">
        <x:v>IN_RBI_ConceptNote_2022</x:v>
      </x:c>
      <x:c r="J213" s="34" t="n">
        <x:v>34</x:v>
      </x:c>
      <x:c r="K213" s="34" t="str">
        <x:v>en</x:v>
      </x:c>
      <x:c r="L213" s="34" t="str">
        <x:v>Reserve Bank of India (digital rupee)</x:v>
      </x:c>
      <x:c r="M213" s="34" t="str">
        <x:v>Retain RBI proposals, decisions, requirements, and operating-model claims for the digital rupee.</x:v>
      </x:c>
      <x:c r="N213" s="34" t="str">
        <x:v>text</x:v>
      </x:c>
      <x:c r="O213" s="34" t="str"/>
      <x:c r="P213" s="38" t="str"/>
      <x:c r="Q213" s="38" t="str"/>
      <x:c r="R213" s="38" t="str"/>
      <x:c r="S213" s="38" t="str"/>
      <x:c r="T213" s="38" t="str"/>
      <x:c r="U213" s="38" t="str"/>
      <x:c r="V213" s="38" t="str"/>
      <x:c r="W213" s="38" t="str"/>
      <x:c r="X213" s="38" t="str"/>
      <x:c r="Y213" s="38" t="str"/>
      <x:c r="Z213" s="38" t="str"/>
      <x:c r="AA213" s="43" t="str">
        <x:f>IF('Instructions'!$B$3="","",'Instructions'!$B$3)</x:f>
      </x:c>
      <x:c r="AB213" s="43" t="str">
        <x:f>IF(P213="","PENDING",IF('Instructions'!$B$3="","SET_INITIALS",IF(P213="keep",IF(OR(Q213="",R213="",S213="",T213="",U213="",W213=""),"INCOMPLETE_KEEP","COMPLETE"),IF(P213="exclude",IF(OR(V213="",W213=""),"INCOMPLETE_EXCLUDE","COMPLETE"),"NEEDS_CONTEXT"))))</x:f>
        <x:v>PENDING</x:v>
      </x:c>
    </x:row>
    <x:row r="214" ht="62" customHeight="1">
      <x:c r="A214" s="34" t="str">
        <x:v>SV-0211</x:v>
      </x:c>
      <x:c r="B214" s="34" t="str">
        <x:v>This has been dubbed the  
“inhale/exhale” procedure and represents a major  
innovation in thinking about how to enable an inher-
ently centralized process like queue operation on an  
inherently decentralized DLT platform.</x:v>
      </x:c>
      <x:c r="C214" s="34" t="str"/>
      <x:c r="D214" s="34" t="str"/>
      <x:c r="E214" s="34" t="str"/>
      <x:c r="F214" s="34" t="str">
        <x:v>… n 
of the matching algorithm and of the LSM settlement 
option more generally was inspired by that used in 
the United Kingdom’s CHAPS RTGS scheme. 33
The steps listed above for initiating a transaction for 
atomic settlement generally apply to initiation of  
a transaction for LSM settlement. Importantly, the 
Bank of Canada plays a central role as “settlement 
agent” in this option. The Bank is involved in the  
receipt of DDR from, and transfer of DDR to, partici-
pants at the beginning and conclusion of each match-
ing cycle, respectively. This has been dubbed the  
“inhale/exhale” procedure and represents a major  
innovation in thinking about how to enable an inher-
ently centralized process like queue operation on an  
inherently decentralized DLT platform.
31 The issuer is important for the validation process performed by the 
platform and helps the platform differentiate between assets when 
more than one type of asset is being transacted. 
32 Appendix 2 contains a more in-depth written description, including 
diagrams, of the LSM settlement option.
33 See Davey and Gray (2014).</x:v>
      </x:c>
      <x:c r="G214" s="34" t="str">
        <x:v>PRD-0015-P0026-U01</x:v>
      </x:c>
      <x:c r="H214" s="34" t="str"/>
      <x:c r="I214" s="34" t="str">
        <x:v>CA_Jasper_Phase12_2017</x:v>
      </x:c>
      <x:c r="J214" s="34" t="n">
        <x:v>26</x:v>
      </x:c>
      <x:c r="K214" s="34" t="str">
        <x:v>en</x:v>
      </x:c>
      <x:c r="L214" s="34" t="str">
        <x:v>Bank of Canada and Payments Canada (Project Jasper)</x:v>
      </x:c>
      <x:c r="M214" s="34" t="str">
        <x:v>Retain executed Project Jasper design choices and findings. Exclude general DLT literature and external examples.</x:v>
      </x:c>
      <x:c r="N214" s="34" t="str">
        <x:v>text</x:v>
      </x:c>
      <x:c r="O214" s="34" t="str"/>
      <x:c r="P214" s="38" t="str"/>
      <x:c r="Q214" s="38" t="str"/>
      <x:c r="R214" s="38" t="str"/>
      <x:c r="S214" s="38" t="str"/>
      <x:c r="T214" s="38" t="str"/>
      <x:c r="U214" s="38" t="str"/>
      <x:c r="V214" s="38" t="str"/>
      <x:c r="W214" s="38" t="str"/>
      <x:c r="X214" s="38" t="str"/>
      <x:c r="Y214" s="38" t="str"/>
      <x:c r="Z214" s="38" t="str"/>
      <x:c r="AA214" s="43" t="str">
        <x:f>IF('Instructions'!$B$3="","",'Instructions'!$B$3)</x:f>
      </x:c>
      <x:c r="AB214" s="43" t="str">
        <x:f>IF(P214="","PENDING",IF('Instructions'!$B$3="","SET_INITIALS",IF(P214="keep",IF(OR(Q214="",R214="",S214="",T214="",U214="",W214=""),"INCOMPLETE_KEEP","COMPLETE"),IF(P214="exclude",IF(OR(V214="",W214=""),"INCOMPLETE_EXCLUDE","COMPLETE"),"NEEDS_CONTEXT"))))</x:f>
        <x:v>PENDING</x:v>
      </x:c>
    </x:row>
    <x:row r="215" ht="62" customHeight="1">
      <x:c r="A215" s="34" t="str">
        <x:v>SV-0212</x:v>
      </x:c>
      <x:c r="B215" s="34" t="str">
        <x:v>these capabilities 
must also be present in the context 
of cross-border transactions through 
utilization of technology and simplification 
of distribution channels.</x:v>
      </x:c>
      <x:c r="C215" s="34" t="str"/>
      <x:c r="D215" s="34" t="str"/>
      <x:c r="E215" s="34" t="str"/>
      <x:c r="F215" s="34" t="str">
        <x:v>… ple, efforts to promote financial 
inclusion have already been taking place 
through initiatives in IPSB 2025, such as 
QRIS, SNAP , and BI-FAST . CBDC, in this 
regard, will complement the efforts.
Third,	CBDC	design	compliance	to 	
3i	(integration,	interoperability,	and 	
interconnection)	principles	with	existing 	
domestic financial market infrastructures 
(FMIs)	and	in	terms	of	cross-border 	
payments. To achieve an efficient and 
integrated solution, CBDC platform must 
be able to develop interlinkage with the 
existing FMIs. In addition, these capabilities 
must also be present in the context 
of cross-border transactions through 
utilization of technology and simplification 
of distribution channels. This in turn will 
overcome high costs, low transaction 
speed, limited access, and opaque cross-
border transactions.
2.1	FRAMEWORK		
Digital Rupiah development is based on 
three key drivers (Figure 2). 
Figure 2. Framework of the Digital Rupiah</x:v>
      </x:c>
      <x:c r="G215" s="34" t="str">
        <x:v>PRD-0035-P0029-U01</x:v>
      </x:c>
      <x:c r="H215" s="34" t="str"/>
      <x:c r="I215" s="34" t="str">
        <x:v>ID_Indonesia_2022</x:v>
      </x:c>
      <x:c r="J215" s="34" t="n">
        <x:v>29</x:v>
      </x:c>
      <x:c r="K215" s="34" t="str">
        <x:v>en</x:v>
      </x:c>
      <x:c r="L215" s="34" t="str">
        <x:v>Bank Indonesia (Digital Rupiah)</x:v>
      </x:c>
      <x:c r="M215" s="34" t="str">
        <x:v>Retain Bank Indonesia Digital Rupiah decisions, roadmap commitments, features, and requirements.</x:v>
      </x:c>
      <x:c r="N215" s="34" t="str">
        <x:v>text</x:v>
      </x:c>
      <x:c r="O215" s="34" t="str"/>
      <x:c r="P215" s="38" t="str"/>
      <x:c r="Q215" s="38" t="str"/>
      <x:c r="R215" s="38" t="str"/>
      <x:c r="S215" s="38" t="str"/>
      <x:c r="T215" s="38" t="str"/>
      <x:c r="U215" s="38" t="str"/>
      <x:c r="V215" s="38" t="str"/>
      <x:c r="W215" s="38" t="str"/>
      <x:c r="X215" s="38" t="str"/>
      <x:c r="Y215" s="38" t="str"/>
      <x:c r="Z215" s="38" t="str"/>
      <x:c r="AA215" s="43" t="str">
        <x:f>IF('Instructions'!$B$3="","",'Instructions'!$B$3)</x:f>
      </x:c>
      <x:c r="AB215" s="43" t="str">
        <x:f>IF(P215="","PENDING",IF('Instructions'!$B$3="","SET_INITIALS",IF(P215="keep",IF(OR(Q215="",R215="",S215="",T215="",U215="",W215=""),"INCOMPLETE_KEEP","COMPLETE"),IF(P215="exclude",IF(OR(V215="",W215=""),"INCOMPLETE_EXCLUDE","COMPLETE"),"NEEDS_CONTEXT"))))</x:f>
        <x:v>PENDING</x:v>
      </x:c>
    </x:row>
    <x:row r="216" ht="62" customHeight="1">
      <x:c r="A216" s="34" t="str">
        <x:v>SV-0213</x:v>
      </x:c>
      <x:c r="B216" s="34" t="str">
        <x:v>(iii) ownership of the funds is 
attested by means of knowledge of some secret cryptographic information 
(e.g. private keys); in order to transfer ownership, it is necessary and 
sufficient to prove this knowledge to the ledger</x:v>
      </x:c>
      <x:c r="C216" s="34" t="str"/>
      <x:c r="D216" s="34" t="str"/>
      <x:c r="E216" s="34" t="str"/>
      <x:c r="F216" s="34" t="str">
        <x:v>26
UTXO-based data model, 45 the fee structure, the cryptographic primitives 
and the scripting capabilities are the same; (iii) ownership of the funds is 
attested by means of knowledge of some secret cryptographic information 
(e.g. private keys); in order to transfer ownership, it is necessary and 
sufficient to prove this knowledge to the ledger; (iv) the prototype does not 
implement remuneration (i.e., the interest rate is set to 0%).46
As in the case of the TIPS+ platform, Table 2 provides 
the facet-based classification of the D€ that circulates 
on itCoin, without addressing the issues linked with 
offline usage.
Thanks to the previously mentioned ecosystem of 
protocols and applications, the itCoin-based D€ 
would be able to offer, among others, the following 
key characteristics:
 – it would replicate some distinctive features 
of cash in the digital domain. In particular, and  …</x:v>
      </x:c>
      <x:c r="G216" s="34" t="str">
        <x:v>PRD-0042-P0028-U01</x:v>
      </x:c>
      <x:c r="H216" s="34" t="str"/>
      <x:c r="I216" s="34" t="str">
        <x:v>IT_BdI_MISP_2021</x:v>
      </x:c>
      <x:c r="J216" s="34" t="n">
        <x:v>28</x:v>
      </x:c>
      <x:c r="K216" s="34" t="str">
        <x:v>en</x:v>
      </x:c>
      <x:c r="L216" s="34" t="str">
        <x:v>Banca d'Italia research context</x:v>
      </x:c>
      <x:c r="M216" s="34" t="str">
        <x:v>This research paper is not automatically an issuer commitment. Retain only Banca d'Italia own-project results or explicit institutional positions; exclude literature and model assumptions.</x:v>
      </x:c>
      <x:c r="N216" s="34" t="str">
        <x:v>text</x:v>
      </x:c>
      <x:c r="O216" s="34" t="str"/>
      <x:c r="P216" s="38" t="str"/>
      <x:c r="Q216" s="38" t="str"/>
      <x:c r="R216" s="38" t="str"/>
      <x:c r="S216" s="38" t="str"/>
      <x:c r="T216" s="38" t="str"/>
      <x:c r="U216" s="38" t="str"/>
      <x:c r="V216" s="38" t="str"/>
      <x:c r="W216" s="38" t="str"/>
      <x:c r="X216" s="38" t="str"/>
      <x:c r="Y216" s="38" t="str"/>
      <x:c r="Z216" s="38" t="str"/>
      <x:c r="AA216" s="43" t="str">
        <x:f>IF('Instructions'!$B$3="","",'Instructions'!$B$3)</x:f>
      </x:c>
      <x:c r="AB216" s="43" t="str">
        <x:f>IF(P216="","PENDING",IF('Instructions'!$B$3="","SET_INITIALS",IF(P216="keep",IF(OR(Q216="",R216="",S216="",T216="",U216="",W216=""),"INCOMPLETE_KEEP","COMPLETE"),IF(P216="exclude",IF(OR(V216="",W216=""),"INCOMPLETE_EXCLUDE","COMPLETE"),"NEEDS_CONTEXT"))))</x:f>
        <x:v>PENDING</x:v>
      </x:c>
    </x:row>
    <x:row r="217" ht="62" customHeight="1">
      <x:c r="A217" s="34" t="str">
        <x:v>SV-0214</x:v>
      </x:c>
      <x:c r="B217" s="34" t="str">
        <x:v>the digital shekel system will also offer advanced functionality at its core as a basis 
for supporting participants' ability to offer complex and advanced use cases, as detailed 
further below.</x:v>
      </x:c>
      <x:c r="C217" s="34" t="str"/>
      <x:c r="D217" s="34" t="str"/>
      <x:c r="E217" s="34" t="str"/>
      <x:c r="F217" s="34" t="str">
        <x:v>The Bank of Israel Steering Com mittee 
for the Potential Issuance of a Digital Shekel 
89 
be harmed, the network effect will be reduced, and all these could also limit the innovation 
offered by the digital shekel system as a whole. 
Therefore, the digital shekel system will also offer advanced functionality at its core as a basis 
for supporting participants' ability to offer complex and advanced use cases, as detailed 
further below. This will allow the digital shekel system to enable various participants to 
operate within a 'level playing field.' Consequently, users will be able to enjoy advanced use 
cases even if they are not offered by the PSP managing their wallet (for example, by linking 
the wallet to an ASP), and without any dependence on the identity of the PSP of the end user 
with whom the transaction is conducted. 
5.2.1. Conditional Payments 
A conditional payment is the ability to initiate a payment when predefined conditions are 
met. The process for execut …</x:v>
      </x:c>
      <x:c r="G217" s="34" t="str">
        <x:v>PRD-0038-P0089-U01</x:v>
      </x:c>
      <x:c r="H217" s="34" t="str"/>
      <x:c r="I217" s="34" t="str">
        <x:v>IL_BoI_2024</x:v>
      </x:c>
      <x:c r="J217" s="34" t="n">
        <x:v>89</x:v>
      </x:c>
      <x:c r="K217" s="34" t="str">
        <x:v>en</x:v>
      </x:c>
      <x:c r="L217" s="34" t="str">
        <x:v>Bank of Israel (digital shekel)</x:v>
      </x:c>
      <x:c r="M217" s="34" t="str">
        <x:v>Retain the named authority's own CBDC decisions, explicit proposals, requirements, features, and executed findings. Exclude generic context, literature, foreign projects, and stakeholder views not explicitly adopted by the authority.</x:v>
      </x:c>
      <x:c r="N217" s="34" t="str">
        <x:v>text</x:v>
      </x:c>
      <x:c r="O217" s="34" t="str"/>
      <x:c r="P217" s="38" t="str"/>
      <x:c r="Q217" s="38" t="str"/>
      <x:c r="R217" s="38" t="str"/>
      <x:c r="S217" s="38" t="str"/>
      <x:c r="T217" s="38" t="str"/>
      <x:c r="U217" s="38" t="str"/>
      <x:c r="V217" s="38" t="str"/>
      <x:c r="W217" s="38" t="str"/>
      <x:c r="X217" s="38" t="str"/>
      <x:c r="Y217" s="38" t="str"/>
      <x:c r="Z217" s="38" t="str"/>
      <x:c r="AA217" s="43" t="str">
        <x:f>IF('Instructions'!$B$3="","",'Instructions'!$B$3)</x:f>
      </x:c>
      <x:c r="AB217" s="43" t="str">
        <x:f>IF(P217="","PENDING",IF('Instructions'!$B$3="","SET_INITIALS",IF(P217="keep",IF(OR(Q217="",R217="",S217="",T217="",U217="",W217=""),"INCOMPLETE_KEEP","COMPLETE"),IF(P217="exclude",IF(OR(V217="",W217=""),"INCOMPLETE_EXCLUDE","COMPLETE"),"NEEDS_CONTEXT"))))</x:f>
        <x:v>PENDING</x:v>
      </x:c>
    </x:row>
    <x:row r="218" ht="62" customHeight="1">
      <x:c r="A218" s="34" t="str">
        <x:v>SV-0215</x:v>
      </x:c>
      <x:c r="B218" s="34" t="str">
        <x:v>Domestically, the CBUAE will be launching the Digital Dirham for retail and wholesale use, including 
fully implementing the four digital economy use cases.</x:v>
      </x:c>
      <x:c r="C218" s="34" t="str"/>
      <x:c r="D218" s="34" t="str"/>
      <x:c r="E218" s="34" t="str"/>
      <x:c r="F218" s="34" t="str">
        <x:v>… launch of both the retail, 
wholesale and cross-border versions of the Digital Dirham. As part of the second phase, the CBUAE is 
exploring developing other cross-border CBDC arrangements. The launch will be carried out in stages. A 
phased and controlled rollout aligns with CBDC initiatives in other countries, fostering confidence in the 
secure and widespread introduction of the Digital Dirham. This approach also allows for ongoing 
monitoring of global CBDC developments, enabling the identification of emerging insights and lessons 
learned.
Domestically, the CBUAE will be launching the Digital Dirham for retail and wholesale use, including 
fully implementing the four digital economy use cases. The retail Digital Dirham will also support 
peer-to-peer (P2P), online and in-store payments, business-to-consumer (B2C), business-to-business 
(B2B), and government-to-consumer (G2C) transactions, and other use cases enabled by programmability 
and CBDC. Stakeholder feedback regarding business value, consumer benefits, and potential for 
innovation has guided the selection of these use cases, with ongoing collaboration with government 
departments to integrate the Digital Dirham into the UAE’s payment ecosystem.
Demonstrating the power of to …</x:v>
      </x:c>
      <x:c r="G218" s="34" t="str">
        <x:v>PRD-0001-P0013-U01</x:v>
      </x:c>
      <x:c r="H218" s="34" t="str"/>
      <x:c r="I218" s="34" t="str">
        <x:v>AE_UAE_001</x:v>
      </x:c>
      <x:c r="J218" s="34" t="n">
        <x:v>13</x:v>
      </x:c>
      <x:c r="K218" s="34" t="str">
        <x:v>en</x:v>
      </x:c>
      <x:c r="L218" s="34" t="str">
        <x:v>Central Bank of the United Arab Emirates (Digital Dirham)</x:v>
      </x:c>
      <x:c r="M218" s="34" t="str">
        <x:v>Retain the named authority's own CBDC decisions, explicit proposals, requirements, features, and executed findings. Exclude generic context, literature, foreign projects, and stakeholder views not explicitly adopted by the authority.</x:v>
      </x:c>
      <x:c r="N218" s="34" t="str">
        <x:v>text</x:v>
      </x:c>
      <x:c r="O218" s="34" t="str"/>
      <x:c r="P218" s="38" t="str"/>
      <x:c r="Q218" s="38" t="str"/>
      <x:c r="R218" s="38" t="str"/>
      <x:c r="S218" s="38" t="str"/>
      <x:c r="T218" s="38" t="str"/>
      <x:c r="U218" s="38" t="str"/>
      <x:c r="V218" s="38" t="str"/>
      <x:c r="W218" s="38" t="str"/>
      <x:c r="X218" s="38" t="str"/>
      <x:c r="Y218" s="38" t="str"/>
      <x:c r="Z218" s="38" t="str"/>
      <x:c r="AA218" s="43" t="str">
        <x:f>IF('Instructions'!$B$3="","",'Instructions'!$B$3)</x:f>
      </x:c>
      <x:c r="AB218" s="43" t="str">
        <x:f>IF(P218="","PENDING",IF('Instructions'!$B$3="","SET_INITIALS",IF(P218="keep",IF(OR(Q218="",R218="",S218="",T218="",U218="",W218=""),"INCOMPLETE_KEEP","COMPLETE"),IF(P218="exclude",IF(OR(V218="",W218=""),"INCOMPLETE_EXCLUDE","COMPLETE"),"NEEDS_CONTEXT"))))</x:f>
        <x:v>PENDING</x:v>
      </x:c>
    </x:row>
    <x:row r="219" ht="62" customHeight="1">
      <x:c r="A219" s="34" t="str">
        <x:v>SV-0216</x:v>
      </x:c>
      <x:c r="B219" s="34" t="str">
        <x:v>Denne økte faren for løp mot bankene kan tilsi at bankene bør holde høyere 
likviditetsbuffere enn i dag.</x:v>
      </x:c>
      <x:c r="C219" s="34" t="str"/>
      <x:c r="D219" s="34" t="str"/>
      <x:c r="E219" s="34" t="str"/>
      <x:c r="F219" s="34" t="str">
        <x:v>… t 
bankene øker ved innføring av DSP. Overflytting og oppbevaring av midler i 
DSP kan bli langt enklere og mer sikkert enn for kontanter. Selv om den 
norske innskuddssikringsordningen er troverdig, kan innskudd utover sikret 
beløp bli flyttet til DSP, for eksempel fordi den omfordelingen som tidligere har 
blitt gjort inn i sikrede innskudd går til DSP. DSP kan også bli mer attraktivt 
enn sikrede innskudd, særlig i en situasjon der mange banker får problemer 
samtidig, slik at innskuddssikringsfondet blir eller står i fare for å bli tømt. 
Denne økte faren for løp mot bankene kan tilsi at bankene bør holde høyere 
likviditetsbuffere enn i dag.  
Hvis det oppstår et løp mot bankene må sentralbanken yte lån til bankene for 
at de ikke skal bli betalingsudyktige. Hvis sentralbanken tar en normal premie 
for disse lånene vil den direkte virkningen på bankenes finansiering være 
begrenset. Siden bankene ikke kan skaffe nye sikkerheter under et løp, vil 
sentralbanken måtte godta utvidede sikkerheter i en slik situasjon. Det kan 
tale for at et høyere påslag på disse lånene enn normalt. Bankenes tilgang til 
markedsfinansiering vil også påvirkes i en slik situasjon, og det er ikke 
usanns …</x:v>
      </x:c>
      <x:c r="G219" s="34" t="str">
        <x:v>PRD-0054-P0059-U01</x:v>
      </x:c>
      <x:c r="H219" s="34" t="str"/>
      <x:c r="I219" s="34" t="str">
        <x:v>NO_Norway_norges-bank-memo-1-2021</x:v>
      </x:c>
      <x:c r="J219" s="34" t="n">
        <x:v>59</x:v>
      </x:c>
      <x:c r="K219" s="34" t="str">
        <x:v>en</x:v>
      </x:c>
      <x:c r="L219" s="34" t="str">
        <x:v>Norges Bank (Norwegian CBDC work)</x:v>
      </x:c>
      <x:c r="M219" s="34" t="str">
        <x:v>Retain Norges Bank CBDC positions and requirements; exclude generic or cited research.</x:v>
      </x:c>
      <x:c r="N219" s="34" t="str">
        <x:v>text</x:v>
      </x:c>
      <x:c r="O219" s="34" t="str"/>
      <x:c r="P219" s="38" t="str"/>
      <x:c r="Q219" s="38" t="str"/>
      <x:c r="R219" s="38" t="str"/>
      <x:c r="S219" s="38" t="str"/>
      <x:c r="T219" s="38" t="str"/>
      <x:c r="U219" s="38" t="str"/>
      <x:c r="V219" s="38" t="str"/>
      <x:c r="W219" s="38" t="str"/>
      <x:c r="X219" s="38" t="str"/>
      <x:c r="Y219" s="38" t="str"/>
      <x:c r="Z219" s="38" t="str"/>
      <x:c r="AA219" s="43" t="str">
        <x:f>IF('Instructions'!$B$3="","",'Instructions'!$B$3)</x:f>
      </x:c>
      <x:c r="AB219" s="43" t="str">
        <x:f>IF(P219="","PENDING",IF('Instructions'!$B$3="","SET_INITIALS",IF(P219="keep",IF(OR(Q219="",R219="",S219="",T219="",U219="",W219=""),"INCOMPLETE_KEEP","COMPLETE"),IF(P219="exclude",IF(OR(V219="",W219=""),"INCOMPLETE_EXCLUDE","COMPLETE"),"NEEDS_CONTEXT"))))</x:f>
        <x:v>PENDING</x:v>
      </x:c>
    </x:row>
    <x:row r="220" ht="62" customHeight="1">
      <x:c r="A220" s="34" t="str">
        <x:v>SV-0217</x:v>
      </x:c>
      <x:c r="B220" s="34" t="str">
        <x:v>Since e-hryvnia is deemed to be the third form of the hryvnia, 
it should be exchanged for cash and noncash domestic 
currency without any restrictions.</x:v>
      </x:c>
      <x:c r="C220" s="34" t="str"/>
      <x:c r="D220" s="34" t="str"/>
      <x:c r="E220" s="34" t="str"/>
      <x:c r="F220" s="34" t="str">
        <x:v>… me and risky assets (in 
comparison with digital currency) 
 nationalization of the wholesale money market (due 
to the outflow of retail deposits to the central bank 
and lending of such funds to commercial banks).  
E-hryvnia should be considered solely as the third form of the 
hryvnia. Otherwise, we would get a domestic cryptocurrency, 
a financial instrument with its own value, instead of CBDC as 
an equivalent to the domestic money. The NBU’s duties as 
provided for by legislation do not include issuance of new 
financial instruments.  
Since e-hryvnia is deemed to be the third form of the hryvnia, 
it should be exchanged for cash and noncash domestic 
currency without any restrictions. In theory, the maximum 
volume of e -hryvnia issuance may not exceed the M1 
aggregate.  
3.8. Procedure for Operation of Platform  
The NBU operates the Platform. 
The Platform processes all transactions in real time 24 hours 
a day, which enables entities to conduct e -hryvnia 
transactions via the Platform on a 24/7/365 basis.  
The Platform is based on open algorithms and libraries used 
in modern international information systems. 
The Platform ensures the following: 
1) permanence of the data stored in the distributed general 
ledger …</x:v>
      </x:c>
      <x:c r="G220" s="34" t="str">
        <x:v>PRD-0074-P0026-U01</x:v>
      </x:c>
      <x:c r="H220" s="34" t="str"/>
      <x:c r="I220" s="34" t="str">
        <x:v>UA_NBU_E-hryvnia_2019</x:v>
      </x:c>
      <x:c r="J220" s="34" t="n">
        <x:v>26</x:v>
      </x:c>
      <x:c r="K220" s="34" t="str">
        <x:v>en</x:v>
      </x:c>
      <x:c r="L220" s="34" t="str">
        <x:v>National Bank of Ukraine (e-hryvnia pilot)</x:v>
      </x:c>
      <x:c r="M220" s="34" t="str">
        <x:v>Retain NBU own-pilot findings and resulting decisions/requirements. Prefer a specific substantive code over PROC.pilot_learning.</x:v>
      </x:c>
      <x:c r="N220" s="34" t="str">
        <x:v>text</x:v>
      </x:c>
      <x:c r="O220" s="34" t="str"/>
      <x:c r="P220" s="38" t="str"/>
      <x:c r="Q220" s="38" t="str"/>
      <x:c r="R220" s="38" t="str"/>
      <x:c r="S220" s="38" t="str"/>
      <x:c r="T220" s="38" t="str"/>
      <x:c r="U220" s="38" t="str"/>
      <x:c r="V220" s="38" t="str"/>
      <x:c r="W220" s="38" t="str"/>
      <x:c r="X220" s="38" t="str"/>
      <x:c r="Y220" s="38" t="str"/>
      <x:c r="Z220" s="38" t="str"/>
      <x:c r="AA220" s="43" t="str">
        <x:f>IF('Instructions'!$B$3="","",'Instructions'!$B$3)</x:f>
      </x:c>
      <x:c r="AB220" s="43" t="str">
        <x:f>IF(P220="","PENDING",IF('Instructions'!$B$3="","SET_INITIALS",IF(P220="keep",IF(OR(Q220="",R220="",S220="",T220="",U220="",W220=""),"INCOMPLETE_KEEP","COMPLETE"),IF(P220="exclude",IF(OR(V220="",W220=""),"INCOMPLETE_EXCLUDE","COMPLETE"),"NEEDS_CONTEXT"))))</x:f>
        <x:v>PENDING</x:v>
      </x:c>
    </x:row>
    <x:row r="221" ht="62" customHeight="1">
      <x:c r="A221" s="34" t="str">
        <x:v>SV-0218</x:v>
      </x:c>
      <x:c r="B221" s="34" t="str">
        <x:v>independent rules and conditions of token issuers were 
enforced on the ledger, allowing the DDR to be transferred “freely” in a shared 
ledger environment</x:v>
      </x:c>
      <x:c r="C221" s="34" t="str"/>
      <x:c r="D221" s="34" t="str"/>
      <x:c r="E221" s="34" t="str"/>
      <x:c r="F221" s="34" t="str">
        <x:v>… . Securities and cash were brought on-ledger through the 
issuance of Digital Depository Receipts (DDRs) by CDS and the Bank of Canada, 
respectively, allowing POC participants to settle securities against central 
bank cash on the distributed ledger. Equity and cash DDR could be redeemed 
immediately after their transfer since settlements were fi  nal and irrevocable.
Several key features of the DLT platform showed promise during the POC 
experiment: fi  nancial market infrastructures were eff  ectively integrated through 
a “loose coupling”; independent rules and conditions of token issuers were 
enforced on the ledger, allowing the DDR to be transferred “freely” in a shared 
ledger environment; participation restrictions were enforced through a private 
ledger and doorman service; and real-time ledger visibility was granted to market 
infrastructure and observer/regulatory nodes as required.
The POC introduced a credit extension process for broker participants that 
are not members of the payments system to access cash DDR on-ledger. This 
allowed these brokers to participate in the POC, and mirrors the need for brokers 
to receive credit from credit extenders in the current system. The introduction of 
credit extension in the POC,  …</x:v>
      </x:c>
      <x:c r="G221" s="34" t="str">
        <x:v>PRD-0014-P0005-U01</x:v>
      </x:c>
      <x:c r="H221" s="34" t="str"/>
      <x:c r="I221" s="34" t="str">
        <x:v>CA_Jasper_III_2018</x:v>
      </x:c>
      <x:c r="J221" s="34" t="n">
        <x:v>5</x:v>
      </x:c>
      <x:c r="K221" s="34" t="str">
        <x:v>en</x:v>
      </x:c>
      <x:c r="L221" s="34" t="str">
        <x:v>Bank of Canada and Payments Canada (Project Jasper)</x:v>
      </x:c>
      <x:c r="M221" s="34" t="str">
        <x:v>Retain executed Project Jasper design choices and findings. Exclude general DLT literature and external examples.</x:v>
      </x:c>
      <x:c r="N221" s="34" t="str">
        <x:v>text</x:v>
      </x:c>
      <x:c r="O221" s="34" t="str"/>
      <x:c r="P221" s="38" t="str"/>
      <x:c r="Q221" s="38" t="str"/>
      <x:c r="R221" s="38" t="str"/>
      <x:c r="S221" s="38" t="str"/>
      <x:c r="T221" s="38" t="str"/>
      <x:c r="U221" s="38" t="str"/>
      <x:c r="V221" s="38" t="str"/>
      <x:c r="W221" s="38" t="str"/>
      <x:c r="X221" s="38" t="str"/>
      <x:c r="Y221" s="38" t="str"/>
      <x:c r="Z221" s="38" t="str"/>
      <x:c r="AA221" s="43" t="str">
        <x:f>IF('Instructions'!$B$3="","",'Instructions'!$B$3)</x:f>
      </x:c>
      <x:c r="AB221" s="43" t="str">
        <x:f>IF(P221="","PENDING",IF('Instructions'!$B$3="","SET_INITIALS",IF(P221="keep",IF(OR(Q221="",R221="",S221="",T221="",U221="",W221=""),"INCOMPLETE_KEEP","COMPLETE"),IF(P221="exclude",IF(OR(V221="",W221=""),"INCOMPLETE_EXCLUDE","COMPLETE"),"NEEDS_CONTEXT"))))</x:f>
        <x:v>PENDING</x:v>
      </x:c>
    </x:row>
    <x:row r="222" ht="62" customHeight="1">
      <x:c r="A222" s="34" t="str">
        <x:v>SV-0219</x:v>
      </x:c>
      <x:c r="B222" s="34" t="str">
        <x:v>From the technical point of view, the Platform’s  functioning 
was regular . After certain improvement based on identified  
bugs and features , it could  be used to service the issuance 
and circulation of the e-hryvnia, in case of proper monitoring 
and technical administration.</x:v>
      </x:c>
      <x:c r="C222" s="34" t="str"/>
      <x:c r="D222" s="34" t="str"/>
      <x:c r="E222" s="34" t="str"/>
      <x:c r="F222" s="34" t="str">
        <x:v>… ant transactions (topping-up LifeCell mobile 
phone account with the e-hryvnia)  
 effecting charitable donations to help the Joint 
Forces Operation in the Donbas 
 exchanging the e-hryvnia into cashless money using 
a PROSTIR card. 
According to a general assessment of the basic technological 
solution used to implement the Platform, it can be considered 
suitable to perform the required tasks. At the same time, there 
are no fundamental advantages in using specifically the DLT 
technology to build a centralized e-hryvnia issuance system. 
From the technical point of view, the Platform’s  functioning 
was regular . After certain improvement based on identified  
bugs and features , it could  be used to service the issuance 
and circulation of the e-hryvnia, in case of proper monitoring 
and technical administration. 
A detailed description and outcomes of the Pilot Project are 
provided in Sections 4 and 5 hereof.</x:v>
      </x:c>
      <x:c r="G222" s="34" t="str">
        <x:v>PRD-0074-P0006-U01</x:v>
      </x:c>
      <x:c r="H222" s="34" t="str"/>
      <x:c r="I222" s="34" t="str">
        <x:v>UA_NBU_E-hryvnia_2019</x:v>
      </x:c>
      <x:c r="J222" s="34" t="n">
        <x:v>6</x:v>
      </x:c>
      <x:c r="K222" s="34" t="str">
        <x:v>en</x:v>
      </x:c>
      <x:c r="L222" s="34" t="str">
        <x:v>National Bank of Ukraine (e-hryvnia pilot)</x:v>
      </x:c>
      <x:c r="M222" s="34" t="str">
        <x:v>Retain NBU own-pilot findings and resulting decisions/requirements. Prefer a specific substantive code over PROC.pilot_learning.</x:v>
      </x:c>
      <x:c r="N222" s="34" t="str">
        <x:v>text</x:v>
      </x:c>
      <x:c r="O222" s="34" t="str"/>
      <x:c r="P222" s="38" t="str"/>
      <x:c r="Q222" s="38" t="str"/>
      <x:c r="R222" s="38" t="str"/>
      <x:c r="S222" s="38" t="str"/>
      <x:c r="T222" s="38" t="str"/>
      <x:c r="U222" s="38" t="str"/>
      <x:c r="V222" s="38" t="str"/>
      <x:c r="W222" s="38" t="str"/>
      <x:c r="X222" s="38" t="str"/>
      <x:c r="Y222" s="38" t="str"/>
      <x:c r="Z222" s="38" t="str"/>
      <x:c r="AA222" s="43" t="str">
        <x:f>IF('Instructions'!$B$3="","",'Instructions'!$B$3)</x:f>
      </x:c>
      <x:c r="AB222" s="43" t="str">
        <x:f>IF(P222="","PENDING",IF('Instructions'!$B$3="","SET_INITIALS",IF(P222="keep",IF(OR(Q222="",R222="",S222="",T222="",U222="",W222=""),"INCOMPLETE_KEEP","COMPLETE"),IF(P222="exclude",IF(OR(V222="",W222=""),"INCOMPLETE_EXCLUDE","COMPLETE"),"NEEDS_CONTEXT"))))</x:f>
        <x:v>PENDING</x:v>
      </x:c>
    </x:row>
    <x:row r="223" ht="62" customHeight="1">
      <x:c r="A223" s="34" t="str">
        <x:v>SV-0220</x:v>
      </x:c>
      <x:c r="B223" s="34" t="str">
        <x:v>PK2 built on the SARB’s experimentation with distributed ledger technology (DLT) , 
trialling DLT for interbank payments settlement.</x:v>
      </x:c>
      <x:c r="C223" s="34" t="str"/>
      <x:c r="D223" s="34" t="str"/>
      <x:c r="E223" s="34" t="str"/>
      <x:c r="F223" s="34" t="str">
        <x:v>Publication of the Project Khokha 2 report  1 | P a g e  
Press statement 
6 April 2022 
Launch of the Project Khokha 2 report 
The South African Reserve Bank (SARB), in collaboration with the Intergovernmental 
Fintech Working Group (IFWG), announced the launched the Project Khokha 2 (PK2) 
report today, following the conclusion of the technical proof-of-concept (PoC).  
PK2 built on the SARB’s experimentation with distributed ledger technology (DLT) , 
trialling DLT for interbank payments settlement. It also explored tokenisation.  
The report provides further insight into the PoC, the design principles adopted for the 
project, and the prototypes built to support the project’s overall objectives.  
PK2 was launched in February 2021 as an initiative under the IFWG’s Innovation 
Accelerator and was driven by the SARB’s Fintech Unit. Industry participants who 
participated in the technical PoC were Absa, FirstRand, JSE Limited, Nedbank and 
Standard Bank as well as technical and support service providers.  
PK2 being a collaborative in …</x:v>
      </x:c>
      <x:c r="G223" s="34" t="str">
        <x:v>PRD-0086-P0001-U01</x:v>
      </x:c>
      <x:c r="H223" s="34" t="str"/>
      <x:c r="I223" s="34" t="str">
        <x:v>ZA_SARB_Project_Khokha_2_Report_media_release_6_April_2022</x:v>
      </x:c>
      <x:c r="J223" s="34" t="n">
        <x:v>1</x:v>
      </x:c>
      <x:c r="K223" s="34" t="str">
        <x:v>en</x:v>
      </x:c>
      <x:c r="L223" s="34" t="str">
        <x:v>South African Reserve Bank</x:v>
      </x:c>
      <x:c r="M223" s="34" t="str">
        <x:v>Retain the named authority's own CBDC decisions, explicit proposals, requirements, features, and executed findings. Exclude generic context, literature, foreign projects, and stakeholder views not explicitly adopted by the authority.</x:v>
      </x:c>
      <x:c r="N223" s="34" t="str">
        <x:v>text</x:v>
      </x:c>
      <x:c r="O223" s="34" t="str"/>
      <x:c r="P223" s="38" t="str"/>
      <x:c r="Q223" s="38" t="str"/>
      <x:c r="R223" s="38" t="str"/>
      <x:c r="S223" s="38" t="str"/>
      <x:c r="T223" s="38" t="str"/>
      <x:c r="U223" s="38" t="str"/>
      <x:c r="V223" s="38" t="str"/>
      <x:c r="W223" s="38" t="str"/>
      <x:c r="X223" s="38" t="str"/>
      <x:c r="Y223" s="38" t="str"/>
      <x:c r="Z223" s="38" t="str"/>
      <x:c r="AA223" s="43" t="str">
        <x:f>IF('Instructions'!$B$3="","",'Instructions'!$B$3)</x:f>
      </x:c>
      <x:c r="AB223" s="43" t="str">
        <x:f>IF(P223="","PENDING",IF('Instructions'!$B$3="","SET_INITIALS",IF(P223="keep",IF(OR(Q223="",R223="",S223="",T223="",U223="",W223=""),"INCOMPLETE_KEEP","COMPLETE"),IF(P223="exclude",IF(OR(V223="",W223=""),"INCOMPLETE_EXCLUDE","COMPLETE"),"NEEDS_CONTEXT"))))</x:f>
        <x:v>PENDING</x:v>
      </x:c>
    </x:row>
    <x:row r="224" ht="62" customHeight="1">
      <x:c r="A224" s="34" t="str">
        <x:v>SV-0221</x:v>
      </x:c>
      <x:c r="B224" s="34" t="str">
        <x:v>PSPs will b ear the primary responsibility for consumer protection in the digital shekel  
system. They will be responsible for identifying and preventing fraud, as well as 
compensating users who have been harmed by misuse events.</x:v>
      </x:c>
      <x:c r="C224" s="34" t="str"/>
      <x:c r="D224" s="34" t="str"/>
      <x:c r="E224" s="34" t="str"/>
      <x:c r="F224" s="34" t="str">
        <x:v>… in digital payment systems, 
there are rules for the responsibility of service providers and the rights of users, and as a 
digital payment system, the digital shekel  system will be committed to providing 
comprehensive consumer protection to its users and maintaining the reliability and 
efficiency of the system. The purpose of consumer protection is to ensure a safe and reliable 
user experience that aligns with existing payment systems, to strengthen public trust in the 
system, and at the same time to maintain reasonable operating costs. 
PSPs will b ear the primary responsibility for consumer protection in the digital shekel  
system. They will be responsible for identifying and preventing fraud, as well as 
compensating users who have been harmed by misuse events. PSPs wil l be required to 
establish and operate advanced internal fraud detection and monitoring systems. They will 
also need to provide efficient customer service and a quick response to user complaints. 
Alongside the digital shekel  system, a central fraud monitor ing system 83 will operate, 
supporting the PSPs. This system will assist in identifying and preventing fraud at the system 
level, using its ability to analyse unusual activity patterns from a broad perspective. The 
system will enable PSPs to receive alerts about suspicious ac …</x:v>
      </x:c>
      <x:c r="G224" s="34" t="str">
        <x:v>PRD-0038-P0118-U01</x:v>
      </x:c>
      <x:c r="H224" s="34" t="str"/>
      <x:c r="I224" s="34" t="str">
        <x:v>IL_BoI_2024</x:v>
      </x:c>
      <x:c r="J224" s="34" t="n">
        <x:v>118</x:v>
      </x:c>
      <x:c r="K224" s="34" t="str">
        <x:v>en</x:v>
      </x:c>
      <x:c r="L224" s="34" t="str">
        <x:v>Bank of Israel (digital shekel)</x:v>
      </x:c>
      <x:c r="M224" s="34" t="str">
        <x:v>Retain the named authority's own CBDC decisions, explicit proposals, requirements, features, and executed findings. Exclude generic context, literature, foreign projects, and stakeholder views not explicitly adopted by the authority.</x:v>
      </x:c>
      <x:c r="N224" s="34" t="str">
        <x:v>text</x:v>
      </x:c>
      <x:c r="O224" s="34" t="str"/>
      <x:c r="P224" s="38" t="str"/>
      <x:c r="Q224" s="38" t="str"/>
      <x:c r="R224" s="38" t="str"/>
      <x:c r="S224" s="38" t="str"/>
      <x:c r="T224" s="38" t="str"/>
      <x:c r="U224" s="38" t="str"/>
      <x:c r="V224" s="38" t="str"/>
      <x:c r="W224" s="38" t="str"/>
      <x:c r="X224" s="38" t="str"/>
      <x:c r="Y224" s="38" t="str"/>
      <x:c r="Z224" s="38" t="str"/>
      <x:c r="AA224" s="43" t="str">
        <x:f>IF('Instructions'!$B$3="","",'Instructions'!$B$3)</x:f>
      </x:c>
      <x:c r="AB224" s="43" t="str">
        <x:f>IF(P224="","PENDING",IF('Instructions'!$B$3="","SET_INITIALS",IF(P224="keep",IF(OR(Q224="",R224="",S224="",T224="",U224="",W224=""),"INCOMPLETE_KEEP","COMPLETE"),IF(P224="exclude",IF(OR(V224="",W224=""),"INCOMPLETE_EXCLUDE","COMPLETE"),"NEEDS_CONTEXT"))))</x:f>
        <x:v>PENDING</x:v>
      </x:c>
    </x:row>
    <x:row r="225" ht="62" customHeight="1">
      <x:c r="A225" s="34" t="str">
        <x:v>SV-0222</x:v>
      </x:c>
      <x:c r="B225" s="34" t="str">
        <x:v>Rates less highly than Model B 
for settlement throughput and 
latency due to need for DT 
interchange</x:v>
      </x:c>
      <x:c r="C225" s="34" t="str"/>
      <x:c r="D225" s="34" t="str"/>
      <x:c r="E225" s="34" t="str"/>
      <x:c r="F225" s="34" t="str">
        <x:v>…  
of money  
Lacks scalability for 
systemically important 
markets, due to absence of 
settlement in central bank 
money  
May undermine ‘singleness of 
money’ as a purely market -
based interchange mechanism 
may result in privately issued 
settlement assets trading at a 
discount or premium to central 
bank money  
Privately issued tokenised 
money requires industry 
investment and supports 
innovation  
May fragment commercial 
banks’ liquidity in central bank 
money to a lesser extent than 
Model B as wCBDC is used for 
interchange only  
Rates less highly than Model B 
for settlement throughput and 
latency due to need for DT 
interchange  
May offer more flexibility than 
Model B for different token 
market business models as 
central and commercial bank 
settlement options are possible</x:v>
      </x:c>
      <x:c r="G225" s="34" t="str">
        <x:v>PRD-0007-P0040-U01</x:v>
      </x:c>
      <x:c r="H225" s="34" t="str"/>
      <x:c r="I225" s="34" t="str">
        <x:v>AU_RBA_003</x:v>
      </x:c>
      <x:c r="J225" s="34" t="n">
        <x:v>40</x:v>
      </x:c>
      <x:c r="K225" s="34" t="str">
        <x:v>en</x:v>
      </x:c>
      <x:c r="L225" s="34" t="str">
        <x:v>Reserve Bank of Australia and Digital Finance CRC (Project Acacia)</x:v>
      </x:c>
      <x:c r="M225" s="34" t="str">
        <x:v>Retain official Project Acacia design choices, requirements, and executed results. Exclude general tokenisation context and unadopted respondent suggestions.</x:v>
      </x:c>
      <x:c r="N225" s="34" t="str">
        <x:v>text</x:v>
      </x:c>
      <x:c r="O225" s="34" t="str"/>
      <x:c r="P225" s="38" t="str"/>
      <x:c r="Q225" s="38" t="str"/>
      <x:c r="R225" s="38" t="str"/>
      <x:c r="S225" s="38" t="str"/>
      <x:c r="T225" s="38" t="str"/>
      <x:c r="U225" s="38" t="str"/>
      <x:c r="V225" s="38" t="str"/>
      <x:c r="W225" s="38" t="str"/>
      <x:c r="X225" s="38" t="str"/>
      <x:c r="Y225" s="38" t="str"/>
      <x:c r="Z225" s="38" t="str"/>
      <x:c r="AA225" s="43" t="str">
        <x:f>IF('Instructions'!$B$3="","",'Instructions'!$B$3)</x:f>
      </x:c>
      <x:c r="AB225" s="43" t="str">
        <x:f>IF(P225="","PENDING",IF('Instructions'!$B$3="","SET_INITIALS",IF(P225="keep",IF(OR(Q225="",R225="",S225="",T225="",U225="",W225=""),"INCOMPLETE_KEEP","COMPLETE"),IF(P225="exclude",IF(OR(V225="",W225=""),"INCOMPLETE_EXCLUDE","COMPLETE"),"NEEDS_CONTEXT"))))</x:f>
        <x:v>PENDING</x:v>
      </x:c>
    </x:row>
    <x:row r="226" ht="62" customHeight="1">
      <x:c r="A226" s="34" t="str">
        <x:v>SV-0223</x:v>
      </x:c>
      <x:c r="B226" s="34" t="str">
        <x:v>В 2024 г. совместно с Федеральным казначейством были успешно проведены тестовые 
операции в цифровых рублях по выплате стипендий из федерального бюджета и оплате штрафов 
в федеральный бюджет, для переводов использовались тестовые цифровые рубли.</x:v>
      </x:c>
      <x:c r="C226" s="34" t="str">
        <x:v>In 2024, test operations in digital rubles were successfully conducted jointly with the Federal Treasury for the payment of scholarships from the federal budget and the payment of fines to the federal budget; test digital rubles were used for the transfers.</x:v>
      </x:c>
      <x:c r="D226" s="34" t="str"/>
      <x:c r="E226" s="34" t="str"/>
      <x:c r="F226" s="34" t="str">
        <x:v>… круглосуточного контактного 
центра Банка России для получения оперативной информации по общим вопросам, связанным 
с цифровым рублем.
Также Банк России запустил специальный портал поддержки банков – участников платформы, 
функционирующий в круглосуточном режиме.
Использование цифрового рубля в бюджетном процессе и развитие смарт-
контрактов
В условиях активной цифровизации финансовой системы и трансформации бюджетных 
процессов внедрение цифрового рубля открывает новые возможности для повышения 
прозрачности, скорости и безопасности операций.
В 2024 г. совместно с Федеральным казначейством были успешно проведены тестовые 
операции в цифровых рублях по выплате стипендий из федерального бюджета и оплате штрафов 
в федеральный бюджет, для переводов использовались тестовые цифровые рубли.
Одновременно Банк России, представители исполнительной власти ряда регионов, банки – 
участники платформы совместно работают над реализацией задачи по использованию цифровых 
рублей в региональном бюджетном процессе, в том числе с использованием смарт-контрактов. 
В частности, идет проработка процессов использования смарт-контрактов для контроля 
целевого использования бюджетных средств совместно с правительствами Республики 
Татарстан и Чувашской Республики.
Кроме того, использование смарт-контрактов возможно и в расчетах между юридическими 
 …</x:v>
      </x:c>
      <x:c r="G226" s="34" t="str">
        <x:v>PRD-0065-P0016-U01</x:v>
      </x:c>
      <x:c r="H226" s="34" t="str"/>
      <x:c r="I226" s="34" t="str">
        <x:v>RU_Russia_digital_ruble_30062025</x:v>
      </x:c>
      <x:c r="J226" s="34" t="n">
        <x:v>16</x:v>
      </x:c>
      <x:c r="K226" s="34" t="str">
        <x:v>ru/uk</x:v>
      </x:c>
      <x:c r="L226" s="34" t="str">
        <x:v>Bank of Russia (digital ruble)</x:v>
      </x:c>
      <x:c r="M226" s="34" t="str">
        <x:v>Retain implemented digital-ruble features, requirements, and reported results.</x:v>
      </x:c>
      <x:c r="N226" s="34" t="str">
        <x:v>text</x:v>
      </x:c>
      <x:c r="O226" s="34" t="str"/>
      <x:c r="P226" s="38" t="str"/>
      <x:c r="Q226" s="38" t="str"/>
      <x:c r="R226" s="38" t="str"/>
      <x:c r="S226" s="38" t="str"/>
      <x:c r="T226" s="38" t="str"/>
      <x:c r="U226" s="38" t="str"/>
      <x:c r="V226" s="38" t="str"/>
      <x:c r="W226" s="38" t="str"/>
      <x:c r="X226" s="38" t="str"/>
      <x:c r="Y226" s="38" t="str"/>
      <x:c r="Z226" s="38" t="str"/>
      <x:c r="AA226" s="43" t="str">
        <x:f>IF('Instructions'!$B$3="","",'Instructions'!$B$3)</x:f>
      </x:c>
      <x:c r="AB226" s="43" t="str">
        <x:f>IF(P226="","PENDING",IF('Instructions'!$B$3="","SET_INITIALS",IF(P226="keep",IF(OR(Q226="",R226="",S226="",T226="",U226="",W226=""),"INCOMPLETE_KEEP","COMPLETE"),IF(P226="exclude",IF(OR(V226="",W226=""),"INCOMPLETE_EXCLUDE","COMPLETE"),"NEEDS_CONTEXT"))))</x:f>
        <x:v>PENDING</x:v>
      </x:c>
    </x:row>
    <x:row r="227" ht="62" customHeight="1">
      <x:c r="A227" s="34" t="str">
        <x:v>SV-0224</x:v>
      </x:c>
      <x:c r="B227" s="34" t="str">
        <x:v>in a distributed system, there are elements of control that  
a regulator like the SARB may have to consider 
relinquishing in order to achieve some of the other benefits 
(such as distributed consensus), which would improve 
resilience by removing the single point of failure.</x:v>
      </x:c>
      <x:c r="C227" s="34" t="str"/>
      <x:c r="D227" s="34" t="str"/>
      <x:c r="E227" s="34" t="str"/>
      <x:c r="F227" s="34" t="str">
        <x:v>… ntals of cybersecurity, the 
management of private keys by the parties running nodes, 
and the legal and accounting aspects of incorporating DLT 
into current structures.
This work would potentially be time-consuming, with  
a large number of parties involved, and would be a key 
component of any implementation programme.  
The regulatory and legislative elements are particularly 
complex. A DLT-based system could possibly enable  
more efficient regulation that is done in real time via  
an observer node for the regulator. At the same time,  
in a distributed system, there are elements of control that  
a regulator like the SARB may have to consider 
relinquishing in order to achieve some of the other benefits 
(such as distributed consensus), which would improve 
resilience by removing the single point of failure. It has 
been argued that the regulatory challenges are much 
harder to resolve than the technological ones.
One logical first step for adoption, which has been 
mooted by the Central Bank of Brazil, is to install a DLT-
based system as a backup to the ‘normal’ payments 
infrastructure. Taking into account that this would require 
integration and other work noted above, this idea might 
provide the impetus to build a production-level system 
without taking the significant step of going fully live with 
a DLT system. It could be argued that this …</x:v>
      </x:c>
      <x:c r="G227" s="34" t="str">
        <x:v>PRD-0087-P0062-U01</x:v>
      </x:c>
      <x:c r="H227" s="34" t="str"/>
      <x:c r="I227" s="34" t="str">
        <x:v>ZA_SARB_SARB_ProjectKhokha-20180605</x:v>
      </x:c>
      <x:c r="J227" s="34" t="n">
        <x:v>62</x:v>
      </x:c>
      <x:c r="K227" s="34" t="str">
        <x:v>en</x:v>
      </x:c>
      <x:c r="L227" s="34" t="str">
        <x:v>South African Reserve Bank</x:v>
      </x:c>
      <x:c r="M227" s="34" t="str">
        <x:v>Retain the named authority's own CBDC decisions, explicit proposals, requirements, features, and executed findings. Exclude generic context, literature, foreign projects, and stakeholder views not explicitly adopted by the authority.</x:v>
      </x:c>
      <x:c r="N227" s="34" t="str">
        <x:v>text</x:v>
      </x:c>
      <x:c r="O227" s="34" t="str"/>
      <x:c r="P227" s="38" t="str"/>
      <x:c r="Q227" s="38" t="str"/>
      <x:c r="R227" s="38" t="str"/>
      <x:c r="S227" s="38" t="str"/>
      <x:c r="T227" s="38" t="str"/>
      <x:c r="U227" s="38" t="str"/>
      <x:c r="V227" s="38" t="str"/>
      <x:c r="W227" s="38" t="str"/>
      <x:c r="X227" s="38" t="str"/>
      <x:c r="Y227" s="38" t="str"/>
      <x:c r="Z227" s="38" t="str"/>
      <x:c r="AA227" s="43" t="str">
        <x:f>IF('Instructions'!$B$3="","",'Instructions'!$B$3)</x:f>
      </x:c>
      <x:c r="AB227" s="43" t="str">
        <x:f>IF(P227="","PENDING",IF('Instructions'!$B$3="","SET_INITIALS",IF(P227="keep",IF(OR(Q227="",R227="",S227="",T227="",U227="",W227=""),"INCOMPLETE_KEEP","COMPLETE"),IF(P227="exclude",IF(OR(V227="",W227=""),"INCOMPLETE_EXCLUDE","COMPLETE"),"NEEDS_CONTEXT"))))</x:f>
        <x:v>PENDING</x:v>
      </x:c>
    </x:row>
    <x:row r="228" ht="62" customHeight="1">
      <x:c r="A228" s="34" t="str">
        <x:v>SV-0225</x:v>
      </x:c>
      <x:c r="B228" s="34" t="str">
        <x:v>Considering that the Pilot Project had a limited list of transaction types and a limited range of users, as well as the minor 
quantity and volumes of executed transactions, the project did not fully uncover the instrument’s attractiveness and the 
potential level of involvement of Ukraine's population in using it.</x:v>
      </x:c>
      <x:c r="C228" s="34" t="str"/>
      <x:c r="D228" s="34" t="str"/>
      <x:c r="E228" s="34" t="str"/>
      <x:c r="F228" s="34" t="str">
        <x:v>National Bank of Ukraine   
        General Conclusions 33 
5. General Conclusions 
1. E-hryvnia as a tool for instant retail payments has the potential to become an alternative to the existing means and tools 
of retail payments, such as cash, payment orders, payment cards, and electronic money. The advantages of e -hryvnia 
include ease of use, safety (repayment and settlements are guaranteed by the NBU), as well as the speed of acquiring 
the user status and the settlement speed. 
2. Considering that the Pilot Project had a limited list of transaction types and a limited range of users, as well as the minor 
quantity and volumes of executed transactions, the project did not fully uncover the instrument’s attractiveness and the 
potential level of involvement of Ukraine's population in using it. Thus, it is hard to predict the number of Ukraine’s citizens 
to become e-hryvnia users if the decision to implement e-hryvnia at a national scale is taken. 
3. E-hryvnia may be considered as the disruptive technology, since it has the potential to change the ecosystem of Ukraine’s 
payment market and reassign the current roles of market participants. 
4. Implementation of e -hryvnia is impossible without major investment and time needed to upgrade the payment 
infrastructure for this instrument. The reason is that Ukraine’s market of pay …</x:v>
      </x:c>
      <x:c r="G228" s="34" t="str">
        <x:v>PRD-0074-P0033-U01</x:v>
      </x:c>
      <x:c r="H228" s="34" t="str"/>
      <x:c r="I228" s="34" t="str">
        <x:v>UA_NBU_E-hryvnia_2019</x:v>
      </x:c>
      <x:c r="J228" s="34" t="n">
        <x:v>33</x:v>
      </x:c>
      <x:c r="K228" s="34" t="str">
        <x:v>en</x:v>
      </x:c>
      <x:c r="L228" s="34" t="str">
        <x:v>National Bank of Ukraine (e-hryvnia pilot)</x:v>
      </x:c>
      <x:c r="M228" s="34" t="str">
        <x:v>Retain NBU own-pilot findings and resulting decisions/requirements. Prefer a specific substantive code over PROC.pilot_learning.</x:v>
      </x:c>
      <x:c r="N228" s="34" t="str">
        <x:v>text</x:v>
      </x:c>
      <x:c r="O228" s="34" t="str"/>
      <x:c r="P228" s="38" t="str"/>
      <x:c r="Q228" s="38" t="str"/>
      <x:c r="R228" s="38" t="str"/>
      <x:c r="S228" s="38" t="str"/>
      <x:c r="T228" s="38" t="str"/>
      <x:c r="U228" s="38" t="str"/>
      <x:c r="V228" s="38" t="str"/>
      <x:c r="W228" s="38" t="str"/>
      <x:c r="X228" s="38" t="str"/>
      <x:c r="Y228" s="38" t="str"/>
      <x:c r="Z228" s="38" t="str"/>
      <x:c r="AA228" s="43" t="str">
        <x:f>IF('Instructions'!$B$3="","",'Instructions'!$B$3)</x:f>
      </x:c>
      <x:c r="AB228" s="43" t="str">
        <x:f>IF(P228="","PENDING",IF('Instructions'!$B$3="","SET_INITIALS",IF(P228="keep",IF(OR(Q228="",R228="",S228="",T228="",U228="",W228=""),"INCOMPLETE_KEEP","COMPLETE"),IF(P228="exclude",IF(OR(V228="",W228=""),"INCOMPLETE_EXCLUDE","COMPLETE"),"NEEDS_CONTEXT"))))</x:f>
        <x:v>PENDING</x:v>
      </x:c>
    </x:row>
    <x:row r="229" ht="62" customHeight="1">
      <x:c r="A229" s="34" t="str">
        <x:v>SV-0226</x:v>
      </x:c>
      <x:c r="B229" s="34" t="str">
        <x:v>In a case where, following a payment received into the wallet, 
the balance exceeds the allowed balance according to the holding limit39 (or a balance set by 
the user according to their preference), the waterfall mechanism will be activated, and an 
automatic defunding will be performed to bring the wallet balance back to the allowed 
balance.</x:v>
      </x:c>
      <x:c r="C229" s="34" t="str"/>
      <x:c r="D229" s="34" t="str"/>
      <x:c r="E229" s="34" t="str"/>
      <x:c r="F229" s="34" t="str">
        <x:v>… owed by the FI), the FI will reject the funding request, 
and the user will receive a notification in the PSP interface that the funding was not 
completed. 
When the user has a positive balance in the wallet, they can defund the wallet, which is the 
reverse of the funding, by contacting the PSP, transferring digital shekels from the user's 
wallet to the FI's wallet, and crediting the user's account with the FI. 
A specific case of defunding is called a "Waterfall" operation, and a specific case of a funding 
is called a "Reverse Waterfall". In a case where, following a payment received into the wallet, 
the balance exceeds the allowed balance according to the holding limit39 (or a balance set by 
the user according to their preference), the waterfall mechanism will be activated, and an 
automatic defunding will be performed to bring the wallet balance back to the allowed 
balance. If the end user has not linked an FI acc ount to their wallet or has chosen not to 
activate the waterfall mechanism, the balance cannot exceed the holding limit, and an 
incoming payment transaction that would result in such a situation will be rejected. 
Conversely, the user can predefine that if they wish to make a payment but the wallet 
balance is insufficient (or the payment would bring the wallet balance below a threshold set 
by the user), the reverse waterfall mechanism will be activated, automatically funding the 
wallet from the FI  …</x:v>
      </x:c>
      <x:c r="G229" s="34" t="str">
        <x:v>PRD-0038-P0063-U01</x:v>
      </x:c>
      <x:c r="H229" s="34" t="str"/>
      <x:c r="I229" s="34" t="str">
        <x:v>IL_BoI_2024</x:v>
      </x:c>
      <x:c r="J229" s="34" t="n">
        <x:v>63</x:v>
      </x:c>
      <x:c r="K229" s="34" t="str">
        <x:v>en</x:v>
      </x:c>
      <x:c r="L229" s="34" t="str">
        <x:v>Bank of Israel (digital shekel)</x:v>
      </x:c>
      <x:c r="M229" s="34" t="str">
        <x:v>Retain the named authority's own CBDC decisions, explicit proposals, requirements, features, and executed findings. Exclude generic context, literature, foreign projects, and stakeholder views not explicitly adopted by the authority.</x:v>
      </x:c>
      <x:c r="N229" s="34" t="str">
        <x:v>text</x:v>
      </x:c>
      <x:c r="O229" s="34" t="str"/>
      <x:c r="P229" s="38" t="str"/>
      <x:c r="Q229" s="38" t="str"/>
      <x:c r="R229" s="38" t="str"/>
      <x:c r="S229" s="38" t="str"/>
      <x:c r="T229" s="38" t="str"/>
      <x:c r="U229" s="38" t="str"/>
      <x:c r="V229" s="38" t="str"/>
      <x:c r="W229" s="38" t="str"/>
      <x:c r="X229" s="38" t="str"/>
      <x:c r="Y229" s="38" t="str"/>
      <x:c r="Z229" s="38" t="str"/>
      <x:c r="AA229" s="43" t="str">
        <x:f>IF('Instructions'!$B$3="","",'Instructions'!$B$3)</x:f>
      </x:c>
      <x:c r="AB229" s="43" t="str">
        <x:f>IF(P229="","PENDING",IF('Instructions'!$B$3="","SET_INITIALS",IF(P229="keep",IF(OR(Q229="",R229="",S229="",T229="",U229="",W229=""),"INCOMPLETE_KEEP","COMPLETE"),IF(P229="exclude",IF(OR(V229="",W229=""),"INCOMPLETE_EXCLUDE","COMPLETE"),"NEEDS_CONTEXT"))))</x:f>
        <x:v>PENDING</x:v>
      </x:c>
    </x:row>
    <x:row r="230" ht="62" customHeight="1">
      <x:c r="A230" s="34" t="str">
        <x:v>SV-0227</x:v>
      </x:c>
      <x:c r="B230" s="34" t="str">
        <x:v>The design of the D€ should strike the right 
balance between privacy and AML/CFT compliance.</x:v>
      </x:c>
      <x:c r="C230" s="34" t="str"/>
      <x:c r="D230" s="34" t="str"/>
      <x:c r="E230" s="34" t="str"/>
      <x:c r="F230" s="34" t="str">
        <x:v>… applying limits to holdings and/or tiered remuneration.
The ever-rising use of electronic payments means that the Eurosystem should 
include cash-like features in the design of its digital currency, to ensure the 
financial inclusion of unbanked people (and possibly non EU-residents, too). 
The D€ should protect the privacy of transactions; at the same time it should 
comply with the existing regulations on anti-money laundering (AML) and 
combating the financing of terrorism (CFT), which includes the customer 
due-diligence (CDD) obligations. The design of the D€ should strike the right 
balance between privacy and AML/CFT compliance.
To ensure the proper functioning of the payment system, the D€ should be 
sheltered from cyber threats and other extreme events. It is therefore of the 
utmost importance to complement its infrastructure with advanced business
continuity solutions and innovative cyber resilience controls, while digital 
wallets, cards and other possible devices must be tamper-proof and protected
via cryptographic techniques to the extent possible.
Cost impacts and the ecological footprint of the D€ are two further aspects 
that should be kept in mind when desi …</x:v>
      </x:c>
      <x:c r="G230" s="34" t="str">
        <x:v>PRD-0042-P0020-U01</x:v>
      </x:c>
      <x:c r="H230" s="34" t="str"/>
      <x:c r="I230" s="34" t="str">
        <x:v>IT_BdI_MISP_2021</x:v>
      </x:c>
      <x:c r="J230" s="34" t="n">
        <x:v>20</x:v>
      </x:c>
      <x:c r="K230" s="34" t="str">
        <x:v>en</x:v>
      </x:c>
      <x:c r="L230" s="34" t="str">
        <x:v>Banca d'Italia research context</x:v>
      </x:c>
      <x:c r="M230" s="34" t="str">
        <x:v>This research paper is not automatically an issuer commitment. Retain only Banca d'Italia own-project results or explicit institutional positions; exclude literature and model assumptions.</x:v>
      </x:c>
      <x:c r="N230" s="34" t="str">
        <x:v>text</x:v>
      </x:c>
      <x:c r="O230" s="34" t="str"/>
      <x:c r="P230" s="38" t="str"/>
      <x:c r="Q230" s="38" t="str"/>
      <x:c r="R230" s="38" t="str"/>
      <x:c r="S230" s="38" t="str"/>
      <x:c r="T230" s="38" t="str"/>
      <x:c r="U230" s="38" t="str"/>
      <x:c r="V230" s="38" t="str"/>
      <x:c r="W230" s="38" t="str"/>
      <x:c r="X230" s="38" t="str"/>
      <x:c r="Y230" s="38" t="str"/>
      <x:c r="Z230" s="38" t="str"/>
      <x:c r="AA230" s="43" t="str">
        <x:f>IF('Instructions'!$B$3="","",'Instructions'!$B$3)</x:f>
      </x:c>
      <x:c r="AB230" s="43" t="str">
        <x:f>IF(P230="","PENDING",IF('Instructions'!$B$3="","SET_INITIALS",IF(P230="keep",IF(OR(Q230="",R230="",S230="",T230="",U230="",W230=""),"INCOMPLETE_KEEP","COMPLETE"),IF(P230="exclude",IF(OR(V230="",W230=""),"INCOMPLETE_EXCLUDE","COMPLETE"),"NEEDS_CONTEXT"))))</x:f>
        <x:v>PENDING</x:v>
      </x:c>
    </x:row>
    <x:row r="231" ht="62" customHeight="1">
      <x:c r="A231" s="34" t="str">
        <x:v>SV-0228</x:v>
      </x:c>
      <x:c r="B231" s="34" t="str">
        <x:v>Повышение уровня безопасности за счет наличия уникальных номеров цифровых рублей, 
позволяющих отследить их движение и упростить восстановление нарушенных прав вла -
дельца в случае их утраты или хищения.</x:v>
      </x:c>
      <x:c r="C231" s="34" t="str">
        <x:v>Increased security due to the presence of unique numbers of digital rubles, allowing tracking of their movement and simplifying the restoration of violated owner rights in case of loss or theft.</x:v>
      </x:c>
      <x:c r="D231" s="34" t="str"/>
      <x:c r="E231" s="34" t="str"/>
      <x:c r="F231" s="34" t="str">
        <x:v>… перации с цифровым рублем будут тарифици-
роваться по единым правилам1.
3. Повышение доступности финансовых услуг на отдаленных и малонаселенных террито -
риях за счет наличия возможности расчетов между физическими лицами и оплаты товаров 
и услуг без доступа к сети Интернет (офлайн-режим).
4. Высокий уровень сохранности средств.  Цифровой рубль является обязательством Банка 
России.
5. Расширение линейки инновационных сервисов и  продуктов и  улучшение условий кли -
ентского обслуживания вследствие усиления конкуренции на финансовом рынке.
6. Повышение уровня безопасности за счет наличия уникальных номеров цифровых рублей, 
позволяющих отследить их движение и упростить восстановление нарушенных прав вла -
дельца в случае их утраты или хищения.
Для финансового рынка
1. Повышение конкуренции на финансовом рынке. Возможность доступа клиентов к своим 
кошелькам через любую финансовую организацию будет способствовать усилению конку-
ренции между высокотехнологичными сервисами на финансовом рынке.
2. Создание инновационных финансовых сервисов. Применение технологии распределен -
ных реестров позволит участникам рынка создавать и предлагать клиентам новые техноло-
гичные сервисы (смарт-контракты, маркирование платежей).
3. Развитие новой платежной инфраструктуры для участников финансового  …</x:v>
      </x:c>
      <x:c r="G231" s="34" t="str">
        <x:v>PRD-0063-P0008-U01</x:v>
      </x:c>
      <x:c r="H231" s="34" t="str"/>
      <x:c r="I231" s="34" t="str">
        <x:v>RU_Russia_concept_08042021</x:v>
      </x:c>
      <x:c r="J231" s="34" t="n">
        <x:v>8</x:v>
      </x:c>
      <x:c r="K231" s="34" t="str">
        <x:v>ru/uk</x:v>
      </x:c>
      <x:c r="L231" s="34" t="str">
        <x:v>Bank of Russia (digital ruble)</x:v>
      </x:c>
      <x:c r="M231" s="34" t="str">
        <x:v>Retain the named authority's own CBDC decisions, explicit proposals, requirements, features, and executed findings. Exclude generic context, literature, foreign projects, and stakeholder views not explicitly adopted by the authority.</x:v>
      </x:c>
      <x:c r="N231" s="34" t="str">
        <x:v>text</x:v>
      </x:c>
      <x:c r="O231" s="34" t="str"/>
      <x:c r="P231" s="38" t="str"/>
      <x:c r="Q231" s="38" t="str"/>
      <x:c r="R231" s="38" t="str"/>
      <x:c r="S231" s="38" t="str"/>
      <x:c r="T231" s="38" t="str"/>
      <x:c r="U231" s="38" t="str"/>
      <x:c r="V231" s="38" t="str"/>
      <x:c r="W231" s="38" t="str"/>
      <x:c r="X231" s="38" t="str"/>
      <x:c r="Y231" s="38" t="str"/>
      <x:c r="Z231" s="38" t="str"/>
      <x:c r="AA231" s="43" t="str">
        <x:f>IF('Instructions'!$B$3="","",'Instructions'!$B$3)</x:f>
      </x:c>
      <x:c r="AB231" s="43" t="str">
        <x:f>IF(P231="","PENDING",IF('Instructions'!$B$3="","SET_INITIALS",IF(P231="keep",IF(OR(Q231="",R231="",S231="",T231="",U231="",W231=""),"INCOMPLETE_KEEP","COMPLETE"),IF(P231="exclude",IF(OR(V231="",W231=""),"INCOMPLETE_EXCLUDE","COMPLETE"),"NEEDS_CONTEXT"))))</x:f>
        <x:v>PENDING</x:v>
      </x:c>
    </x:row>
    <x:row r="232" ht="62" customHeight="1">
      <x:c r="A232" s="34" t="str">
        <x:v>SV-0229</x:v>
      </x:c>
      <x:c r="B232" s="34" t="str">
        <x:v>Therefore, partial pseudo-anonymity is a preferred design choice which enables a 
level of privacy between cash and e -money.</x:v>
      </x:c>
      <x:c r="C232" s="34" t="str"/>
      <x:c r="D232" s="34" t="str"/>
      <x:c r="E232" s="34" t="str"/>
      <x:c r="F232" s="34" t="str">
        <x:v>… ency can reduce 
illicit activities in the ecosystem, this option would highly risk user adoption on CBDC, and 
the large amounts of data would increase cybersecurity threats. 
Taking these into consideration, the CBE envisions a level of privacy in between. It prefers 
some configurable information to be shared by customers that could be collected and/or 
analysed by FSPs following the local data policy guidelines and the policy of the CBE about 
data that is collected (e.g., based on transaction amount, online and offline modes, KYC 
tiers). Therefore, partial pseudo-anonymity is a preferred design choice which enables a 
level of privacy between cash and e -money. FSPs can run AML/CF T checks locally which 
protects privacy better than if the Central Bank ran analyses. This privacy design can be 
configured over the lifetime of CBDC but should be communicated transparently to end 
users. 
Data Protection Act, 2022 (Act No. 5 of 2022) should be kept at full respect when it comes 
to data protection and privacy regarding the potential Digital Lilangeni. 
As the Central Bank can validate the payments with Digital Lilangeni and trace the flow of 
tokens through the system without any personal information, t …</x:v>
      </x:c>
      <x:c r="G232" s="34" t="str">
        <x:v>PRD-0069-P0025-U01</x:v>
      </x:c>
      <x:c r="H232" s="34" t="str"/>
      <x:c r="I232" s="34" t="str">
        <x:v>SZ_Eswatini_2024-Fintech-Digital-Lilangeni-Design-Paper</x:v>
      </x:c>
      <x:c r="J232" s="34" t="n">
        <x:v>25</x:v>
      </x:c>
      <x:c r="K232" s="34" t="str">
        <x:v>en</x:v>
      </x:c>
      <x:c r="L232" s="34" t="str">
        <x:v>Central Bank of Eswatini (Digital Lilangeni)</x:v>
      </x:c>
      <x:c r="M232" s="34" t="str">
        <x:v>Retain Central Bank of Eswatini design decisions, proposals, features, and requirements; use the supplied render when text is sparse.</x:v>
      </x:c>
      <x:c r="N232" s="34" t="str">
        <x:v>text</x:v>
      </x:c>
      <x:c r="O232" s="34" t="str"/>
      <x:c r="P232" s="38" t="str"/>
      <x:c r="Q232" s="38" t="str"/>
      <x:c r="R232" s="38" t="str"/>
      <x:c r="S232" s="38" t="str"/>
      <x:c r="T232" s="38" t="str"/>
      <x:c r="U232" s="38" t="str"/>
      <x:c r="V232" s="38" t="str"/>
      <x:c r="W232" s="38" t="str"/>
      <x:c r="X232" s="38" t="str"/>
      <x:c r="Y232" s="38" t="str"/>
      <x:c r="Z232" s="38" t="str"/>
      <x:c r="AA232" s="43" t="str">
        <x:f>IF('Instructions'!$B$3="","",'Instructions'!$B$3)</x:f>
      </x:c>
      <x:c r="AB232" s="43" t="str">
        <x:f>IF(P232="","PENDING",IF('Instructions'!$B$3="","SET_INITIALS",IF(P232="keep",IF(OR(Q232="",R232="",S232="",T232="",U232="",W232=""),"INCOMPLETE_KEEP","COMPLETE"),IF(P232="exclude",IF(OR(V232="",W232=""),"INCOMPLETE_EXCLUDE","COMPLETE"),"NEEDS_CONTEXT"))))</x:f>
        <x:v>PENDING</x:v>
      </x:c>
    </x:row>
    <x:row r="233" ht="62" customHeight="1">
      <x:c r="A233" s="34" t="str">
        <x:v>SV-0230</x:v>
      </x:c>
      <x:c r="B233" s="34" t="str">
        <x:v>Of particular note, there are cybersecurity and privacy risks related to the collection, storage, and 
transmission of payment information and associated business identifiable and personally 
identifiable information.</x:v>
      </x:c>
      <x:c r="C233" s="34" t="str"/>
      <x:c r="D233" s="34" t="str"/>
      <x:c r="E233" s="34" t="str"/>
      <x:c r="F233" s="34" t="str">
        <x:v>… h as the transport layer. Large-scale funding and payment 
organizations (e.g., Department of the Treasury, Department of Defense, National Science 
Foundation, National Finance Center, General Services Administration) would likely have 
different risk, benefit, and impact determinations than agencies like the Bureau of Industry and 
Security. Additionally, if the Department of the Treasury manages CBDC payments for many 
agencies, the associated risk, benefit, and impact determinations may depend on risk 
management choices made by Treasury. 
Of particular note, there are cybersecurity and privacy risks related to the collection, storage, and 
transmission of payment information and associated business identifiable and personally 
identifiable information. For example, agencies would need to be able to detect if its CBDC 
holdings were compromised or improperly disbursed to mitigate the potential of improper 
payments; if such actions occurred, agencies would also need to be able to take steps to notify 
entities, seek restitution, and maintain public trust. While similar risks also exist in legacy 
systems, these new systems will likely add new layers of complexity, with new software 
applications and interfaces that create untested attack surfaces for adversaries to attempt to 
exploit. Applic …</x:v>
      </x:c>
      <x:c r="G233" s="34" t="str">
        <x:v>PRD-0082-P0047-U01</x:v>
      </x:c>
      <x:c r="H233" s="34" t="str"/>
      <x:c r="I233" s="34" t="str">
        <x:v>US_WhiteHouse_TechEval_2022</x:v>
      </x:c>
      <x:c r="J233" s="34" t="n">
        <x:v>47</x:v>
      </x:c>
      <x:c r="K233" s="34" t="str">
        <x:v>en</x:v>
      </x:c>
      <x:c r="L233" s="34" t="str">
        <x:v>United States federal interagency CBDC technical evaluation</x:v>
      </x:c>
      <x:c r="M233" s="34" t="str">
        <x:v>This is a technical evaluation, not an issuance decision. Retain explicit US design objectives, requirements, or conclusions; exclude option inventories without an institutional position.</x:v>
      </x:c>
      <x:c r="N233" s="34" t="str">
        <x:v>text</x:v>
      </x:c>
      <x:c r="O233" s="34" t="str"/>
      <x:c r="P233" s="38" t="str"/>
      <x:c r="Q233" s="38" t="str"/>
      <x:c r="R233" s="38" t="str"/>
      <x:c r="S233" s="38" t="str"/>
      <x:c r="T233" s="38" t="str"/>
      <x:c r="U233" s="38" t="str"/>
      <x:c r="V233" s="38" t="str"/>
      <x:c r="W233" s="38" t="str"/>
      <x:c r="X233" s="38" t="str"/>
      <x:c r="Y233" s="38" t="str"/>
      <x:c r="Z233" s="38" t="str"/>
      <x:c r="AA233" s="43" t="str">
        <x:f>IF('Instructions'!$B$3="","",'Instructions'!$B$3)</x:f>
      </x:c>
      <x:c r="AB233" s="43" t="str">
        <x:f>IF(P233="","PENDING",IF('Instructions'!$B$3="","SET_INITIALS",IF(P233="keep",IF(OR(Q233="",R233="",S233="",T233="",U233="",W233=""),"INCOMPLETE_KEEP","COMPLETE"),IF(P233="exclude",IF(OR(V233="",W233=""),"INCOMPLETE_EXCLUDE","COMPLETE"),"NEEDS_CONTEXT"))))</x:f>
        <x:v>PENDING</x:v>
      </x:c>
    </x:row>
    <x:row r="234" ht="62" customHeight="1">
      <x:c r="A234" s="34" t="str">
        <x:v>SV-0231</x:v>
      </x:c>
      <x:c r="B234" s="34" t="str">
        <x:v>Once circulated, the digital Turkish lira is expected to make various 
contributions such as enhanced financial inclusion, development 
of a complementary payment channel in line with the principle of 
uninterrupted and continuous operation of payments</x:v>
      </x:c>
      <x:c r="C234" s="34" t="str"/>
      <x:c r="D234" s="34" t="str"/>
      <x:c r="E234" s="34" t="str"/>
      <x:c r="F234" s="34" t="str">
        <x:v>… n this regard directly facilitates the digitalization of money, and 
payments in particular.
The digital Turkish lira will be designed and developed in such a way that it 
has the capacity to create opportunities out of new technological potentials 
as well as economic activities, which have been digitalized in an increasingly 
rapid fashion due to the pandemic. Emerging technologies will enhance 
the functionality of money, but the nature of money will remain the same. 
Accordingly, designs are developed in view of the main features of money.
Once circulated, the digital Turkish lira is expected to make various 
contributions such as enhanced financial inclusion, development 
of a complementary payment channel in line with the principle of 
uninterrupted and continuous operation of payments,4 uniformity in digital 
payments, and a base for innovative uses upon the development of a 
programmable payments infrastructure. These benefits will be elaborated 
on in the following sections.
Financial 
inclusion
Complementary 
payment 
channel
Uniformity 
in digital 
payments
Programmable 
payments
4. https://www.tcmb.gov.tr/wps/wcm/connect/EN/TCMB+EN/Main+Menu/Core+Functions/
Payment+Systems/Key+Issues/The+Role+of+Central+Banks+in+the+Payment+Systems/
3. Money issued and electronically stored by electronic money institutions against a fu …</x:v>
      </x:c>
      <x:c r="G234" s="34" t="str">
        <x:v>PRD-0072-P0011-U01</x:v>
      </x:c>
      <x:c r="H234" s="34" t="str"/>
      <x:c r="I234" s="34" t="str">
        <x:v>TR_Turkey_Digital_Turkish_Lira_First_Phase_Evaluation_Report</x:v>
      </x:c>
      <x:c r="J234" s="34" t="n">
        <x:v>11</x:v>
      </x:c>
      <x:c r="K234" s="34" t="str">
        <x:v>en</x:v>
      </x:c>
      <x:c r="L234" s="34" t="str">
        <x:v>Central Bank of the Republic of Turkiye (Digital Turkish Lira)</x:v>
      </x:c>
      <x:c r="M234" s="34" t="str">
        <x:v>Retain CBRT adopted features, explicit proposals/requirements, and executed Phase 1 results. Exclude lists of future work without a conclusion.</x:v>
      </x:c>
      <x:c r="N234" s="34" t="str">
        <x:v>text</x:v>
      </x:c>
      <x:c r="O234" s="34" t="str"/>
      <x:c r="P234" s="38" t="str"/>
      <x:c r="Q234" s="38" t="str"/>
      <x:c r="R234" s="38" t="str"/>
      <x:c r="S234" s="38" t="str"/>
      <x:c r="T234" s="38" t="str"/>
      <x:c r="U234" s="38" t="str"/>
      <x:c r="V234" s="38" t="str"/>
      <x:c r="W234" s="38" t="str"/>
      <x:c r="X234" s="38" t="str"/>
      <x:c r="Y234" s="38" t="str"/>
      <x:c r="Z234" s="38" t="str"/>
      <x:c r="AA234" s="43" t="str">
        <x:f>IF('Instructions'!$B$3="","",'Instructions'!$B$3)</x:f>
      </x:c>
      <x:c r="AB234" s="43" t="str">
        <x:f>IF(P234="","PENDING",IF('Instructions'!$B$3="","SET_INITIALS",IF(P234="keep",IF(OR(Q234="",R234="",S234="",T234="",U234="",W234=""),"INCOMPLETE_KEEP","COMPLETE"),IF(P234="exclude",IF(OR(V234="",W234=""),"INCOMPLETE_EXCLUDE","COMPLETE"),"NEEDS_CONTEXT"))))</x:f>
        <x:v>PENDING</x:v>
      </x:c>
    </x:row>
    <x:row r="235" ht="62" customHeight="1">
      <x:c r="A235" s="34" t="str">
        <x:v>SV-0232</x:v>
      </x:c>
      <x:c r="B235" s="34" t="str">
        <x:v>Under a token-
based CBDC-R regime, users would be able to 
withdraw digital tokens from banks in the same 
way they can withdraw physical cash.</x:v>
      </x:c>
      <x:c r="C235" s="34" t="str"/>
      <x:c r="D235" s="34" t="str"/>
      <x:c r="E235" s="34" t="str"/>
      <x:c r="F235" s="34" t="str">
        <x:v>… em to be account 
based to facilitate the transactions.  
CBDC-R is mainly devised for consumption of 
common public with features akin to physical 
cash viz. anonymous, unique serial number etc. 
A token-based system would ensure universal 
access – as anybody can obtain a digital 
signature – and it would offer good privacy by 
default. Moreover, the token generated will have 
a unique token number which will enable the 
detection of counterfeiting of tokens and 
potentially also the restoration of value if an 
individual los es the device.  Under a token-
based CBDC-R regime, users would be able to 
withdraw digital tokens from banks in the same 
way they can withdraw physical cash. They 
would maintain their digital tokens in a wallet 
and could spend them online or in person or 
transfer them vi a an app. The token based 
CBDC also supports innovation with an ability to 
include programmable feature that supports 
efficiency such as standardisation of 
compliance rules, fraud detection, wrapped 
CBDC to other use cases in future. Further, 
token-based C BDC-R can be used to 
accomplish financial inclusion goals. 
4.3.5 Anonymity14 - What degree of privacy 
would apply and who could hold CBDC? 
For CBDC to substitute c …</x:v>
      </x:c>
      <x:c r="G235" s="34" t="str">
        <x:v>PRD-0088-P0028-U01</x:v>
      </x:c>
      <x:c r="H235" s="34" t="str"/>
      <x:c r="I235" s="34" t="str">
        <x:v>IN_RBI_ConceptNote_2022</x:v>
      </x:c>
      <x:c r="J235" s="34" t="n">
        <x:v>28</x:v>
      </x:c>
      <x:c r="K235" s="34" t="str">
        <x:v>en</x:v>
      </x:c>
      <x:c r="L235" s="34" t="str">
        <x:v>Reserve Bank of India (digital rupee)</x:v>
      </x:c>
      <x:c r="M235" s="34" t="str">
        <x:v>Retain RBI proposals, decisions, requirements, and operating-model claims for the digital rupee.</x:v>
      </x:c>
      <x:c r="N235" s="34" t="str">
        <x:v>text</x:v>
      </x:c>
      <x:c r="O235" s="34" t="str"/>
      <x:c r="P235" s="38" t="str"/>
      <x:c r="Q235" s="38" t="str"/>
      <x:c r="R235" s="38" t="str"/>
      <x:c r="S235" s="38" t="str"/>
      <x:c r="T235" s="38" t="str"/>
      <x:c r="U235" s="38" t="str"/>
      <x:c r="V235" s="38" t="str"/>
      <x:c r="W235" s="38" t="str"/>
      <x:c r="X235" s="38" t="str"/>
      <x:c r="Y235" s="38" t="str"/>
      <x:c r="Z235" s="38" t="str"/>
      <x:c r="AA235" s="43" t="str">
        <x:f>IF('Instructions'!$B$3="","",'Instructions'!$B$3)</x:f>
      </x:c>
      <x:c r="AB235" s="43" t="str">
        <x:f>IF(P235="","PENDING",IF('Instructions'!$B$3="","SET_INITIALS",IF(P235="keep",IF(OR(Q235="",R235="",S235="",T235="",U235="",W235=""),"INCOMPLETE_KEEP","COMPLETE"),IF(P235="exclude",IF(OR(V235="",W235=""),"INCOMPLETE_EXCLUDE","COMPLETE"),"NEEDS_CONTEXT"))))</x:f>
        <x:v>PENDING</x:v>
      </x:c>
    </x:row>
    <x:row r="236" ht="62" customHeight="1">
      <x:c r="A236" s="34" t="str">
        <x:v>SV-0233</x:v>
      </x:c>
      <x:c r="B236" s="34" t="str">
        <x:v>Individual holdings of pilot CBDC on the platform were only associated with a blockchain address, which is a random alphanumeric string that 
contains no personal information.</x:v>
      </x:c>
      <x:c r="C236" s="34" t="str"/>
      <x:c r="D236" s="34" t="str"/>
      <x:c r="E236" s="34" t="str"/>
      <x:c r="F236" s="34" t="str">
        <x:v>… dequate given that privacy arrangements were not a 
research focus of the project and given the restricted access to the platform.
• The identity of end users was held by each industry participant, with no identity information stored 
on the pilot CBDC platform; identity management was not a research focus of the project.
• The pilot CBDC platform provided a hash time locked contract (HTLC) mechanism to enable the 
exchange of assets for value across different networks via an escrow mechanism (see the Glossary).
FIGURE 1: Project Ecosystem
10. Individual holdings of pilot CBDC on the platform were only associated with a blockchain address, which is a random alphanumeric string that 
contains no personal information. The identity information linked to each blockchain address was held off-ledger by the relevant entity that 
verified the identity of the holder.
Developed and operated  
by industry participants
Developed by the DFCRC,  
operated by the RBA
Secure access  
to the API
Industry participants 
collect and store 
users’ KYC data
Implemented as 
private Ethereum 
(Quorum) network
Industry participants 
build use case platforms 
that connect to the pilot 
CBDC platform
Mint 
Issue 
Redeem  
Burn 
Freeze 
Seize
Industry participant 
platform
End user
 …</x:v>
      </x:c>
      <x:c r="G236" s="34" t="str">
        <x:v>PRD-0005-P0013-U01</x:v>
      </x:c>
      <x:c r="H236" s="34" t="str"/>
      <x:c r="I236" s="34" t="str">
        <x:v>AU_RBA_001</x:v>
      </x:c>
      <x:c r="J236" s="34" t="n">
        <x:v>13</x:v>
      </x:c>
      <x:c r="K236" s="34" t="str">
        <x:v>en</x:v>
      </x:c>
      <x:c r="L236" s="34" t="str">
        <x:v>Reserve Bank of Australia and Digital Finance CRC (Australian CBDC pilot)</x:v>
      </x:c>
      <x:c r="M236" s="34" t="str">
        <x:v>Retain executed joint-pilot design choices and findings. Exclude participant proposals and general tokenisation claims unless adopted by the project.</x:v>
      </x:c>
      <x:c r="N236" s="34" t="str">
        <x:v>text</x:v>
      </x:c>
      <x:c r="O236" s="34" t="str"/>
      <x:c r="P236" s="38" t="str"/>
      <x:c r="Q236" s="38" t="str"/>
      <x:c r="R236" s="38" t="str"/>
      <x:c r="S236" s="38" t="str"/>
      <x:c r="T236" s="38" t="str"/>
      <x:c r="U236" s="38" t="str"/>
      <x:c r="V236" s="38" t="str"/>
      <x:c r="W236" s="38" t="str"/>
      <x:c r="X236" s="38" t="str"/>
      <x:c r="Y236" s="38" t="str"/>
      <x:c r="Z236" s="38" t="str"/>
      <x:c r="AA236" s="43" t="str">
        <x:f>IF('Instructions'!$B$3="","",'Instructions'!$B$3)</x:f>
      </x:c>
      <x:c r="AB236" s="43" t="str">
        <x:f>IF(P236="","PENDING",IF('Instructions'!$B$3="","SET_INITIALS",IF(P236="keep",IF(OR(Q236="",R236="",S236="",T236="",U236="",W236=""),"INCOMPLETE_KEEP","COMPLETE"),IF(P236="exclude",IF(OR(V236="",W236=""),"INCOMPLETE_EXCLUDE","COMPLETE"),"NEEDS_CONTEXT"))))</x:f>
        <x:v>PENDING</x:v>
      </x:c>
    </x:row>
    <x:row r="237" ht="62" customHeight="1">
      <x:c r="A237" s="34" t="str">
        <x:v>SV-0234</x:v>
      </x:c>
      <x:c r="B237" s="34" t="str">
        <x:v>a study on wholesale e-MOP will be launched to investigate extending 
its adoption to cross-border payments.</x:v>
      </x:c>
      <x:c r="C237" s="34" t="str"/>
      <x:c r="D237" s="34" t="str"/>
      <x:c r="E237" s="34" t="str"/>
      <x:c r="F237" s="34" t="str">
        <x:v>… in four key areas: advancing the legislation of relevant regulations, 
formulating supervisory guidelines, introducing additional authorised 
operators, as well as building an additional data centre.
8.4. The third phase then moves on to comprehensive public testing.  
Given established regulations, guidelines and standards, and on the 
premise of a stable high-availability service system, pilot points for 
public testing will gradually be expanded, integrating e-MOP into 
payment scenarios of the public in an orderly manner.  On top of this, 
a study on wholesale e-MOP will be launched to investigate extending 
its adoption to cross-border payments.
8.5. So far, the AMCM has completed the prototype design of the system 
as outlined in the first phase of the project.  This involved a series 
of tasks, such as establishing the technical architecture, specifying 
the functional scope and formulating the product requirement 
documents of e-MOP, as well as designing its user interface.  These 
developments will lay a solid foundation for subsequent phases of the 
project.
8.6. The introduction of e-MOP will certainly be a key milestone in the 
history of Macao SAR’s monetary development.  Whil …</x:v>
      </x:c>
      <x:c r="G237" s="34" t="str">
        <x:v>PRD-0050-P0055-U01</x:v>
      </x:c>
      <x:c r="H237" s="34" t="str"/>
      <x:c r="I237" s="34" t="str">
        <x:v>MO_AMCM_eMOP_WP</x:v>
      </x:c>
      <x:c r="J237" s="34" t="n">
        <x:v>55</x:v>
      </x:c>
      <x:c r="K237" s="34" t="str">
        <x:v>en</x:v>
      </x:c>
      <x:c r="L237" s="34" t="str">
        <x:v>Monetary Authority of Macao (e-MOP)</x:v>
      </x:c>
      <x:c r="M237" s="34" t="str">
        <x:v>Retain AMCM e-MOP decisions, aims, features, and requirements. Exclude incomplete OCR fragments.</x:v>
      </x:c>
      <x:c r="N237" s="34" t="str">
        <x:v>text</x:v>
      </x:c>
      <x:c r="O237" s="34" t="str"/>
      <x:c r="P237" s="38" t="str"/>
      <x:c r="Q237" s="38" t="str"/>
      <x:c r="R237" s="38" t="str"/>
      <x:c r="S237" s="38" t="str"/>
      <x:c r="T237" s="38" t="str"/>
      <x:c r="U237" s="38" t="str"/>
      <x:c r="V237" s="38" t="str"/>
      <x:c r="W237" s="38" t="str"/>
      <x:c r="X237" s="38" t="str"/>
      <x:c r="Y237" s="38" t="str"/>
      <x:c r="Z237" s="38" t="str"/>
      <x:c r="AA237" s="43" t="str">
        <x:f>IF('Instructions'!$B$3="","",'Instructions'!$B$3)</x:f>
      </x:c>
      <x:c r="AB237" s="43" t="str">
        <x:f>IF(P237="","PENDING",IF('Instructions'!$B$3="","SET_INITIALS",IF(P237="keep",IF(OR(Q237="",R237="",S237="",T237="",U237="",W237=""),"INCOMPLETE_KEEP","COMPLETE"),IF(P237="exclude",IF(OR(V237="",W237=""),"INCOMPLETE_EXCLUDE","COMPLETE"),"NEEDS_CONTEXT"))))</x:f>
        <x:v>PENDING</x:v>
      </x:c>
    </x:row>
    <x:row r="238" ht="62" customHeight="1">
      <x:c r="A238" s="34" t="str">
        <x:v>SV-0235</x:v>
      </x:c>
      <x:c r="B238" s="34" t="str">
        <x:v>The anonymity feature of cash is not being replicated,  although the Sand 
Dollar infrastructure would incorporate strict attention to confidentiality and data protection.</x:v>
      </x:c>
      <x:c r="C238" s="34" t="str"/>
      <x:c r="D238" s="34" t="str"/>
      <x:c r="E238" s="34" t="str"/>
      <x:c r="F238" s="34" t="str">
        <x:v>…  it were universally profitable.  As proposed, the digital currency solution 
would eliminate this constraint. 
4 PROJECT SAND DOLLAR 
The intended outcome of Project Sand Dollar is that all residents in The Bahamas would have use 
of a central bank digital currency, on a modernized technology platform, with an experience and 
convenience—legally and otherwise—that resembles cash.  It is expected that this will allow for 
reduced service delivery costs, increased transactional efficiency, and an improved overall level 
of financial inclusion.  The anonymity feature of cash is not being replicated,  although the Sand 
Dollar infrastructure would incorporate strict attention to confidentiality and data protection. 
A digital fiat currency would not be a “crypto currency” in any sense resembling private 
instruments in existence.  It would be an identifiable liability of the Central Bank of The Bahamas, 
equivalent in every respect to the paper currency.  Its value would be the same as the existing 
currency.  The digital currency would also not be a stable coin, or a parallel currency, in the sense 
that it would not derive any value separate from the external reserves backing afforded to the 
 …</x:v>
      </x:c>
      <x:c r="G238" s="34" t="str">
        <x:v>PRD-0012-P0009-U01</x:v>
      </x:c>
      <x:c r="H238" s="34" t="str"/>
      <x:c r="I238" s="34" t="str">
        <x:v>BS_Bahamas_SandDollar_2019</x:v>
      </x:c>
      <x:c r="J238" s="34" t="n">
        <x:v>9</x:v>
      </x:c>
      <x:c r="K238" s="34" t="str">
        <x:v>en</x:v>
      </x:c>
      <x:c r="L238" s="34" t="str">
        <x:v>Central Bank of The Bahamas (Sand Dollar)</x:v>
      </x:c>
      <x:c r="M238" s="34" t="str">
        <x:v>Retain Sand Dollar project decisions and executed project research/findings. Exclude non-CBDC survey facts unless the text states a CBDC adoption implication.</x:v>
      </x:c>
      <x:c r="N238" s="34" t="str">
        <x:v>text</x:v>
      </x:c>
      <x:c r="O238" s="34" t="str"/>
      <x:c r="P238" s="38" t="str"/>
      <x:c r="Q238" s="38" t="str"/>
      <x:c r="R238" s="38" t="str"/>
      <x:c r="S238" s="38" t="str"/>
      <x:c r="T238" s="38" t="str"/>
      <x:c r="U238" s="38" t="str"/>
      <x:c r="V238" s="38" t="str"/>
      <x:c r="W238" s="38" t="str"/>
      <x:c r="X238" s="38" t="str"/>
      <x:c r="Y238" s="38" t="str"/>
      <x:c r="Z238" s="38" t="str"/>
      <x:c r="AA238" s="43" t="str">
        <x:f>IF('Instructions'!$B$3="","",'Instructions'!$B$3)</x:f>
      </x:c>
      <x:c r="AB238" s="43" t="str">
        <x:f>IF(P238="","PENDING",IF('Instructions'!$B$3="","SET_INITIALS",IF(P238="keep",IF(OR(Q238="",R238="",S238="",T238="",U238="",W238=""),"INCOMPLETE_KEEP","COMPLETE"),IF(P238="exclude",IF(OR(V238="",W238=""),"INCOMPLETE_EXCLUDE","COMPLETE"),"NEEDS_CONTEXT"))))</x:f>
        <x:v>PENDING</x:v>
      </x:c>
    </x:row>
    <x:row r="239" ht="62" customHeight="1">
      <x:c r="A239" s="34" t="str">
        <x:v>SV-0236</x:v>
      </x:c>
      <x:c r="B239" s="34" t="str">
        <x:v>it was concluded that, given the current level
of payment infrastructure development in Armenia, the introduction of a CBDC as an
alternative payment instrument would have limited implication for Armenian society.</x:v>
      </x:c>
      <x:c r="C239" s="34" t="str"/>
      <x:c r="D239" s="34" t="str"/>
      <x:c r="E239" s="34" t="str"/>
      <x:c r="F239" s="34" t="str">
        <x:v>ket which cannot feasibly be addressed with conventional technologies. In a few of the
real use cases identified, a CBDC issuance marginalizes commercial bank money and
leaves cash circulation unimpacted. Given the results of the private financial institu-
tion survey and the ABM simulations, it was concluded that, given the current level
of payment infrastructure development in Armenia, the introduction of a CBDC as an
alternative payment instrument would have limited implication for Armenian society.
However, the underlying technology can prove to be useful for a variety of financial
market enhancements.
21</x:v>
      </x:c>
      <x:c r="G239" s="34" t="str">
        <x:v>PRD-0004-P0021-U01</x:v>
      </x:c>
      <x:c r="H239" s="34" t="str"/>
      <x:c r="I239" s="34" t="str">
        <x:v>AM_ARM_001</x:v>
      </x:c>
      <x:c r="J239" s="34" t="n">
        <x:v>21</x:v>
      </x:c>
      <x:c r="K239" s="34" t="str">
        <x:v>en</x:v>
      </x:c>
      <x:c r="L239" s="34" t="str">
        <x:v>Central Bank of Armenia / Armenian CBDC study</x:v>
      </x:c>
      <x:c r="M239" s="34" t="str">
        <x:v>Retain only claims explicitly tied to Armenia's own CBDC project or authority position. Exclude model assumptions and literature without institutional adoption.</x:v>
      </x:c>
      <x:c r="N239" s="34" t="str">
        <x:v>text</x:v>
      </x:c>
      <x:c r="O239" s="34" t="str"/>
      <x:c r="P239" s="38" t="str"/>
      <x:c r="Q239" s="38" t="str"/>
      <x:c r="R239" s="38" t="str"/>
      <x:c r="S239" s="38" t="str"/>
      <x:c r="T239" s="38" t="str"/>
      <x:c r="U239" s="38" t="str"/>
      <x:c r="V239" s="38" t="str"/>
      <x:c r="W239" s="38" t="str"/>
      <x:c r="X239" s="38" t="str"/>
      <x:c r="Y239" s="38" t="str"/>
      <x:c r="Z239" s="38" t="str"/>
      <x:c r="AA239" s="43" t="str">
        <x:f>IF('Instructions'!$B$3="","",'Instructions'!$B$3)</x:f>
      </x:c>
      <x:c r="AB239" s="43" t="str">
        <x:f>IF(P239="","PENDING",IF('Instructions'!$B$3="","SET_INITIALS",IF(P239="keep",IF(OR(Q239="",R239="",S239="",T239="",U239="",W239=""),"INCOMPLETE_KEEP","COMPLETE"),IF(P239="exclude",IF(OR(V239="",W239=""),"INCOMPLETE_EXCLUDE","COMPLETE"),"NEEDS_CONTEXT"))))</x:f>
        <x:v>PENDING</x:v>
      </x:c>
    </x:row>
    <x:row r="240" ht="62" customHeight="1">
      <x:c r="A240" s="34" t="str">
        <x:v>SV-0237</x:v>
      </x:c>
      <x:c r="B240" s="34" t="str">
        <x:v>Like cash, an e-krona is a direct claim on the Riksbank, and both a means of payment and a 
form of savings.</x:v>
      </x:c>
      <x:c r="C240" s="34" t="str"/>
      <x:c r="D240" s="34" t="str"/>
      <x:c r="E240" s="34" t="str"/>
      <x:c r="F240" s="34" t="str">
        <x:v>… a digital means of payment 
A digital central bank currency, here called an e-krona, has the following basic 
characteristics:27  
 It is specified in the national value unit, the Swedish krona.  
 It constitutes a claim on the central bank (the Riksbank). 
 It is electronically available 24 hours a day, 7 days a week, 365 days a year and available in 
real time or close to real time. 
 It is available to the general public, i.e. is more broadly available than traditional central 
bank deposits in RIX, to which only the banks have access. 
Like cash, an e-krona is a direct claim on the Riksbank, and both a means of payment and a 
form of savings. In addition, it can, like RIX, be seen as a payment system, in that a technical 
infrastructure is required to give the general public access to the e-krona and to initiate and 
carry out transactions in real time around the clock.28 
How effective an e-krona would be in confronting the potential problems we currently 
see on the payment market and what consequences an e-krona could entail for society will 
depend on how it is designed, which characteristics it has and how it is provided.  
The characteristics it is desirable and possible to g …</x:v>
      </x:c>
      <x:c r="G240" s="34" t="str">
        <x:v>PRD-0067-P0017-U01</x:v>
      </x:c>
      <x:c r="H240" s="34" t="str"/>
      <x:c r="I240" s="34" t="str">
        <x:v>SE_Riksbank_2017</x:v>
      </x:c>
      <x:c r="J240" s="34" t="n">
        <x:v>17</x:v>
      </x:c>
      <x:c r="K240" s="34" t="str">
        <x:v>en</x:v>
      </x:c>
      <x:c r="L240" s="34" t="str">
        <x:v>Sveriges Riksbank (e-krona)</x:v>
      </x:c>
      <x:c r="M240" s="34" t="str">
        <x:v>Retain Riksbank e-krona proposals, preferences, and requirements; exclude generic background.</x:v>
      </x:c>
      <x:c r="N240" s="34" t="str">
        <x:v>text</x:v>
      </x:c>
      <x:c r="O240" s="34" t="str"/>
      <x:c r="P240" s="38" t="str"/>
      <x:c r="Q240" s="38" t="str"/>
      <x:c r="R240" s="38" t="str"/>
      <x:c r="S240" s="38" t="str"/>
      <x:c r="T240" s="38" t="str"/>
      <x:c r="U240" s="38" t="str"/>
      <x:c r="V240" s="38" t="str"/>
      <x:c r="W240" s="38" t="str"/>
      <x:c r="X240" s="38" t="str"/>
      <x:c r="Y240" s="38" t="str"/>
      <x:c r="Z240" s="38" t="str"/>
      <x:c r="AA240" s="43" t="str">
        <x:f>IF('Instructions'!$B$3="","",'Instructions'!$B$3)</x:f>
      </x:c>
      <x:c r="AB240" s="43" t="str">
        <x:f>IF(P240="","PENDING",IF('Instructions'!$B$3="","SET_INITIALS",IF(P240="keep",IF(OR(Q240="",R240="",S240="",T240="",U240="",W240=""),"INCOMPLETE_KEEP","COMPLETE"),IF(P240="exclude",IF(OR(V240="",W240=""),"INCOMPLETE_EXCLUDE","COMPLETE"),"NEEDS_CONTEXT"))))</x:f>
        <x:v>PENDING</x:v>
      </x:c>
    </x:row>
    <x:row r="241" ht="62" customHeight="1">
      <x:c r="A241" s="34" t="str">
        <x:v>SV-0238</x:v>
      </x:c>
      <x:c r="B241" s="34" t="str">
        <x:v>la experimentación a desarrollar se centre, principalmente, en dos dimensiones: (i) 
probar la integración de una CBDC mayorista con la liquidación de activos financieros, y 
(ii) proporcionar evidencias prácticas acerca de las posibles ventajas y desventajas de la 
introducción de una CBDC mayorista respecto a procesos, procedimientos e 
infraestructuras tradicionales;</x:v>
      </x:c>
      <x:c r="C241" s="34" t="str">
        <x:v>the experimentation to be developed will focus mainly on two dimensions: (i) testing the integration of a wholesale CBDC with the settlement of financial assets, and (ii) providing practical evidence about the possible advantages and disadvantages of introducing a wholesale CBDC with respect to traditional processes, procedures and infrastructures;</x:v>
      </x:c>
      <x:c r="D241" s="34" t="str"/>
      <x:c r="E241" s="34" t="str"/>
      <x:c r="F241" s="34" t="str">
        <x:v>Segunda. Ámbito de aplicación.
El presente convenio afecta exclusivamente a las Partes que lo suscriben que son el 
Consorcio y el Banco de España.
Tercera. Obligaciones.
Las Partes se comprometen a cooperar en la consecución del objeto de este 
convenio, de acuerdo con los límites legales y reglamentariamente establecidos.
En particular, esta cooperación implica para ambas partes que:
– la experimentación a desarrollar se centre, principalmente, en dos dimensiones: (i) 
probar la integración de una CBDC mayorista con la liquidación de activos financieros, y 
(ii) proporcionar evidencias prácticas acerca de las posibles ventajas y desventajas de la 
introducción de una CBDC mayorista respecto a procesos, procedimientos e 
infraestructuras tradicionales;
– se persiga el objetivo de resolver las siguientes cuestiones específicas, en 
concreto: (i) la emisión, tokenización y registro de un bono simulado sobre una 
plataforma blockchain administrada por CECABANK, SA, (ii) la simulación de la emisión 
de CBDC mayorista por parte del Banco de España y su posterior distribución a las 
entidades participantes en la plataforma blockchain para que éste pueda ser utilizado 
como activo de liquidación en la operativa posterior, (iii) la custodia, a través de una 
infraestructura de wallets específica, ta …</x:v>
      </x:c>
      <x:c r="G241" s="34" t="str">
        <x:v>PRD-0024-P0003-U01</x:v>
      </x:c>
      <x:c r="H241" s="34" t="str"/>
      <x:c r="I241" s="34" t="str">
        <x:v>ES_Spain_2024a</x:v>
      </x:c>
      <x:c r="J241" s="34" t="n">
        <x:v>3</x:v>
      </x:c>
      <x:c r="K241" s="34" t="str">
        <x:v>es</x:v>
      </x:c>
      <x:c r="L241" s="34" t="str">
        <x:v>Banco de Espana</x:v>
      </x:c>
      <x:c r="M241" s="34" t="str">
        <x:v>Framework source: retain only a concrete CBDC decision, requirement, prohibition, or position of the named authority. Exclude generic framework text, literature, and foreign examples.</x:v>
      </x:c>
      <x:c r="N241" s="34" t="str">
        <x:v>text</x:v>
      </x:c>
      <x:c r="O241" s="34" t="str"/>
      <x:c r="P241" s="38" t="str"/>
      <x:c r="Q241" s="38" t="str"/>
      <x:c r="R241" s="38" t="str"/>
      <x:c r="S241" s="38" t="str"/>
      <x:c r="T241" s="38" t="str"/>
      <x:c r="U241" s="38" t="str"/>
      <x:c r="V241" s="38" t="str"/>
      <x:c r="W241" s="38" t="str"/>
      <x:c r="X241" s="38" t="str"/>
      <x:c r="Y241" s="38" t="str"/>
      <x:c r="Z241" s="38" t="str"/>
      <x:c r="AA241" s="43" t="str">
        <x:f>IF('Instructions'!$B$3="","",'Instructions'!$B$3)</x:f>
      </x:c>
      <x:c r="AB241" s="43" t="str">
        <x:f>IF(P241="","PENDING",IF('Instructions'!$B$3="","SET_INITIALS",IF(P241="keep",IF(OR(Q241="",R241="",S241="",T241="",U241="",W241=""),"INCOMPLETE_KEEP","COMPLETE"),IF(P241="exclude",IF(OR(V241="",W241=""),"INCOMPLETE_EXCLUDE","COMPLETE"),"NEEDS_CONTEXT"))))</x:f>
        <x:v>PENDING</x:v>
      </x:c>
    </x:row>
    <x:row r="242" ht="62" customHeight="1">
      <x:c r="A242" s="34" t="str">
        <x:v>SV-0239</x:v>
      </x:c>
      <x:c r="B242" s="34" t="str">
        <x:v>consumers would have access to public 
money in digital form, which would provide a high level of privacy in their everyday 
payments and ultimately increase competition in the payments market</x:v>
      </x:c>
      <x:c r="C242" s="34" t="str"/>
      <x:c r="D242" s="34" t="str"/>
      <x:c r="E242" s="34" t="str"/>
      <x:c r="F242" s="34" t="str">
        <x:v>… ers, 
merchants, PSPs
11. Expanding our engagement with market stakeholders on the fit 
of the digital euro in the payment ecosystem, an ERPB technical session was held 
on 1 October 2024. The session first highlighted that a digital euro would guarantee 
merchants increased access to a European consumer base. Unlike most current 
payment methods, it would provide an efficient way to settle payments instantly. 
Additionally, there would be rules in place to ensure that the fees merchants pay are 
fair, given its status as legal tender. Second, consumers would have access to public 
money in digital form, which would provide a high level of privacy in their everyday 
payments and ultimately increase competition in the payments market. Third, the 
digital euro project has made deliberate choices to support the business models of 
European PSPs and strengthen their position vis-à-vis dominant international 
players, by: 
• placing EU-licensed PSPs at the centre of the digital euro ecosystem, ensuring 
they retain valuable client relationships by distributing digital euro; 
• supporting a compensation model that allows for both merchant and 
interchange fees, while also waiving any scheme or processing fees such as 
those charged by international card schemes; 
• pursuing ope …</x:v>
      </x:c>
      <x:c r="G242" s="34" t="str">
        <x:v>PRD-0028-P0010-U01</x:v>
      </x:c>
      <x:c r="H242" s="34" t="str"/>
      <x:c r="I242" s="34" t="str">
        <x:v>EU_ECB_2024</x:v>
      </x:c>
      <x:c r="J242" s="34" t="n">
        <x:v>10</x:v>
      </x:c>
      <x:c r="K242" s="34" t="str">
        <x:v>en</x:v>
      </x:c>
      <x:c r="L242" s="34" t="str">
        <x:v>European Central Bank / Eurosystem (digital euro)</x:v>
      </x:c>
      <x:c r="M242" s="34" t="str">
        <x:v>Retain Eurosystem digital-euro decisions, commitments, requirements, and reported findings; exclude process updates without a substantive claim.</x:v>
      </x:c>
      <x:c r="N242" s="34" t="str">
        <x:v>text</x:v>
      </x:c>
      <x:c r="O242" s="34" t="str"/>
      <x:c r="P242" s="38" t="str"/>
      <x:c r="Q242" s="38" t="str"/>
      <x:c r="R242" s="38" t="str"/>
      <x:c r="S242" s="38" t="str"/>
      <x:c r="T242" s="38" t="str"/>
      <x:c r="U242" s="38" t="str"/>
      <x:c r="V242" s="38" t="str"/>
      <x:c r="W242" s="38" t="str"/>
      <x:c r="X242" s="38" t="str"/>
      <x:c r="Y242" s="38" t="str"/>
      <x:c r="Z242" s="38" t="str"/>
      <x:c r="AA242" s="43" t="str">
        <x:f>IF('Instructions'!$B$3="","",'Instructions'!$B$3)</x:f>
      </x:c>
      <x:c r="AB242" s="43" t="str">
        <x:f>IF(P242="","PENDING",IF('Instructions'!$B$3="","SET_INITIALS",IF(P242="keep",IF(OR(Q242="",R242="",S242="",T242="",U242="",W242=""),"INCOMPLETE_KEEP","COMPLETE"),IF(P242="exclude",IF(OR(V242="",W242=""),"INCOMPLETE_EXCLUDE","COMPLETE"),"NEEDS_CONTEXT"))))</x:f>
        <x:v>PENDING</x:v>
      </x:c>
    </x:row>
    <x:row r="243" ht="62" customHeight="1">
      <x:c r="A243" s="34" t="str">
        <x:v>SV-0240</x:v>
      </x:c>
      <x:c r="B243" s="34" t="str">
        <x:v>One possible strategy for mitigating the impact of record locking is “record splitting,” where 
the account -balance data recorded in the CBDC ledger are split into multiple parts.</x:v>
      </x:c>
      <x:c r="C243" s="34" t="str"/>
      <x:c r="D243" s="34" t="str"/>
      <x:c r="E243" s="34" t="str"/>
      <x:c r="F243" s="34" t="str">
        <x:v>8 
Bank of Japan 
Figure 4: Relationship between the number of transaction request s and throughput  
One possible strategy for mitigating the impact of record locking is “record splitting,” where 
the account -balance data recorded in the CBDC ledger are split into multiple parts. For 
example, in Design 2, splitting the “ aggregated user account” account -balance data in the 
intermediaries by dividing end users affiliated with an intermediary into groups would reduce 
the processing c oncentration around a n aggregated user account. 8  Another option is to 
redesign the business process flow. For example, in Design 2, processing requests for CBDC 
transfers across intermediaries (Figure 1, Step 4) are currently designed as simultaneous 
account transfers on the central bank’s ledger and on the intermediary’s ledger, b …</x:v>
      </x:c>
      <x:c r="G243" s="34" t="str">
        <x:v>PRD-0043-P0010-U01</x:v>
      </x:c>
      <x:c r="H243" s="34" t="str"/>
      <x:c r="I243" s="34" t="str">
        <x:v>JP_BoJ_2022</x:v>
      </x:c>
      <x:c r="J243" s="34" t="n">
        <x:v>10</x:v>
      </x:c>
      <x:c r="K243" s="34" t="str">
        <x:v>en</x:v>
      </x:c>
      <x:c r="L243" s="34" t="str">
        <x:v>Bank of Japan</x:v>
      </x:c>
      <x:c r="M243" s="34" t="str">
        <x:v>Retain the named authority's own CBDC decisions, explicit proposals, requirements, features, and executed findings. Exclude generic context, literature, foreign projects, and stakeholder views not explicitly adopted by the authority.</x:v>
      </x:c>
      <x:c r="N243" s="34" t="str">
        <x:v>text</x:v>
      </x:c>
      <x:c r="O243" s="34" t="str"/>
      <x:c r="P243" s="38" t="str"/>
      <x:c r="Q243" s="38" t="str"/>
      <x:c r="R243" s="38" t="str"/>
      <x:c r="S243" s="38" t="str"/>
      <x:c r="T243" s="38" t="str"/>
      <x:c r="U243" s="38" t="str"/>
      <x:c r="V243" s="38" t="str"/>
      <x:c r="W243" s="38" t="str"/>
      <x:c r="X243" s="38" t="str"/>
      <x:c r="Y243" s="38" t="str"/>
      <x:c r="Z243" s="38" t="str"/>
      <x:c r="AA243" s="43" t="str">
        <x:f>IF('Instructions'!$B$3="","",'Instructions'!$B$3)</x:f>
      </x:c>
      <x:c r="AB243" s="43" t="str">
        <x:f>IF(P243="","PENDING",IF('Instructions'!$B$3="","SET_INITIALS",IF(P243="keep",IF(OR(Q243="",R243="",S243="",T243="",U243="",W243=""),"INCOMPLETE_KEEP","COMPLETE"),IF(P243="exclude",IF(OR(V243="",W243=""),"INCOMPLETE_EXCLUDE","COMPLETE"),"NEEDS_CONTEXT"))))</x:f>
        <x:v>PENDING</x:v>
      </x:c>
    </x:row>
    <x:row r="244" ht="62" customHeight="1">
      <x:c r="A244" s="34" t="str">
        <x:v>SV-0241</x:v>
      </x:c>
      <x:c r="B244" s="34" t="str">
        <x:v>Deposits can be made 
by account holder and 
3rd parties, but 
withdrawals must be 
made by account holder 
only.</x:v>
      </x:c>
      <x:c r="C244" s="34" t="str"/>
      <x:c r="D244" s="34" t="str"/>
      <x:c r="E244" s="34" t="str"/>
      <x:c r="F244" s="34" t="str">
        <x:v>25 
Tiered KYC Requirements for Sand Dollar Accounts 
  Description Threshold/Limit Customer Due Diligence/KYC 
Requirements 
to applicants) and 
mobile phones. 
5) Deposits can be made 
by account holder and 
3rd parties, but 
withdrawals must be 
made by account holder 
only. 
6) Operation is valid only 
within Commonwealth 
of the Bahamas. 
7) International fund 
transfer is prohibited. 
8) Not interest bearing. 
3) This information may be sent 
electronically to authorized 
entities to be processed.   
Enhanced 
(Level 3)  
High-Value/Business 
Accounts 
1) Authorized on-
boarding entities must 
obtain, verify and 
maintain copies of all 
required 
documentations for 
account openings. 
2) The accounts must be 
established face-to-face 
through any of the 
authorized commercial 
banks, payment se …</x:v>
      </x:c>
      <x:c r="G244" s="34" t="str">
        <x:v>PRD-0012-P0025-U01</x:v>
      </x:c>
      <x:c r="H244" s="34" t="str"/>
      <x:c r="I244" s="34" t="str">
        <x:v>BS_Bahamas_SandDollar_2019</x:v>
      </x:c>
      <x:c r="J244" s="34" t="n">
        <x:v>25</x:v>
      </x:c>
      <x:c r="K244" s="34" t="str">
        <x:v>en</x:v>
      </x:c>
      <x:c r="L244" s="34" t="str">
        <x:v>Central Bank of The Bahamas (Sand Dollar)</x:v>
      </x:c>
      <x:c r="M244" s="34" t="str">
        <x:v>Retain Sand Dollar project decisions and executed project research/findings. Exclude non-CBDC survey facts unless the text states a CBDC adoption implication.</x:v>
      </x:c>
      <x:c r="N244" s="34" t="str">
        <x:v>text</x:v>
      </x:c>
      <x:c r="O244" s="34" t="str"/>
      <x:c r="P244" s="38" t="str"/>
      <x:c r="Q244" s="38" t="str"/>
      <x:c r="R244" s="38" t="str"/>
      <x:c r="S244" s="38" t="str"/>
      <x:c r="T244" s="38" t="str"/>
      <x:c r="U244" s="38" t="str"/>
      <x:c r="V244" s="38" t="str"/>
      <x:c r="W244" s="38" t="str"/>
      <x:c r="X244" s="38" t="str"/>
      <x:c r="Y244" s="38" t="str"/>
      <x:c r="Z244" s="38" t="str"/>
      <x:c r="AA244" s="43" t="str">
        <x:f>IF('Instructions'!$B$3="","",'Instructions'!$B$3)</x:f>
      </x:c>
      <x:c r="AB244" s="43" t="str">
        <x:f>IF(P244="","PENDING",IF('Instructions'!$B$3="","SET_INITIALS",IF(P244="keep",IF(OR(Q244="",R244="",S244="",T244="",U244="",W244=""),"INCOMPLETE_KEEP","COMPLETE"),IF(P244="exclude",IF(OR(V244="",W244=""),"INCOMPLETE_EXCLUDE","COMPLETE"),"NEEDS_CONTEXT"))))</x:f>
        <x:v>PENDING</x:v>
      </x:c>
    </x:row>
    <x:row r="245" ht="62" customHeight="1">
      <x:c r="A245" s="34" t="str">
        <x:v>SV-0242</x:v>
      </x:c>
      <x:c r="B245" s="34" t="str">
        <x:v>The positions are 
ordered by the International Securities Identification Number (ISIN) and then by 
decreasing value. The process tries to settle each of these positions in order, 
skipping any position where a counterparty has insufficient cash or equity DDR 
for that ISIN on-ledger.</x:v>
      </x:c>
      <x:c r="C245" s="34" t="str"/>
      <x:c r="D245" s="34" t="str"/>
      <x:c r="E245" s="34" t="str"/>
      <x:c r="F245" s="34" t="str">
        <x:v>14
2.6 SETTLEMENT PROCESS
The settlement process attempts to settle all open positions. The positions are 
ordered by the International Securities Identification Number (ISIN) and then by 
decreasing value. The process tries to settle each of these positions in order, 
skipping any position where a counterparty has insufficient cash or equity DDR 
for that ISIN on-ledger. The entire process is repeated until no further positions 
are settled. Appendix C (Example of the Settlement Process) demonstrates how 
this works.
2.7 CREDIT EXTENSION
Currently, most CDS participants, as broker-dealers, are not direct participants 
in the LVTS. To obtain intraday funds within CDSX and settle their purchase 
obligations, these participants rely on a credit extension by an extender of credit 
in CDSX. To settle their end-of-day payment obligation during CDSX payment 
exchange, they rely on a designated banker who is an LVTS m …</x:v>
      </x:c>
      <x:c r="G245" s="34" t="str">
        <x:v>PRD-0014-P0014-U01</x:v>
      </x:c>
      <x:c r="H245" s="34" t="str"/>
      <x:c r="I245" s="34" t="str">
        <x:v>CA_Jasper_III_2018</x:v>
      </x:c>
      <x:c r="J245" s="34" t="n">
        <x:v>14</x:v>
      </x:c>
      <x:c r="K245" s="34" t="str">
        <x:v>en</x:v>
      </x:c>
      <x:c r="L245" s="34" t="str">
        <x:v>Bank of Canada and Payments Canada (Project Jasper)</x:v>
      </x:c>
      <x:c r="M245" s="34" t="str">
        <x:v>Retain executed Project Jasper design choices and findings. Exclude general DLT literature and external examples.</x:v>
      </x:c>
      <x:c r="N245" s="34" t="str">
        <x:v>text</x:v>
      </x:c>
      <x:c r="O245" s="34" t="str"/>
      <x:c r="P245" s="38" t="str"/>
      <x:c r="Q245" s="38" t="str"/>
      <x:c r="R245" s="38" t="str"/>
      <x:c r="S245" s="38" t="str"/>
      <x:c r="T245" s="38" t="str"/>
      <x:c r="U245" s="38" t="str"/>
      <x:c r="V245" s="38" t="str"/>
      <x:c r="W245" s="38" t="str"/>
      <x:c r="X245" s="38" t="str"/>
      <x:c r="Y245" s="38" t="str"/>
      <x:c r="Z245" s="38" t="str"/>
      <x:c r="AA245" s="43" t="str">
        <x:f>IF('Instructions'!$B$3="","",'Instructions'!$B$3)</x:f>
      </x:c>
      <x:c r="AB245" s="43" t="str">
        <x:f>IF(P245="","PENDING",IF('Instructions'!$B$3="","SET_INITIALS",IF(P245="keep",IF(OR(Q245="",R245="",S245="",T245="",U245="",W245=""),"INCOMPLETE_KEEP","COMPLETE"),IF(P245="exclude",IF(OR(V245="",W245=""),"INCOMPLETE_EXCLUDE","COMPLETE"),"NEEDS_CONTEXT"))))</x:f>
        <x:v>PENDING</x:v>
      </x:c>
    </x:row>
    <x:row r="246" ht="62" customHeight="1">
      <x:c r="A246" s="34" t="str">
        <x:v>SV-0243</x:v>
      </x:c>
      <x:c r="B246" s="34" t="str">
        <x:v>An important insight that the CBE gained from this test process was an understanding 
of the requirements as well as limitations of consecutive offline payments. While 
multiple offline transactions can be completed with a smart card, it was realised that at 
some point the smart card needs to go online to reconcile the transaction history and 
“clean up” the card.</x:v>
      </x:c>
      <x:c r="C246" s="34" t="str"/>
      <x:c r="D246" s="34" t="str"/>
      <x:c r="E246" s="34" t="str"/>
      <x:c r="F246" s="34" t="str">
        <x:v>Digital Lilangeni Design Paper 
 19 
The transaction process involved the transfer of a digital token from the customer’s smart 
card to the merchant’s card.  
Due to the offline nature of the transaction and the transfer of the digital token, the 
processing time was longer than for the online use case. Despite this longer processing 
time, however, all transactions were successfully completed.  
An important insight that the CBE gained from this test process was an understanding 
of the requirements as well as limitations of consecutive offline payments. While 
multiple offline transactions can be completed with a smart card, it was realised that at 
some point the smart card needs to go online to reconcile the transaction history and 
“clean up” the card. This purging process can also significantly improve the transaction 
processing time of the smart card during the payment process, thus improving overall 
efficiency. This limitation is mainly based on the storage capacity of the form factors 
(e.g. smart card and POS terminal) used to process offline payments.  
4.3 Unstructured Supplementary Service Data (USSD) use case:  
The incorporation of USSD technology can broaden the accessibility of CBDC to a larger 
population, ensuring that individuals, irrespective of their technological knowle …</x:v>
      </x:c>
      <x:c r="G246" s="34" t="str">
        <x:v>PRD-0069-P0020-U01</x:v>
      </x:c>
      <x:c r="H246" s="34" t="str"/>
      <x:c r="I246" s="34" t="str">
        <x:v>SZ_Eswatini_2024-Fintech-Digital-Lilangeni-Design-Paper</x:v>
      </x:c>
      <x:c r="J246" s="34" t="n">
        <x:v>20</x:v>
      </x:c>
      <x:c r="K246" s="34" t="str">
        <x:v>en</x:v>
      </x:c>
      <x:c r="L246" s="34" t="str">
        <x:v>Central Bank of Eswatini (Digital Lilangeni)</x:v>
      </x:c>
      <x:c r="M246" s="34" t="str">
        <x:v>Retain Central Bank of Eswatini design decisions, proposals, features, and requirements; use the supplied render when text is sparse.</x:v>
      </x:c>
      <x:c r="N246" s="34" t="str">
        <x:v>text</x:v>
      </x:c>
      <x:c r="O246" s="34" t="str"/>
      <x:c r="P246" s="38" t="str"/>
      <x:c r="Q246" s="38" t="str"/>
      <x:c r="R246" s="38" t="str"/>
      <x:c r="S246" s="38" t="str"/>
      <x:c r="T246" s="38" t="str"/>
      <x:c r="U246" s="38" t="str"/>
      <x:c r="V246" s="38" t="str"/>
      <x:c r="W246" s="38" t="str"/>
      <x:c r="X246" s="38" t="str"/>
      <x:c r="Y246" s="38" t="str"/>
      <x:c r="Z246" s="38" t="str"/>
      <x:c r="AA246" s="43" t="str">
        <x:f>IF('Instructions'!$B$3="","",'Instructions'!$B$3)</x:f>
      </x:c>
      <x:c r="AB246" s="43" t="str">
        <x:f>IF(P246="","PENDING",IF('Instructions'!$B$3="","SET_INITIALS",IF(P246="keep",IF(OR(Q246="",R246="",S246="",T246="",U246="",W246=""),"INCOMPLETE_KEEP","COMPLETE"),IF(P246="exclude",IF(OR(V246="",W246=""),"INCOMPLETE_EXCLUDE","COMPLETE"),"NEEDS_CONTEXT"))))</x:f>
        <x:v>PENDING</x:v>
      </x:c>
    </x:row>
    <x:row r="247" ht="62" customHeight="1">
      <x:c r="A247" s="34" t="str">
        <x:v>SV-0244</x:v>
      </x:c>
      <x:c r="B247" s="34" t="str">
        <x:v>In comparing the Banknote approach with the Coins approach, the HKMA is inclined 
towards the Coins approach under which e-HKD would be solely issued by one single 
authority, but would still have the advantage of tasking agent banks to handle all 
customer-facing activities relating to the distribution of e-HKD.</x:v>
      </x:c>
      <x:c r="C247" s="34" t="str"/>
      <x:c r="D247" s="34" t="str"/>
      <x:c r="E247" s="34" t="str"/>
      <x:c r="F247" s="34" t="str">
        <x:v>32
e-HKD: A Policy and Design Perspective
2. The AB approach may give people a wrong impression that e-HKD is not fully 
backed by foreign reserves, as the indirect backing of e-HKD through the AB is 
much less straightforward than the Banknote approach and the Coins approach, 
both of which could make it easier for the general public to understand e-HKD as 
simply a digital extension of physical cash. 16
In comparing the Banknote approach with the Coins approach, the HKMA is inclined 
towards the Coins approach under which e-HKD would be solely issued by one single 
authority, but would still have the advantage of tasking agent banks to handle all 
customer-facing activities relating to the distribution of e-HKD. This approach would be 
simpler from an operational perspective and could avoid the unnecessary confusion of 
the public over the potentially different forms of e-HKD issued by different designated 
banks.
5.2 Interoperability with large-value and retail payment 
systems
As the purpose of developing e-HKD is not to replace existing payment methods, it is 
also important to ensure that e-HKD would be fully interoperable with other payment 
systems for more efficient payments to be made by the general public. The design of 
e-HKD should avoid cr …</x:v>
      </x:c>
      <x:c r="G247" s="34" t="str">
        <x:v>PRD-0090-P0033-U01</x:v>
      </x:c>
      <x:c r="H247" s="34" t="str"/>
      <x:c r="I247" s="34" t="str">
        <x:v>HK_HKMA_eHKD_PolicyDesign</x:v>
      </x:c>
      <x:c r="J247" s="34" t="n">
        <x:v>33</x:v>
      </x:c>
      <x:c r="K247" s="34" t="str">
        <x:v>en</x:v>
      </x:c>
      <x:c r="L247" s="34" t="str">
        <x:v>Hong Kong Monetary Authority (e-HKD)</x:v>
      </x:c>
      <x:c r="M247" s="34" t="str">
        <x:v>Retain HKMA policy/design positions for e-HKD; exclude generic literature and open questions.</x:v>
      </x:c>
      <x:c r="N247" s="34" t="str">
        <x:v>text</x:v>
      </x:c>
      <x:c r="O247" s="34" t="str"/>
      <x:c r="P247" s="38" t="str"/>
      <x:c r="Q247" s="38" t="str"/>
      <x:c r="R247" s="38" t="str"/>
      <x:c r="S247" s="38" t="str"/>
      <x:c r="T247" s="38" t="str"/>
      <x:c r="U247" s="38" t="str"/>
      <x:c r="V247" s="38" t="str"/>
      <x:c r="W247" s="38" t="str"/>
      <x:c r="X247" s="38" t="str"/>
      <x:c r="Y247" s="38" t="str"/>
      <x:c r="Z247" s="38" t="str"/>
      <x:c r="AA247" s="43" t="str">
        <x:f>IF('Instructions'!$B$3="","",'Instructions'!$B$3)</x:f>
      </x:c>
      <x:c r="AB247" s="43" t="str">
        <x:f>IF(P247="","PENDING",IF('Instructions'!$B$3="","SET_INITIALS",IF(P247="keep",IF(OR(Q247="",R247="",S247="",T247="",U247="",W247=""),"INCOMPLETE_KEEP","COMPLETE"),IF(P247="exclude",IF(OR(V247="",W247=""),"INCOMPLETE_EXCLUDE","COMPLETE"),"NEEDS_CONTEXT"))))</x:f>
        <x:v>PENDING</x:v>
      </x:c>
    </x:row>
    <x:row r="248" ht="62" customHeight="1">
      <x:c r="A248" s="34" t="str">
        <x:v>SV-0245</x:v>
      </x:c>
      <x:c r="B248" s="34" t="str">
        <x:v>The integration of Digital Lilangeni into the USS D system can also serve 
as a significant driver for financial inclusion.</x:v>
      </x:c>
      <x:c r="C248" s="34" t="str"/>
      <x:c r="D248" s="34" t="str"/>
      <x:c r="E248" s="34" t="str"/>
      <x:c r="F248" s="34" t="str">
        <x:v>… ld and young, male and female, 
urban and rural, etc.) – just like cash today.  
Anywhere: Since CBDC is intended to transfer the same characteristics of cash into the 
digital space, it must also enable availability of CBDC anywhere. Regardless of whether 
one is in rural or urban regions of the country, the Digital Lilangeni should be able to be 
used as a means of payment in all those areas. An offline solution as a back -up for the 
possible loss of Internet connection in remote places of the country can support this (see 
use cases part). The integration of Digital Lilangeni into the USS D system can also serve 
as a significant driver for financial inclusion.</x:v>
      </x:c>
      <x:c r="G248" s="34" t="str">
        <x:v>PRD-0069-P0023-U01</x:v>
      </x:c>
      <x:c r="H248" s="34" t="str"/>
      <x:c r="I248" s="34" t="str">
        <x:v>SZ_Eswatini_2024-Fintech-Digital-Lilangeni-Design-Paper</x:v>
      </x:c>
      <x:c r="J248" s="34" t="n">
        <x:v>23</x:v>
      </x:c>
      <x:c r="K248" s="34" t="str">
        <x:v>en</x:v>
      </x:c>
      <x:c r="L248" s="34" t="str">
        <x:v>Central Bank of Eswatini (Digital Lilangeni)</x:v>
      </x:c>
      <x:c r="M248" s="34" t="str">
        <x:v>Retain Central Bank of Eswatini design decisions, proposals, features, and requirements; use the supplied render when text is sparse.</x:v>
      </x:c>
      <x:c r="N248" s="34" t="str">
        <x:v>text</x:v>
      </x:c>
      <x:c r="O248" s="34" t="str"/>
      <x:c r="P248" s="38" t="str"/>
      <x:c r="Q248" s="38" t="str"/>
      <x:c r="R248" s="38" t="str"/>
      <x:c r="S248" s="38" t="str"/>
      <x:c r="T248" s="38" t="str"/>
      <x:c r="U248" s="38" t="str"/>
      <x:c r="V248" s="38" t="str"/>
      <x:c r="W248" s="38" t="str"/>
      <x:c r="X248" s="38" t="str"/>
      <x:c r="Y248" s="38" t="str"/>
      <x:c r="Z248" s="38" t="str"/>
      <x:c r="AA248" s="43" t="str">
        <x:f>IF('Instructions'!$B$3="","",'Instructions'!$B$3)</x:f>
      </x:c>
      <x:c r="AB248" s="43" t="str">
        <x:f>IF(P248="","PENDING",IF('Instructions'!$B$3="","SET_INITIALS",IF(P248="keep",IF(OR(Q248="",R248="",S248="",T248="",U248="",W248=""),"INCOMPLETE_KEEP","COMPLETE"),IF(P248="exclude",IF(OR(V248="",W248=""),"INCOMPLETE_EXCLUDE","COMPLETE"),"NEEDS_CONTEXT"))))</x:f>
        <x:v>PENDING</x:v>
      </x:c>
    </x:row>
    <x:row r="249" ht="62" customHeight="1">
      <x:c r="A249" s="34" t="str">
        <x:v>SV-0246</x:v>
      </x:c>
      <x:c r="B249" s="34" t="str">
        <x:v>Digital Rupiah will be designed 
to have the quality in mitigating 
those unique risks, including 
cybersecurity. Assessment and 
identification of risks will be 
done accordingly to produce 
safe, reliable, and resilient Digital 
Rupiah technology design.</x:v>
      </x:c>
      <x:c r="C249" s="34" t="str"/>
      <x:c r="D249" s="34" t="str"/>
      <x:c r="E249" s="34" t="str"/>
      <x:c r="F249" s="34" t="str">
        <x:v>… ty patch 
management
Incident 
management 
Development cycle 
management
Assessment of Cyber Risk of CBDC Security Domains of 
Digital Rupiah
DLT System 
Availability
 Consensus 
Mechanism
 Smart
Contract
Management of 
Cryptography 
Keys
Account 
Security 
Data Protection 
and Privacy
Protecting data 
/information from 
unauthorized changes  to 
ensure the accuracy and 
completeness of 
data/information 
Ensuring that only authorized parties 
can access data/information as per 
their authority.
Figure 9. Cybersecurity Risk Assessment of CBDC
…Digital Rupiah will be designed 
to have the quality in mitigating 
those unique risks, including 
cybersecurity. Assessment and 
identification of risks will be 
done accordingly to produce 
safe, reliable, and resilient Digital 
Rupiah technology design..
”
2.5.2  Mitigating of Cyber Security Risk
One factor that determines the 
effectiveness of the adoption of Digital 
Rupiah	is	fulfillment	of	cyber	security 	
requirements. As cybersecurity is an 
essential element in the development of 
Digital Rupiah, it is important to manage 
this element from the beginning.
Generally,	Digital	Rupiah,	as	with	any 	
other	IT	systems,	is	also	facing	typical 	
cybersecurity risks. Hence, similar security 
standards are also applied to Digital 
Rupiah. These standards consist of identity 
and access managemen …</x:v>
      </x:c>
      <x:c r="G249" s="34" t="str">
        <x:v>PRD-0035-P0044-U01</x:v>
      </x:c>
      <x:c r="H249" s="34" t="str"/>
      <x:c r="I249" s="34" t="str">
        <x:v>ID_Indonesia_2022</x:v>
      </x:c>
      <x:c r="J249" s="34" t="n">
        <x:v>44</x:v>
      </x:c>
      <x:c r="K249" s="34" t="str">
        <x:v>en</x:v>
      </x:c>
      <x:c r="L249" s="34" t="str">
        <x:v>Bank Indonesia (Digital Rupiah)</x:v>
      </x:c>
      <x:c r="M249" s="34" t="str">
        <x:v>Retain Bank Indonesia Digital Rupiah decisions, roadmap commitments, features, and requirements.</x:v>
      </x:c>
      <x:c r="N249" s="34" t="str">
        <x:v>text</x:v>
      </x:c>
      <x:c r="O249" s="34" t="str"/>
      <x:c r="P249" s="38" t="str"/>
      <x:c r="Q249" s="38" t="str"/>
      <x:c r="R249" s="38" t="str"/>
      <x:c r="S249" s="38" t="str"/>
      <x:c r="T249" s="38" t="str"/>
      <x:c r="U249" s="38" t="str"/>
      <x:c r="V249" s="38" t="str"/>
      <x:c r="W249" s="38" t="str"/>
      <x:c r="X249" s="38" t="str"/>
      <x:c r="Y249" s="38" t="str"/>
      <x:c r="Z249" s="38" t="str"/>
      <x:c r="AA249" s="43" t="str">
        <x:f>IF('Instructions'!$B$3="","",'Instructions'!$B$3)</x:f>
      </x:c>
      <x:c r="AB249" s="43" t="str">
        <x:f>IF(P249="","PENDING",IF('Instructions'!$B$3="","SET_INITIALS",IF(P249="keep",IF(OR(Q249="",R249="",S249="",T249="",U249="",W249=""),"INCOMPLETE_KEEP","COMPLETE"),IF(P249="exclude",IF(OR(V249="",W249=""),"INCOMPLETE_EXCLUDE","COMPLETE"),"NEEDS_CONTEXT"))))</x:f>
        <x:v>PENDING</x:v>
      </x:c>
    </x:row>
    <x:row r="250" ht="62" customHeight="1">
      <x:c r="A250" s="34" t="str">
        <x:v>SV-0247</x:v>
      </x:c>
      <x:c r="B250" s="34" t="str">
        <x:v>This means that the CPU utilization rate increases with the number of processes on hold 
for a single record.</x:v>
      </x:c>
      <x:c r="C250" s="34" t="str"/>
      <x:c r="D250" s="34" t="str"/>
      <x:c r="E250" s="34" t="str"/>
      <x:c r="F250" s="34" t="str">
        <x:v>7 
Bank of Japan 
intermediaries. The processing delay incurred by this record locking increases latency for 
Design 2 compared to Design 1.7 
Record locking is one of the factors that led to the increased CPU utilization rate for the 
database server under the high-load scenario. In short, during the time that a record is locked, 
processing is paused on the database server, and the status of the record needs to be 
monitored constantly so that the later transaction is processed  as soon as the record lock is 
lifted. This means that the CPU utilization rate increases with the number of processes on hold 
for a single record. 
Design 3 performance bottlenecks 
Because the database server in Design 3 had a CPU utilization rate approaching 100% under 
the high-load scenario, we see that processing exhausted the available resources. The main 
factor behind this is that for each transaction instruction, holder ID updates were processed for 
multiple tokens, and because exchange processes happen for a constant fraction, the number 
of processes ballooned compared with the other designs. These resource constraints 
decreased throughput and increased latency. 
3.2  Perf …</x:v>
      </x:c>
      <x:c r="G250" s="34" t="str">
        <x:v>PRD-0043-P0009-U01</x:v>
      </x:c>
      <x:c r="H250" s="34" t="str"/>
      <x:c r="I250" s="34" t="str">
        <x:v>JP_BoJ_2022</x:v>
      </x:c>
      <x:c r="J250" s="34" t="n">
        <x:v>9</x:v>
      </x:c>
      <x:c r="K250" s="34" t="str">
        <x:v>en</x:v>
      </x:c>
      <x:c r="L250" s="34" t="str">
        <x:v>Bank of Japan</x:v>
      </x:c>
      <x:c r="M250" s="34" t="str">
        <x:v>Retain the named authority's own CBDC decisions, explicit proposals, requirements, features, and executed findings. Exclude generic context, literature, foreign projects, and stakeholder views not explicitly adopted by the authority.</x:v>
      </x:c>
      <x:c r="N250" s="34" t="str">
        <x:v>text</x:v>
      </x:c>
      <x:c r="O250" s="34" t="str"/>
      <x:c r="P250" s="38" t="str"/>
      <x:c r="Q250" s="38" t="str"/>
      <x:c r="R250" s="38" t="str"/>
      <x:c r="S250" s="38" t="str"/>
      <x:c r="T250" s="38" t="str"/>
      <x:c r="U250" s="38" t="str"/>
      <x:c r="V250" s="38" t="str"/>
      <x:c r="W250" s="38" t="str"/>
      <x:c r="X250" s="38" t="str"/>
      <x:c r="Y250" s="38" t="str"/>
      <x:c r="Z250" s="38" t="str"/>
      <x:c r="AA250" s="43" t="str">
        <x:f>IF('Instructions'!$B$3="","",'Instructions'!$B$3)</x:f>
      </x:c>
      <x:c r="AB250" s="43" t="str">
        <x:f>IF(P250="","PENDING",IF('Instructions'!$B$3="","SET_INITIALS",IF(P250="keep",IF(OR(Q250="",R250="",S250="",T250="",U250="",W250=""),"INCOMPLETE_KEEP","COMPLETE"),IF(P250="exclude",IF(OR(V250="",W250=""),"INCOMPLETE_EXCLUDE","COMPLETE"),"NEEDS_CONTEXT"))))</x:f>
        <x:v>PENDING</x:v>
      </x:c>
    </x:row>
    <x:row r="251" ht="62" customHeight="1">
      <x:c r="A251" s="34" t="str">
        <x:v>SV-0248</x:v>
      </x:c>
      <x:c r="B251" s="34" t="str">
        <x:v>Inclusive: CBDC payment systems should be designed to minimise barriers to use from (a) technical literacy, 
(b) disabilities, and (c) access to hardware (eg avoiding reliance on latest smartphones) or (d) access to mobile 
data networks (eg in rural areas).</x:v>
      </x:c>
      <x:c r="C251" s="34" t="str"/>
      <x:c r="D251" s="34" t="str"/>
      <x:c r="E251" s="34" t="str"/>
      <x:c r="F251" s="34" t="str">
        <x:v>…  payee (recipient) receiving the funds, 
should complete as quickly as possible, with certainty over completion.
• User friendly: users should be able to make a payment intuitively, in the minimum number of steps, with a 
minimum required level of technical literacy.
• Efficient: the payment should happen in the simplest way, to ensure that the cost of CBDC payments would be 
as low as possible (subject to the need to ensure the system is resilient and secure).
• Transparent: the costs of making payments in CBDC should be clear to all users.
• Inclusive: CBDC payment systems should be designed to minimise barriers to use from (a) technical literacy, 
(b) disabilities, and (c) access to hardware (eg avoiding reliance on latest smartphones) or (d) access to mobile 
data networks (eg in rural areas).
Innovation and open to competition
This consideration is about ensuring that the CBDC system as a whole remains open to innovation and 
competition, and evolves with changing user needs. This means that any CBDC would need to be:
• Designed around comparative advantage: the structure of a CBDC should build on the Bank and private 
sector’s respective strengths and expertise, so long as it does not compromise resilience, security or confer 
unfair commercial advantage.
• Open to competition: the structure of a CBDC should facilitate a competiti …</x:v>
      </x:c>
      <x:c r="G251" s="34" t="str">
        <x:v>PRD-0075-P0024-U01</x:v>
      </x:c>
      <x:c r="H251" s="34" t="str"/>
      <x:c r="I251" s="34" t="str">
        <x:v>UK_BoE_2020_OpportChall</x:v>
      </x:c>
      <x:c r="J251" s="34" t="n">
        <x:v>24</x:v>
      </x:c>
      <x:c r="K251" s="34" t="str">
        <x:v>en</x:v>
      </x:c>
      <x:c r="L251" s="34" t="str">
        <x:v>Bank of England and HM Treasury (digital pound)</x:v>
      </x:c>
      <x:c r="M251" s="34" t="str">
        <x:v>Retain the named authority's own CBDC decisions, explicit proposals, requirements, features, and executed findings. Exclude generic context, literature, foreign projects, and stakeholder views not explicitly adopted by the authority.</x:v>
      </x:c>
      <x:c r="N251" s="34" t="str">
        <x:v>text</x:v>
      </x:c>
      <x:c r="O251" s="34" t="str"/>
      <x:c r="P251" s="38" t="str"/>
      <x:c r="Q251" s="38" t="str"/>
      <x:c r="R251" s="38" t="str"/>
      <x:c r="S251" s="38" t="str"/>
      <x:c r="T251" s="38" t="str"/>
      <x:c r="U251" s="38" t="str"/>
      <x:c r="V251" s="38" t="str"/>
      <x:c r="W251" s="38" t="str"/>
      <x:c r="X251" s="38" t="str"/>
      <x:c r="Y251" s="38" t="str"/>
      <x:c r="Z251" s="38" t="str"/>
      <x:c r="AA251" s="43" t="str">
        <x:f>IF('Instructions'!$B$3="","",'Instructions'!$B$3)</x:f>
      </x:c>
      <x:c r="AB251" s="43" t="str">
        <x:f>IF(P251="","PENDING",IF('Instructions'!$B$3="","SET_INITIALS",IF(P251="keep",IF(OR(Q251="",R251="",S251="",T251="",U251="",W251=""),"INCOMPLETE_KEEP","COMPLETE"),IF(P251="exclude",IF(OR(V251="",W251=""),"INCOMPLETE_EXCLUDE","COMPLETE"),"NEEDS_CONTEXT"))))</x:f>
        <x:v>PENDING</x:v>
      </x:c>
    </x:row>
    <x:row r="252" ht="62" customHeight="1">
      <x:c r="A252" s="34" t="str">
        <x:v>SV-0249</x:v>
      </x:c>
      <x:c r="B252" s="34" t="str">
        <x:v>The POS and merchant acceptance apps 
were found useful for record keeping and 
reconciliation of transactions as they stored 
records of receipts and payments.</x:v>
      </x:c>
      <x:c r="C252" s="34" t="str"/>
      <x:c r="D252" s="34" t="str"/>
      <x:c r="E252" s="34" t="str"/>
      <x:c r="F252" s="34" t="str">
        <x:v>… support may be required to ensure the 
availability of eCedi hardware in rural areas.
4.2.2 Mer chants
1. The eCedi point o f sale device and apps were 
user-friendly and easily understood due to their 
experience with mobile money and other digital 
payment solutions.
2. Mer chants noted that there was not much 
difference between the eCedi and the physical 
currency since it was easy to switch between the 
two form factors of the Ghana Cedi.
3. Readily available technical and operational suppor t 
ensured smooth execution of transactions.
4. The POS and merchant acceptance apps 
were found useful for record keeping and 
reconciliation of transactions as they stored 
records of receipts and payments. 
5. Acceptance of payments in eCedi serves as safe 
custody for funds.
6. Widespr ead deployment of eCedi will improve 
its utility and reduce reliance on cash for 
transactions.
7. Mer chants indicated that eCedi charges, if any, 
should be insignificant to encourage usage.
4.2.3 Financial Ser vice Providers
1. It was easy to adapt their existing payment apps 
to make and accept eCedi transactions.
2. User s and merchants did not encounter challen -
ges in using the eCedi to make and accept 
payments.
3. No differ ence was noted between eCedi …</x:v>
      </x:c>
      <x:c r="G252" s="34" t="str">
        <x:v>PRD-0031-P0029-U01</x:v>
      </x:c>
      <x:c r="H252" s="34" t="str"/>
      <x:c r="I252" s="34" t="str">
        <x:v>GH_Ghana_2023</x:v>
      </x:c>
      <x:c r="J252" s="34" t="n">
        <x:v>29</x:v>
      </x:c>
      <x:c r="K252" s="34" t="str">
        <x:v>en</x:v>
      </x:c>
      <x:c r="L252" s="34" t="str">
        <x:v>Bank of Ghana (eCedi)</x:v>
      </x:c>
      <x:c r="M252" s="34" t="str">
        <x:v>Retain the named authority's own CBDC decisions, explicit proposals, requirements, features, and executed findings. Exclude generic context, literature, foreign projects, and stakeholder views not explicitly adopted by the authority.</x:v>
      </x:c>
      <x:c r="N252" s="34" t="str">
        <x:v>text</x:v>
      </x:c>
      <x:c r="O252" s="34" t="str"/>
      <x:c r="P252" s="38" t="str"/>
      <x:c r="Q252" s="38" t="str"/>
      <x:c r="R252" s="38" t="str"/>
      <x:c r="S252" s="38" t="str"/>
      <x:c r="T252" s="38" t="str"/>
      <x:c r="U252" s="38" t="str"/>
      <x:c r="V252" s="38" t="str"/>
      <x:c r="W252" s="38" t="str"/>
      <x:c r="X252" s="38" t="str"/>
      <x:c r="Y252" s="38" t="str"/>
      <x:c r="Z252" s="38" t="str"/>
      <x:c r="AA252" s="43" t="str">
        <x:f>IF('Instructions'!$B$3="","",'Instructions'!$B$3)</x:f>
      </x:c>
      <x:c r="AB252" s="43" t="str">
        <x:f>IF(P252="","PENDING",IF('Instructions'!$B$3="","SET_INITIALS",IF(P252="keep",IF(OR(Q252="",R252="",S252="",T252="",U252="",W252=""),"INCOMPLETE_KEEP","COMPLETE"),IF(P252="exclude",IF(OR(V252="",W252=""),"INCOMPLETE_EXCLUDE","COMPLETE"),"NEEDS_CONTEXT"))))</x:f>
        <x:v>PENDING</x:v>
      </x:c>
    </x:row>
    <x:row r="253" ht="62" customHeight="1">
      <x:c r="A253" s="34" t="str">
        <x:v>SV-0250</x:v>
      </x:c>
      <x:c r="B253" s="34" t="str">
        <x:v>ﺗــﻢ إﻋــﺪاد ﻣﻨﺼــﺔ اﻹﺻــﺪار ﺑﺎﺳــﺘﺨﺪام ﺗﻘﻨﻴــﺔ دﻓﺘــﺮ اﻷﺳــﺘﺎذ اﻟﻤــﻮزع</x:v>
      </x:c>
      <x:c r="C253" s="34" t="str"/>
      <x:c r="D253" s="34" t="str"/>
      <x:c r="E253" s="34" t="str"/>
      <x:c r="F253" s="34" t="str">
        <x:v>… ﻢ اﻟﺮﻗﻤﻲ 
 ﻛﻤــﺎ ﻳﺸــﺘﻤﻞ ﻋﻠــﻰ آﺧــﺮ اﻟﻤﺴــﺘﺠﺪات ﺣــﻮل اﻟﺘﻘــﺪّم اﻟﻤﺤــﺮز ﺣﺎﻟﻴــﺎً وﺧﻄــﻮات إﻋــﺪاده اﻟﻨﻘــﺪ اﻵﻣﻨــﺔ واﻟﻤﻮﺛﻮﻗــﺔ واﻟﻤﻼﺋﻤــﺔ. 
ﻗﺒــﻞ ﻃﺮﺣــﻪ ﺑــﺸ 
وﻳﻤﻜــﻦ اﻻﻃﻼع ﻋﻠــﻰ ﺗﺤﻠﻴــﻞ أﻛﺜــﺮ ﺗﻔﺼــﻴﻼً ﻟﻘﻀﺎﻳــﺎ اﻟﺴﻴﺎﺳــﺔ ذات اﻟﺼﻠــﺔ وﺗﺤﻠﻴــﻞ ﺗﺄﺛﻴــﺮ ﻃــﺮح اﻟﺪرﻫــﻢ اﻟﺮﻗﻤــﻲ، اﻟﻤﻌــﺪ ﻣــﻦ 
ﻗﺒﻞ اﻟﻤﺼﺮف اﻟﻤﺮﻛﺰي، ﻓﻲ وﺛﻴﻘﺔ ﻣﻨﻔﺼﻠﺔ ﻋﻦ ﻫﺬا اﻟﺘﻘﺮﻳﺮ )"اﻟﺪرﻫﻢ اﻟﺮﻗﻤﻲ: اﻟﻘﻀﺎﻳﺎ اﻟﻤﺨﺘﺎرة واﻋﺘﺒﺎرات اﻟﺴﻴﺎﺳﺔ اﻟﻌﺎﻣﺔ"(. 
(، واﻟﺘــﻲ DLTاﻧﺘﻬــﻰ اﻟﻤﺼــﺮف اﻟﻤﺮﻛــﺰي ﻣــﻦ ﺗﻄﻮﻳــﺮ ﻣﻨﺼــﺔ إﺻــﺪار اﻟﺪرﻫــﻢ اﻟﺮﻗﻤــﻲ، وﻗــﺎم ﺑﻨﺸــﺮ ﻣﻨﺘــﺞ اﻟﺤــﺪ اﻷدﻧــﻰ اﻟﻘﺎﺑــﻞ ﻟﻠﺘﻄﺒﻴــﻖ. ﺗــﻢ إﻋــﺪاد ﻣﻨﺼــﺔ اﻹﺻــﺪار ﺑﺎﺳــﺘﺨﺪام ﺗﻘﻨﻴــﺔ دﻓﺘــﺮ اﻷﺳــﺘﺎذ اﻟﻤــﻮزع 1
ﻣــﻦ ﺧﻼﻟﻬــﺎ ﺗُﻤّﻜــﻦ ﻣــﻦ ﺳــﻚّ واﺳــﺘﺮداد ﻗﻴﻤــﺔ وﺗﻮزﻳــﻊ اﻟﺪرﻫــﻢ اﻟﺮﻗﻤــﻲ ﻋﻠــﻰ اﻟﻤﺆﺳﺴــﺎت اﻟﻤﺎﻟﻴــﺔ اﻟﻤﺮﺧﺼــﺔ. ﻣﻨﺼــﺔ اﻟﺠﺴــﺮ ﻟﻠﻌــﻤﻼت اﻟﺮﻗﻤﻴــﺔ اﻟﻤﺘﻌــﺪدة ﻟﻠﺒﻨــﻮك اﻟﻤﺮﻛﺰﻳــﺔ ﻫــﻲ ﻣﻨﺼــﺔ ﻟﻤﺪﻓﻮﻋــﺎت اﻟﺠﻤﻠــﺔ 
ﻋﺒــﺮ اﻟﺤــﺪود، وﻛﺎﻧــﺖ ﻧﺘﻴﺠــﺔ ﻟﻠﺘﻌــﺎون ﺑﻴــﻦ ﻣﺮﻛــﺰ اﻻﺑﺘــﻜﺎر اﻟﺘﺎﺑــﻊ ﻟﺒﻨــﻚ اﻟﺘﺴــﻮﻳﺎت اﻟﺪوﻟﻴــﺔ، وﺑﻨــﻚ ﺗﺎﻳﻼﻧــﺪ، وﺳــﻠﻄﺔ اﻟﻨﻘــﺪ ﻓــﻲ ﻫﻮﻧــﺞ ﻛﻮﻧــﺞ، وﻣﻌﻬــﺪ اﻟﻌــﻤﻼت اﻟﺮﻗﻤﻴــﺔ اﻟﺘﺎﺑــﻊ ﻟﺒﻨــﻚ اﻟﺸــﻌﺐ اﻟﺼﻴﻨــﻲ 
واﻟﻤﺼﺮف اﻟﻤﺮﻛﺰي، ووﺻﻞ اﻟﻤﺸﺮوع ﺣﺎﻟﻴﺎً ﻟﻤﺮاﺣﻠﻪ اﻷﺧﻴﺮة.</x:v>
      </x:c>
      <x:c r="G253" s="34" t="str">
        <x:v>PRD-0001-P0004-U01</x:v>
      </x:c>
      <x:c r="H253" s="34" t="str"/>
      <x:c r="I253" s="34" t="str">
        <x:v>AE_UAE_001</x:v>
      </x:c>
      <x:c r="J253" s="34" t="n">
        <x:v>4</x:v>
      </x:c>
      <x:c r="K253" s="34" t="str">
        <x:v>en</x:v>
      </x:c>
      <x:c r="L253" s="34" t="str">
        <x:v>Central Bank of the United Arab Emirates (Digital Dirham)</x:v>
      </x:c>
      <x:c r="M253" s="34" t="str">
        <x:v>Retain the named authority's own CBDC decisions, explicit proposals, requirements, features, and executed findings. Exclude generic context, literature, foreign projects, and stakeholder views not explicitly adopted by the authority.</x:v>
      </x:c>
      <x:c r="N253" s="34" t="str">
        <x:v>text</x:v>
      </x:c>
      <x:c r="O253" s="34" t="str"/>
      <x:c r="P253" s="38" t="str"/>
      <x:c r="Q253" s="38" t="str"/>
      <x:c r="R253" s="38" t="str"/>
      <x:c r="S253" s="38" t="str"/>
      <x:c r="T253" s="38" t="str"/>
      <x:c r="U253" s="38" t="str"/>
      <x:c r="V253" s="38" t="str"/>
      <x:c r="W253" s="38" t="str"/>
      <x:c r="X253" s="38" t="str"/>
      <x:c r="Y253" s="38" t="str"/>
      <x:c r="Z253" s="38" t="str"/>
      <x:c r="AA253" s="43" t="str">
        <x:f>IF('Instructions'!$B$3="","",'Instructions'!$B$3)</x:f>
      </x:c>
      <x:c r="AB253" s="43" t="str">
        <x:f>IF(P253="","PENDING",IF('Instructions'!$B$3="","SET_INITIALS",IF(P253="keep",IF(OR(Q253="",R253="",S253="",T253="",U253="",W253=""),"INCOMPLETE_KEEP","COMPLETE"),IF(P253="exclude",IF(OR(V253="",W253=""),"INCOMPLETE_EXCLUDE","COMPLETE"),"NEEDS_CONTEXT"))))</x:f>
        <x:v>PENDING</x:v>
      </x:c>
    </x:row>
    <x:row r="254" ht="62" customHeight="1">
      <x:c r="A254" s="34" t="str">
        <x:v>SV-0251</x:v>
      </x:c>
      <x:c r="B254" s="34" t="str">
        <x:v>R3 Corda uses a unique consensus method 
called ‘Notary,’ which acts as a central authority to 
verify the uniqueness of transactions (uniqueness 
consensus). Kaleido Hyperledger Besu uses a 
proof of authority (PoA) consensus method, where 
several validators pre-determined by participants are 
authorized to validate transactions.</x:v>
      </x:c>
      <x:c r="C254" s="34" t="str"/>
      <x:c r="D254" s="34" t="str"/>
      <x:c r="E254" s="34" t="str"/>
      <x:c r="F254" s="34" t="str">
        <x:v>… edger 
structure, which can be simply described as 
recording transactions based on changes in account 
balances.
Privacy solutions on R3 Corda use a vault that 
only stores transactions relevant to its owner. 
Kaleido Hyperledger Besu has a global ledger that 
records all transactions and distributes them to all 
participants, data privacy is achieved through a 
private data manager, which performs encryption 
and decryption of data on the global ledger. Only 
participants involved in a transaction can decrypt 
the data on the global ledger. 
R3 Corda uses a unique consensus method 
called ‘Notary,’ which acts as a central authority to 
verify the uniqueness of transactions (uniqueness 
consensus). Kaleido Hyperledger Besu uses a 
proof of authority (PoA) consensus method, where 
several validators pre-determined by participants are 
authorized to validate transactions.
Project Garuda: Proof of Concept Report   |  DECEMBER 2024
23
© Bank Indonesia 2024. All rights reserved.</x:v>
      </x:c>
      <x:c r="G254" s="34" t="str">
        <x:v>PRD-0037-P0032-U01</x:v>
      </x:c>
      <x:c r="H254" s="34" t="str"/>
      <x:c r="I254" s="34" t="str">
        <x:v>ID_Indonesia_2024</x:v>
      </x:c>
      <x:c r="J254" s="34" t="n">
        <x:v>32</x:v>
      </x:c>
      <x:c r="K254" s="34" t="str">
        <x:v>en</x:v>
      </x:c>
      <x:c r="L254" s="34" t="str">
        <x:v>Bank Indonesia (Digital Rupiah)</x:v>
      </x:c>
      <x:c r="M254" s="34" t="str">
        <x:v>Retain the named authority's own CBDC decisions, explicit proposals, requirements, features, and executed findings. Exclude generic context, literature, foreign projects, and stakeholder views not explicitly adopted by the authority.</x:v>
      </x:c>
      <x:c r="N254" s="34" t="str">
        <x:v>text</x:v>
      </x:c>
      <x:c r="O254" s="34" t="str"/>
      <x:c r="P254" s="38" t="str"/>
      <x:c r="Q254" s="38" t="str"/>
      <x:c r="R254" s="38" t="str"/>
      <x:c r="S254" s="38" t="str"/>
      <x:c r="T254" s="38" t="str"/>
      <x:c r="U254" s="38" t="str"/>
      <x:c r="V254" s="38" t="str"/>
      <x:c r="W254" s="38" t="str"/>
      <x:c r="X254" s="38" t="str"/>
      <x:c r="Y254" s="38" t="str"/>
      <x:c r="Z254" s="38" t="str"/>
      <x:c r="AA254" s="43" t="str">
        <x:f>IF('Instructions'!$B$3="","",'Instructions'!$B$3)</x:f>
      </x:c>
      <x:c r="AB254" s="43" t="str">
        <x:f>IF(P254="","PENDING",IF('Instructions'!$B$3="","SET_INITIALS",IF(P254="keep",IF(OR(Q254="",R254="",S254="",T254="",U254="",W254=""),"INCOMPLETE_KEEP","COMPLETE"),IF(P254="exclude",IF(OR(V254="",W254=""),"INCOMPLETE_EXCLUDE","COMPLETE"),"NEEDS_CONTEXT"))))</x:f>
        <x:v>PENDING</x:v>
      </x:c>
    </x:row>
    <x:row r="255" ht="62" customHeight="1">
      <x:c r="A255" s="34" t="str">
        <x:v>SV-0252</x:v>
      </x:c>
      <x:c r="B255" s="34" t="str">
        <x:v>Для подготовки инфраструктуры участников платформы к обеспечению защиты информации 
при совершении операций с цифровыми рублями Банк России издал Положение № 833-П2, 
исполнение которого проверяется при подключении участника к платформе цифрового рубля 
в соответствии с Условиями по защите информации для участников платформы цифрового рубля, 
опубликованными на официальном сайте Банка России.</x:v>
      </x:c>
      <x:c r="C255" s="34" t="str">
        <x:v>To prepare participants' infrastructure to ensure information protection when conducting digital-ruble operations, the Bank of Russia issued Regulation No. 833-P2, compliance with which is checked when a participant connects to the digital-ruble platform in accordance with the Information Protection Conditions for participants of the digital-ruble platform published on the Bank of Russia's official website.</x:v>
      </x:c>
      <x:c r="D255" s="34" t="str"/>
      <x:c r="E255" s="34" t="str"/>
      <x:c r="F255" s="34" t="str">
        <x:v>… х 
центров, созданных на основе отечественных средств криптографической защиты информации 
(СКЗИ), сертифицированных ФСБ России.
Для обеспечения безопасности и надежности функционирования платформы цифрового рубля 
используются специализированные системы мониторинга информационной безопасности, 
позволяющие оперативно реагировать на любые попытки компьютерных атак и проводить 
обработку инцидентов информационной безопасности с целью защиты финансовых средств 
пользователей и участников платформы цифрового рубля и конфиденциальности информации.
Для подготовки инфраструктуры участников платформы к обеспечению защиты информации 
при совершении операций с цифровыми рублями Банк России издал Положение № 833-П2, 
исполнение которого проверяется при подключении участника к платформе цифрового рубля 
в соответствии с Условиями по защите информации для участников платформы цифрового рубля, 
опубликованными на официальном сайте Банка России.
Пользователи и участники взаимодействуют с платформой цифрового рубля по защищенным 
каналам связи с использованием СКЗИ, сертифицированных ФСБ России.
Все сообщения пользователей, направленные на платформу цифрового рубля, подписываются 
их электронными подписями и хранятся на платформе, что обеспечивает их целостность, 
возможность проверки авторства и проведения объективных претензионных процедур (при 
необходимости).
По результатам анализа лучших практик обеспечения информационной безопасности 
в мобильных приложениях Банком России была ре …</x:v>
      </x:c>
      <x:c r="G255" s="34" t="str">
        <x:v>PRD-0065-P0023-U01</x:v>
      </x:c>
      <x:c r="H255" s="34" t="str"/>
      <x:c r="I255" s="34" t="str">
        <x:v>RU_Russia_digital_ruble_30062025</x:v>
      </x:c>
      <x:c r="J255" s="34" t="n">
        <x:v>23</x:v>
      </x:c>
      <x:c r="K255" s="34" t="str">
        <x:v>ru/uk</x:v>
      </x:c>
      <x:c r="L255" s="34" t="str">
        <x:v>Bank of Russia (digital ruble)</x:v>
      </x:c>
      <x:c r="M255" s="34" t="str">
        <x:v>Retain implemented digital-ruble features, requirements, and reported results.</x:v>
      </x:c>
      <x:c r="N255" s="34" t="str">
        <x:v>text</x:v>
      </x:c>
      <x:c r="O255" s="34" t="str"/>
      <x:c r="P255" s="38" t="str"/>
      <x:c r="Q255" s="38" t="str"/>
      <x:c r="R255" s="38" t="str"/>
      <x:c r="S255" s="38" t="str"/>
      <x:c r="T255" s="38" t="str"/>
      <x:c r="U255" s="38" t="str"/>
      <x:c r="V255" s="38" t="str"/>
      <x:c r="W255" s="38" t="str"/>
      <x:c r="X255" s="38" t="str"/>
      <x:c r="Y255" s="38" t="str"/>
      <x:c r="Z255" s="38" t="str"/>
      <x:c r="AA255" s="43" t="str">
        <x:f>IF('Instructions'!$B$3="","",'Instructions'!$B$3)</x:f>
      </x:c>
      <x:c r="AB255" s="43" t="str">
        <x:f>IF(P255="","PENDING",IF('Instructions'!$B$3="","SET_INITIALS",IF(P255="keep",IF(OR(Q255="",R255="",S255="",T255="",U255="",W255=""),"INCOMPLETE_KEEP","COMPLETE"),IF(P255="exclude",IF(OR(V255="",W255=""),"INCOMPLETE_EXCLUDE","COMPLETE"),"NEEDS_CONTEXT"))))</x:f>
        <x:v>PENDING</x:v>
      </x:c>
    </x:row>
    <x:row r="256" ht="62" customHeight="1">
      <x:c r="A256" s="34" t="str">
        <x:v>SV-0253</x:v>
      </x:c>
      <x:c r="B256" s="34" t="str">
        <x:v>Expanding accessibility to these areas increases the usability and certainty of using 
the digital shekel  for the entire potential user population, enhancing its 
attractiveness.</x:v>
      </x:c>
      <x:c r="C256" s="34" t="str"/>
      <x:c r="D256" s="34" t="str"/>
      <x:c r="E256" s="34" t="str"/>
      <x:c r="F256" s="34" t="str">
        <x:v>The Bank of Israel Steering Com mittee 
for the Potential Issuance of a Digital Shekel 
96 
Expanding accessibility to these areas increases the usability and certainty of using 
the digital shekel  for the entire potential user population, enhancing its 
attractiveness. 
 Redundancy: In the event of an online system failure, the ability to make offline 
digital payments is a crucial component in creating a resilient and stable payment 
system. This reduces dependence on internet and cellular infrastructure and 
increases the overall resilience of the payment system in an era of declining cash 
usage. 
 System performance improvement: Supporting continuous payments, even when 
connectivity issues or disruptions in the central system may arise, will enhance the 
continuity and reliabili ty of the digital shek …</x:v>
      </x:c>
      <x:c r="G256" s="34" t="str">
        <x:v>PRD-0038-P0096-U01</x:v>
      </x:c>
      <x:c r="H256" s="34" t="str"/>
      <x:c r="I256" s="34" t="str">
        <x:v>IL_BoI_2024</x:v>
      </x:c>
      <x:c r="J256" s="34" t="n">
        <x:v>96</x:v>
      </x:c>
      <x:c r="K256" s="34" t="str">
        <x:v>en</x:v>
      </x:c>
      <x:c r="L256" s="34" t="str">
        <x:v>Bank of Israel (digital shekel)</x:v>
      </x:c>
      <x:c r="M256" s="34" t="str">
        <x:v>Retain the named authority's own CBDC decisions, explicit proposals, requirements, features, and executed findings. Exclude generic context, literature, foreign projects, and stakeholder views not explicitly adopted by the authority.</x:v>
      </x:c>
      <x:c r="N256" s="34" t="str">
        <x:v>text</x:v>
      </x:c>
      <x:c r="O256" s="34" t="str"/>
      <x:c r="P256" s="38" t="str"/>
      <x:c r="Q256" s="38" t="str"/>
      <x:c r="R256" s="38" t="str"/>
      <x:c r="S256" s="38" t="str"/>
      <x:c r="T256" s="38" t="str"/>
      <x:c r="U256" s="38" t="str"/>
      <x:c r="V256" s="38" t="str"/>
      <x:c r="W256" s="38" t="str"/>
      <x:c r="X256" s="38" t="str"/>
      <x:c r="Y256" s="38" t="str"/>
      <x:c r="Z256" s="38" t="str"/>
      <x:c r="AA256" s="43" t="str">
        <x:f>IF('Instructions'!$B$3="","",'Instructions'!$B$3)</x:f>
      </x:c>
      <x:c r="AB256" s="43" t="str">
        <x:f>IF(P256="","PENDING",IF('Instructions'!$B$3="","SET_INITIALS",IF(P256="keep",IF(OR(Q256="",R256="",S256="",T256="",U256="",W256=""),"INCOMPLETE_KEEP","COMPLETE"),IF(P256="exclude",IF(OR(V256="",W256=""),"INCOMPLETE_EXCLUDE","COMPLETE"),"NEEDS_CONTEXT"))))</x:f>
        <x:v>PENDING</x:v>
      </x:c>
    </x:row>
    <x:row r="257" ht="62" customHeight="1">
      <x:c r="A257" s="34" t="str">
        <x:v>SV-0254</x:v>
      </x:c>
      <x:c r="B257" s="34" t="str">
        <x:v>the eCedi has to be under full control of 
BoG, being the only entity to create and destroy 
digital cash.</x:v>
      </x:c>
      <x:c r="C257" s="34" t="str"/>
      <x:c r="D257" s="34" t="str"/>
      <x:c r="E257" s="34" t="str"/>
      <x:c r="F257" s="34" t="str">
        <x:v>… lity
• Interoperability with existing payment  
infrastructure on the Ghanaian market
• Potential for the programmable payments
• Potential for cross border payments
Infrastructure
• Highest security requirements
• Supports high transaction volumes
• Strong resilience and availability
• Payments are instant
Fig. 9 Design principles of the eCedi
The core principles of the design of the eCedi are 
built around the discussions and the analysis of the 
ongoing projects as well as the existing conditions 
of the financial system in Ghana.
Foremost, the eCedi has to be under full control of 
BoG, being the only entity to create and destroy 
digital cash. Simultaneously, the ecosystem of 
eCedi should include the participation of banks, 
SDIs and PSPs to facilitate interaction between the 
central bank and end consumers. This will be an 
approach to encourage adoption through user-
focused value-added services, accessibility and 
innovation on the back of the eCedi.
The eCedi has to provide transparency of 
consumers and transactions in order to mitigate 
money laundering in the eCedi ecosystem.  
The eCedi might become a target for cyber-attacks 
of all sorts, similar to counterfeiting banknot …</x:v>
      </x:c>
      <x:c r="G257" s="34" t="str">
        <x:v>PRD-0030-P0025-U01</x:v>
      </x:c>
      <x:c r="H257" s="34" t="str"/>
      <x:c r="I257" s="34" t="str">
        <x:v>GH_Ghana_2021</x:v>
      </x:c>
      <x:c r="J257" s="34" t="n">
        <x:v>25</x:v>
      </x:c>
      <x:c r="K257" s="34" t="str">
        <x:v>en</x:v>
      </x:c>
      <x:c r="L257" s="34" t="str">
        <x:v>Bank of Ghana (eCedi)</x:v>
      </x:c>
      <x:c r="M257" s="34" t="str">
        <x:v>Retain Bank of Ghana eCedi design positions and requirements; exclude general CBDC literature.</x:v>
      </x:c>
      <x:c r="N257" s="34" t="str">
        <x:v>text</x:v>
      </x:c>
      <x:c r="O257" s="34" t="str"/>
      <x:c r="P257" s="38" t="str"/>
      <x:c r="Q257" s="38" t="str"/>
      <x:c r="R257" s="38" t="str"/>
      <x:c r="S257" s="38" t="str"/>
      <x:c r="T257" s="38" t="str"/>
      <x:c r="U257" s="38" t="str"/>
      <x:c r="V257" s="38" t="str"/>
      <x:c r="W257" s="38" t="str"/>
      <x:c r="X257" s="38" t="str"/>
      <x:c r="Y257" s="38" t="str"/>
      <x:c r="Z257" s="38" t="str"/>
      <x:c r="AA257" s="43" t="str">
        <x:f>IF('Instructions'!$B$3="","",'Instructions'!$B$3)</x:f>
      </x:c>
      <x:c r="AB257" s="43" t="str">
        <x:f>IF(P257="","PENDING",IF('Instructions'!$B$3="","SET_INITIALS",IF(P257="keep",IF(OR(Q257="",R257="",S257="",T257="",U257="",W257=""),"INCOMPLETE_KEEP","COMPLETE"),IF(P257="exclude",IF(OR(V257="",W257=""),"INCOMPLETE_EXCLUDE","COMPLETE"),"NEEDS_CONTEXT"))))</x:f>
        <x:v>PENDING</x:v>
      </x:c>
    </x:row>
    <x:row r="258" ht="62" customHeight="1">
      <x:c r="A258" s="34" t="str">
        <x:v>SV-0255</x:v>
      </x:c>
      <x:c r="B258" s="34" t="str">
        <x:v>accessible</x:v>
      </x:c>
      <x:c r="C258" s="34" t="str">
        <x:v>accessible</x:v>
      </x:c>
      <x:c r="D258" s="34" t="str"/>
      <x:c r="E258" s="34" t="str"/>
      <x:c r="F258" s="34" t="str">
        <x:v>…  déploiement et la mise en 
production. La réalisation de 
cette deuxième phase est 
conditionnée par les résultats de 
la phase expérimentale. 
L’e-Ariary, dans la vision de BFM 
L’e-Ariary serait un instrument important qui permettrait à BFM d’évoluer au rythme de la 
digitalisation. Ainsi, si l’expérimentation s’avère positive, l’e-Ariary serait déployée et se présenterait 
sous la forme d’une monnaie digitale mise à la disposition du public, en complément des billets de 
banque, en tant que moyen de paiement sécurisé, facile d’utilisation, accessible et ayant cours légal sur le 
territoire national. Par ailleurs, l’e-Ariary présenterait les avantages offerts par les solutions de paiement 
privées, tout en bénéficiant de la régulation et du contrôle de l’Autorité monétaire.</x:v>
      </x:c>
      <x:c r="G258" s="34" t="str">
        <x:v>PRD-0048-P0001-U01</x:v>
      </x:c>
      <x:c r="H258" s="34" t="str"/>
      <x:c r="I258" s="34" t="str">
        <x:v>MG_BFM_OP_2023</x:v>
      </x:c>
      <x:c r="J258" s="34" t="n">
        <x:v>1</x:v>
      </x:c>
      <x:c r="K258" s="34" t="str">
        <x:v>es</x:v>
      </x:c>
      <x:c r="L258" s="34" t="str">
        <x:v>Banky Foiben'i Madagasikara (e-Ariary)</x:v>
      </x:c>
      <x:c r="M258" s="34" t="str">
        <x:v>Retain the named authority's own CBDC decisions, explicit proposals, requirements, features, and executed findings. Exclude generic context, literature, foreign projects, and stakeholder views not explicitly adopted by the authority.</x:v>
      </x:c>
      <x:c r="N258" s="34" t="str">
        <x:v>text</x:v>
      </x:c>
      <x:c r="O258" s="34" t="str"/>
      <x:c r="P258" s="38" t="str"/>
      <x:c r="Q258" s="38" t="str"/>
      <x:c r="R258" s="38" t="str"/>
      <x:c r="S258" s="38" t="str"/>
      <x:c r="T258" s="38" t="str"/>
      <x:c r="U258" s="38" t="str"/>
      <x:c r="V258" s="38" t="str"/>
      <x:c r="W258" s="38" t="str"/>
      <x:c r="X258" s="38" t="str"/>
      <x:c r="Y258" s="38" t="str"/>
      <x:c r="Z258" s="38" t="str"/>
      <x:c r="AA258" s="43" t="str">
        <x:f>IF('Instructions'!$B$3="","",'Instructions'!$B$3)</x:f>
      </x:c>
      <x:c r="AB258" s="43" t="str">
        <x:f>IF(P258="","PENDING",IF('Instructions'!$B$3="","SET_INITIALS",IF(P258="keep",IF(OR(Q258="",R258="",S258="",T258="",U258="",W258=""),"INCOMPLETE_KEEP","COMPLETE"),IF(P258="exclude",IF(OR(V258="",W258=""),"INCOMPLETE_EXCLUDE","COMPLETE"),"NEEDS_CONTEXT"))))</x:f>
        <x:v>PENDING</x:v>
      </x:c>
    </x:row>
    <x:row r="259" ht="62" customHeight="1">
      <x:c r="A259" s="34" t="str">
        <x:v>SV-0256</x:v>
      </x:c>
      <x:c r="B259" s="34" t="str">
        <x:v>Esta arquitectura deberá 
garantizar la continuidad operativa a toda hora, todos los días con latencias mínimas y 
tolerancia a ataques de denegación de servicio o accesos no autorizados.</x:v>
      </x:c>
      <x:c r="C259" s="34" t="str">
        <x:v>This architecture must guarantee operational continuity around the clock, every day, with minimal latency and tolerance of denial-of-service attacks or unauthorized access.</x:v>
      </x:c>
      <x:c r="D259" s="34" t="str"/>
      <x:c r="E259" s="34" t="str"/>
      <x:c r="F259" s="34" t="str">
        <x:v>… ncia de los esquemas minoristas donde el riesgo está disperso entre 
millones de usuarios finales, en una arquitectura interbancaria, los nodos participantes 
concentran operaciones críticas de gran volumen, lo que eleva el impacto potencial 
de cualquier brecha de seguridad. Por tanto, el sistema debe incorporar estándares 
internacionales de ciberseguridad como ISO/IEC 27001, mecanismos de verificación 
múltiple (MFA), gestión automatizada de incidentes, protocolos de recuperación 
ante fallos (BCP) y pruebas continuas de estrés tecnológico. Esta arquitectura deberá 
garantizar la continuidad operativa a toda hora, todos los días con latencias mínimas y 
tolerancia a ataques de denegación de servicio o accesos no autorizados.
En un entorno mayorista, la privacidad no alude al anonimato de los usuarios, sino a la 
confidencialidad de las operaciones financieras realizadas por instituciones reguladas. 
Si bien toda operación en el sistema de pagos de alto valor es trazable para el BCB, 
se debe preservar el principio de compartimentación, mediante canales cifrados, 
validaciones por niveles jerárquicos y mecanismos de privacy by design. En este sentido, 
18 BIS Innovation Hub; Swiss National Bank; y SIX. (2022). Project Helvetia Phase II: settling 
tokenised assets i …</x:v>
      </x:c>
      <x:c r="G259" s="34" t="str">
        <x:v>PRD-0010-P0049-U01</x:v>
      </x:c>
      <x:c r="H259" s="34" t="str"/>
      <x:c r="I259" s="34" t="str">
        <x:v>BO_BCB_Boliviano_Digital_2025</x:v>
      </x:c>
      <x:c r="J259" s="34" t="n">
        <x:v>49</x:v>
      </x:c>
      <x:c r="K259" s="34" t="str">
        <x:v>es</x:v>
      </x:c>
      <x:c r="L259" s="34" t="str">
        <x:v>Banco Central de Bolivia (Boliviano Digital)</x:v>
      </x:c>
      <x:c r="M259" s="34" t="str">
        <x:v>Retain BCB project decisions, proposals, requirements, and findings; exclude headings and generic background.</x:v>
      </x:c>
      <x:c r="N259" s="34" t="str">
        <x:v>text</x:v>
      </x:c>
      <x:c r="O259" s="34" t="str"/>
      <x:c r="P259" s="38" t="str"/>
      <x:c r="Q259" s="38" t="str"/>
      <x:c r="R259" s="38" t="str"/>
      <x:c r="S259" s="38" t="str"/>
      <x:c r="T259" s="38" t="str"/>
      <x:c r="U259" s="38" t="str"/>
      <x:c r="V259" s="38" t="str"/>
      <x:c r="W259" s="38" t="str"/>
      <x:c r="X259" s="38" t="str"/>
      <x:c r="Y259" s="38" t="str"/>
      <x:c r="Z259" s="38" t="str"/>
      <x:c r="AA259" s="43" t="str">
        <x:f>IF('Instructions'!$B$3="","",'Instructions'!$B$3)</x:f>
      </x:c>
      <x:c r="AB259" s="43" t="str">
        <x:f>IF(P259="","PENDING",IF('Instructions'!$B$3="","SET_INITIALS",IF(P259="keep",IF(OR(Q259="",R259="",S259="",T259="",U259="",W259=""),"INCOMPLETE_KEEP","COMPLETE"),IF(P259="exclude",IF(OR(V259="",W259=""),"INCOMPLETE_EXCLUDE","COMPLETE"),"NEEDS_CONTEXT"))))</x:f>
        <x:v>PENDING</x:v>
      </x:c>
    </x:row>
    <x:row r="260" ht="62" customHeight="1">
      <x:c r="A260" s="34" t="str">
        <x:v>SV-0257</x:v>
      </x:c>
      <x:c r="B260" s="34" t="str">
        <x:v>the AMCM will prioritise initiating trials of cross-
border payments between Macao and the Mainland in the In-Depth 
Cooperation Zone.  This endeavour aims to explore the use of e-MOP 
in Hengqin, creating a financial environment facilitating Macao 
residents to live and work in the In-Depth Cooperation Zone.</x:v>
      </x:c>
      <x:c r="C260" s="34" t="str"/>
      <x:c r="D260" s="34" t="str"/>
      <x:c r="E260" s="34" t="str"/>
      <x:c r="F260" s="34" t="str">
        <x:v>…  be used in small-value transactions in the In-Depth 
Cooperation Zone.
8.9. Since the launch of the e-CNY pilot programme by the PBOC 
in 2019, pilots have been carried out not only in Mainland cities 
such as Shenzhen in the GBA, but also cross-border payment 
pilots in Hong Kong SAR.  The GBA possesses unique institutional 
advantages of “one country, two systems, three customs zones 
and three legal tenders”, not to mention the Central Government’s 
policy support for financial development in the In-Depth Cooperation 
Zone.  In the future, the AMCM will prioritise initiating trials of cross-
border payments between Macao and the Mainland in the In-Depth 
Cooperation Zone.  This endeavour aims to explore the use of e-MOP 
in Hengqin, creating a financial environment facilitating Macao 
residents to live and work in the In-Depth Cooperation Zone.</x:v>
      </x:c>
      <x:c r="G260" s="34" t="str">
        <x:v>PRD-0050-P0058-U01</x:v>
      </x:c>
      <x:c r="H260" s="34" t="str"/>
      <x:c r="I260" s="34" t="str">
        <x:v>MO_AMCM_eMOP_WP</x:v>
      </x:c>
      <x:c r="J260" s="34" t="n">
        <x:v>58</x:v>
      </x:c>
      <x:c r="K260" s="34" t="str">
        <x:v>en</x:v>
      </x:c>
      <x:c r="L260" s="34" t="str">
        <x:v>Monetary Authority of Macao (e-MOP)</x:v>
      </x:c>
      <x:c r="M260" s="34" t="str">
        <x:v>Retain AMCM e-MOP decisions, aims, features, and requirements. Exclude incomplete OCR fragments.</x:v>
      </x:c>
      <x:c r="N260" s="34" t="str">
        <x:v>text</x:v>
      </x:c>
      <x:c r="O260" s="34" t="str"/>
      <x:c r="P260" s="38" t="str"/>
      <x:c r="Q260" s="38" t="str"/>
      <x:c r="R260" s="38" t="str"/>
      <x:c r="S260" s="38" t="str"/>
      <x:c r="T260" s="38" t="str"/>
      <x:c r="U260" s="38" t="str"/>
      <x:c r="V260" s="38" t="str"/>
      <x:c r="W260" s="38" t="str"/>
      <x:c r="X260" s="38" t="str"/>
      <x:c r="Y260" s="38" t="str"/>
      <x:c r="Z260" s="38" t="str"/>
      <x:c r="AA260" s="43" t="str">
        <x:f>IF('Instructions'!$B$3="","",'Instructions'!$B$3)</x:f>
      </x:c>
      <x:c r="AB260" s="43" t="str">
        <x:f>IF(P260="","PENDING",IF('Instructions'!$B$3="","SET_INITIALS",IF(P260="keep",IF(OR(Q260="",R260="",S260="",T260="",U260="",W260=""),"INCOMPLETE_KEEP","COMPLETE"),IF(P260="exclude",IF(OR(V260="",W260=""),"INCOMPLETE_EXCLUDE","COMPLETE"),"NEEDS_CONTEXT"))))</x:f>
        <x:v>PENDING</x:v>
      </x:c>
    </x:row>
    <x:row r="261" ht="62" customHeight="1">
      <x:c r="A261" s="34" t="str">
        <x:v>SV-0258</x:v>
      </x:c>
      <x:c r="B261" s="34" t="str">
        <x:v>Resilient: any CBDC payment system must be able to recover from operational disruption, for example from 
hardware or software failures. It is also important to minimise any credit and liquidity risk arising in the wider 
CBDC ecosystem.</x:v>
      </x:c>
      <x:c r="C261" s="34" t="str"/>
      <x:c r="D261" s="34" t="str"/>
      <x:c r="E261" s="34" t="str"/>
      <x:c r="F261" s="34" t="str">
        <x:v>… g design principles. For each, we have a described an ideal case. 
However, in the real world there will be trade‑offs between different principles, making it impossible to achieve 
the best outcome for every principle. Consequently, if we were to issue CBDC, we would need to make careful 
choices about which principles to prioritise, and the optimal trade‑offs between them.
Reliable and resilient
The Bank’s primary objectives require that any CBDC payment system must be reliable and resilient. This requires 
that any CBDC should need to be:
• Resilient: any CBDC payment system must be able to recover from operational disruption, for example from 
hardware or software failures. It is also important to minimise any credit and liquidity risk arising in the wider 
CBDC ecosystem.
• Secure: CBDC should follow the highest standards of cyber‑security against fraud and cyber‑attacks. There 
would need to be clear policies around who is responsible for redress in the case of fraudulent payments.
• Available: CBDC should provide 24/7 payments with no planned downtime.
• Scalable: the technology powering CBDC payments should be able to handle increased volumes if demand for 
CBDC payments increases significantly.
• Compliant: CBDC should be compliant with regulations around anti‑money laundering (AML), the countering 
the fin …</x:v>
      </x:c>
      <x:c r="G261" s="34" t="str">
        <x:v>PRD-0075-P0023-U01</x:v>
      </x:c>
      <x:c r="H261" s="34" t="str"/>
      <x:c r="I261" s="34" t="str">
        <x:v>UK_BoE_2020_OpportChall</x:v>
      </x:c>
      <x:c r="J261" s="34" t="n">
        <x:v>23</x:v>
      </x:c>
      <x:c r="K261" s="34" t="str">
        <x:v>en</x:v>
      </x:c>
      <x:c r="L261" s="34" t="str">
        <x:v>Bank of England and HM Treasury (digital pound)</x:v>
      </x:c>
      <x:c r="M261" s="34" t="str">
        <x:v>Retain the named authority's own CBDC decisions, explicit proposals, requirements, features, and executed findings. Exclude generic context, literature, foreign projects, and stakeholder views not explicitly adopted by the authority.</x:v>
      </x:c>
      <x:c r="N261" s="34" t="str">
        <x:v>text</x:v>
      </x:c>
      <x:c r="O261" s="34" t="str"/>
      <x:c r="P261" s="38" t="str"/>
      <x:c r="Q261" s="38" t="str"/>
      <x:c r="R261" s="38" t="str"/>
      <x:c r="S261" s="38" t="str"/>
      <x:c r="T261" s="38" t="str"/>
      <x:c r="U261" s="38" t="str"/>
      <x:c r="V261" s="38" t="str"/>
      <x:c r="W261" s="38" t="str"/>
      <x:c r="X261" s="38" t="str"/>
      <x:c r="Y261" s="38" t="str"/>
      <x:c r="Z261" s="38" t="str"/>
      <x:c r="AA261" s="43" t="str">
        <x:f>IF('Instructions'!$B$3="","",'Instructions'!$B$3)</x:f>
      </x:c>
      <x:c r="AB261" s="43" t="str">
        <x:f>IF(P261="","PENDING",IF('Instructions'!$B$3="","SET_INITIALS",IF(P261="keep",IF(OR(Q261="",R261="",S261="",T261="",U261="",W261=""),"INCOMPLETE_KEEP","COMPLETE"),IF(P261="exclude",IF(OR(V261="",W261=""),"INCOMPLETE_EXCLUDE","COMPLETE"),"NEEDS_CONTEXT"))))</x:f>
        <x:v>PENDING</x:v>
      </x:c>
    </x:row>
    <x:row r="262" ht="62" customHeight="1">
      <x:c r="A262" s="34" t="str">
        <x:v>SV-0259</x:v>
      </x:c>
      <x:c r="B262" s="34" t="str">
        <x:v>The MNB learns and gathers experience through fully fledged tests, involving real consumers.</x:v>
      </x:c>
      <x:c r="C262" s="34" t="str"/>
      <x:c r="D262" s="34" t="str"/>
      <x:c r="E262" s="34" t="str"/>
      <x:c r="F262" s="34" t="str">
        <x:v>… maintaining its own and the country ’s monetary 
sovereignty, it can also define its concept for central bank digital currency independently, 
according to the domestic environment and criteria, while keeping abreast of international 
research and developments. In light of this, it will continue  to explore the possibilities for 
identifying those market failures or policy considerations of strategic importance that could be the 
basis for a central bank digital currency strategy with greater added value, aligned in its concept 
and design.4  
The MNB learns and gathers experience through fully fledged tests, involving real consumers. An 
important part of research on central bank digital currency is to understand and monitor user and 
technological trends. The MNB is doing this through a unique approach among central banks, 
which is essentially the approach of market participants, throug h services provided to real 
consumers. Our aim is to launch pilot projects in as many areas as possible, covering a wide range 
of technological and functional implementation directions for central bank digital currency, which 
are targeted, end-to-end implementations of use cases that o …</x:v>
      </x:c>
      <x:c r="G262" s="34" t="str">
        <x:v>PRD-0034-P0007-U01</x:v>
      </x:c>
      <x:c r="H262" s="34" t="str"/>
      <x:c r="I262" s="34" t="str">
        <x:v>HU_Hungary_2025</x:v>
      </x:c>
      <x:c r="J262" s="34" t="n">
        <x:v>7</x:v>
      </x:c>
      <x:c r="K262" s="34" t="str">
        <x:v>en</x:v>
      </x:c>
      <x:c r="L262" s="34" t="str">
        <x:v>Magyar Nemzeti Bank (Student Safe / retail CBDC pilot context)</x:v>
      </x:c>
      <x:c r="M262" s="34" t="str">
        <x:v>Retain concrete central-bank pilot features and executed findings. Exclude educational framing, generic CBDC discussion, and unadopted recommendations.</x:v>
      </x:c>
      <x:c r="N262" s="34" t="str">
        <x:v>text</x:v>
      </x:c>
      <x:c r="O262" s="34" t="str"/>
      <x:c r="P262" s="38" t="str"/>
      <x:c r="Q262" s="38" t="str"/>
      <x:c r="R262" s="38" t="str"/>
      <x:c r="S262" s="38" t="str"/>
      <x:c r="T262" s="38" t="str"/>
      <x:c r="U262" s="38" t="str"/>
      <x:c r="V262" s="38" t="str"/>
      <x:c r="W262" s="38" t="str"/>
      <x:c r="X262" s="38" t="str"/>
      <x:c r="Y262" s="38" t="str"/>
      <x:c r="Z262" s="38" t="str"/>
      <x:c r="AA262" s="43" t="str">
        <x:f>IF('Instructions'!$B$3="","",'Instructions'!$B$3)</x:f>
      </x:c>
      <x:c r="AB262" s="43" t="str">
        <x:f>IF(P262="","PENDING",IF('Instructions'!$B$3="","SET_INITIALS",IF(P262="keep",IF(OR(Q262="",R262="",S262="",T262="",U262="",W262=""),"INCOMPLETE_KEEP","COMPLETE"),IF(P262="exclude",IF(OR(V262="",W262=""),"INCOMPLETE_EXCLUDE","COMPLETE"),"NEEDS_CONTEXT"))))</x:f>
        <x:v>PENDING</x:v>
      </x:c>
    </x:row>
    <x:row r="263" ht="62" customHeight="1">
      <x:c r="A263" s="34" t="str">
        <x:v>SV-0260</x:v>
      </x:c>
      <x:c r="B263" s="34" t="str">
        <x:v>By the Riksbank requiring participants in RIX-INST to accept more 
types of instant payments from the autumn of 2024, users in Sweden can have 
greater choice.</x:v>
      </x:c>
      <x:c r="C263" s="34" t="str"/>
      <x:c r="D263" s="34" t="str"/>
      <x:c r="E263" s="34" t="str"/>
      <x:c r="F263" s="34" t="str">
        <x:v>… not apply to transactions in Swedish kronor. The Riksbank has previously, in the 
consultation response to the Payments Inquiry (SOU 2023:16), expressed that it is im-
portant that Swedish legislation is also adapted to include an obligation to provide in-
stant payments in Swedish kronor. This is because firms and consumers expect pay-
ments to be made quickly and securely and to keep up with developments in interna-
tional payments markets. 
In Sweden, there is currently no possibility to make instant payments via online and 
mobile banking. By the Riksbank requiring participants in RIX-INST to accept more 
types of instant payments from the autumn of 2024, users in Sweden can have 
greater choice. For example, a customer may want to make an invoice payment in 
their online bank that will reach the recipient immediately.  
Instant payments increase efficiency  
Instant payments have become an increasingly important part of the payments mar-
ket as the digital economy develops and consumer expectations for fast and conven-
ient financial services grow. With instant payments, intermediaries disappear and 
transaction times are shortened. This reduces the economic costs of payments, which 
benefits both businesses and consumers. Companies c …</x:v>
      </x:c>
      <x:c r="G263" s="34" t="str">
        <x:v>PRD-0102-P0042-U01</x:v>
      </x:c>
      <x:c r="H263" s="34" t="str"/>
      <x:c r="I263" s="34" t="str">
        <x:v>SE_Riksbank_PaymentsReport_2025</x:v>
      </x:c>
      <x:c r="J263" s="34" t="n">
        <x:v>42</x:v>
      </x:c>
      <x:c r="K263" s="34" t="str">
        <x:v>en</x:v>
      </x:c>
      <x:c r="L263" s="34" t="str">
        <x:v>Sveriges Riksbank</x:v>
      </x:c>
      <x:c r="M263" s="34" t="str">
        <x:v>Retain the named authority's own CBDC decisions, explicit proposals, requirements, features, and executed findings. Exclude generic context, literature, foreign projects, and stakeholder views not explicitly adopted by the authority.</x:v>
      </x:c>
      <x:c r="N263" s="34" t="str">
        <x:v>text</x:v>
      </x:c>
      <x:c r="O263" s="34" t="str"/>
      <x:c r="P263" s="38" t="str"/>
      <x:c r="Q263" s="38" t="str"/>
      <x:c r="R263" s="38" t="str"/>
      <x:c r="S263" s="38" t="str"/>
      <x:c r="T263" s="38" t="str"/>
      <x:c r="U263" s="38" t="str"/>
      <x:c r="V263" s="38" t="str"/>
      <x:c r="W263" s="38" t="str"/>
      <x:c r="X263" s="38" t="str"/>
      <x:c r="Y263" s="38" t="str"/>
      <x:c r="Z263" s="38" t="str"/>
      <x:c r="AA263" s="43" t="str">
        <x:f>IF('Instructions'!$B$3="","",'Instructions'!$B$3)</x:f>
      </x:c>
      <x:c r="AB263" s="43" t="str">
        <x:f>IF(P263="","PENDING",IF('Instructions'!$B$3="","SET_INITIALS",IF(P263="keep",IF(OR(Q263="",R263="",S263="",T263="",U263="",W263=""),"INCOMPLETE_KEEP","COMPLETE"),IF(P263="exclude",IF(OR(V263="",W263=""),"INCOMPLETE_EXCLUDE","COMPLETE"),"NEEDS_CONTEXT"))))</x:f>
        <x:v>PENDING</x:v>
      </x:c>
    </x:row>
    <x:row r="264" ht="62" customHeight="1">
      <x:c r="A264" s="34" t="str">
        <x:v>SV-0261</x:v>
      </x:c>
      <x:c r="B264" s="34" t="str">
        <x:v>End user should be able to use the system safely and with ease.</x:v>
      </x:c>
      <x:c r="C264" s="34" t="str"/>
      <x:c r="D264" s="34" t="str"/>
      <x:c r="E264" s="34" t="str"/>
      <x:c r="F264" s="34" t="str">
        <x:v>18
Scalability
The system should be able to fulfill requests at times of high traffic, 
without its performance being impaired.
Security 
The system should be highly resistant to internal and external 
attacks.
User Experience
End user should be able to use the system safely and with ease.
Convertibility 
The system should allow for continuous convertibility between 
digital and other forms of the Turkish lira.
Transaction Capacity
Technical capacity should be provided to handle daily money 
traffic instantaneously.
Resilience and Availability 
The system must be resilient to failures and continuously 
accessible.
Regulatory Compliance 
National and international legislation must be followed.
2.1 Key Requirements
Central Bank Digital 
Currency Requirements, 
Principles and Approaches
2.1 Key Requirements
2.3 Current Approach
2.2 …</x:v>
      </x:c>
      <x:c r="G264" s="34" t="str">
        <x:v>PRD-0072-P0018-U01</x:v>
      </x:c>
      <x:c r="H264" s="34" t="str"/>
      <x:c r="I264" s="34" t="str">
        <x:v>TR_Turkey_Digital_Turkish_Lira_First_Phase_Evaluation_Report</x:v>
      </x:c>
      <x:c r="J264" s="34" t="n">
        <x:v>18</x:v>
      </x:c>
      <x:c r="K264" s="34" t="str">
        <x:v>en</x:v>
      </x:c>
      <x:c r="L264" s="34" t="str">
        <x:v>Central Bank of the Republic of Turkiye (Digital Turkish Lira)</x:v>
      </x:c>
      <x:c r="M264" s="34" t="str">
        <x:v>Retain CBRT adopted features, explicit proposals/requirements, and executed Phase 1 results. Exclude lists of future work without a conclusion.</x:v>
      </x:c>
      <x:c r="N264" s="34" t="str">
        <x:v>text</x:v>
      </x:c>
      <x:c r="O264" s="34" t="str"/>
      <x:c r="P264" s="38" t="str"/>
      <x:c r="Q264" s="38" t="str"/>
      <x:c r="R264" s="38" t="str"/>
      <x:c r="S264" s="38" t="str"/>
      <x:c r="T264" s="38" t="str"/>
      <x:c r="U264" s="38" t="str"/>
      <x:c r="V264" s="38" t="str"/>
      <x:c r="W264" s="38" t="str"/>
      <x:c r="X264" s="38" t="str"/>
      <x:c r="Y264" s="38" t="str"/>
      <x:c r="Z264" s="38" t="str"/>
      <x:c r="AA264" s="43" t="str">
        <x:f>IF('Instructions'!$B$3="","",'Instructions'!$B$3)</x:f>
      </x:c>
      <x:c r="AB264" s="43" t="str">
        <x:f>IF(P264="","PENDING",IF('Instructions'!$B$3="","SET_INITIALS",IF(P264="keep",IF(OR(Q264="",R264="",S264="",T264="",U264="",W264=""),"INCOMPLETE_KEEP","COMPLETE"),IF(P264="exclude",IF(OR(V264="",W264=""),"INCOMPLETE_EXCLUDE","COMPLETE"),"NEEDS_CONTEXT"))))</x:f>
        <x:v>PENDING</x:v>
      </x:c>
    </x:row>
    <x:row r="265" ht="62" customHeight="1">
      <x:c r="A265" s="34" t="str">
        <x:v>SV-0262</x:v>
      </x:c>
      <x:c r="B265" s="34" t="str">
        <x:v>digital money was used for small payments and transfers as a 
complement to existing means of payment.</x:v>
      </x:c>
      <x:c r="C265" s="34" t="str"/>
      <x:c r="D265" s="34" t="str"/>
      <x:c r="E265" s="34" t="str"/>
      <x:c r="F265" s="34" t="str">
        <x:v>… is new payment 
instrument affects the payment ecosystem. 
The lessons learned from the e -Peso pilot plan address this objectives: reputation  is key for 
central banks’ decision on CBDC, financial inclusion and cultural reasons have to be 
included in the CBDC designing pr ocess, in the era of technological irruptions CBDC must 
keep the technological solution as simple as possible, cybersecurity a spects and traceable 
transfers are central for operational risk problems, in the e -Peso token was a good so lution 
for CBDC implementation and digital money was used for small payments and transfers as a 
complement to existing means of payment. The conclusions highlight that CBDC choices are 
not only based on technical considerations but also on cultural implications of the use of 
money. 
In this sense, this paper constitutes a cartography of the aspects that central banks consider in 
the configuration of a d igital currency pilot plan. For this p ropose the first part present s a</x:v>
      </x:c>
      <x:c r="G265" s="34" t="str">
        <x:v>PRD-0083-P0002-U01</x:v>
      </x:c>
      <x:c r="H265" s="34" t="str"/>
      <x:c r="I265" s="34" t="str">
        <x:v>UY_BCU_Seven_Lessons_2022</x:v>
      </x:c>
      <x:c r="J265" s="34" t="n">
        <x:v>2</x:v>
      </x:c>
      <x:c r="K265" s="34" t="str">
        <x:v>en</x:v>
      </x:c>
      <x:c r="L265" s="34" t="str">
        <x:v>Banco Central del Uruguay (e-Peso pilot)</x:v>
      </x:c>
      <x:c r="M265" s="34" t="str">
        <x:v>Retain BCU own-pilot findings and resulting design lessons; exclude cited literature.</x:v>
      </x:c>
      <x:c r="N265" s="34" t="str">
        <x:v>text</x:v>
      </x:c>
      <x:c r="O265" s="34" t="str"/>
      <x:c r="P265" s="38" t="str"/>
      <x:c r="Q265" s="38" t="str"/>
      <x:c r="R265" s="38" t="str"/>
      <x:c r="S265" s="38" t="str"/>
      <x:c r="T265" s="38" t="str"/>
      <x:c r="U265" s="38" t="str"/>
      <x:c r="V265" s="38" t="str"/>
      <x:c r="W265" s="38" t="str"/>
      <x:c r="X265" s="38" t="str"/>
      <x:c r="Y265" s="38" t="str"/>
      <x:c r="Z265" s="38" t="str"/>
      <x:c r="AA265" s="43" t="str">
        <x:f>IF('Instructions'!$B$3="","",'Instructions'!$B$3)</x:f>
      </x:c>
      <x:c r="AB265" s="43" t="str">
        <x:f>IF(P265="","PENDING",IF('Instructions'!$B$3="","SET_INITIALS",IF(P265="keep",IF(OR(Q265="",R265="",S265="",T265="",U265="",W265=""),"INCOMPLETE_KEEP","COMPLETE"),IF(P265="exclude",IF(OR(V265="",W265=""),"INCOMPLETE_EXCLUDE","COMPLETE"),"NEEDS_CONTEXT"))))</x:f>
        <x:v>PENDING</x:v>
      </x:c>
    </x:row>
    <x:row r="266" ht="62" customHeight="1">
      <x:c r="A266" s="34" t="str">
        <x:v>SV-0263</x:v>
      </x:c>
      <x:c r="B266" s="34" t="str">
        <x:v>PBM smart contracts, if deployed onto public 
ledgers, offer greater transparency for government 
social programmes.</x:v>
      </x:c>
      <x:c r="C266" s="34" t="str"/>
      <x:c r="D266" s="34" t="str"/>
      <x:c r="E266" s="34" t="str"/>
      <x:c r="F266" s="34" t="str">
        <x:v>… atform would be able to support a new 
voucher campaign easily. As the conditions are 
defined by the PBM Creator and enforced through 
smart contracts, there is no additional effort for 
merchants. The merchants receive digital SGD and 
not the vouchers, hence the programming logic 
specified by the PBM Creator is transparent to 
them. Unlike existing mechanisms, PBM Creators 
do not need to sign contracts with individual 
merchants for each new voucher scheme.  
Consequently, this is more scalable than existing 
infrastructures.
Transparency
PBM smart contracts, if deployed onto public 
ledgers, offer greater transparency for government 
social programmes. For example, the total amount 
of digital vouchers created by campaign organisers 
could be visible and the flow of PBM from 
government agencies to citizens and to merchants 
could be traced. Nonetheless, increased 
transparency needs to be balanced against other 
policy goals such as personal data protection 
policies. 
Transferability
Like a physical voucher, the transfer of PBM 
tokens amongst merchants and recipients can be 
facilitated without requiring a central coordinating 
party. This makes it possible to cater to the unique 
operati …</x:v>
      </x:c>
      <x:c r="G266" s="34" t="str">
        <x:v>PRD-0068-P0022-U01</x:v>
      </x:c>
      <x:c r="H266" s="34" t="str"/>
      <x:c r="I266" s="34" t="str">
        <x:v>SG_MAS_mas-project-orchid-report</x:v>
      </x:c>
      <x:c r="J266" s="34" t="n">
        <x:v>22</x:v>
      </x:c>
      <x:c r="K266" s="34" t="str">
        <x:v>en</x:v>
      </x:c>
      <x:c r="L266" s="34" t="str">
        <x:v>Monetary Authority of Singapore (Project Orchid / purpose-bound money)</x:v>
      </x:c>
      <x:c r="M266" s="34" t="str">
        <x:v>Retain complete Project Orchid decisions, requirements, and executed findings. Exclude future research and incomplete fragments.</x:v>
      </x:c>
      <x:c r="N266" s="34" t="str">
        <x:v>text</x:v>
      </x:c>
      <x:c r="O266" s="34" t="str"/>
      <x:c r="P266" s="38" t="str"/>
      <x:c r="Q266" s="38" t="str"/>
      <x:c r="R266" s="38" t="str"/>
      <x:c r="S266" s="38" t="str"/>
      <x:c r="T266" s="38" t="str"/>
      <x:c r="U266" s="38" t="str"/>
      <x:c r="V266" s="38" t="str"/>
      <x:c r="W266" s="38" t="str"/>
      <x:c r="X266" s="38" t="str"/>
      <x:c r="Y266" s="38" t="str"/>
      <x:c r="Z266" s="38" t="str"/>
      <x:c r="AA266" s="43" t="str">
        <x:f>IF('Instructions'!$B$3="","",'Instructions'!$B$3)</x:f>
      </x:c>
      <x:c r="AB266" s="43" t="str">
        <x:f>IF(P266="","PENDING",IF('Instructions'!$B$3="","SET_INITIALS",IF(P266="keep",IF(OR(Q266="",R266="",S266="",T266="",U266="",W266=""),"INCOMPLETE_KEEP","COMPLETE"),IF(P266="exclude",IF(OR(V266="",W266=""),"INCOMPLETE_EXCLUDE","COMPLETE"),"NEEDS_CONTEXT"))))</x:f>
        <x:v>PENDING</x:v>
      </x:c>
    </x:row>
    <x:row r="267" ht="62" customHeight="1">
      <x:c r="A267" s="34" t="str">
        <x:v>SV-0264</x:v>
      </x:c>
      <x:c r="B267" s="34" t="str">
        <x:v>RBNZ’s initial preference is for CBDC users to use proxy identities to protect their privacy in the system.A balance between strong data control of proxy identities whilst allowing the option for the user to manage their proxy identities themselves.</x:v>
      </x:c>
      <x:c r="C267" s="34" t="str"/>
      <x:c r="D267" s="34" t="str"/>
      <x:c r="E267" s="34" t="str"/>
      <x:c r="F267" s="34" t="str">
        <x:v>… 05 – Design Options: Preferences, Rationales &amp; InsightsThe exercises conducted during the definition workshops helped to identify the design options for the strategic questions, and generated the initial RBNZ preferences for these design options. Further work will be required in subsequent phases before any decision is made.
WORKSHOPPED PREFERENCE
23. SUPPORT OF ALIAS/PROXY IDENTITIES FOR USERS
Proxy identities centrally managed by RBNZProxy identities managed by trusted third partiesUsers create and manage their own proxy identities
Rationale RBNZ’s initial preference is for CBDC users to use proxy identities to protect their privacy in the system.A balance between strong data control of proxy identities whilst allowing the option for the user to manage their proxy identities themselves.
Insights:This is the recommended approach under the two-tier model. Please note that initiative 1 has a preference for the option of an account-based model in which there is a second RBNZ preference as proxy identities would need to be centrally managed.</x:v>
      </x:c>
      <x:c r="G267" s="34" t="str">
        <x:v>PRD-0058-P0052-U01</x:v>
      </x:c>
      <x:c r="H267" s="34" t="str"/>
      <x:c r="I267" s="34" t="str">
        <x:v>NZ_RBNZ_cbdc-insights-dossier-for-public-1</x:v>
      </x:c>
      <x:c r="J267" s="34" t="n">
        <x:v>52</x:v>
      </x:c>
      <x:c r="K267" s="34" t="str">
        <x:v>en</x:v>
      </x:c>
      <x:c r="L267" s="34" t="str">
        <x:v>Reserve Bank of New Zealand (digital cash/CBDC)</x:v>
      </x:c>
      <x:c r="M267" s="34" t="str">
        <x:v>Mixed workshop dossier: retain only text expressly labelled RBNZ initial preference or RBNZ workshopped preference. Exclude Accenture initial answers, questions, option tables, and unadopted participant material.</x:v>
      </x:c>
      <x:c r="N267" s="34" t="str">
        <x:v>text</x:v>
      </x:c>
      <x:c r="O267" s="34" t="str"/>
      <x:c r="P267" s="38" t="str"/>
      <x:c r="Q267" s="38" t="str"/>
      <x:c r="R267" s="38" t="str"/>
      <x:c r="S267" s="38" t="str"/>
      <x:c r="T267" s="38" t="str"/>
      <x:c r="U267" s="38" t="str"/>
      <x:c r="V267" s="38" t="str"/>
      <x:c r="W267" s="38" t="str"/>
      <x:c r="X267" s="38" t="str"/>
      <x:c r="Y267" s="38" t="str"/>
      <x:c r="Z267" s="38" t="str"/>
      <x:c r="AA267" s="43" t="str">
        <x:f>IF('Instructions'!$B$3="","",'Instructions'!$B$3)</x:f>
      </x:c>
      <x:c r="AB267" s="43" t="str">
        <x:f>IF(P267="","PENDING",IF('Instructions'!$B$3="","SET_INITIALS",IF(P267="keep",IF(OR(Q267="",R267="",S267="",T267="",U267="",W267=""),"INCOMPLETE_KEEP","COMPLETE"),IF(P267="exclude",IF(OR(V267="",W267=""),"INCOMPLETE_EXCLUDE","COMPLETE"),"NEEDS_CONTEXT"))))</x:f>
        <x:v>PENDING</x:v>
      </x:c>
    </x:row>
    <x:row r="268" ht="62" customHeight="1">
      <x:c r="A268" s="34" t="str">
        <x:v>SV-0265</x:v>
      </x:c>
      <x:c r="B268" s="34" t="str">
        <x:v>Однако возможное влияние на  ликвидность банков будет постепенным и  растянутым 
во времени по мере распространения в обращении цифрового рубля.</x:v>
      </x:c>
      <x:c r="C268" s="34" t="str">
        <x:v>However, the possible impact on banks' liquidity will be gradual and stretched over time as the digital ruble spreads in circulation.</x:v>
      </x:c>
      <x:c r="D268" s="34" t="str"/>
      <x:c r="E268" s="34" t="str"/>
      <x:c r="F268" s="34" t="str">
        <x:v>… ля выпущенных цифровых рублей. При этом балансы кредитных организаций не из -
менятся.
Частичное замещение цифровым рублем безналичных денег окажет влияние на балансы 
кредитных организаций: уменьшится объем остатков средств на счетах клиентов и одновре -
менно сократится объем средств на корреспондентских счетах банков в Банке России. Это 
в  свою очередь повлияет на ликвидность банковского сектора, что, в частности, приведет 
к снижению текущего объема структурного профицита и даже, возможно, к переходу к струк-
турному дефициту ликвидности.
Однако возможное влияние на  ликвидность банков будет постепенным и  растянутым 
во времени по мере распространения в обращении цифрового рубля. А действующая система 
инструментов денежно-кредитной политики позволит обеспечить требуемый банкам уровень 
ликвидности (посредством стандартных операций Банка России по предоставлению и абсор-
бированию ликвидности), тем самым создавая условия для формирования ставок денежного 
рынка вблизи ключевой ставки. Таким образом, введение цифрового рубля значимо не повли-
яет на достижение операционной цели денежно-кредитной политики.
Финансовая стабильность
Система инструментов денежно-кредитной политики, микро- и макропруденциальной по -
литики в  …</x:v>
      </x:c>
      <x:c r="G268" s="34" t="str">
        <x:v>PRD-0063-P0026-U01</x:v>
      </x:c>
      <x:c r="H268" s="34" t="str"/>
      <x:c r="I268" s="34" t="str">
        <x:v>RU_Russia_concept_08042021</x:v>
      </x:c>
      <x:c r="J268" s="34" t="n">
        <x:v>26</x:v>
      </x:c>
      <x:c r="K268" s="34" t="str">
        <x:v>ru/uk</x:v>
      </x:c>
      <x:c r="L268" s="34" t="str">
        <x:v>Bank of Russia (digital ruble)</x:v>
      </x:c>
      <x:c r="M268" s="34" t="str">
        <x:v>Retain the named authority's own CBDC decisions, explicit proposals, requirements, features, and executed findings. Exclude generic context, literature, foreign projects, and stakeholder views not explicitly adopted by the authority.</x:v>
      </x:c>
      <x:c r="N268" s="34" t="str">
        <x:v>text</x:v>
      </x:c>
      <x:c r="O268" s="34" t="str"/>
      <x:c r="P268" s="38" t="str"/>
      <x:c r="Q268" s="38" t="str"/>
      <x:c r="R268" s="38" t="str"/>
      <x:c r="S268" s="38" t="str"/>
      <x:c r="T268" s="38" t="str"/>
      <x:c r="U268" s="38" t="str"/>
      <x:c r="V268" s="38" t="str"/>
      <x:c r="W268" s="38" t="str"/>
      <x:c r="X268" s="38" t="str"/>
      <x:c r="Y268" s="38" t="str"/>
      <x:c r="Z268" s="38" t="str"/>
      <x:c r="AA268" s="43" t="str">
        <x:f>IF('Instructions'!$B$3="","",'Instructions'!$B$3)</x:f>
      </x:c>
      <x:c r="AB268" s="43" t="str">
        <x:f>IF(P268="","PENDING",IF('Instructions'!$B$3="","SET_INITIALS",IF(P268="keep",IF(OR(Q268="",R268="",S268="",T268="",U268="",W268=""),"INCOMPLETE_KEEP","COMPLETE"),IF(P268="exclude",IF(OR(V268="",W268=""),"INCOMPLETE_EXCLUDE","COMPLETE"),"NEEDS_CONTEXT"))))</x:f>
        <x:v>PENDING</x:v>
      </x:c>
    </x:row>
    <x:row r="269" ht="62" customHeight="1">
      <x:c r="A269" s="34" t="str">
        <x:v>SV-0266</x:v>
      </x:c>
      <x:c r="B269" s="34" t="str">
        <x:v>PBM technology could be used to mitigate the 
unilateral and unauthorised use of funds. Transactions 
are recorded on an immutable append only ledger with 
the possibility of aiding investigators with appropriate 
access to uncover the occurrence of malicious acts 
such as the modifications of terms of use of a PBM.</x:v>
      </x:c>
      <x:c r="C269" s="34" t="str"/>
      <x:c r="D269" s="34" t="str"/>
      <x:c r="E269" s="34" t="str"/>
      <x:c r="F269" s="34" t="str">
        <x:v>… come 
forward if there was greater transparency on how 
their contributions are used by the non-profits 
they have donated to and better visibility on the 
impact it has made.
 Figure 6: Illustration of PBM in context of Donations
In addition, restricting the use of PBM to a curated list 
of participating merchants, ensures fair charging to 
grant recipients. Further, it guards against fraudulent 
organisations looking to have a claim on disbursed 
donation proceeds without an intention to deliver the 
intended service outcome. 
Reducing Fraud
PBM technology could be used to mitigate the 
unilateral and unauthorised use of funds. Transactions 
are recorded on an immutable append only ledger with 
the possibility of aiding investigators with appropriate 
access to uncover the occurrence of malicious acts 
such as the modifications of terms of use of a PBM. 
For PBM Creators, the redemption mechanics and 
spurious behaviour could be tracked and managed. 
PBM Un wrapping ﬂo wDSGD Redemption ﬂo w
Donors transfer SGD 
to designated
selement account
Charity council 
(PBM issuer) 
holds with Bank
Smart contract
wraps PBM* 
and transfers 
to NPOs
NPO 1
Public 
fundraising
charity/
community
1
Donation or Charity
Association - DCA
(or other trustee)
account with Bank
Designated
non-proﬁt
organisations
Designated
merchants
Supermarkets
White goods
Medicine and 
healthcare
Clothing and
other essentials
D …</x:v>
      </x:c>
      <x:c r="G269" s="34" t="str">
        <x:v>PRD-0068-P0028-U01</x:v>
      </x:c>
      <x:c r="H269" s="34" t="str"/>
      <x:c r="I269" s="34" t="str">
        <x:v>SG_MAS_mas-project-orchid-report</x:v>
      </x:c>
      <x:c r="J269" s="34" t="n">
        <x:v>28</x:v>
      </x:c>
      <x:c r="K269" s="34" t="str">
        <x:v>en</x:v>
      </x:c>
      <x:c r="L269" s="34" t="str">
        <x:v>Monetary Authority of Singapore (Project Orchid / purpose-bound money)</x:v>
      </x:c>
      <x:c r="M269" s="34" t="str">
        <x:v>Retain complete Project Orchid decisions, requirements, and executed findings. Exclude future research and incomplete fragments.</x:v>
      </x:c>
      <x:c r="N269" s="34" t="str">
        <x:v>text</x:v>
      </x:c>
      <x:c r="O269" s="34" t="str"/>
      <x:c r="P269" s="38" t="str"/>
      <x:c r="Q269" s="38" t="str"/>
      <x:c r="R269" s="38" t="str"/>
      <x:c r="S269" s="38" t="str"/>
      <x:c r="T269" s="38" t="str"/>
      <x:c r="U269" s="38" t="str"/>
      <x:c r="V269" s="38" t="str"/>
      <x:c r="W269" s="38" t="str"/>
      <x:c r="X269" s="38" t="str"/>
      <x:c r="Y269" s="38" t="str"/>
      <x:c r="Z269" s="38" t="str"/>
      <x:c r="AA269" s="43" t="str">
        <x:f>IF('Instructions'!$B$3="","",'Instructions'!$B$3)</x:f>
      </x:c>
      <x:c r="AB269" s="43" t="str">
        <x:f>IF(P269="","PENDING",IF('Instructions'!$B$3="","SET_INITIALS",IF(P269="keep",IF(OR(Q269="",R269="",S269="",T269="",U269="",W269=""),"INCOMPLETE_KEEP","COMPLETE"),IF(P269="exclude",IF(OR(V269="",W269=""),"INCOMPLETE_EXCLUDE","COMPLETE"),"NEEDS_CONTEXT"))))</x:f>
        <x:v>PENDING</x:v>
      </x:c>
    </x:row>
    <x:row r="270" ht="62" customHeight="1">
      <x:c r="A270" s="34" t="str">
        <x:v>SV-0267</x:v>
      </x:c>
      <x:c r="B270" s="34" t="str">
        <x:v>The amounts and balances were shielded, with the network only seeing the Pedersen commitment  
for each transaction. The SARB still approved the transfer.</x:v>
      </x:c>
      <x:c r="C270" s="34" t="str"/>
      <x:c r="D270" s="34" t="str"/>
      <x:c r="E270" s="34" t="str"/>
      <x:c r="F270" s="34" t="str">
        <x:v>… cess. 
Bank A effectively sent a payment instruction that the SARB executed. 
The process looked as follows:
1. Bank A commits a payment to Bank B by calling the ‘approveFor’ method in the ‘ZAR 
    smart contract’ with the amount and the destination address.
2. The SARB checks the values and the post-transfer balance. If both are positive, 
    they transfer the funds using the ‘transferFrom’ method, which checks to see if Bank A has 
    committed funds to the payment.
All rand balances and payment values were visible to the whole network.
3 The amounts and balances were shielded, with the network only seeing the Pedersen commitment  
for each transaction. The SARB still approved the transfer. 
The process entailed:
1. Bank A calls for the ‘approveFor’ method which has a ‘text’ metadata field that will contain  
    the encrypted versions of the amount and the blinding factor.
2. Bank A communicates the decryption key to Bank B and the SARB via a Whisper channel
    (performed during network set-up).
3. The SARB checks the transaction amount and the post-transfer balance of Bank A.  
    If both the amount and the post-transfer balance are positive, the SARB transfers the funds using  
    the ‘transferFrom’ method, which will check …</x:v>
      </x:c>
      <x:c r="G270" s="34" t="str">
        <x:v>PRD-0087-P0073-U01</x:v>
      </x:c>
      <x:c r="H270" s="34" t="str"/>
      <x:c r="I270" s="34" t="str">
        <x:v>ZA_SARB_SARB_ProjectKhokha-20180605</x:v>
      </x:c>
      <x:c r="J270" s="34" t="n">
        <x:v>73</x:v>
      </x:c>
      <x:c r="K270" s="34" t="str">
        <x:v>en</x:v>
      </x:c>
      <x:c r="L270" s="34" t="str">
        <x:v>South African Reserve Bank</x:v>
      </x:c>
      <x:c r="M270" s="34" t="str">
        <x:v>Retain the named authority's own CBDC decisions, explicit proposals, requirements, features, and executed findings. Exclude generic context, literature, foreign projects, and stakeholder views not explicitly adopted by the authority.</x:v>
      </x:c>
      <x:c r="N270" s="34" t="str">
        <x:v>text</x:v>
      </x:c>
      <x:c r="O270" s="34" t="str"/>
      <x:c r="P270" s="38" t="str"/>
      <x:c r="Q270" s="38" t="str"/>
      <x:c r="R270" s="38" t="str"/>
      <x:c r="S270" s="38" t="str"/>
      <x:c r="T270" s="38" t="str"/>
      <x:c r="U270" s="38" t="str"/>
      <x:c r="V270" s="38" t="str"/>
      <x:c r="W270" s="38" t="str"/>
      <x:c r="X270" s="38" t="str"/>
      <x:c r="Y270" s="38" t="str"/>
      <x:c r="Z270" s="38" t="str"/>
      <x:c r="AA270" s="43" t="str">
        <x:f>IF('Instructions'!$B$3="","",'Instructions'!$B$3)</x:f>
      </x:c>
      <x:c r="AB270" s="43" t="str">
        <x:f>IF(P270="","PENDING",IF('Instructions'!$B$3="","SET_INITIALS",IF(P270="keep",IF(OR(Q270="",R270="",S270="",T270="",U270="",W270=""),"INCOMPLETE_KEEP","COMPLETE"),IF(P270="exclude",IF(OR(V270="",W270=""),"INCOMPLETE_EXCLUDE","COMPLETE"),"NEEDS_CONTEXT"))))</x:f>
        <x:v>PENDING</x:v>
      </x:c>
    </x:row>
    <x:row r="271" ht="62" customHeight="1">
      <x:c r="A271" s="34" t="str">
        <x:v>SV-0268</x:v>
      </x:c>
      <x:c r="B271" s="34" t="str">
        <x:v>A
ddi
t
i
ona
l
l
y
,
t
he
P
B
O
C
ha
s
s
e
t
up
a
f
r
a
m
e
w
or
k
of
bi
g
da
t
a
a
na
l
y
s
i
s
,
r
i
s
k
m
oni
t
or
i
ng
a
nd
e
a
r
l
y
w
a
r
ni
ng
f
or
e
-
C
N
Y
t
o
e
nha
nc
e
t
he
f
or
e
s
i
ght
e
dne
s
s
,
a
c
c
ur
a
c
y
a
nd
e
f
f
e
c
t
i
ve
ne
s
s
of
e
-
C
N
Y
m
a
na
ge
m
e
nt
.</x:v>
      </x:c>
      <x:c r="C271" s="34" t="str"/>
      <x:c r="D271" s="34" t="str"/>
      <x:c r="E271" s="34" t="str"/>
      <x:c r="F271" s="34" t="str">
        <x:v>… pr
opr
i
a
t
e
t
o
pr
e
ve
nt
t
he
r
a
pi
d
s
pr
e
a
d
of
ba
nk
r
uns
.
T
o
pr
om
ot
e
t
he
us
e
of
e
-
C
N
Y
i
n
r
e
t
a
i
l
pa
y
m
e
nt
s
c
e
na
r
i
os
,
e
a
s
e
t
he
c
r
ow
di
ng-
out
of
ba
nk
de
pos
i
t
s
,
a
nd
pr
e
ve
nt
a
r
bi
t
r
a
ge
a
s
w
e
l
l
a
s
pr
oc
y
c
l
i
c
a
l
e
f
f
e
c
t
s
unde
r
s
t
r
e
s
s
f
ul
c
ondi
t
i
ons
,
t
he
P
B
O
C
ha
s
c
om
e
up
w
i
t
h
a
t
i
e
r
e
d
de
s
i
gn
of
e
-
C
N
Y
w
a
l
l
e
t
w
i
t
h
di
f
f
e
r
e
nt
c
a
ps
on
t
r
a
ns
a
c
t
i
on
a
nd
ba
l
a
nc
e
f
or
di
f
f
e
r
e
nt
t
y
p
e
s
of
e
-
C
N
Y
w
a
l
l
e
t
s
.
A
ddi
t
i
ona
l
l
y
,
t
he
P
B
O
C
ha
s
s
e
t
up
a
f
r
a
m
e
w
or
k
of
bi
g
da
t
a
a
na
l
y
s
i
s
,
r
i
s
k
m
oni
t
or
i
ng
a
nd
e
a
r
l
y
w
a
r
ni
ng
f
or
e
-
C
N
Y
t
o
e
nha
nc
e
t
he
f
or
e
s
i
ght
e
dne
s
s
,
a
c
c
ur
a
c
y
a
nd
e
f
f
e
c
t
i
ve
ne
s
s
of
e
-
C
N
Y
m
a
na
ge
m
e
nt
.
D
i
g
i
t
a
l
f
i
a
t
c
ur
r
e
nc
y
i
s
a
ne
w
t
hi
ng
.
I
t
s
i
m
pa
c
t
on
t
he
e
c
onom
y
a
nd
t
he
f
i
na
nc
i
a
l
s
e
c
t
or
c
a
n
be
a
s
s
e
s
s
e
d
t
hr
oug
h
pi
l
ot
t
e
s
t
s
a
nd
pr
a
c
t
i
c
e
s
.
T
he
P
B
O
C
i
s
c
a
r
r
y
i
ng
out
e
-
C
N
Y
pi
l
ot
pr
ogr
a
m
s
w
i
t
h
t
he
f
oc
us
on
t
he
i
m
pl
i
c
a
t
i
ons
of
e
-
C
N
Y
f
or
m
one
t
a
r
y
pol
i
c
y
,
f
i
na
nc
i
a
l
m
a
r
ke
t
s
a
nd
f
i
na
nc
i
a
l
s
t
a
bi
l
i
t
y
i
n
t
he
pi
l
ot
r
e
gi
ons
.
B
a
s
e
d
on
t
he
f
i
ndi
ng
s
of
t
he
pi
l
ot
pr
ogr
a
m
s
,
t
he
P
B
O
C
w
i
l
l
 …</x:v>
      </x:c>
      <x:c r="G271" s="34" t="str">
        <x:v>PRD-0017-P0013-U01</x:v>
      </x:c>
      <x:c r="H271" s="34" t="str"/>
      <x:c r="I271" s="34" t="str">
        <x:v>CN_China_2021</x:v>
      </x:c>
      <x:c r="J271" s="34" t="n">
        <x:v>13</x:v>
      </x:c>
      <x:c r="K271" s="34" t="str">
        <x:v>en</x:v>
      </x:c>
      <x:c r="L271" s="34" t="str">
        <x:v>People's Bank of China (e-CNY)</x:v>
      </x:c>
      <x:c r="M271" s="34" t="str">
        <x:v>Retain PBOC e-CNY decisions, features, and requirements; exclude background and cited research.</x:v>
      </x:c>
      <x:c r="N271" s="34" t="str">
        <x:v>text</x:v>
      </x:c>
      <x:c r="O271" s="34" t="str"/>
      <x:c r="P271" s="38" t="str"/>
      <x:c r="Q271" s="38" t="str"/>
      <x:c r="R271" s="38" t="str"/>
      <x:c r="S271" s="38" t="str"/>
      <x:c r="T271" s="38" t="str"/>
      <x:c r="U271" s="38" t="str"/>
      <x:c r="V271" s="38" t="str"/>
      <x:c r="W271" s="38" t="str"/>
      <x:c r="X271" s="38" t="str"/>
      <x:c r="Y271" s="38" t="str"/>
      <x:c r="Z271" s="38" t="str"/>
      <x:c r="AA271" s="43" t="str">
        <x:f>IF('Instructions'!$B$3="","",'Instructions'!$B$3)</x:f>
      </x:c>
      <x:c r="AB271" s="43" t="str">
        <x:f>IF(P271="","PENDING",IF('Instructions'!$B$3="","SET_INITIALS",IF(P271="keep",IF(OR(Q271="",R271="",S271="",T271="",U271="",W271=""),"INCOMPLETE_KEEP","COMPLETE"),IF(P271="exclude",IF(OR(V271="",W271=""),"INCOMPLETE_EXCLUDE","COMPLETE"),"NEEDS_CONTEXT"))))</x:f>
        <x:v>PENDING</x:v>
      </x:c>
    </x:row>
    <x:row r="272" ht="62" customHeight="1">
      <x:c r="A272" s="34" t="str">
        <x:v>SV-0269</x:v>
      </x:c>
      <x:c r="B272" s="34" t="str">
        <x:v>The pilots demonstrated the feasibility of these 
mechanisms, showing that interoperability 
can enhance the security and integrity of 
asset transfers while positioning an e-HKD as 
a versatile settlement instrument within the 
expanding tokenised asset and DeFi landscape.</x:v>
      </x:c>
      <x:c r="C272" s="34" t="str"/>
      <x:c r="D272" s="34" t="str"/>
      <x:c r="E272" s="34" t="str"/>
      <x:c r="F272" s="34" t="str">
        <x:v>e-HKD Pilot Programme  | Phase 2 Report
29
The pilots demonstrated the feasibility of these 
mechanisms, showing that interoperability 
can enhance the security and integrity of 
asset transfers while positioning an e-HKD as 
a versatile settlement instrument within the 
expanding tokenised asset and DeFi landscape.
Programmability
To ensure its scaled adoption, an e-HKD should 
be designed to accommodate the growing 
demand for programmability through smart 
contracts. The pilots confirmed strong market 
interest in programmable use cases, but also 
revealed some important policy considerations.
A key finding is that a natively “programmable 
e-HKD” with explicit spending conditions, 
like the concept of “programmable money” 
presented in the e-HKD Pilot Programme Phase 
1 Report, could render an e-HKD more akin 
to a voucher, rather than money. This mig …</x:v>
      </x:c>
      <x:c r="G272" s="34" t="str">
        <x:v>PRD-0093-P0033-U01</x:v>
      </x:c>
      <x:c r="H272" s="34" t="str"/>
      <x:c r="I272" s="34" t="str">
        <x:v>HK_HKMA_eHKD_Phase2_2025</x:v>
      </x:c>
      <x:c r="J272" s="34" t="n">
        <x:v>33</x:v>
      </x:c>
      <x:c r="K272" s="34" t="str">
        <x:v>en</x:v>
      </x:c>
      <x:c r="L272" s="34" t="str">
        <x:v>Hong Kong Monetary Authority (e-HKD Phase 2 pilots)</x:v>
      </x:c>
      <x:c r="M272" s="34" t="str">
        <x:v>Retain complete e-HKD pilot findings, conclusions, and HKMA requirements. Quote the complete claim before any trailing fragment.</x:v>
      </x:c>
      <x:c r="N272" s="34" t="str">
        <x:v>text</x:v>
      </x:c>
      <x:c r="O272" s="34" t="str"/>
      <x:c r="P272" s="38" t="str"/>
      <x:c r="Q272" s="38" t="str"/>
      <x:c r="R272" s="38" t="str"/>
      <x:c r="S272" s="38" t="str"/>
      <x:c r="T272" s="38" t="str"/>
      <x:c r="U272" s="38" t="str"/>
      <x:c r="V272" s="38" t="str"/>
      <x:c r="W272" s="38" t="str"/>
      <x:c r="X272" s="38" t="str"/>
      <x:c r="Y272" s="38" t="str"/>
      <x:c r="Z272" s="38" t="str"/>
      <x:c r="AA272" s="43" t="str">
        <x:f>IF('Instructions'!$B$3="","",'Instructions'!$B$3)</x:f>
      </x:c>
      <x:c r="AB272" s="43" t="str">
        <x:f>IF(P272="","PENDING",IF('Instructions'!$B$3="","SET_INITIALS",IF(P272="keep",IF(OR(Q272="",R272="",S272="",T272="",U272="",W272=""),"INCOMPLETE_KEEP","COMPLETE"),IF(P272="exclude",IF(OR(V272="",W272=""),"INCOMPLETE_EXCLUDE","COMPLETE"),"NEEDS_CONTEXT"))))</x:f>
        <x:v>PENDING</x:v>
      </x:c>
    </x:row>
    <x:row r="273" ht="62" customHeight="1">
      <x:c r="A273" s="34" t="str">
        <x:v>SV-0270</x:v>
      </x:c>
      <x:c r="B273" s="34" t="str">
        <x:v>Similarly, a bank may need 
to access transaction data of customers of other banks while processing a transaction for its customer.</x:v>
      </x:c>
      <x:c r="C273" s="34" t="str"/>
      <x:c r="D273" s="34" t="str"/>
      <x:c r="E273" s="34" t="str"/>
      <x:c r="F273" s="34" t="str">
        <x:v>… trustworthy party can be identified for hosting the validator infrastructure, it 
is possible to optimi se the transaction validation process  and alleviate the privacy issue s 
associated with UTXO transactions.   To a large extent, a UTXO is designed to facilitate peer 
verification of a payment transaction.  UTXO transactions are therefore designed in such a way that 
the payee of the current transaction would see the payment details of other payees in the previous 
transactions of an inheritance chain in order to verify his transaction.15  Similarly, a bank may need 
to access transaction data of customers of other banks while processing a transaction for its customer.  
If the validator infrastructure can be entrusted with the verification of the inheritance chain of a 
payment transaction, a payee or his bank would not have to access the payment details of previou s 
transactions, therefore avoiding the privacy issues of typical UTXO transaction processing.  In this 
way, a bank would only need to keep a portion of the inheritance chain for each transaction it 
processes, that is, the  payment transactions it receives a nd sends.  Shortened transaction chains 
would also mean a lower storage complexity and …</x:v>
      </x:c>
      <x:c r="G273" s="34" t="str">
        <x:v>PRD-0032-P0034-U01</x:v>
      </x:c>
      <x:c r="H273" s="34" t="str"/>
      <x:c r="I273" s="34" t="str">
        <x:v>HK_HKMA_2021</x:v>
      </x:c>
      <x:c r="J273" s="34" t="n">
        <x:v>34</x:v>
      </x:c>
      <x:c r="K273" s="34" t="str">
        <x:v>en</x:v>
      </x:c>
      <x:c r="L273" s="34" t="str">
        <x:v>Hong Kong Monetary Authority (e-HKD)</x:v>
      </x:c>
      <x:c r="M273" s="34" t="str">
        <x:v>Retain HKMA e-HKD positions and architecture claims. A disclaimer that a study is not a final blueprint is not itself a design conclusion.</x:v>
      </x:c>
      <x:c r="N273" s="34" t="str">
        <x:v>text</x:v>
      </x:c>
      <x:c r="O273" s="34" t="str"/>
      <x:c r="P273" s="38" t="str"/>
      <x:c r="Q273" s="38" t="str"/>
      <x:c r="R273" s="38" t="str"/>
      <x:c r="S273" s="38" t="str"/>
      <x:c r="T273" s="38" t="str"/>
      <x:c r="U273" s="38" t="str"/>
      <x:c r="V273" s="38" t="str"/>
      <x:c r="W273" s="38" t="str"/>
      <x:c r="X273" s="38" t="str"/>
      <x:c r="Y273" s="38" t="str"/>
      <x:c r="Z273" s="38" t="str"/>
      <x:c r="AA273" s="43" t="str">
        <x:f>IF('Instructions'!$B$3="","",'Instructions'!$B$3)</x:f>
      </x:c>
      <x:c r="AB273" s="43" t="str">
        <x:f>IF(P273="","PENDING",IF('Instructions'!$B$3="","SET_INITIALS",IF(P273="keep",IF(OR(Q273="",R273="",S273="",T273="",U273="",W273=""),"INCOMPLETE_KEEP","COMPLETE"),IF(P273="exclude",IF(OR(V273="",W273=""),"INCOMPLETE_EXCLUDE","COMPLETE"),"NEEDS_CONTEXT"))))</x:f>
        <x:v>PENDING</x:v>
      </x:c>
    </x:row>
    <x:row r="274" ht="62" customHeight="1">
      <x:c r="A274" s="34" t="str">
        <x:v>SV-0271</x:v>
      </x:c>
      <x:c r="B274" s="34" t="str">
        <x:v>Phase I was a successful twelve-week undertaking demonstrating the viability 
of this technology to enable instant and atomic settlement in a simulated foreign 
exchange (FX) spot transaction between the New York Fed and counterparties 
across separate, homogeneous ledgers.</x:v>
      </x:c>
      <x:c r="C274" s="34" t="str"/>
      <x:c r="D274" s="34" t="str"/>
      <x:c r="E274" s="34" t="str"/>
      <x:c r="F274" s="34" t="str">
        <x:v>… 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 …</x:v>
      </x:c>
      <x:c r="G274" s="34" t="str">
        <x:v>PRD-0081-P0007-U01</x:v>
      </x:c>
      <x:c r="H274" s="34" t="str"/>
      <x:c r="I274" s="34" t="str">
        <x:v>US_NYFed_CedarPhaseOne_2022</x:v>
      </x:c>
      <x:c r="J274" s="34" t="n">
        <x:v>7</x:v>
      </x:c>
      <x:c r="K274" s="34" t="str">
        <x:v>en</x:v>
      </x:c>
      <x:c r="L274" s="34" t="str">
        <x:v>Federal Reserve Bank of New York (Project Cedar Phase I)</x:v>
      </x:c>
      <x:c r="M274" s="34" t="str">
        <x:v>Retain executed Project Cedar design choices and findings. Exclude general wholesale-CBDC or DLT background.</x:v>
      </x:c>
      <x:c r="N274" s="34" t="str">
        <x:v>text</x:v>
      </x:c>
      <x:c r="O274" s="34" t="str"/>
      <x:c r="P274" s="38" t="str"/>
      <x:c r="Q274" s="38" t="str"/>
      <x:c r="R274" s="38" t="str"/>
      <x:c r="S274" s="38" t="str"/>
      <x:c r="T274" s="38" t="str"/>
      <x:c r="U274" s="38" t="str"/>
      <x:c r="V274" s="38" t="str"/>
      <x:c r="W274" s="38" t="str"/>
      <x:c r="X274" s="38" t="str"/>
      <x:c r="Y274" s="38" t="str"/>
      <x:c r="Z274" s="38" t="str"/>
      <x:c r="AA274" s="43" t="str">
        <x:f>IF('Instructions'!$B$3="","",'Instructions'!$B$3)</x:f>
      </x:c>
      <x:c r="AB274" s="43" t="str">
        <x:f>IF(P274="","PENDING",IF('Instructions'!$B$3="","SET_INITIALS",IF(P274="keep",IF(OR(Q274="",R274="",S274="",T274="",U274="",W274=""),"INCOMPLETE_KEEP","COMPLETE"),IF(P274="exclude",IF(OR(V274="",W274=""),"INCOMPLETE_EXCLUDE","COMPLETE"),"NEEDS_CONTEXT"))))</x:f>
        <x:v>PENDING</x:v>
      </x:c>
    </x:row>
    <x:row r="275" ht="62" customHeight="1">
      <x:c r="A275" s="34" t="str">
        <x:v>SV-0272</x:v>
      </x:c>
      <x:c r="B275" s="34" t="str">
        <x:v>Realizar en RedPagos la primera carga a efectos 
de crear la billetera digital (Cash In)</x:v>
      </x:c>
      <x:c r="C275" s="34" t="str">
        <x:v>Make the first load at RedPagos in order to create the digital wallet (cash-in).</x:v>
      </x:c>
      <x:c r="D275" s="34" t="str"/>
      <x:c r="E275" s="34" t="str"/>
      <x:c r="F275" s="34" t="str">
        <x:v>Funcionamiento 
 Descargar la app para acceder a la billetera digital 
 Registro con móvil conectado (Nombre completo, 
CI, Fecha de nacimiento) 
 Aceptar los términos y condiciones de uso 
 Realizar en RedPagos la primera carga a efectos de 
crear la billetera digital (Cash In) 
Smartphones 
(Teléfonos Inteligentes) 
 Llamar a *228# 
 Seguir los pasos indicados para el registro (Nombre 
completo, CI, Fecha de nacimiento) 
 Ingreso de PIN para utilizar las operaciones 
 Realizar en RedPagos la primera carga a efectos 
de crear la billetera digital (Cash In) 
Teléfonos 
No inteligentes</x:v>
      </x:c>
      <x:c r="G275" s="34" t="str">
        <x:v>PRD-0084-P0009-U01</x:v>
      </x:c>
      <x:c r="H275" s="34" t="str"/>
      <x:c r="I275" s="34" t="str">
        <x:v>UY_Uruguay_BCU_BilleteDigital_2017</x:v>
      </x:c>
      <x:c r="J275" s="34" t="n">
        <x:v>9</x:v>
      </x:c>
      <x:c r="K275" s="34" t="str">
        <x:v>es</x:v>
      </x:c>
      <x:c r="L275" s="34" t="str">
        <x:v>Banco Central del Uruguay (e-Peso pilot)</x:v>
      </x:c>
      <x:c r="M275" s="34" t="str">
        <x:v>Retain BCU e-Peso decisions, features, and executed findings; use original Spanish quote.</x:v>
      </x:c>
      <x:c r="N275" s="34" t="str">
        <x:v>text</x:v>
      </x:c>
      <x:c r="O275" s="34" t="str"/>
      <x:c r="P275" s="38" t="str"/>
      <x:c r="Q275" s="38" t="str"/>
      <x:c r="R275" s="38" t="str"/>
      <x:c r="S275" s="38" t="str"/>
      <x:c r="T275" s="38" t="str"/>
      <x:c r="U275" s="38" t="str"/>
      <x:c r="V275" s="38" t="str"/>
      <x:c r="W275" s="38" t="str"/>
      <x:c r="X275" s="38" t="str"/>
      <x:c r="Y275" s="38" t="str"/>
      <x:c r="Z275" s="38" t="str"/>
      <x:c r="AA275" s="43" t="str">
        <x:f>IF('Instructions'!$B$3="","",'Instructions'!$B$3)</x:f>
      </x:c>
      <x:c r="AB275" s="43" t="str">
        <x:f>IF(P275="","PENDING",IF('Instructions'!$B$3="","SET_INITIALS",IF(P275="keep",IF(OR(Q275="",R275="",S275="",T275="",U275="",W275=""),"INCOMPLETE_KEEP","COMPLETE"),IF(P275="exclude",IF(OR(V275="",W275=""),"INCOMPLETE_EXCLUDE","COMPLETE"),"NEEDS_CONTEXT"))))</x:f>
        <x:v>PENDING</x:v>
      </x:c>
    </x:row>
    <x:row r="276" ht="62" customHeight="1">
      <x:c r="A276" s="34" t="str">
        <x:v>SV-0273</x:v>
      </x:c>
      <x:c r="B276" s="34" t="str">
        <x:v>The architecture evaluation based on the test results suggests the possibility that some databases 
could maintain high-performance scalability even under the load expected in the possible event of 
social implementation, implying that they could be used in ledger systems.</x:v>
      </x:c>
      <x:c r="C276" s="34" t="str"/>
      <x:c r="D276" s="34" t="str"/>
      <x:c r="E276" s="34" t="str"/>
      <x:c r="F276" s="34" t="str">
        <x:v>… equests/second).
・ Throughput reduction rate is expressed as the rate of
decline in the number of transaction requests processed
relative to the number of transaction requests injected over
a second.
・ Latency is AP processing time + DB processing time.
・ All values are averages for the evaluated period.
0
5
10
15
20
Environment 1 Environment 2
Throughput reduction rate
RDB Example NoSQL DB
（%）
Higher performance
1
10
100
1,000
Environment 1 Environment 2
Latency
RDB Example NoSQL DB
（milliseconds, log scale）
Figure 17: Test results 
The architecture evaluation based on the test results suggests the possibility that some databases 
could maintain high-performance scalability even under the load expected in the possible event of 
social implementation, implying that they could be used in ledger systems.27 The use of transaction 
functions may hinder performance scalability through restrictions on sharding, and some databases 
may require further refinement for use in ledgers. However, the evaluation also suggest that even 
such databases have the potential for use as databases for CBDC systems that handle data where 
transaction functions are not required (e.g., account transaction status management for the 
implementation of additional functions, replica databases for balance inquiries). 
There are many other types of NoSQL databases in addi …</x:v>
      </x:c>
      <x:c r="G276" s="34" t="str">
        <x:v>PRD-0046-P0025-U01</x:v>
      </x:c>
      <x:c r="H276" s="34" t="str"/>
      <x:c r="I276" s="34" t="str">
        <x:v>JP_BoJ_PoC2</x:v>
      </x:c>
      <x:c r="J276" s="34" t="n">
        <x:v>25</x:v>
      </x:c>
      <x:c r="K276" s="34" t="str">
        <x:v>en</x:v>
      </x:c>
      <x:c r="L276" s="34" t="str">
        <x:v>Bank of Japan</x:v>
      </x:c>
      <x:c r="M276" s="34" t="str">
        <x:v>Retain the named authority's own CBDC decisions, explicit proposals, requirements, features, and executed findings. Exclude generic context, literature, foreign projects, and stakeholder views not explicitly adopted by the authority.</x:v>
      </x:c>
      <x:c r="N276" s="34" t="str">
        <x:v>text</x:v>
      </x:c>
      <x:c r="O276" s="34" t="str"/>
      <x:c r="P276" s="38" t="str"/>
      <x:c r="Q276" s="38" t="str"/>
      <x:c r="R276" s="38" t="str"/>
      <x:c r="S276" s="38" t="str"/>
      <x:c r="T276" s="38" t="str"/>
      <x:c r="U276" s="38" t="str"/>
      <x:c r="V276" s="38" t="str"/>
      <x:c r="W276" s="38" t="str"/>
      <x:c r="X276" s="38" t="str"/>
      <x:c r="Y276" s="38" t="str"/>
      <x:c r="Z276" s="38" t="str"/>
      <x:c r="AA276" s="43" t="str">
        <x:f>IF('Instructions'!$B$3="","",'Instructions'!$B$3)</x:f>
      </x:c>
      <x:c r="AB276" s="43" t="str">
        <x:f>IF(P276="","PENDING",IF('Instructions'!$B$3="","SET_INITIALS",IF(P276="keep",IF(OR(Q276="",R276="",S276="",T276="",U276="",W276=""),"INCOMPLETE_KEEP","COMPLETE"),IF(P276="exclude",IF(OR(V276="",W276=""),"INCOMPLETE_EXCLUDE","COMPLETE"),"NEEDS_CONTEXT"))))</x:f>
        <x:v>PENDING</x:v>
      </x:c>
    </x:row>
    <x:row r="277" ht="62" customHeight="1">
      <x:c r="A277" s="34" t="str">
        <x:v>SV-0274</x:v>
      </x:c>
      <x:c r="B277" s="34" t="str">
        <x:v>In other words, cross -ledger asset recognition is achieved through signed 
transactions.</x:v>
      </x:c>
      <x:c r="C277" s="34" t="str"/>
      <x:c r="D277" s="34" t="str"/>
      <x:c r="E277" s="34" t="str"/>
      <x:c r="F277" s="34" t="str">
        <x:v>24 
is directly inherited from  the embedded wholesale transaction, which in turn originates from an 
issuance transaction initiated by the central bank.  A retail user can verify the authenticity of CBDC 
or e -money represented by the coinbase transaction through verifying the signatures of the 
embedded wholesale transaction, which has deposited an equivalent amount of CBDC in the 
wholesale system.   In other words, cross -ledger asset recognition is achieved through signed 
transactions. 
Figure 7.  Transaction flow for distribution from wholesale to retail system 
5.2.2 Synchronisation and validation of the decoupled ledgers 
The synchronisation of the wholesale and retail ledgers is achieved through the exchange 
of signed transactions channelled through intermediaries .  A  validator infrastructure is 
designed in the retail system to ensure that each wh olesale transaction is used once only for 
CBDC withdrawal or e-money issuance.  The communications between the wholesale and retail 
systems are strictly limited to  …</x:v>
      </x:c>
      <x:c r="G277" s="34" t="str">
        <x:v>PRD-0032-P0025-U01</x:v>
      </x:c>
      <x:c r="H277" s="34" t="str"/>
      <x:c r="I277" s="34" t="str">
        <x:v>HK_HKMA_2021</x:v>
      </x:c>
      <x:c r="J277" s="34" t="n">
        <x:v>25</x:v>
      </x:c>
      <x:c r="K277" s="34" t="str">
        <x:v>en</x:v>
      </x:c>
      <x:c r="L277" s="34" t="str">
        <x:v>Hong Kong Monetary Authority (e-HKD)</x:v>
      </x:c>
      <x:c r="M277" s="34" t="str">
        <x:v>Retain HKMA e-HKD positions and architecture claims. A disclaimer that a study is not a final blueprint is not itself a design conclusion.</x:v>
      </x:c>
      <x:c r="N277" s="34" t="str">
        <x:v>text</x:v>
      </x:c>
      <x:c r="O277" s="34" t="str"/>
      <x:c r="P277" s="38" t="str"/>
      <x:c r="Q277" s="38" t="str"/>
      <x:c r="R277" s="38" t="str"/>
      <x:c r="S277" s="38" t="str"/>
      <x:c r="T277" s="38" t="str"/>
      <x:c r="U277" s="38" t="str"/>
      <x:c r="V277" s="38" t="str"/>
      <x:c r="W277" s="38" t="str"/>
      <x:c r="X277" s="38" t="str"/>
      <x:c r="Y277" s="38" t="str"/>
      <x:c r="Z277" s="38" t="str"/>
      <x:c r="AA277" s="43" t="str">
        <x:f>IF('Instructions'!$B$3="","",'Instructions'!$B$3)</x:f>
      </x:c>
      <x:c r="AB277" s="43" t="str">
        <x:f>IF(P277="","PENDING",IF('Instructions'!$B$3="","SET_INITIALS",IF(P277="keep",IF(OR(Q277="",R277="",S277="",T277="",U277="",W277=""),"INCOMPLETE_KEEP","COMPLETE"),IF(P277="exclude",IF(OR(V277="",W277=""),"INCOMPLETE_EXCLUDE","COMPLETE"),"NEEDS_CONTEXT"))))</x:f>
        <x:v>PENDING</x:v>
      </x:c>
    </x:row>
    <x:row r="278" ht="62" customHeight="1">
      <x:c r="A278" s="34" t="str">
        <x:v>SV-0275</x:v>
      </x:c>
      <x:c r="B278" s="34" t="str">
        <x:v>• Multiple use cases, allow ing person-to-person (P2P), person-to- business (P2B) , and 
government-to-person (G2P) payments, and vice versa.</x:v>
      </x:c>
      <x:c r="C278" s="34" t="str"/>
      <x:c r="D278" s="34" t="str"/>
      <x:c r="E278" s="34" t="str"/>
      <x:c r="F278" s="34" t="str">
        <x:v>… y by cash) . For a CBDC to meet this objective, an appropr iate design is 
required to offer payment services like those offered by cash, but with the advantage of providing 
secure and efficient access to the digital payment ecosystem. In sum, a digital currency would be 
expected to join Peru’s payment landscape. To this end, a CBDC in Peru should be characterized by: 
• Instantaneous and final payments, at low or no cost, and geared to small-ticket transactions. 
• Universally accessible, easy to use, and able to operate on- and offline. 
• Multiple use cases, allow ing person-to-person (P2P), person-to- business (P2B) , and 
government-to-person (G2P) payments, and vice versa. 
• Interoperability with bank accounts, e-money accounts, and other payment options. 
• Application of limits on balances and transaction values. 
While promoting financial inclusion is a major reason for exploring and potentially deploying a 
CBDC, it may also have positive impacts on several areas of interest for the BCRP. For instance, 
the CBDC issuance could also support payment efficiency, reduce cash management costs, improve 
competition and innovation,  foster the monetary transmission mechanism , enhance financial stability, 
and s …</x:v>
      </x:c>
      <x:c r="G278" s="34" t="str">
        <x:v>PRD-0059-P0006-U01</x:v>
      </x:c>
      <x:c r="H278" s="34" t="str"/>
      <x:c r="I278" s="34" t="str">
        <x:v>PE_Peru_cbdc-presentation</x:v>
      </x:c>
      <x:c r="J278" s="34" t="n">
        <x:v>6</x:v>
      </x:c>
      <x:c r="K278" s="34" t="str">
        <x:v>en</x:v>
      </x:c>
      <x:c r="L278" s="34" t="str">
        <x:v>Banco Central de Reserva del Peru</x:v>
      </x:c>
      <x:c r="M278" s="34" t="str">
        <x:v>Retain the named authority's own CBDC decisions, explicit proposals, requirements, features, and executed findings. Exclude generic context, literature, foreign projects, and stakeholder views not explicitly adopted by the authority.</x:v>
      </x:c>
      <x:c r="N278" s="34" t="str">
        <x:v>text</x:v>
      </x:c>
      <x:c r="O278" s="34" t="str"/>
      <x:c r="P278" s="38" t="str"/>
      <x:c r="Q278" s="38" t="str"/>
      <x:c r="R278" s="38" t="str"/>
      <x:c r="S278" s="38" t="str"/>
      <x:c r="T278" s="38" t="str"/>
      <x:c r="U278" s="38" t="str"/>
      <x:c r="V278" s="38" t="str"/>
      <x:c r="W278" s="38" t="str"/>
      <x:c r="X278" s="38" t="str"/>
      <x:c r="Y278" s="38" t="str"/>
      <x:c r="Z278" s="38" t="str"/>
      <x:c r="AA278" s="43" t="str">
        <x:f>IF('Instructions'!$B$3="","",'Instructions'!$B$3)</x:f>
      </x:c>
      <x:c r="AB278" s="43" t="str">
        <x:f>IF(P278="","PENDING",IF('Instructions'!$B$3="","SET_INITIALS",IF(P278="keep",IF(OR(Q278="",R278="",S278="",T278="",U278="",W278=""),"INCOMPLETE_KEEP","COMPLETE"),IF(P278="exclude",IF(OR(V278="",W278=""),"INCOMPLETE_EXCLUDE","COMPLETE"),"NEEDS_CONTEXT"))))</x:f>
        <x:v>PENDING</x:v>
      </x:c>
    </x:row>
    <x:row r="279" ht="62" customHeight="1">
      <x:c r="A279" s="34" t="str">
        <x:v>SV-0276</x:v>
      </x:c>
      <x:c r="B279" s="34" t="str">
        <x:v>it has been found that the digital currency system can be 
integrated into the distributed asset systems that are likely to be included in our lives in the future, 
but the methods of integration can create new dependencies.</x:v>
      </x:c>
      <x:c r="C279" s="34" t="str"/>
      <x:c r="D279" s="34" t="str"/>
      <x:c r="E279" s="34" t="str"/>
      <x:c r="F279" s="34" t="str">
        <x:v>… ed ledger 
platforms. The application that has been developed showed that trade transactions operate in a 
concerted way on these two networks. Transaction integrity is ensured in the system. When the 
trade transaction is completed successfully, the asset is transferred to the buyer and the money 
is transferred to the seller. In case of unsuccessful completion of the transaction, both the asset 
and the amount of money subject to the trade remain with their previous owners prior to the 
transactions. 
In line with the proof-of-concept study, it has been found that the digital currency system can be 
integrated into the distributed asset systems that are likely to be included in our lives in the future, 
but the methods of integration can create new dependencies.
49</x:v>
      </x:c>
      <x:c r="G279" s="34" t="str">
        <x:v>PRD-0072-P0049-U01</x:v>
      </x:c>
      <x:c r="H279" s="34" t="str"/>
      <x:c r="I279" s="34" t="str">
        <x:v>TR_Turkey_Digital_Turkish_Lira_First_Phase_Evaluation_Report</x:v>
      </x:c>
      <x:c r="J279" s="34" t="n">
        <x:v>49</x:v>
      </x:c>
      <x:c r="K279" s="34" t="str">
        <x:v>en</x:v>
      </x:c>
      <x:c r="L279" s="34" t="str">
        <x:v>Central Bank of the Republic of Turkiye (Digital Turkish Lira)</x:v>
      </x:c>
      <x:c r="M279" s="34" t="str">
        <x:v>Retain CBRT adopted features, explicit proposals/requirements, and executed Phase 1 results. Exclude lists of future work without a conclusion.</x:v>
      </x:c>
      <x:c r="N279" s="34" t="str">
        <x:v>text</x:v>
      </x:c>
      <x:c r="O279" s="34" t="str"/>
      <x:c r="P279" s="38" t="str"/>
      <x:c r="Q279" s="38" t="str"/>
      <x:c r="R279" s="38" t="str"/>
      <x:c r="S279" s="38" t="str"/>
      <x:c r="T279" s="38" t="str"/>
      <x:c r="U279" s="38" t="str"/>
      <x:c r="V279" s="38" t="str"/>
      <x:c r="W279" s="38" t="str"/>
      <x:c r="X279" s="38" t="str"/>
      <x:c r="Y279" s="38" t="str"/>
      <x:c r="Z279" s="38" t="str"/>
      <x:c r="AA279" s="43" t="str">
        <x:f>IF('Instructions'!$B$3="","",'Instructions'!$B$3)</x:f>
      </x:c>
      <x:c r="AB279" s="43" t="str">
        <x:f>IF(P279="","PENDING",IF('Instructions'!$B$3="","SET_INITIALS",IF(P279="keep",IF(OR(Q279="",R279="",S279="",T279="",U279="",W279=""),"INCOMPLETE_KEEP","COMPLETE"),IF(P279="exclude",IF(OR(V279="",W279=""),"INCOMPLETE_EXCLUDE","COMPLETE"),"NEEDS_CONTEXT"))))</x:f>
        <x:v>PENDING</x:v>
      </x:c>
    </x:row>
    <x:row r="280" ht="62" customHeight="1">
      <x:c r="A280" s="34" t="str">
        <x:v>SV-0277</x:v>
      </x:c>
      <x:c r="B280" s="34" t="str">
        <x:v>DSP må utformes i samsvar med gode IT-arkitekturprinsipper. Overordnet 
innebærer dette krav om skalerbarhet, tilgjengelighet, sikkerhet, teknologinøytralitet 
og tilpasningsdyktighet.</x:v>
      </x:c>
      <x:c r="C280" s="34" t="str"/>
      <x:c r="D280" s="34" t="str"/>
      <x:c r="E280" s="34" t="str"/>
      <x:c r="F280" s="34" t="str">
        <x:v>17 
NORGES BANK MEMO 
NR 2 | 2019 
DIGITALE SENTRALBANKER 
2. RAPPORT FRA 
ARBEIDSGRUPPEN 
DSP må utformes i samsvar med gode IT-arkitekturprinsipper. Overordnet 
innebærer dette krav om skalerbarhet, tilgjengelighet, sikkerhet, teknologinøytralitet 
og tilpasningsdyktighet. Veiledning kan hentes fra Difis overordnede IT-
arkitekturprinsipper.  
Det vil også være et krav at DSP utformes slik at det tilfredsstiller krav til teknisk 
uavhengighet. Nivået på teknisk uavhengighet vil bero på behovet for DSP som en 
uavhengig beredskapsløsning. Vi legger til grunn at løsningen for DSP skal være 
uavhengig av bankenes elektroniske betalingsløsninger.  
I Norges Bank (2018) ble det vurdert som hensiktsmessig at kundekommunikasjon 
og -kontroll foretas av tredjeparter. Avhengig av design kan dette være parter 
Norges Bank …</x:v>
      </x:c>
      <x:c r="G280" s="34" t="str">
        <x:v>PRD-0052-P0017-U01</x:v>
      </x:c>
      <x:c r="H280" s="34" t="str"/>
      <x:c r="I280" s="34" t="str">
        <x:v>NO_Norway_nb_memo_2_19_dsp</x:v>
      </x:c>
      <x:c r="J280" s="34" t="n">
        <x:v>17</x:v>
      </x:c>
      <x:c r="K280" s="34" t="str">
        <x:v>en</x:v>
      </x:c>
      <x:c r="L280" s="34" t="str">
        <x:v>Norges Bank (Norwegian CBDC work)</x:v>
      </x:c>
      <x:c r="M280" s="34" t="str">
        <x:v>Retain Norges Bank CBDC analysis only when it states an issuer proposal, preference, requirement, or own-project finding; exclude cited theory.</x:v>
      </x:c>
      <x:c r="N280" s="34" t="str">
        <x:v>text</x:v>
      </x:c>
      <x:c r="O280" s="34" t="str"/>
      <x:c r="P280" s="38" t="str"/>
      <x:c r="Q280" s="38" t="str"/>
      <x:c r="R280" s="38" t="str"/>
      <x:c r="S280" s="38" t="str"/>
      <x:c r="T280" s="38" t="str"/>
      <x:c r="U280" s="38" t="str"/>
      <x:c r="V280" s="38" t="str"/>
      <x:c r="W280" s="38" t="str"/>
      <x:c r="X280" s="38" t="str"/>
      <x:c r="Y280" s="38" t="str"/>
      <x:c r="Z280" s="38" t="str"/>
      <x:c r="AA280" s="43" t="str">
        <x:f>IF('Instructions'!$B$3="","",'Instructions'!$B$3)</x:f>
      </x:c>
      <x:c r="AB280" s="43" t="str">
        <x:f>IF(P280="","PENDING",IF('Instructions'!$B$3="","SET_INITIALS",IF(P280="keep",IF(OR(Q280="",R280="",S280="",T280="",U280="",W280=""),"INCOMPLETE_KEEP","COMPLETE"),IF(P280="exclude",IF(OR(V280="",W280=""),"INCOMPLETE_EXCLUDE","COMPLETE"),"NEEDS_CONTEXT"))))</x:f>
        <x:v>PENDING</x:v>
      </x:c>
    </x:row>
    <x:row r="281" ht="62" customHeight="1">
      <x:c r="A281" s="34" t="str">
        <x:v>SV-0278</x:v>
      </x:c>
      <x:c r="B281" s="34" t="str">
        <x:v>This preserves the existing architecture that 
provides consumers the desired level of privacy 
without limiting the central bank or any state 
mandated agency’s legal access to wallet or 
transaction related information.</x:v>
      </x:c>
      <x:c r="C281" s="34" t="str"/>
      <x:c r="D281" s="34" t="str"/>
      <x:c r="E281" s="34" t="str"/>
      <x:c r="F281" s="34" t="str">
        <x:v>… ations
In designing a prototype of the eCedi for use 
during the pilot, several elements and attributes 
were enhanced in response to consumer feedback 
and expectations. 
Some of these considerations include:
Privacy
Being keenly aware of the Ghanaian 
consumers’ expectation of privacy in 
using the eCedi, the Bank pursued 
an architectural design that ensured that Bank of 
Ghana’s view of transactions on the eCedi system 
was at the aggregate level. Thus, the activities of 
individual wallet holders would only be visible to 
wallet issuers. 
This preserves the existing architecture that 
provides consumers the desired level of privacy 
without limiting the central bank or any state 
mandated agency’s legal access to wallet or 
transaction related information.
Customer on-boarding
The customer onboarding process 
was simplified for eCedi users. For 
the online pilot, participants were 
already existing customers of participating FSPs 
(subsequently referred to as pilot institutions) 
that on-boarded them. Thus, KYC processes had 
already been completed and the existing wallet 
authenticating procedures were implemented.
In the offline pilot, all participants were required 
to fill in User and Merchant Acceptance/Consent 
Forms that detailed how user data would be used. 
In addition, to ensure that t …</x:v>
      </x:c>
      <x:c r="G281" s="34" t="str">
        <x:v>PRD-0031-P0010-U01</x:v>
      </x:c>
      <x:c r="H281" s="34" t="str"/>
      <x:c r="I281" s="34" t="str">
        <x:v>GH_Ghana_2023</x:v>
      </x:c>
      <x:c r="J281" s="34" t="n">
        <x:v>10</x:v>
      </x:c>
      <x:c r="K281" s="34" t="str">
        <x:v>en</x:v>
      </x:c>
      <x:c r="L281" s="34" t="str">
        <x:v>Bank of Ghana (eCedi)</x:v>
      </x:c>
      <x:c r="M281" s="34" t="str">
        <x:v>Retain the named authority's own CBDC decisions, explicit proposals, requirements, features, and executed findings. Exclude generic context, literature, foreign projects, and stakeholder views not explicitly adopted by the authority.</x:v>
      </x:c>
      <x:c r="N281" s="34" t="str">
        <x:v>text</x:v>
      </x:c>
      <x:c r="O281" s="34" t="str"/>
      <x:c r="P281" s="38" t="str"/>
      <x:c r="Q281" s="38" t="str"/>
      <x:c r="R281" s="38" t="str"/>
      <x:c r="S281" s="38" t="str"/>
      <x:c r="T281" s="38" t="str"/>
      <x:c r="U281" s="38" t="str"/>
      <x:c r="V281" s="38" t="str"/>
      <x:c r="W281" s="38" t="str"/>
      <x:c r="X281" s="38" t="str"/>
      <x:c r="Y281" s="38" t="str"/>
      <x:c r="Z281" s="38" t="str"/>
      <x:c r="AA281" s="43" t="str">
        <x:f>IF('Instructions'!$B$3="","",'Instructions'!$B$3)</x:f>
      </x:c>
      <x:c r="AB281" s="43" t="str">
        <x:f>IF(P281="","PENDING",IF('Instructions'!$B$3="","SET_INITIALS",IF(P281="keep",IF(OR(Q281="",R281="",S281="",T281="",U281="",W281=""),"INCOMPLETE_KEEP","COMPLETE"),IF(P281="exclude",IF(OR(V281="",W281=""),"INCOMPLETE_EXCLUDE","COMPLETE"),"NEEDS_CONTEXT"))))</x:f>
        <x:v>PENDING</x:v>
      </x:c>
    </x:row>
    <x:row r="282" ht="62" customHeight="1">
      <x:c r="A282" s="34" t="str">
        <x:v>SV-0279</x:v>
      </x:c>
      <x:c r="B282" s="34" t="str">
        <x:v>The tests indicated that the CBDC design 
functioned well for minting, distribution, and 
melting of CBDC</x:v>
      </x:c>
      <x:c r="C282" s="34" t="str"/>
      <x:c r="D282" s="34" t="str"/>
      <x:c r="E282" s="34" t="str"/>
      <x:c r="F282" s="34" t="str">
        <x:v>… ality
Business and Operational 
Considerations
A B Regulatory, Legal and Accounting 
Considerations
The real -value testing of Retail CBDC in the pilot 
and end -to-end operations of the Retail CBDC 
system included the operations done by the BOT 
(request/validate/transfer/redeem), the connectivity 
with FSPs’ systems (to distribute CBDC and 
interoperate with the banking system), as well as 
payment channels for users and merchants (via 
Standard QR codes, Online channels, point of 
sales (POS), Wallet IDs) in daily live payment 
activities. The tests indicated that the CBDC design 
functioned well for minting, distribution, and 
melting of CBDC, and was well -integrated and 
interoperable with the existing payment 
infrastructure and efficiently used across the FSPs , 
offering a similar user experience to the mobile 
banking applications currently available in Thailand  
(as shown in Figure 6).
End-to-end testing of the Retail CBDC in a live 
environment led the BOT to consider associated 
considerations and have dialogues with relevant 
government agencies, including on the following:
- Legal aspects: The BOT is empowered by its law  
to develop and run the pilot.11 However, given  …</x:v>
      </x:c>
      <x:c r="G282" s="34" t="str">
        <x:v>PRD-0071-P0019-U01</x:v>
      </x:c>
      <x:c r="H282" s="34" t="str"/>
      <x:c r="I282" s="34" t="str">
        <x:v>TH_Thailand_rCBDC_Conclusion_Report</x:v>
      </x:c>
      <x:c r="J282" s="34" t="n">
        <x:v>19</x:v>
      </x:c>
      <x:c r="K282" s="34" t="str">
        <x:v>en</x:v>
      </x:c>
      <x:c r="L282" s="34" t="str">
        <x:v>Bank of Thailand (retail CBDC pilot)</x:v>
      </x:c>
      <x:c r="M282" s="34" t="str">
        <x:v>Retain Bank of Thailand own-pilot conclusions, requirements, and decisions.</x:v>
      </x:c>
      <x:c r="N282" s="34" t="str">
        <x:v>text</x:v>
      </x:c>
      <x:c r="O282" s="34" t="str"/>
      <x:c r="P282" s="38" t="str"/>
      <x:c r="Q282" s="38" t="str"/>
      <x:c r="R282" s="38" t="str"/>
      <x:c r="S282" s="38" t="str"/>
      <x:c r="T282" s="38" t="str"/>
      <x:c r="U282" s="38" t="str"/>
      <x:c r="V282" s="38" t="str"/>
      <x:c r="W282" s="38" t="str"/>
      <x:c r="X282" s="38" t="str"/>
      <x:c r="Y282" s="38" t="str"/>
      <x:c r="Z282" s="38" t="str"/>
      <x:c r="AA282" s="43" t="str">
        <x:f>IF('Instructions'!$B$3="","",'Instructions'!$B$3)</x:f>
      </x:c>
      <x:c r="AB282" s="43" t="str">
        <x:f>IF(P282="","PENDING",IF('Instructions'!$B$3="","SET_INITIALS",IF(P282="keep",IF(OR(Q282="",R282="",S282="",T282="",U282="",W282=""),"INCOMPLETE_KEEP","COMPLETE"),IF(P282="exclude",IF(OR(V282="",W282=""),"INCOMPLETE_EXCLUDE","COMPLETE"),"NEEDS_CONTEXT"))))</x:f>
        <x:v>PENDING</x:v>
      </x:c>
    </x:row>
    <x:row r="283" ht="62" customHeight="1">
      <x:c r="A283" s="34" t="str">
        <x:v>SV-0280</x:v>
      </x:c>
      <x:c r="B283" s="34" t="str">
        <x:v>Monitoring for fraud detection.</x:v>
      </x:c>
      <x:c r="C283" s="34" t="str"/>
      <x:c r="D283" s="34" t="str"/>
      <x:c r="E283" s="34" t="str"/>
      <x:c r="F283" s="34" t="str">
        <x:v>… would update against the network once communications were re-established. 
 Near instantaneous validation of transactions/real-time transactions processing. 
 Point of sale support for businesses accepting payments.  Through PSP tailored solutions, 
business would be able to process payments with modern credit and debit card machines 
or mobile phone apps. 
 Fully auditable transactions trail (non-anonymous).  Transactions monitoring still protects 
user confidentiality, and would be governed by strict regulatory standards around access. 
 Monitoring for fraud detection. 
 Restriction of digital currency to domestic use.  A Bahamian CBDC would be for domestic 
use only, and prohibited from acceptance by non-domestic payees.  Wallet holders would 
still have the option, through PSPs, to integrate accounts with commercial banks, to make 
electronic purchases of foreign exchange, enabling use of their accounts internationally.   
 Multi-factor authentication for wallet users.  Users would have to supply two passcodes, 
one randomly generated, to complete some payments transactions. 
 Digital ID solution (using …</x:v>
      </x:c>
      <x:c r="G283" s="34" t="str">
        <x:v>PRD-0012-P0010-U01</x:v>
      </x:c>
      <x:c r="H283" s="34" t="str"/>
      <x:c r="I283" s="34" t="str">
        <x:v>BS_Bahamas_SandDollar_2019</x:v>
      </x:c>
      <x:c r="J283" s="34" t="n">
        <x:v>10</x:v>
      </x:c>
      <x:c r="K283" s="34" t="str">
        <x:v>en</x:v>
      </x:c>
      <x:c r="L283" s="34" t="str">
        <x:v>Central Bank of The Bahamas (Sand Dollar)</x:v>
      </x:c>
      <x:c r="M283" s="34" t="str">
        <x:v>Retain Sand Dollar project decisions and executed project research/findings. Exclude non-CBDC survey facts unless the text states a CBDC adoption implication.</x:v>
      </x:c>
      <x:c r="N283" s="34" t="str">
        <x:v>text</x:v>
      </x:c>
      <x:c r="O283" s="34" t="str"/>
      <x:c r="P283" s="38" t="str"/>
      <x:c r="Q283" s="38" t="str"/>
      <x:c r="R283" s="38" t="str"/>
      <x:c r="S283" s="38" t="str"/>
      <x:c r="T283" s="38" t="str"/>
      <x:c r="U283" s="38" t="str"/>
      <x:c r="V283" s="38" t="str"/>
      <x:c r="W283" s="38" t="str"/>
      <x:c r="X283" s="38" t="str"/>
      <x:c r="Y283" s="38" t="str"/>
      <x:c r="Z283" s="38" t="str"/>
      <x:c r="AA283" s="43" t="str">
        <x:f>IF('Instructions'!$B$3="","",'Instructions'!$B$3)</x:f>
      </x:c>
      <x:c r="AB283" s="43" t="str">
        <x:f>IF(P283="","PENDING",IF('Instructions'!$B$3="","SET_INITIALS",IF(P283="keep",IF(OR(Q283="",R283="",S283="",T283="",U283="",W283=""),"INCOMPLETE_KEEP","COMPLETE"),IF(P283="exclude",IF(OR(V283="",W283=""),"INCOMPLETE_EXCLUDE","COMPLETE"),"NEEDS_CONTEXT"))))</x:f>
        <x:v>PENDING</x:v>
      </x:c>
    </x:row>
    <x:row r="284" ht="62" customHeight="1">
      <x:c r="A284" s="34" t="str">
        <x:v>SV-0281</x:v>
      </x:c>
      <x:c r="B284" s="34" t="str">
        <x:v>it is likely that the CBDC system would be designed to allow merchants to use 
existing PoS terminals to accept CBDC payments.</x:v>
      </x:c>
      <x:c r="C284" s="34" t="str"/>
      <x:c r="D284" s="34" t="str"/>
      <x:c r="E284" s="34" t="str"/>
      <x:c r="F284" s="34" t="str">
        <x:v>… e and 
desktop browsers, and in-app payments on smart phones, games consoles and a growing 
range of devices. The API layer should enable wallet providers to support payments across 
the range of e-commerce methods and devices either through integrating CBDC payments 
into existing checkout pages or by creating custom CBDC payment flows.  
For CBDC to be useful for everyday payments, users would need to be able to pay in 
store for purchases.  
To ensure utility and support adoption, CBDC would need to be widely accepted in stores. 
Therefore, it is likely that the CBDC system would be designed to allow merchants to use 
existing PoS terminals to accept CBDC payments. This would eliminate the need for 
merchants to invest in new hardware. Existing PoS technology also has the advantage of 
familiarity for merchants as well as wide hardware coverage. 
The Bank commissioned a feasibility study which explored how CBDC could be accepted for 
payments using the existing PoS estate in the UK. The study concluded that it would be 
feasible to use existing PoS infrastructure to accept CBDC payments, and that there are 
several viable ways of doing so. The study also highlighted that there are parallels between 
an e …</x:v>
      </x:c>
      <x:c r="G284" s="34" t="str">
        <x:v>PRD-0076-P0064-U01</x:v>
      </x:c>
      <x:c r="H284" s="34" t="str"/>
      <x:c r="I284" s="34" t="str">
        <x:v>UK_BoE_2023_TechWP</x:v>
      </x:c>
      <x:c r="J284" s="34" t="n">
        <x:v>64</x:v>
      </x:c>
      <x:c r="K284" s="34" t="str">
        <x:v>en</x:v>
      </x:c>
      <x:c r="L284" s="34" t="str">
        <x:v>Bank of England and HM Treasury (digital pound)</x:v>
      </x:c>
      <x:c r="M284" s="34" t="str">
        <x:v>Retain the named authority's own CBDC decisions, explicit proposals, requirements, features, and executed findings. Exclude generic context, literature, foreign projects, and stakeholder views not explicitly adopted by the authority.</x:v>
      </x:c>
      <x:c r="N284" s="34" t="str">
        <x:v>text</x:v>
      </x:c>
      <x:c r="O284" s="34" t="str"/>
      <x:c r="P284" s="38" t="str"/>
      <x:c r="Q284" s="38" t="str"/>
      <x:c r="R284" s="38" t="str"/>
      <x:c r="S284" s="38" t="str"/>
      <x:c r="T284" s="38" t="str"/>
      <x:c r="U284" s="38" t="str"/>
      <x:c r="V284" s="38" t="str"/>
      <x:c r="W284" s="38" t="str"/>
      <x:c r="X284" s="38" t="str"/>
      <x:c r="Y284" s="38" t="str"/>
      <x:c r="Z284" s="38" t="str"/>
      <x:c r="AA284" s="43" t="str">
        <x:f>IF('Instructions'!$B$3="","",'Instructions'!$B$3)</x:f>
      </x:c>
      <x:c r="AB284" s="43" t="str">
        <x:f>IF(P284="","PENDING",IF('Instructions'!$B$3="","SET_INITIALS",IF(P284="keep",IF(OR(Q284="",R284="",S284="",T284="",U284="",W284=""),"INCOMPLETE_KEEP","COMPLETE"),IF(P284="exclude",IF(OR(V284="",W284=""),"INCOMPLETE_EXCLUDE","COMPLETE"),"NEEDS_CONTEXT"))))</x:f>
        <x:v>PENDING</x:v>
      </x:c>
    </x:row>
    <x:row r="285" ht="62" customHeight="1">
      <x:c r="A285" s="34" t="str">
        <x:v>SV-0282</x:v>
      </x:c>
      <x:c r="B285" s="34" t="str">
        <x:v>Krav til kundekontroll19 vil likevel innebære at det må gjøres koblinger mellom 
«tokens» og identitet, for eksempel ved on-boarding av nye brukere, store 
transaksjoner og mistenkelige transaksjoner.</x:v>
      </x:c>
      <x:c r="C285" s="34" t="str"/>
      <x:c r="D285" s="34" t="str"/>
      <x:c r="E285" s="34" t="str"/>
      <x:c r="F285" s="34" t="str">
        <x:v>… ilken informasjon 
ulike aktører har, men det vil ikke være noen iboende anonymitet. Siden 
løsningen er kombinert med lokal lagring, kan anonyme forhåndsbetalte kort gi 
anonymitet innenfor rammene av tillatt omfang.  
I en tokenbasert løsning vil det ikke være noen direkte kobling mellom identitet 
og pengebeholdninger. Registeret vil koble kryptografiske adresser med 
penger som kan disponeres over ved kryptografiske koder. En slik løsning vil 
være såkalt «pseudo-anonym» ved at det ikke er noen direkte kobling mellom 
personer og penger.  
Krav til kundekontroll19 vil likevel innebære at det må gjøres koblinger mellom 
«tokens» og identitet, for eksempel ved on-boarding av nye brukere, store 
transaksjoner og mistenkelige transaksjoner. Dette vil også måtte innebære at 
koblingen mellom identitet og «tokens» vil registreres og ligge i registre. Ulike 
organiseringer av slike registre er beskrevet i omtalen av kundekontroll i 
avsnitt 2.11.  
Selv om det ikke skulle være noen registre som direkte kobler identitet og 
«tokens», kan ulike kvantitative teknikker, slik som nettverksanalyse, likevel 
benyttes til å koble personer med beholdninger. Dette kan brukes for 
etterlevelse-formål, men kan også innebære at registeret indirekte kan 
inneholde personopplysninger som kan utløs …</x:v>
      </x:c>
      <x:c r="G285" s="34" t="str">
        <x:v>PRD-0054-P0024-U01</x:v>
      </x:c>
      <x:c r="H285" s="34" t="str"/>
      <x:c r="I285" s="34" t="str">
        <x:v>NO_Norway_norges-bank-memo-1-2021</x:v>
      </x:c>
      <x:c r="J285" s="34" t="n">
        <x:v>24</x:v>
      </x:c>
      <x:c r="K285" s="34" t="str">
        <x:v>en</x:v>
      </x:c>
      <x:c r="L285" s="34" t="str">
        <x:v>Norges Bank (Norwegian CBDC work)</x:v>
      </x:c>
      <x:c r="M285" s="34" t="str">
        <x:v>Retain Norges Bank CBDC positions and requirements; exclude generic or cited research.</x:v>
      </x:c>
      <x:c r="N285" s="34" t="str">
        <x:v>text</x:v>
      </x:c>
      <x:c r="O285" s="34" t="str"/>
      <x:c r="P285" s="38" t="str"/>
      <x:c r="Q285" s="38" t="str"/>
      <x:c r="R285" s="38" t="str"/>
      <x:c r="S285" s="38" t="str"/>
      <x:c r="T285" s="38" t="str"/>
      <x:c r="U285" s="38" t="str"/>
      <x:c r="V285" s="38" t="str"/>
      <x:c r="W285" s="38" t="str"/>
      <x:c r="X285" s="38" t="str"/>
      <x:c r="Y285" s="38" t="str"/>
      <x:c r="Z285" s="38" t="str"/>
      <x:c r="AA285" s="43" t="str">
        <x:f>IF('Instructions'!$B$3="","",'Instructions'!$B$3)</x:f>
      </x:c>
      <x:c r="AB285" s="43" t="str">
        <x:f>IF(P285="","PENDING",IF('Instructions'!$B$3="","SET_INITIALS",IF(P285="keep",IF(OR(Q285="",R285="",S285="",T285="",U285="",W285=""),"INCOMPLETE_KEEP","COMPLETE"),IF(P285="exclude",IF(OR(V285="",W285=""),"INCOMPLETE_EXCLUDE","COMPLETE"),"NEEDS_CONTEXT"))))</x:f>
        <x:v>PENDING</x:v>
      </x:c>
    </x:row>
    <x:row r="286" ht="62" customHeight="1">
      <x:c r="A286" s="34" t="str">
        <x:v>SV-0283</x:v>
      </x:c>
      <x:c r="B286" s="34" t="str">
        <x:v>the itCoin infrastructure would be one layer of the system, built by the 
Eurosystem for intermediaries, which in turn would be in charge of building, 
on top of it, a layer for retail users.</x:v>
      </x:c>
      <x:c r="C286" s="34" t="str"/>
      <x:c r="D286" s="34" t="str"/>
      <x:c r="E286" s="34" t="str"/>
      <x:c r="F286" s="34" t="str">
        <x:v>… many small 
value payments. In particular, the limited throughput and high latency would 
make on-ledger transactions unsuitable for use in everyday payments. In 
addition, the ledger is public and readable by everyone, and for this reason the 
techniques needed to preserve privacy and confidentiality on a public ledger 
are sophisticated and would require ad-hoc technical skills,50 which are likely 
not present in an average retail user. Finally, the transaction fee mechanism 
would make this system unpalatable for the retail market.
In fact, the itCoin infrastructure would be one layer of the system, built by the 
Eurosystem for intermediaries, which in turn would be in charge of building, 
on top of it, a layer for retail users. It is crucially important to highlight that 
the itCoin ledger would offer programming capabilities, 51 paving the way for 
the development of innovative smart-contracts applications by the market, 
including, but not limited to, payment applications. Among many others, the 
programmability model of itCoin would support the development of applications 
that make use of multi-signature arrangements (e.g. multi-signature escrows, 
or shared wallet control) and applications for the synchronization of D€ 
payments with external events, including t …</x:v>
      </x:c>
      <x:c r="G286" s="34" t="str">
        <x:v>PRD-0042-P0030-U01</x:v>
      </x:c>
      <x:c r="H286" s="34" t="str"/>
      <x:c r="I286" s="34" t="str">
        <x:v>IT_BdI_MISP_2021</x:v>
      </x:c>
      <x:c r="J286" s="34" t="n">
        <x:v>30</x:v>
      </x:c>
      <x:c r="K286" s="34" t="str">
        <x:v>en</x:v>
      </x:c>
      <x:c r="L286" s="34" t="str">
        <x:v>Banca d'Italia research context</x:v>
      </x:c>
      <x:c r="M286" s="34" t="str">
        <x:v>This research paper is not automatically an issuer commitment. Retain only Banca d'Italia own-project results or explicit institutional positions; exclude literature and model assumptions.</x:v>
      </x:c>
      <x:c r="N286" s="34" t="str">
        <x:v>text</x:v>
      </x:c>
      <x:c r="O286" s="34" t="str"/>
      <x:c r="P286" s="38" t="str"/>
      <x:c r="Q286" s="38" t="str"/>
      <x:c r="R286" s="38" t="str"/>
      <x:c r="S286" s="38" t="str"/>
      <x:c r="T286" s="38" t="str"/>
      <x:c r="U286" s="38" t="str"/>
      <x:c r="V286" s="38" t="str"/>
      <x:c r="W286" s="38" t="str"/>
      <x:c r="X286" s="38" t="str"/>
      <x:c r="Y286" s="38" t="str"/>
      <x:c r="Z286" s="38" t="str"/>
      <x:c r="AA286" s="43" t="str">
        <x:f>IF('Instructions'!$B$3="","",'Instructions'!$B$3)</x:f>
      </x:c>
      <x:c r="AB286" s="43" t="str">
        <x:f>IF(P286="","PENDING",IF('Instructions'!$B$3="","SET_INITIALS",IF(P286="keep",IF(OR(Q286="",R286="",S286="",T286="",U286="",W286=""),"INCOMPLETE_KEEP","COMPLETE"),IF(P286="exclude",IF(OR(V286="",W286=""),"INCOMPLETE_EXCLUDE","COMPLETE"),"NEEDS_CONTEXT"))))</x:f>
        <x:v>PENDING</x:v>
      </x:c>
    </x:row>
    <x:row r="287" ht="62" customHeight="1">
      <x:c r="A287" s="34" t="str">
        <x:v>SV-0284</x:v>
      </x:c>
      <x:c r="B287" s="34" t="str">
        <x:v>Redemption of the eCedi to Cedi is 
available at any time.</x:v>
      </x:c>
      <x:c r="C287" s="34" t="str"/>
      <x:c r="D287" s="34" t="str"/>
      <x:c r="E287" s="34" t="str"/>
      <x:c r="F287" s="34" t="str">
        <x:v>…  storing, 
payment, and redemption. 
Figure 3 describes the journey of an unbanked 
person without a smartphone or a feature phone 
visiting a bank (or another authorized institution) 
and receiving a smart card with an offline eCedi 
wallet. Such a wallet can be utilized without access 
to the internet. The wallet can be topped up with 
the eCedi directly at the bank or by means of a 
P2P transfer. Thereafter, this consumer is able 
to purchase goods and services (in person) or 
instantly transfer the eCedi to other consumers 
(face to face). Redemption of the eCedi to Cedi is 
available at any time. 
Unbanked person Redemption of the 
eCedi to Cedi
Onboards for a smart 
card with an offline 
wallet at a bank or an 
authorized institution
Offline wallet is loaded 
with the eCedi by 
the bank or payment 
service provider / 
consumer receives 
eCedi from another 
person, institution, or 
agent
Face to face eCedi  
transfers between  
individuals
Merchant Payment: 
in-person purchase of 
goods and services
P2P
P2B
Fig. 3 Consumer journey: offline wallet on a smart card
In the next two scenarios, a consumer visits a 
financial institution to o …</x:v>
      </x:c>
      <x:c r="G287" s="34" t="str">
        <x:v>PRD-0030-P0021-U01</x:v>
      </x:c>
      <x:c r="H287" s="34" t="str"/>
      <x:c r="I287" s="34" t="str">
        <x:v>GH_Ghana_2021</x:v>
      </x:c>
      <x:c r="J287" s="34" t="n">
        <x:v>21</x:v>
      </x:c>
      <x:c r="K287" s="34" t="str">
        <x:v>en</x:v>
      </x:c>
      <x:c r="L287" s="34" t="str">
        <x:v>Bank of Ghana (eCedi)</x:v>
      </x:c>
      <x:c r="M287" s="34" t="str">
        <x:v>Retain Bank of Ghana eCedi design positions and requirements; exclude general CBDC literature.</x:v>
      </x:c>
      <x:c r="N287" s="34" t="str">
        <x:v>text</x:v>
      </x:c>
      <x:c r="O287" s="34" t="str"/>
      <x:c r="P287" s="38" t="str"/>
      <x:c r="Q287" s="38" t="str"/>
      <x:c r="R287" s="38" t="str"/>
      <x:c r="S287" s="38" t="str"/>
      <x:c r="T287" s="38" t="str"/>
      <x:c r="U287" s="38" t="str"/>
      <x:c r="V287" s="38" t="str"/>
      <x:c r="W287" s="38" t="str"/>
      <x:c r="X287" s="38" t="str"/>
      <x:c r="Y287" s="38" t="str"/>
      <x:c r="Z287" s="38" t="str"/>
      <x:c r="AA287" s="43" t="str">
        <x:f>IF('Instructions'!$B$3="","",'Instructions'!$B$3)</x:f>
      </x:c>
      <x:c r="AB287" s="43" t="str">
        <x:f>IF(P287="","PENDING",IF('Instructions'!$B$3="","SET_INITIALS",IF(P287="keep",IF(OR(Q287="",R287="",S287="",T287="",U287="",W287=""),"INCOMPLETE_KEEP","COMPLETE"),IF(P287="exclude",IF(OR(V287="",W287=""),"INCOMPLETE_EXCLUDE","COMPLETE"),"NEEDS_CONTEXT"))))</x:f>
        <x:v>PENDING</x:v>
      </x:c>
    </x:row>
    <x:row r="288" ht="62" customHeight="1">
      <x:c r="A288" s="34" t="str">
        <x:v>SV-0285</x:v>
      </x:c>
      <x:c r="B288" s="34" t="str">
        <x:v>Unless adequate safeguards (see Section 4.1) are in place, the issuance and 
redemption of e-HKD under the AB approach may lead to increased volatility of 
the AB and hence HKD interbank liquidity conditions. The effect could be material 
if the AB were to drop to low levels, for example, during a financial crisis period 
with a deposit flight into e-HKD.</x:v>
      </x:c>
      <x:c r="C288" s="34" t="str"/>
      <x:c r="D288" s="34" t="str"/>
      <x:c r="E288" s="34" t="str"/>
      <x:c r="F288" s="34" t="str">
        <x:v>… t is fully 
backed by USD reserves, such a conversion would simply represent a change in 
the composition of the Monetary Base, and would be consistent with the Currency 
Board principles.
(4) Distribute HK$10 of e-HKD
(1) Convert HK$10 of deposits to e-HKD
(3) Issue HK$10 of e-HKD
(2) Submit HK$10 of AB
   Figure 8: Mechanism of issuing e-HKD by converting AB with the HKMA into e-HKD
Among the three potential issuance mechanisms, the AB approach is considered less 
suitable than the Banknote approach and the Coins approach for two reasons:
1. Unless adequate safeguards (see Section 4.1) are in place, the issuance and 
redemption of e-HKD under the AB approach may lead to increased volatility of 
the AB and hence HKD interbank liquidity conditions. The effect could be material 
if the AB were to drop to low levels, for example, during a financial crisis period 
with a deposit flight into e-HKD.</x:v>
      </x:c>
      <x:c r="G288" s="34" t="str">
        <x:v>PRD-0090-P0032-U01</x:v>
      </x:c>
      <x:c r="H288" s="34" t="str"/>
      <x:c r="I288" s="34" t="str">
        <x:v>HK_HKMA_eHKD_PolicyDesign</x:v>
      </x:c>
      <x:c r="J288" s="34" t="n">
        <x:v>32</x:v>
      </x:c>
      <x:c r="K288" s="34" t="str">
        <x:v>en</x:v>
      </x:c>
      <x:c r="L288" s="34" t="str">
        <x:v>Hong Kong Monetary Authority (e-HKD)</x:v>
      </x:c>
      <x:c r="M288" s="34" t="str">
        <x:v>Retain HKMA policy/design positions for e-HKD; exclude generic literature and open questions.</x:v>
      </x:c>
      <x:c r="N288" s="34" t="str">
        <x:v>text</x:v>
      </x:c>
      <x:c r="O288" s="34" t="str"/>
      <x:c r="P288" s="38" t="str"/>
      <x:c r="Q288" s="38" t="str"/>
      <x:c r="R288" s="38" t="str"/>
      <x:c r="S288" s="38" t="str"/>
      <x:c r="T288" s="38" t="str"/>
      <x:c r="U288" s="38" t="str"/>
      <x:c r="V288" s="38" t="str"/>
      <x:c r="W288" s="38" t="str"/>
      <x:c r="X288" s="38" t="str"/>
      <x:c r="Y288" s="38" t="str"/>
      <x:c r="Z288" s="38" t="str"/>
      <x:c r="AA288" s="43" t="str">
        <x:f>IF('Instructions'!$B$3="","",'Instructions'!$B$3)</x:f>
      </x:c>
      <x:c r="AB288" s="43" t="str">
        <x:f>IF(P288="","PENDING",IF('Instructions'!$B$3="","SET_INITIALS",IF(P288="keep",IF(OR(Q288="",R288="",S288="",T288="",U288="",W288=""),"INCOMPLETE_KEEP","COMPLETE"),IF(P288="exclude",IF(OR(V288="",W288=""),"INCOMPLETE_EXCLUDE","COMPLETE"),"NEEDS_CONTEXT"))))</x:f>
        <x:v>PENDING</x:v>
      </x:c>
    </x:row>
    <x:row r="289" ht="62" customHeight="1">
      <x:c r="A289" s="34" t="str">
        <x:v>SV-0286</x:v>
      </x:c>
      <x:c r="B289" s="34" t="str">
        <x:v>Users cannot conduct high-value 
transactions by putting a cap on CBDC holdings, mitigating 
sizeable potential outflows from commercial bank deposits to 
CBDC holdings</x:v>
      </x:c>
      <x:c r="C289" s="34" t="str"/>
      <x:c r="D289" s="34" t="str"/>
      <x:c r="E289" s="34" t="str"/>
      <x:c r="F289" s="34" t="str">
        <x:v>Leading with inclusion 
117
As motivated in Section 5.2, a retail CBDC can drain commercial 
banks’ funding, especially those that depend heavily on retail 
deposits. September-end 2022, retail resident deposits form 
84.8 percent of total funding, confirming that Aruban commercial 
banks rely on retail funding. Accordingly, a retail CBDC 
may drain crucial funding sources of commercial banks, 
affecting their livelihood. At the same time, central banks 
can mitigate this risk. Users cannot conduct high-value 
transactions by putting a cap on CBDC holdings, mitigating 
sizeable potential outflows from commercial bank deposits to 
CBDC holdings (Figure 5). Moreover, by skipping remuneration 
on CBDC deposits, commercial bank deposits remain relatively 
appealing. Even if some retail bank deposits move to a CBDC, 
the higher cost of funding does not necessarily hurt profitability 
(and financial stability). Namely, IMF (2019a) reports that Aruban 
commercial banks enjoy healthy profits and sizable interest rate 
margins, partly reflecting weak competition. Furthermore, given 
the ample amount of excess liquidity in Aruba (CBA, 2023), if 
some retail deposits are converted to CBDC, the …</x:v>
      </x:c>
      <x:c r="G289" s="34" t="str">
        <x:v>PRD-0008-P0116-U01</x:v>
      </x:c>
      <x:c r="H289" s="34" t="str"/>
      <x:c r="I289" s="34" t="str">
        <x:v>AW_ARU_001</x:v>
      </x:c>
      <x:c r="J289" s="34" t="n">
        <x:v>116</x:v>
      </x:c>
      <x:c r="K289" s="34" t="str">
        <x:v>en</x:v>
      </x:c>
      <x:c r="L289" s="34" t="str">
        <x:v>Aruba policy study / Central Bank of Aruba</x:v>
      </x:c>
      <x:c r="M289" s="34" t="str">
        <x:v>This is a broad Aruba policy report. Retain only explicit Aruba CBDC recommendations or findings; exclude external literature and non-CBDC chapters.</x:v>
      </x:c>
      <x:c r="N289" s="34" t="str">
        <x:v>text</x:v>
      </x:c>
      <x:c r="O289" s="34" t="str"/>
      <x:c r="P289" s="38" t="str"/>
      <x:c r="Q289" s="38" t="str"/>
      <x:c r="R289" s="38" t="str"/>
      <x:c r="S289" s="38" t="str"/>
      <x:c r="T289" s="38" t="str"/>
      <x:c r="U289" s="38" t="str"/>
      <x:c r="V289" s="38" t="str"/>
      <x:c r="W289" s="38" t="str"/>
      <x:c r="X289" s="38" t="str"/>
      <x:c r="Y289" s="38" t="str"/>
      <x:c r="Z289" s="38" t="str"/>
      <x:c r="AA289" s="43" t="str">
        <x:f>IF('Instructions'!$B$3="","",'Instructions'!$B$3)</x:f>
      </x:c>
      <x:c r="AB289" s="43" t="str">
        <x:f>IF(P289="","PENDING",IF('Instructions'!$B$3="","SET_INITIALS",IF(P289="keep",IF(OR(Q289="",R289="",S289="",T289="",U289="",W289=""),"INCOMPLETE_KEEP","COMPLETE"),IF(P289="exclude",IF(OR(V289="",W289=""),"INCOMPLETE_EXCLUDE","COMPLETE"),"NEEDS_CONTEXT"))))</x:f>
        <x:v>PENDING</x:v>
      </x:c>
    </x:row>
    <x:row r="290" ht="62" customHeight="1">
      <x:c r="A290" s="34" t="str">
        <x:v>SV-0287</x:v>
      </x:c>
      <x:c r="B290" s="34" t="str">
        <x:v>Universal: A CBDC should provide low-cost, basic saving and payments to all households, including 
those that are financially and digitally excluded.</x:v>
      </x:c>
      <x:c r="C290" s="34" t="str"/>
      <x:c r="D290" s="34" t="str"/>
      <x:c r="E290" s="34" t="str"/>
      <x:c r="F290" s="34" t="str">
        <x:v>… tives but how it could also present several significant risks and challenges. The opportunities 
and challenges of an abstract CBDC have led the Reserve Bank towards a set of high-level design 
principles. These principles provide an indication of what a future CBDC might need to look like 
and can be used as a guide for future investigations. The principles are summarised below. 
Table 4: CBDC design principles 
CBDC design principles 
1. Uniform: A CBDC should be exchanged 1:1 with cash and support the NZD as our single unit of 
account. 
2. Universal: A CBDC should provide low-cost, basic saving and payments to all households, including 
those that are financially and digitally excluded.  
3. Cash-like: A CBDC should facilitate autonomy and privacy in paying and saving, provide a personal 
back-up form of payment, and enable peer-to-peer payments. 
4. Innovative: A CBDC should be modern, be interoperable and drive innovation in New Zealand’s 
money and payments ecosystem, and provide a potential new monetary policy tool. 
5. Integrity: A CBDC should be unquestionably operationally resilient, avoid double-spending, provide 
near-instant final settlement and comply with all regulations. 
6. Managed issuance: A CBDC should be iss …</x:v>
      </x:c>
      <x:c r="G290" s="34" t="str">
        <x:v>PRD-0057-P0034-U01</x:v>
      </x:c>
      <x:c r="H290" s="34" t="str"/>
      <x:c r="I290" s="34" t="str">
        <x:v>NZ_RBNZ_CBDCIssuesPaper_2021</x:v>
      </x:c>
      <x:c r="J290" s="34" t="n">
        <x:v>34</x:v>
      </x:c>
      <x:c r="K290" s="34" t="str">
        <x:v>en</x:v>
      </x:c>
      <x:c r="L290" s="34" t="str">
        <x:v>Reserve Bank of New Zealand</x:v>
      </x:c>
      <x:c r="M290" s="34" t="str">
        <x:v>Retain the named authority's own CBDC decisions, explicit proposals, requirements, features, and executed findings. Exclude generic context, literature, foreign projects, and stakeholder views not explicitly adopted by the authority.</x:v>
      </x:c>
      <x:c r="N290" s="34" t="str">
        <x:v>text</x:v>
      </x:c>
      <x:c r="O290" s="34" t="str"/>
      <x:c r="P290" s="38" t="str"/>
      <x:c r="Q290" s="38" t="str"/>
      <x:c r="R290" s="38" t="str"/>
      <x:c r="S290" s="38" t="str"/>
      <x:c r="T290" s="38" t="str"/>
      <x:c r="U290" s="38" t="str"/>
      <x:c r="V290" s="38" t="str"/>
      <x:c r="W290" s="38" t="str"/>
      <x:c r="X290" s="38" t="str"/>
      <x:c r="Y290" s="38" t="str"/>
      <x:c r="Z290" s="38" t="str"/>
      <x:c r="AA290" s="43" t="str">
        <x:f>IF('Instructions'!$B$3="","",'Instructions'!$B$3)</x:f>
      </x:c>
      <x:c r="AB290" s="43" t="str">
        <x:f>IF(P290="","PENDING",IF('Instructions'!$B$3="","SET_INITIALS",IF(P290="keep",IF(OR(Q290="",R290="",S290="",T290="",U290="",W290=""),"INCOMPLETE_KEEP","COMPLETE"),IF(P290="exclude",IF(OR(V290="",W290=""),"INCOMPLETE_EXCLUDE","COMPLETE"),"NEEDS_CONTEXT"))))</x:f>
        <x:v>PENDING</x:v>
      </x:c>
    </x:row>
    <x:row r="291" ht="62" customHeight="1">
      <x:c r="A291" s="34" t="str">
        <x:v>SV-0288</x:v>
      </x:c>
      <x:c r="B291" s="34" t="str">
        <x:v>While dependency on external entity shall 
allow recoverability, it may also compromise 
with anonymity as the service provider shall 
always hav e visibility over the token 
movements in and out of the wallet.</x:v>
      </x:c>
      <x:c r="C291" s="34" t="str"/>
      <x:c r="D291" s="34" t="str"/>
      <x:c r="E291" s="34" t="str"/>
      <x:c r="F291" s="34" t="str">
        <x:v>…  provider 
(TSP) is responsible for managing the keys 
of wallet holding tokens on behalf of user. In 
this model, wallet is recoverable with same 
public address, Wallet Pin and Tokens held 
by user. Since the user details are held in 
custody by the service provider, the security 
of the tokens shall be dependent on the 
15 Payment and Settlement Systems Report, Bank of Japan, 
https://www.boj.or.jp/research/brp/psr/data/psrb200702.pdf 
robustness of security protocols of the TSP. 
While dependency on external entity shall 
allow recoverability, it may also compromise 
with anonymity as the service provider shall 
always hav e visibility over the token 
movements in and out of the wallet.  
 User Held Model – The responsibility of key 
holding is with User and its device. Wallet is 
not recoverable in case of loss of user held 
device. 
5.6 Offline Functionality 
Digital payments traditionally rely on online 
communications with several intermediaries 
such as banks, payment networks, and 
payment processors to authorise and process 
payment transactions. While these 
communication networks are designed to be 
highly available with continuous uptime, there 
may be times when CBDC users will experience 
little or no access to n …</x:v>
      </x:c>
      <x:c r="G291" s="34" t="str">
        <x:v>PRD-0088-P0033-U01</x:v>
      </x:c>
      <x:c r="H291" s="34" t="str"/>
      <x:c r="I291" s="34" t="str">
        <x:v>IN_RBI_ConceptNote_2022</x:v>
      </x:c>
      <x:c r="J291" s="34" t="n">
        <x:v>33</x:v>
      </x:c>
      <x:c r="K291" s="34" t="str">
        <x:v>en</x:v>
      </x:c>
      <x:c r="L291" s="34" t="str">
        <x:v>Reserve Bank of India (digital rupee)</x:v>
      </x:c>
      <x:c r="M291" s="34" t="str">
        <x:v>Retain RBI proposals, decisions, requirements, and operating-model claims for the digital rupee.</x:v>
      </x:c>
      <x:c r="N291" s="34" t="str">
        <x:v>text</x:v>
      </x:c>
      <x:c r="O291" s="34" t="str"/>
      <x:c r="P291" s="38" t="str"/>
      <x:c r="Q291" s="38" t="str"/>
      <x:c r="R291" s="38" t="str"/>
      <x:c r="S291" s="38" t="str"/>
      <x:c r="T291" s="38" t="str"/>
      <x:c r="U291" s="38" t="str"/>
      <x:c r="V291" s="38" t="str"/>
      <x:c r="W291" s="38" t="str"/>
      <x:c r="X291" s="38" t="str"/>
      <x:c r="Y291" s="38" t="str"/>
      <x:c r="Z291" s="38" t="str"/>
      <x:c r="AA291" s="43" t="str">
        <x:f>IF('Instructions'!$B$3="","",'Instructions'!$B$3)</x:f>
      </x:c>
      <x:c r="AB291" s="43" t="str">
        <x:f>IF(P291="","PENDING",IF('Instructions'!$B$3="","SET_INITIALS",IF(P291="keep",IF(OR(Q291="",R291="",S291="",T291="",U291="",W291=""),"INCOMPLETE_KEEP","COMPLETE"),IF(P291="exclude",IF(OR(V291="",W291=""),"INCOMPLETE_EXCLUDE","COMPLETE"),"NEEDS_CONTEXT"))))</x:f>
        <x:v>PENDING</x:v>
      </x:c>
    </x:row>
    <x:row r="292" ht="62" customHeight="1">
      <x:c r="A292" s="34" t="str">
        <x:v>SV-0289</x:v>
      </x:c>
      <x:c r="B292" s="34" t="str">
        <x:v>The base solution should therefore be constructed so 
that it can be integrated with new modules and functions via open, standardised 
interfaces.</x:v>
      </x:c>
      <x:c r="C292" s="34" t="str"/>
      <x:c r="D292" s="34" t="str"/>
      <x:c r="E292" s="34" t="str"/>
      <x:c r="F292" s="34" t="str">
        <x:v>… of considerable significance when choosing 
the technical solution. Feasible solutions shall be assessed based on the requirements for 
accessibility, reliability, interoperability and scalability they can fulfil.  
There are certain technical properties that an e-krona should have regardless of how it is 
designed. These are listed below. 
 Scalability: An e-krona must have a solid base, which can gradually be extended in 
different stages, as the requirements for the e-krona solution are developed, and needs 
and external conditions change. The base solution should therefore be constructed so 
that it can be integrated with new modules and functions via open, standardised 
interfaces. The aim should be that the technical solution is sustainable in the long run and 
that it can be developed by the Riksbank and/or other parties. In this way, the Riksbank’s 
operative role will be more flexible. It is also desirable that technical innovations can be 
incorporated and utilised in a quality-assured way as such innovations become available. 
For example, Distributed Ledger Technology (DLT)39 could be utilised when and if the 
technology is considered appropriate. An e-krona platform should be constructed so that 
different techno …</x:v>
      </x:c>
      <x:c r="G292" s="34" t="str">
        <x:v>PRD-0067-P0026-U01</x:v>
      </x:c>
      <x:c r="H292" s="34" t="str"/>
      <x:c r="I292" s="34" t="str">
        <x:v>SE_Riksbank_2017</x:v>
      </x:c>
      <x:c r="J292" s="34" t="n">
        <x:v>26</x:v>
      </x:c>
      <x:c r="K292" s="34" t="str">
        <x:v>en</x:v>
      </x:c>
      <x:c r="L292" s="34" t="str">
        <x:v>Sveriges Riksbank (e-krona)</x:v>
      </x:c>
      <x:c r="M292" s="34" t="str">
        <x:v>Retain Riksbank e-krona proposals, preferences, and requirements; exclude generic background.</x:v>
      </x:c>
      <x:c r="N292" s="34" t="str">
        <x:v>text</x:v>
      </x:c>
      <x:c r="O292" s="34" t="str"/>
      <x:c r="P292" s="38" t="str"/>
      <x:c r="Q292" s="38" t="str"/>
      <x:c r="R292" s="38" t="str"/>
      <x:c r="S292" s="38" t="str"/>
      <x:c r="T292" s="38" t="str"/>
      <x:c r="U292" s="38" t="str"/>
      <x:c r="V292" s="38" t="str"/>
      <x:c r="W292" s="38" t="str"/>
      <x:c r="X292" s="38" t="str"/>
      <x:c r="Y292" s="38" t="str"/>
      <x:c r="Z292" s="38" t="str"/>
      <x:c r="AA292" s="43" t="str">
        <x:f>IF('Instructions'!$B$3="","",'Instructions'!$B$3)</x:f>
      </x:c>
      <x:c r="AB292" s="43" t="str">
        <x:f>IF(P292="","PENDING",IF('Instructions'!$B$3="","SET_INITIALS",IF(P292="keep",IF(OR(Q292="",R292="",S292="",T292="",U292="",W292=""),"INCOMPLETE_KEEP","COMPLETE"),IF(P292="exclude",IF(OR(V292="",W292=""),"INCOMPLETE_EXCLUDE","COMPLETE"),"NEEDS_CONTEXT"))))</x:f>
        <x:v>PENDING</x:v>
      </x:c>
    </x:row>
    <x:row r="293" ht="62" customHeight="1">
      <x:c r="A293" s="34" t="str">
        <x:v>SV-0290</x:v>
      </x:c>
      <x:c r="B293" s="34" t="str">
        <x:v>While the user can choose the PSP for carrying out any payment transaction, it will likely be necessary to define a PSP 
as the default in  the receipt of payments. In this way, the payer will only need to know the payee’s general address 
without having to know anything else about the various PSPs with which the payee is a customer.</x:v>
      </x:c>
      <x:c r="C293" s="34" t="str"/>
      <x:c r="D293" s="34" t="str"/>
      <x:c r="E293" s="34" t="str"/>
      <x:c r="F293" s="34" t="str">
        <x:v>…  start with, end user Alice holds 20 digital shekels in a wallet provided by PSP A and she 
turns to PSP B (Stage 1, Figure 16) since she wants to onboard with them as well, and define B as the 
default wallet for receiving digital shekel payments. 22 PSP B turns to the digital shekel system (Stage 
2) and requests to establish an additional wallet for Alice's encrypted identity (Alice'). The digital 
shekel system establishes the additional wallet in the database (Stage 3). 
22 While the user can choose the PSP for carrying out any payment transaction, it will likely be necessary to define a PSP 
as the default in  the receipt of payments. In this way, the payer will only need to know the payee’s general address 
without having to know anything else about the various PSPs with which the payee is a customer.</x:v>
      </x:c>
      <x:c r="G293" s="34" t="str">
        <x:v>PRD-0039-P0029-U01</x:v>
      </x:c>
      <x:c r="H293" s="34" t="str"/>
      <x:c r="I293" s="34" t="str">
        <x:v>IL_Israel_#U05d0#U05e8#U05db#U05d9#U05d8#U05e7#U05d8#U05d5#U05e8#U05d4-#U05dc#U05d5#U05d2#U05d9#U05ea-#U05d0#U05e0#U05d2#U05dc#U05d9#U05ea.pdf</x:v>
      </x:c>
      <x:c r="J293" s="34" t="n">
        <x:v>29</x:v>
      </x:c>
      <x:c r="K293" s="34" t="str">
        <x:v>en</x:v>
      </x:c>
      <x:c r="L293" s="34" t="str">
        <x:v>Bank of Israel (digital shekel)</x:v>
      </x:c>
      <x:c r="M293" s="34" t="str">
        <x:v>Retain Bank of Israel digital-shekel proposals, preferences, features, and requirements. Exclude figure fragments without a complete claim.</x:v>
      </x:c>
      <x:c r="N293" s="34" t="str">
        <x:v>text</x:v>
      </x:c>
      <x:c r="O293" s="34" t="str"/>
      <x:c r="P293" s="38" t="str"/>
      <x:c r="Q293" s="38" t="str"/>
      <x:c r="R293" s="38" t="str"/>
      <x:c r="S293" s="38" t="str"/>
      <x:c r="T293" s="38" t="str"/>
      <x:c r="U293" s="38" t="str"/>
      <x:c r="V293" s="38" t="str"/>
      <x:c r="W293" s="38" t="str"/>
      <x:c r="X293" s="38" t="str"/>
      <x:c r="Y293" s="38" t="str"/>
      <x:c r="Z293" s="38" t="str"/>
      <x:c r="AA293" s="43" t="str">
        <x:f>IF('Instructions'!$B$3="","",'Instructions'!$B$3)</x:f>
      </x:c>
      <x:c r="AB293" s="43" t="str">
        <x:f>IF(P293="","PENDING",IF('Instructions'!$B$3="","SET_INITIALS",IF(P293="keep",IF(OR(Q293="",R293="",S293="",T293="",U293="",W293=""),"INCOMPLETE_KEEP","COMPLETE"),IF(P293="exclude",IF(OR(V293="",W293=""),"INCOMPLETE_EXCLUDE","COMPLETE"),"NEEDS_CONTEXT"))))</x:f>
        <x:v>PENDING</x:v>
      </x:c>
    </x:row>
    <x:row r="294" ht="62" customHeight="1">
      <x:c r="A294" s="34" t="str">
        <x:v>SV-0291</x:v>
      </x:c>
      <x:c r="B294" s="34" t="str">
        <x:v>Near-instant conversion at a low cost between an 
e-HKD and traditional forms of money, such as 
commercial bank deposits and physical cash, is 
also crucial, particularly in the initial stages when 
an e-HKD might not yet be universally accepted.</x:v>
      </x:c>
      <x:c r="C294" s="34" t="str"/>
      <x:c r="D294" s="34" t="str"/>
      <x:c r="E294" s="34" t="str"/>
      <x:c r="F294" s="34" t="str">
        <x:v>… operable identity 
verification regardless of the wallet used.
Convertibility with Conventional Money
Several pilots also explored the potential of an 
e-HKD to serve as the settlement instrument 
which connects the traditional finance ecosystem 
with innovative applications, including the Web3 
economy and programmable transactions. To 
achieve full integration into the economy, which 
encompasses both existing and emerging 
ecosystems and applications, it is crucial 
that different forms of money can be used 
interchangeably and seamlessly. 
Near-instant conversion at a low cost between an 
e-HKD and traditional forms of money, such as 
commercial bank deposits and physical cash, is 
also crucial, particularly in the initial stages when 
an e-HKD might not yet be universally accepted. 
By ensuring easy interchangeability, an e-HKD 
can integrate smoothly into Hong Kong’s broader 
financial system, encouraging adoption while 
minimising disruption.
Reliability and Performance
The increasing deployment of tokenised assets 
on public DLTs naturally prompts an investigation 
into the feasibility of issuing an e-HKD on public 
DLTs. The pilot outcomes highlight several 
key considerations which must be addressed 
before an e-HKD can be considered suitable for 
deployment on public DLTs.
The performance of public DLTs in handling …</x:v>
      </x:c>
      <x:c r="G294" s="34" t="str">
        <x:v>PRD-0093-P0036-U01</x:v>
      </x:c>
      <x:c r="H294" s="34" t="str"/>
      <x:c r="I294" s="34" t="str">
        <x:v>HK_HKMA_eHKD_Phase2_2025</x:v>
      </x:c>
      <x:c r="J294" s="34" t="n">
        <x:v>36</x:v>
      </x:c>
      <x:c r="K294" s="34" t="str">
        <x:v>en</x:v>
      </x:c>
      <x:c r="L294" s="34" t="str">
        <x:v>Hong Kong Monetary Authority (e-HKD Phase 2 pilots)</x:v>
      </x:c>
      <x:c r="M294" s="34" t="str">
        <x:v>Retain complete e-HKD pilot findings, conclusions, and HKMA requirements. Quote the complete claim before any trailing fragment.</x:v>
      </x:c>
      <x:c r="N294" s="34" t="str">
        <x:v>text</x:v>
      </x:c>
      <x:c r="O294" s="34" t="str"/>
      <x:c r="P294" s="38" t="str"/>
      <x:c r="Q294" s="38" t="str"/>
      <x:c r="R294" s="38" t="str"/>
      <x:c r="S294" s="38" t="str"/>
      <x:c r="T294" s="38" t="str"/>
      <x:c r="U294" s="38" t="str"/>
      <x:c r="V294" s="38" t="str"/>
      <x:c r="W294" s="38" t="str"/>
      <x:c r="X294" s="38" t="str"/>
      <x:c r="Y294" s="38" t="str"/>
      <x:c r="Z294" s="38" t="str"/>
      <x:c r="AA294" s="43" t="str">
        <x:f>IF('Instructions'!$B$3="","",'Instructions'!$B$3)</x:f>
      </x:c>
      <x:c r="AB294" s="43" t="str">
        <x:f>IF(P294="","PENDING",IF('Instructions'!$B$3="","SET_INITIALS",IF(P294="keep",IF(OR(Q294="",R294="",S294="",T294="",U294="",W294=""),"INCOMPLETE_KEEP","COMPLETE"),IF(P294="exclude",IF(OR(V294="",W294=""),"INCOMPLETE_EXCLUDE","COMPLETE"),"NEEDS_CONTEXT"))))</x:f>
        <x:v>PENDING</x:v>
      </x:c>
    </x:row>
    <x:row r="295" ht="62" customHeight="1">
      <x:c r="A295" s="34" t="str">
        <x:v>SV-0292</x:v>
      </x:c>
      <x:c r="B295" s="34" t="str">
        <x:v>In the case of the above configuration, compared with a case in which account transaction status 
management is performed within the orchestration system, in terms of performance, the processing 
load may be reduced because the upper-limit determination process can be closed to each system, 
while the processin g load may increase because more data is newly updated, such as balance 
increase schedules and upper-limit flexibility processing.</x:v>
      </x:c>
      <x:c r="C295" s="34" t="str"/>
      <x:c r="D295" s="34" t="str"/>
      <x:c r="E295" s="34" t="str"/>
      <x:c r="F295" s="34" t="str">
        <x:v>… updated by the same 
amount.
(Omitted)
Note: TX=transaction
limits, it is possible to decentralize processing equivalent to the limit -check process on a per-user 
basis as a result, without having to consolidate user balance information, etc., in a separate system. 
However, there is a possibility that other intermediaries may find out that the user has exceeded the 
upper limit in one of the other accounts when making the margin allowance available to the user. 
Appendix  Figure  1.3: Example of TCC model in  Design 2  
In the case of the above configuration, compared with a case in which account transaction status 
management is performed within the orchestration system, in terms of performance, the processing 
load may be reduced because the upper-limit determination process can be closed to each system, 
while the processin g load may increase because more data is newly updated, such as balance 
increase schedules and upper-limit flexibility processing. However, it is unclear which factor will have 
a stronger effect on performance. In terms of maintenance and operation, the same system covers 
related tasks; this may facilitate easier modification of the applications that complete each task. 
The system architectures discussed here have extra functions in the ledger system. This is a 
different concept from the idea (3.1.1) that i t is appropriate to have the ledger system perform as 
little processing as possible other than updating balances, given the possibility of a high update 
load req …</x:v>
      </x:c>
      <x:c r="G295" s="34" t="str">
        <x:v>PRD-0046-P0029-U01</x:v>
      </x:c>
      <x:c r="H295" s="34" t="str"/>
      <x:c r="I295" s="34" t="str">
        <x:v>JP_BoJ_PoC2</x:v>
      </x:c>
      <x:c r="J295" s="34" t="n">
        <x:v>29</x:v>
      </x:c>
      <x:c r="K295" s="34" t="str">
        <x:v>en</x:v>
      </x:c>
      <x:c r="L295" s="34" t="str">
        <x:v>Bank of Japan</x:v>
      </x:c>
      <x:c r="M295" s="34" t="str">
        <x:v>Retain the named authority's own CBDC decisions, explicit proposals, requirements, features, and executed findings. Exclude generic context, literature, foreign projects, and stakeholder views not explicitly adopted by the authority.</x:v>
      </x:c>
      <x:c r="N295" s="34" t="str">
        <x:v>text</x:v>
      </x:c>
      <x:c r="O295" s="34" t="str"/>
      <x:c r="P295" s="38" t="str"/>
      <x:c r="Q295" s="38" t="str"/>
      <x:c r="R295" s="38" t="str"/>
      <x:c r="S295" s="38" t="str"/>
      <x:c r="T295" s="38" t="str"/>
      <x:c r="U295" s="38" t="str"/>
      <x:c r="V295" s="38" t="str"/>
      <x:c r="W295" s="38" t="str"/>
      <x:c r="X295" s="38" t="str"/>
      <x:c r="Y295" s="38" t="str"/>
      <x:c r="Z295" s="38" t="str"/>
      <x:c r="AA295" s="43" t="str">
        <x:f>IF('Instructions'!$B$3="","",'Instructions'!$B$3)</x:f>
      </x:c>
      <x:c r="AB295" s="43" t="str">
        <x:f>IF(P295="","PENDING",IF('Instructions'!$B$3="","SET_INITIALS",IF(P295="keep",IF(OR(Q295="",R295="",S295="",T295="",U295="",W295=""),"INCOMPLETE_KEEP","COMPLETE"),IF(P295="exclude",IF(OR(V295="",W295=""),"INCOMPLETE_EXCLUDE","COMPLETE"),"NEEDS_CONTEXT"))))</x:f>
        <x:v>PENDING</x:v>
      </x:c>
    </x:row>
    <x:row r="296" ht="62" customHeight="1">
      <x:c r="A296" s="34" t="str">
        <x:v>SV-0293</x:v>
      </x:c>
      <x:c r="B296" s="34" t="str">
        <x:v>Instructions are sent from the scheduled t ransaction management system to the 
orchestration system one by one at a specified time, after which the same process as for a 
standard remittance is executed.</x:v>
      </x:c>
      <x:c r="C296" s="34" t="str"/>
      <x:c r="D296" s="34" t="str"/>
      <x:c r="E296" s="34" t="str"/>
      <x:c r="F296" s="34" t="str">
        <x:v>9 
Scheduled remittance 
Instructions are sent from the scheduled t ransaction management system to the 
orchestration system one by one at a specified time, after which the same process as for a 
standard remittance is executed. The latency is higher by a few mse c than for a standard 
remittance only for the portion starting from the scheduled transaction management system. 
Interest application 
Although implemented using the scheduled remittance mechanism, the latency is slightly 
higher than that of  a scheduled remittance because it is not subject to transaction 
amount/number limit. 
Swing 
The latency is slightly higher than that of a standard remittance because of the additional 
converting process to bank deposits and so on.10 
Performance prediction of Des …</x:v>
      </x:c>
      <x:c r="G296" s="34" t="str">
        <x:v>PRD-0046-P0011-U01</x:v>
      </x:c>
      <x:c r="H296" s="34" t="str"/>
      <x:c r="I296" s="34" t="str">
        <x:v>JP_BoJ_PoC2</x:v>
      </x:c>
      <x:c r="J296" s="34" t="n">
        <x:v>11</x:v>
      </x:c>
      <x:c r="K296" s="34" t="str">
        <x:v>en</x:v>
      </x:c>
      <x:c r="L296" s="34" t="str">
        <x:v>Bank of Japan</x:v>
      </x:c>
      <x:c r="M296" s="34" t="str">
        <x:v>Retain the named authority's own CBDC decisions, explicit proposals, requirements, features, and executed findings. Exclude generic context, literature, foreign projects, and stakeholder views not explicitly adopted by the authority.</x:v>
      </x:c>
      <x:c r="N296" s="34" t="str">
        <x:v>text</x:v>
      </x:c>
      <x:c r="O296" s="34" t="str"/>
      <x:c r="P296" s="38" t="str"/>
      <x:c r="Q296" s="38" t="str"/>
      <x:c r="R296" s="38" t="str"/>
      <x:c r="S296" s="38" t="str"/>
      <x:c r="T296" s="38" t="str"/>
      <x:c r="U296" s="38" t="str"/>
      <x:c r="V296" s="38" t="str"/>
      <x:c r="W296" s="38" t="str"/>
      <x:c r="X296" s="38" t="str"/>
      <x:c r="Y296" s="38" t="str"/>
      <x:c r="Z296" s="38" t="str"/>
      <x:c r="AA296" s="43" t="str">
        <x:f>IF('Instructions'!$B$3="","",'Instructions'!$B$3)</x:f>
      </x:c>
      <x:c r="AB296" s="43" t="str">
        <x:f>IF(P296="","PENDING",IF('Instructions'!$B$3="","SET_INITIALS",IF(P296="keep",IF(OR(Q296="",R296="",S296="",T296="",U296="",W296=""),"INCOMPLETE_KEEP","COMPLETE"),IF(P296="exclude",IF(OR(V296="",W296=""),"INCOMPLETE_EXCLUDE","COMPLETE"),"NEEDS_CONTEXT"))))</x:f>
        <x:v>PENDING</x:v>
      </x:c>
    </x:row>
    <x:row r="297" ht="62" customHeight="1">
      <x:c r="A297" s="34" t="str">
        <x:v>SV-0294</x:v>
      </x:c>
      <x:c r="B297" s="34" t="str">
        <x:v>● Head of centralized KYC/identity infrastructure;</x:v>
      </x:c>
      <x:c r="C297" s="34" t="str"/>
      <x:c r="D297" s="34" t="str"/>
      <x:c r="E297" s="34" t="str"/>
      <x:c r="F297" s="34" t="str">
        <x:v>… ilities of Stakeholders in a CBDC 
eco-system 
Stakeholder Roles 
MMA ● Issuer and destructor of currency, responsible for putting  currency into 
circulation and guarantor of the Maldives Digital Currency in accordance 
with the MMA Law; 
● Supervisory/Oversight authority for the compliance of the system and 
payment transactions made with the Digital Currency. 
● Clearing house for transactions and settlement agent for settlements 
between  participant institutions; 
● Custodian of funds received in return for issued digital currencies; 
● Head of centralized KYC/identity infrastructure; 
● Owner and administrator of the digital platform; 
● Owner of certification authority for digital certificates associated with the 
Digital Currency 
● Responsible for the communication policy around the Digital Currency. 
Government 
Legislator / regulator  
● Creation of a legal framework conducive to the promotion and use of the 
Digital Currency (with MMA). 
● Guarantor of the legal provisions relating to the Digital Currency. 
● Guarantor of privacy of data on users and on digital payment transactions 
used for tax purposes, anti -mon …</x:v>
      </x:c>
      <x:c r="G297" s="34" t="str">
        <x:v>PRD-0079-P0058-U01</x:v>
      </x:c>
      <x:c r="H297" s="34" t="str"/>
      <x:c r="I297" s="34" t="str">
        <x:v>UN_ESCAP_ESCAP-2022-RP-National-study-central-bank-digital-currency-stablecoin-Maldives</x:v>
      </x:c>
      <x:c r="J297" s="34" t="n">
        <x:v>58</x:v>
      </x:c>
      <x:c r="K297" s="34" t="str">
        <x:v>en</x:v>
      </x:c>
      <x:c r="L297" s="34" t="str">
        <x:v>Maldives Monetary Authority / Maldives CBDC policy study</x:v>
      </x:c>
      <x:c r="M297" s="34" t="str">
        <x:v>UN ESCAP study: retain only concrete recommendations, findings, or positions explicitly tied to the Maldives Monetary Authority or Maldives CBDC project. Exclude literature and foreign examples.</x:v>
      </x:c>
      <x:c r="N297" s="34" t="str">
        <x:v>text</x:v>
      </x:c>
      <x:c r="O297" s="34" t="str"/>
      <x:c r="P297" s="38" t="str"/>
      <x:c r="Q297" s="38" t="str"/>
      <x:c r="R297" s="38" t="str"/>
      <x:c r="S297" s="38" t="str"/>
      <x:c r="T297" s="38" t="str"/>
      <x:c r="U297" s="38" t="str"/>
      <x:c r="V297" s="38" t="str"/>
      <x:c r="W297" s="38" t="str"/>
      <x:c r="X297" s="38" t="str"/>
      <x:c r="Y297" s="38" t="str"/>
      <x:c r="Z297" s="38" t="str"/>
      <x:c r="AA297" s="43" t="str">
        <x:f>IF('Instructions'!$B$3="","",'Instructions'!$B$3)</x:f>
      </x:c>
      <x:c r="AB297" s="43" t="str">
        <x:f>IF(P297="","PENDING",IF('Instructions'!$B$3="","SET_INITIALS",IF(P297="keep",IF(OR(Q297="",R297="",S297="",T297="",U297="",W297=""),"INCOMPLETE_KEEP","COMPLETE"),IF(P297="exclude",IF(OR(V297="",W297=""),"INCOMPLETE_EXCLUDE","COMPLETE"),"NEEDS_CONTEXT"))))</x:f>
        <x:v>PENDING</x:v>
      </x:c>
    </x:row>
    <x:row r="298" ht="62" customHeight="1">
      <x:c r="A298" s="34" t="str">
        <x:v>SV-0295</x:v>
      </x:c>
      <x:c r="B298" s="34" t="str">
        <x:v>このため、パイロット実験における実験用システムとして、中央システムだけでは
なく、仲介機関システム、中央システムと各仲介機関システムを結ぶ「仲介機関ネッ
トワーク」や、エンドポイントデバイス（スマートフォンやタブレットを利用したア
プリ）までを構築する。</x:v>
      </x:c>
      <x:c r="C298" s="34" t="str">
        <x:v>Therefore, as the experimental system for the pilot experiment, the Bank will build not only the central system but also intermediary systems, an “intermediary network” connecting the central system and each intermediary system, and endpoint devices (applications using smartphones and tablets).</x:v>
      </x:c>
      <x:c r="D298" s="34" t="str"/>
      <x:c r="E298" s="34" t="str"/>
      <x:c r="F298" s="34" t="str">
        <x:v>3 
2 実験用システムの構築と検証  
パイロット実験の１つの柱は、実験用システムを構築し 、性能試験等を行うこと、
実験用システムで実装しない機能を中心に各種机上検討を行うこと である。以下では、
実験用システムの概要と構築の状況および検証の概要とその状況について説明する。 
2.1 実験用システムの概要と構築作業の状況  
パイロット実験では、概念実証よりも実験の対象範囲を拡大している。すなわち、
概念実証では、主に中央システムの台帳部分を実験 の対象としていたが、パイロット
実験では、エンドポイントデバイスから中央システムまでを対象とする（図表２）。 
このため、パイロット実験における実験用システムとして、中央システムだけでは
なく、仲介機関システム、中央システムと各仲介機関システムを結ぶ「仲介機関ネッ
トワーク」や、エンドポイントデバイス（スマートフォンやタブレットを利用したア
プリ）までを構築する。その上で、エンドツーエンドでの処理フローの確認や、外部
システムとの接続に向けた課題・対応策の検討等を行う。 
図表２ 実験用システムと実験の対象 
現在、設計を進めている実験用システムの現時点でのイメージ（図表 ３）をみると、
構築する CBDC 台帳は、中央システムと仲介機関システムで台帳を分担管理する口座
型のデータモデル3とする。これは、この台帳設計は相対的にシステム構成が複雑で、
多くの項目を検証できると考えられるためであり、日本銀行として社会実装に相応し
3 これは、概念実証における台帳設計パターン２に相当する。 
仲介機関
システム
中央システム
エンドポイントデバイス（個人用・店舗用）
仲介機関
システム
仲介機関
システム
仲介機関ネットワーク
（階層型）
仲介機関
システム
概念実証
パイロット実験
実験の対象実験用システム</x:v>
      </x:c>
      <x:c r="G298" s="34" t="str">
        <x:v>PRD-0045-P0004-U01</x:v>
      </x:c>
      <x:c r="H298" s="34" t="str"/>
      <x:c r="I298" s="34" t="str">
        <x:v>JP_BoJ_Pilot_JP</x:v>
      </x:c>
      <x:c r="J298" s="34" t="n">
        <x:v>4</x:v>
      </x:c>
      <x:c r="K298" s="34" t="str">
        <x:v>ja</x:v>
      </x:c>
      <x:c r="L298" s="34" t="str">
        <x:v>Bank of Japan (CBDC pilot)</x:v>
      </x:c>
      <x:c r="M298" s="34" t="str">
        <x:v>Japanese source. Retain Bank of Japan own-pilot decisions and executed results; exclude workgroup purposes without results.</x:v>
      </x:c>
      <x:c r="N298" s="34" t="str">
        <x:v>text</x:v>
      </x:c>
      <x:c r="O298" s="34" t="str"/>
      <x:c r="P298" s="38" t="str"/>
      <x:c r="Q298" s="38" t="str"/>
      <x:c r="R298" s="38" t="str"/>
      <x:c r="S298" s="38" t="str"/>
      <x:c r="T298" s="38" t="str"/>
      <x:c r="U298" s="38" t="str"/>
      <x:c r="V298" s="38" t="str"/>
      <x:c r="W298" s="38" t="str"/>
      <x:c r="X298" s="38" t="str"/>
      <x:c r="Y298" s="38" t="str"/>
      <x:c r="Z298" s="38" t="str"/>
      <x:c r="AA298" s="43" t="str">
        <x:f>IF('Instructions'!$B$3="","",'Instructions'!$B$3)</x:f>
      </x:c>
      <x:c r="AB298" s="43" t="str">
        <x:f>IF(P298="","PENDING",IF('Instructions'!$B$3="","SET_INITIALS",IF(P298="keep",IF(OR(Q298="",R298="",S298="",T298="",U298="",W298=""),"INCOMPLETE_KEEP","COMPLETE"),IF(P298="exclude",IF(OR(V298="",W298=""),"INCOMPLETE_EXCLUDE","COMPLETE"),"NEEDS_CONTEXT"))))</x:f>
        <x:v>PENDING</x:v>
      </x:c>
    </x:row>
    <x:row r="299" ht="62" customHeight="1">
      <x:c r="A299" s="34" t="str">
        <x:v>SV-0296</x:v>
      </x:c>
      <x:c r="B299" s="34" t="str">
        <x:v>this issues paper focuses on a CBDC that would be issued to 
any individual or business that wants to use it. Such a ‘general-purpose’ CBDC27 would be closer in 
function to cash and better placed to fulfil the role of central bank money than a ‘wholesale’ CBDC.</x:v>
      </x:c>
      <x:c r="C299" s="34" t="str"/>
      <x:c r="D299" s="34" t="str"/>
      <x:c r="E299" s="34" t="str"/>
      <x:c r="F299" s="34" t="str">
        <x:v>… oping a CBDC 
that includes assessments of the policy opportunities, risks, use cases and design options as 
illustrated in Figure 8 Future stages of work are likely to involve designing a prototype, assessing 
the prototype, seeking feedback, redesigning if necessary and undertaking practical trials. Any 
decision to issue a CBDC would only be made following consultation with the Government, the 
public and other stakeholders.  
Figure 8: A multi-stage approach to CBDC 
3.2 Focusing on a general-purpose CBDC 
A CBDC can take many forms, but this issues paper focuses on a CBDC that would be issued to 
any individual or business that wants to use it. Such a ‘general-purpose’ CBDC27 would be closer in 
function to cash and better placed to fulfil the role of central bank money than a ‘wholesale’ CBDC. 
The rest of this paper refers to CBDC and general-purpose CBDC interchangeably. 
A general-purpose CBDC is digital money issued by a central bank that is available to any 
individual or business that chooses to use it. 
Future work (outside the scope of this paper) will consider whether a new type of ‘wholesale’ CBDC 
is needed. The distinction here is that a general-purpose CBDC could be used by anyone in New 
Zealand, conceptually, whereas a wholesale CBDC would only be available to certain large financial 
institutions that deal directly …</x:v>
      </x:c>
      <x:c r="G299" s="34" t="str">
        <x:v>PRD-0057-P0016-U01</x:v>
      </x:c>
      <x:c r="H299" s="34" t="str"/>
      <x:c r="I299" s="34" t="str">
        <x:v>NZ_RBNZ_CBDCIssuesPaper_2021</x:v>
      </x:c>
      <x:c r="J299" s="34" t="n">
        <x:v>16</x:v>
      </x:c>
      <x:c r="K299" s="34" t="str">
        <x:v>en</x:v>
      </x:c>
      <x:c r="L299" s="34" t="str">
        <x:v>Reserve Bank of New Zealand</x:v>
      </x:c>
      <x:c r="M299" s="34" t="str">
        <x:v>Retain the named authority's own CBDC decisions, explicit proposals, requirements, features, and executed findings. Exclude generic context, literature, foreign projects, and stakeholder views not explicitly adopted by the authority.</x:v>
      </x:c>
      <x:c r="N299" s="34" t="str">
        <x:v>text</x:v>
      </x:c>
      <x:c r="O299" s="34" t="str"/>
      <x:c r="P299" s="38" t="str"/>
      <x:c r="Q299" s="38" t="str"/>
      <x:c r="R299" s="38" t="str"/>
      <x:c r="S299" s="38" t="str"/>
      <x:c r="T299" s="38" t="str"/>
      <x:c r="U299" s="38" t="str"/>
      <x:c r="V299" s="38" t="str"/>
      <x:c r="W299" s="38" t="str"/>
      <x:c r="X299" s="38" t="str"/>
      <x:c r="Y299" s="38" t="str"/>
      <x:c r="Z299" s="38" t="str"/>
      <x:c r="AA299" s="43" t="str">
        <x:f>IF('Instructions'!$B$3="","",'Instructions'!$B$3)</x:f>
      </x:c>
      <x:c r="AB299" s="43" t="str">
        <x:f>IF(P299="","PENDING",IF('Instructions'!$B$3="","SET_INITIALS",IF(P299="keep",IF(OR(Q299="",R299="",S299="",T299="",U299="",W299=""),"INCOMPLETE_KEEP","COMPLETE"),IF(P299="exclude",IF(OR(V299="",W299=""),"INCOMPLETE_EXCLUDE","COMPLETE"),"NEEDS_CONTEXT"))))</x:f>
        <x:v>PENDING</x:v>
      </x:c>
    </x:row>
    <x:row r="300" ht="62" customHeight="1">
      <x:c r="A300" s="34" t="str">
        <x:v>SV-0297</x:v>
      </x:c>
      <x:c r="B300" s="34" t="str">
        <x:v>The use of cash for 
small payments is the rule and to limit CBDC to small amounts for each user is the 
strategy to fulfill cash use without harming other instruments.</x:v>
      </x:c>
      <x:c r="C300" s="34" t="str"/>
      <x:c r="D300" s="34" t="str"/>
      <x:c r="E300" s="34" t="str"/>
      <x:c r="F300" s="34" t="str">
        <x:v>… ystems, CDBC was not  an option on the menu 
of instruments to improve limited inclusion, see Arauz et. al. (2021) on Ecuador’s CBDC 
case. The promotion of electronic payments, automated teller machines (ATM)  and 
Points of Sale ( POS) terminals increased in Uruguay after the 201 4 Financial Inclusion 
Law was passed by  Congress. The consi deration of a digital currency  issued by the 
central bank was seen at first sight a s competition with private electronic means of 
payments. This was part of the motivation to research the use of cash. The use of cash for 
small payments is the rule and to limit CBDC to small amounts for each user is the 
strategy to fulfill cash use without harming other instruments. The e -peso pilot plan 
results sh ows this issue was completely fulfilled by the pilot, mainly small payments 
were issued during the six months and also peer to peer payments were released2.  
Departing from a totally different situation the aim the  Swedish Riksbank in the research 
of e-Krona is almost the same. Financial inclus ion is not a big problem for Sweden but 
the decline in the use of cash is the motivation to issue a digital currency. The elderly and 
other vulnerable groups who may have access only to cash may need an electroni …</x:v>
      </x:c>
      <x:c r="G300" s="34" t="str">
        <x:v>PRD-0083-P0006-U01</x:v>
      </x:c>
      <x:c r="H300" s="34" t="str"/>
      <x:c r="I300" s="34" t="str">
        <x:v>UY_BCU_Seven_Lessons_2022</x:v>
      </x:c>
      <x:c r="J300" s="34" t="n">
        <x:v>6</x:v>
      </x:c>
      <x:c r="K300" s="34" t="str">
        <x:v>en</x:v>
      </x:c>
      <x:c r="L300" s="34" t="str">
        <x:v>Banco Central del Uruguay (e-Peso pilot)</x:v>
      </x:c>
      <x:c r="M300" s="34" t="str">
        <x:v>Retain BCU own-pilot findings and resulting design lessons; exclude cited literature.</x:v>
      </x:c>
      <x:c r="N300" s="34" t="str">
        <x:v>text</x:v>
      </x:c>
      <x:c r="O300" s="34" t="str"/>
      <x:c r="P300" s="38" t="str"/>
      <x:c r="Q300" s="38" t="str"/>
      <x:c r="R300" s="38" t="str"/>
      <x:c r="S300" s="38" t="str"/>
      <x:c r="T300" s="38" t="str"/>
      <x:c r="U300" s="38" t="str"/>
      <x:c r="V300" s="38" t="str"/>
      <x:c r="W300" s="38" t="str"/>
      <x:c r="X300" s="38" t="str"/>
      <x:c r="Y300" s="38" t="str"/>
      <x:c r="Z300" s="38" t="str"/>
      <x:c r="AA300" s="43" t="str">
        <x:f>IF('Instructions'!$B$3="","",'Instructions'!$B$3)</x:f>
      </x:c>
      <x:c r="AB300" s="43" t="str">
        <x:f>IF(P300="","PENDING",IF('Instructions'!$B$3="","SET_INITIALS",IF(P300="keep",IF(OR(Q300="",R300="",S300="",T300="",U300="",W300=""),"INCOMPLETE_KEEP","COMPLETE"),IF(P300="exclude",IF(OR(V300="",W300=""),"INCOMPLETE_EXCLUDE","COMPLETE"),"NEEDS_CONTEXT"))))</x:f>
        <x:v>PENDING</x:v>
      </x:c>
    </x:row>
    <x:row r="301" ht="62" customHeight="1">
      <x:c r="A301" s="34" t="str">
        <x:v>SV-0298</x:v>
      </x:c>
      <x:c r="B301" s="34" t="str">
        <x:v>At present, n o 
such legislation is planned to be  introduced in the Maldives, although data protection 
laws wou ld a pply. Some data protec tion contr ols are already in place within the 
Maldives Banking Act and there is an expectation that a Data Privacy Act will be 
introduced.</x:v>
      </x:c>
      <x:c r="C301" s="34" t="str"/>
      <x:c r="D301" s="34" t="str"/>
      <x:c r="E301" s="34" t="str"/>
      <x:c r="F301" s="34" t="str">
        <x:v>…  of experience, or for the company to have a 
track record over a number of years  or a certain amount of capital.  There is almost 
never any reduction in  security requirements or consumer protection requirements for 
obvious reasons. The precise rules governing the Sandbox and the types of controls that 
could be temporarily relaxed for experimental purposes would have to be explored. 
Outsourcing requirements, notably those regarding overseas o utsourcing, may be 
relaxed in jurisdictions for which ther e is n o data residency legislation. At present, n o 
such legislation is planned to be  introduced in the Maldives, although data protection 
laws wou ld a pply. Some data protec tion contr ols are already in place within the 
Maldives Banking Act and there is an expectation that a Data Privacy Act will be 
introduced. A Sandbox regime would not normally  allow any slack on data protection 
requirements. 
Responsibility for a Sandbox for CBDC and digital payment generally should fall to the 
Central Bank as the authority responsible for the integrity of the payment system. In the 
Maldives, the MMA will need to fulfil this role, but to do so must have the nec essary 
resources.  
To understand how a sandbox regime may evolve, i t is useful to note the ways in wh ich 
Sandboxes in advanced digital countries such as Singapore have developed since their 
incept …</x:v>
      </x:c>
      <x:c r="G301" s="34" t="str">
        <x:v>PRD-0079-P0029-U01</x:v>
      </x:c>
      <x:c r="H301" s="34" t="str"/>
      <x:c r="I301" s="34" t="str">
        <x:v>UN_ESCAP_ESCAP-2022-RP-National-study-central-bank-digital-currency-stablecoin-Maldives</x:v>
      </x:c>
      <x:c r="J301" s="34" t="n">
        <x:v>29</x:v>
      </x:c>
      <x:c r="K301" s="34" t="str">
        <x:v>en</x:v>
      </x:c>
      <x:c r="L301" s="34" t="str">
        <x:v>Maldives Monetary Authority / Maldives CBDC policy study</x:v>
      </x:c>
      <x:c r="M301" s="34" t="str">
        <x:v>UN ESCAP study: retain only concrete recommendations, findings, or positions explicitly tied to the Maldives Monetary Authority or Maldives CBDC project. Exclude literature and foreign examples.</x:v>
      </x:c>
      <x:c r="N301" s="34" t="str">
        <x:v>text</x:v>
      </x:c>
      <x:c r="O301" s="34" t="str"/>
      <x:c r="P301" s="38" t="str"/>
      <x:c r="Q301" s="38" t="str"/>
      <x:c r="R301" s="38" t="str"/>
      <x:c r="S301" s="38" t="str"/>
      <x:c r="T301" s="38" t="str"/>
      <x:c r="U301" s="38" t="str"/>
      <x:c r="V301" s="38" t="str"/>
      <x:c r="W301" s="38" t="str"/>
      <x:c r="X301" s="38" t="str"/>
      <x:c r="Y301" s="38" t="str"/>
      <x:c r="Z301" s="38" t="str"/>
      <x:c r="AA301" s="43" t="str">
        <x:f>IF('Instructions'!$B$3="","",'Instructions'!$B$3)</x:f>
      </x:c>
      <x:c r="AB301" s="43" t="str">
        <x:f>IF(P301="","PENDING",IF('Instructions'!$B$3="","SET_INITIALS",IF(P301="keep",IF(OR(Q301="",R301="",S301="",T301="",U301="",W301=""),"INCOMPLETE_KEEP","COMPLETE"),IF(P301="exclude",IF(OR(V301="",W301=""),"INCOMPLETE_EXCLUDE","COMPLETE"),"NEEDS_CONTEXT"))))</x:f>
        <x:v>PENDING</x:v>
      </x:c>
    </x:row>
    <x:row r="302" ht="62" customHeight="1">
      <x:c r="A302" s="34" t="str">
        <x:v>SV-0299</x:v>
      </x:c>
      <x:c r="B302" s="34" t="str">
        <x:v>In order for a CBDC to be secure, an adequate level of security would need to be assured 
regardless of the design, but this could make system processing performance lower or increase 
deployment/operating costs.</x:v>
      </x:c>
      <x:c r="C302" s="34" t="str"/>
      <x:c r="D302" s="34" t="str"/>
      <x:c r="E302" s="34" t="str"/>
      <x:c r="F302" s="34" t="str">
        <x:v>10 
Bank of Japan 
investigations showed no major differences between the design alternatives at the system level. 
In short, the constituent elements of a CBDC ledger —the application servers and database 
servers, along with the networks between them—each would need their own specific security 
strategies, which would be the same regardless of the design. Note that in Design 2, which 
splits ledger management, both the intermediaries and the central bank need to have 
appropriate security strategies in place for the CBDC ledger. 
In order for a CBDC to be secure, an adequate level of security would need to be assured 
regardless of the design, but this could make system processing performance lower or increase 
deployment/operating costs. To implement a production -ready system  and build a stable 
efficient settlement system, these tradeoffs would need to be carefully balanced. 
Second, regarding fault tolerance (the number of potential failure points and the scope of 
their impact), there are differences between design alternatives that depend on the differences 
in ledger management. For example, with Design 2, even if a fault occurs in a ledger managed 
by the central bank, a CBDC transfer between end users having accounts at the same 
intermediary would work, and the expec …</x:v>
      </x:c>
      <x:c r="G302" s="34" t="str">
        <x:v>PRD-0043-P0012-U01</x:v>
      </x:c>
      <x:c r="H302" s="34" t="str"/>
      <x:c r="I302" s="34" t="str">
        <x:v>JP_BoJ_2022</x:v>
      </x:c>
      <x:c r="J302" s="34" t="n">
        <x:v>12</x:v>
      </x:c>
      <x:c r="K302" s="34" t="str">
        <x:v>en</x:v>
      </x:c>
      <x:c r="L302" s="34" t="str">
        <x:v>Bank of Japan</x:v>
      </x:c>
      <x:c r="M302" s="34" t="str">
        <x:v>Retain the named authority's own CBDC decisions, explicit proposals, requirements, features, and executed findings. Exclude generic context, literature, foreign projects, and stakeholder views not explicitly adopted by the authority.</x:v>
      </x:c>
      <x:c r="N302" s="34" t="str">
        <x:v>text</x:v>
      </x:c>
      <x:c r="O302" s="34" t="str"/>
      <x:c r="P302" s="38" t="str"/>
      <x:c r="Q302" s="38" t="str"/>
      <x:c r="R302" s="38" t="str"/>
      <x:c r="S302" s="38" t="str"/>
      <x:c r="T302" s="38" t="str"/>
      <x:c r="U302" s="38" t="str"/>
      <x:c r="V302" s="38" t="str"/>
      <x:c r="W302" s="38" t="str"/>
      <x:c r="X302" s="38" t="str"/>
      <x:c r="Y302" s="38" t="str"/>
      <x:c r="Z302" s="38" t="str"/>
      <x:c r="AA302" s="43" t="str">
        <x:f>IF('Instructions'!$B$3="","",'Instructions'!$B$3)</x:f>
      </x:c>
      <x:c r="AB302" s="43" t="str">
        <x:f>IF(P302="","PENDING",IF('Instructions'!$B$3="","SET_INITIALS",IF(P302="keep",IF(OR(Q302="",R302="",S302="",T302="",U302="",W302=""),"INCOMPLETE_KEEP","COMPLETE"),IF(P302="exclude",IF(OR(V302="",W302=""),"INCOMPLETE_EXCLUDE","COMPLETE"),"NEEDS_CONTEXT"))))</x:f>
        <x:v>PENDING</x:v>
      </x:c>
    </x:row>
    <x:row r="303" ht="62" customHeight="1">
      <x:c r="A303" s="34" t="str">
        <x:v>SV-0300</x:v>
      </x:c>
      <x:c r="B303" s="34" t="str">
        <x:v>Renten på DSP kan danne et gulv for styringsrenten og renten på kontopenger 
i en kontobasert modell.</x:v>
      </x:c>
      <x:c r="C303" s="34" t="str"/>
      <x:c r="D303" s="34" t="str"/>
      <x:c r="E303" s="34" t="str"/>
      <x:c r="F303" s="34" t="str">
        <x:v>… 37 Det har ikke 
blitt fremmet konkrete forslag gjennom politiske organer om å begrense 
bankenes mulighet til å finansiere utlån med innskudd. 
4.2.3. Betydning av DSP for pengepolitikken38 
Innføring av DSP vil kunne få konsekvenser for pengepolitikken. Det gjelder særlig 
ved valg av den kontobaserte modellen med få friksjoner mellom DSP og 
bankinnskudd. Basert på en stilisert modell har arbeidsgruppen identifisert noen 
sentrale sammenhenger mellom DSP og pengepolitikken, se vedlegg.  Noen tentative 
konklusjoner vi kan trekke er at: 
- Renten på DSP kan danne et gulv for styringsrenten og renten på kontopenger 
i en kontobasert modell. 
- DSP med fast lav rente (f. eks null) kan dempe gjennomslaget til 
pengepolitikken og skape et nytt dilemma for rentesettingen i urolige tider. 
Grunnen til det er at DSP med fast rente vil fremstå mer attraktivt i forhold til 
andre plasseringer jo lavere styringsrenten settes (rentetapet ved å holde DSP i 
stedet for andre aktiva blir lavere). Volumet på DSP kan derfor øke når 
styringsrenten settes ned. Ekspansiv pengepolitikk kan derved utløse tap av 
bankinnskudd, høyere behov for markedsfinansiering i bankene og høyere 
risikopremier.  …</x:v>
      </x:c>
      <x:c r="G303" s="34" t="str">
        <x:v>PRD-0053-P0039-U01</x:v>
      </x:c>
      <x:c r="H303" s="34" t="str"/>
      <x:c r="I303" s="34" t="str">
        <x:v>NO_Norway_nbmemo-1-2018</x:v>
      </x:c>
      <x:c r="J303" s="34" t="n">
        <x:v>39</x:v>
      </x:c>
      <x:c r="K303" s="34" t="str">
        <x:v>en</x:v>
      </x:c>
      <x:c r="L303" s="34" t="str">
        <x:v>Norges Bank</x:v>
      </x:c>
      <x:c r="M303" s="34" t="str">
        <x:v>Retain the named authority's own CBDC decisions, explicit proposals, requirements, features, and executed findings. Exclude generic context, literature, foreign projects, and stakeholder views not explicitly adopted by the authority.</x:v>
      </x:c>
      <x:c r="N303" s="34" t="str">
        <x:v>text</x:v>
      </x:c>
      <x:c r="O303" s="34" t="str"/>
      <x:c r="P303" s="38" t="str"/>
      <x:c r="Q303" s="38" t="str"/>
      <x:c r="R303" s="38" t="str"/>
      <x:c r="S303" s="38" t="str"/>
      <x:c r="T303" s="38" t="str"/>
      <x:c r="U303" s="38" t="str"/>
      <x:c r="V303" s="38" t="str"/>
      <x:c r="W303" s="38" t="str"/>
      <x:c r="X303" s="38" t="str"/>
      <x:c r="Y303" s="38" t="str"/>
      <x:c r="Z303" s="38" t="str"/>
      <x:c r="AA303" s="43" t="str">
        <x:f>IF('Instructions'!$B$3="","",'Instructions'!$B$3)</x:f>
      </x:c>
      <x:c r="AB303" s="43" t="str">
        <x:f>IF(P303="","PENDING",IF('Instructions'!$B$3="","SET_INITIALS",IF(P303="keep",IF(OR(Q303="",R303="",S303="",T303="",U303="",W303=""),"INCOMPLETE_KEEP","COMPLETE"),IF(P303="exclude",IF(OR(V303="",W303=""),"INCOMPLETE_EXCLUDE","COMPLETE"),"NEEDS_CONTEXT"))))</x:f>
        <x:v>PENDING</x:v>
      </x:c>
    </x:row>
    <x:row r="304" ht="62" customHeight="1">
      <x:c r="A304" s="34" t="str">
        <x:v>SV-0301</x:v>
      </x:c>
      <x:c r="B304" s="34" t="str">
        <x:v>The eCedi will also support programmable use 
cases to enable innovation and new business 
models while maintaining the trust of the users. 
Notable among the programmable use cases 
are “government-to-person” and “person-to-
government” payments. In addition, it is capable 
of “machine-to-machine” automated payments 
in the Internet of Things.</x:v>
      </x:c>
      <x:c r="C304" s="34" t="str"/>
      <x:c r="D304" s="34" t="str"/>
      <x:c r="E304" s="34" t="str"/>
      <x:c r="F304" s="34" t="str">
        <x:v>…  Systems 
Limited (GhIPSS).
• In the era of the globalisation, it is important 
that domestic CBDCs are designed with the 
prospects of adaptation for interoperability 
with CBDCs of other jurisdictions. Efforts to 
accelerate integration of the economies of 
African economies, particularly under the African 
Continental Free Trade Area (AfCFTA) makes this 
a key consideration in the eCedi design. The 
eCedi takes into consideration CBDC standards, 
making it possible for Ghana to participate in 
international projects on cross border CBDCs.
• The eCedi will also support programmable use 
cases to enable innovation and new business 
models while maintaining the trust of the users. 
Notable among the programmable use cases 
are “government-to-person” and “person-to-
government” payments. In addition, it is capable 
of “machine-to-machine” automated payments 
in the Internet of Things.
• As a currency, trust is critical to the adoption 
and usage of the eCedi. The eCedi will therefore 
meet very high security requirements. As a result, 
currency issuance and distribution modules of 
the core eCedi infrastructure will be separated 
to address cyber risk. The eCedi will also be 
scalable to handle large volumes of transactions 
and provide 24/7 availability and support instant 
payments.
• BoG would appreciate comments from 
individuals, banks, FinTech companies, 
academics, international monetary and 
development organisation …</x:v>
      </x:c>
      <x:c r="G304" s="34" t="str">
        <x:v>PRD-0030-P0007-U01</x:v>
      </x:c>
      <x:c r="H304" s="34" t="str"/>
      <x:c r="I304" s="34" t="str">
        <x:v>GH_Ghana_2021</x:v>
      </x:c>
      <x:c r="J304" s="34" t="n">
        <x:v>7</x:v>
      </x:c>
      <x:c r="K304" s="34" t="str">
        <x:v>en</x:v>
      </x:c>
      <x:c r="L304" s="34" t="str">
        <x:v>Bank of Ghana (eCedi)</x:v>
      </x:c>
      <x:c r="M304" s="34" t="str">
        <x:v>Retain Bank of Ghana eCedi design positions and requirements; exclude general CBDC literature.</x:v>
      </x:c>
      <x:c r="N304" s="34" t="str">
        <x:v>text</x:v>
      </x:c>
      <x:c r="O304" s="34" t="str"/>
      <x:c r="P304" s="38" t="str"/>
      <x:c r="Q304" s="38" t="str"/>
      <x:c r="R304" s="38" t="str"/>
      <x:c r="S304" s="38" t="str"/>
      <x:c r="T304" s="38" t="str"/>
      <x:c r="U304" s="38" t="str"/>
      <x:c r="V304" s="38" t="str"/>
      <x:c r="W304" s="38" t="str"/>
      <x:c r="X304" s="38" t="str"/>
      <x:c r="Y304" s="38" t="str"/>
      <x:c r="Z304" s="38" t="str"/>
      <x:c r="AA304" s="43" t="str">
        <x:f>IF('Instructions'!$B$3="","",'Instructions'!$B$3)</x:f>
      </x:c>
      <x:c r="AB304" s="43" t="str">
        <x:f>IF(P304="","PENDING",IF('Instructions'!$B$3="","SET_INITIALS",IF(P304="keep",IF(OR(Q304="",R304="",S304="",T304="",U304="",W304=""),"INCOMPLETE_KEEP","COMPLETE"),IF(P304="exclude",IF(OR(V304="",W304=""),"INCOMPLETE_EXCLUDE","COMPLETE"),"NEEDS_CONTEXT"))))</x:f>
        <x:v>PENDING</x:v>
      </x:c>
    </x:row>
    <x:row r="305" ht="62" customHeight="1">
      <x:c r="A305" s="34" t="str">
        <x:v>SV-0302</x:v>
      </x:c>
      <x:c r="B305" s="34" t="str">
        <x:v>This is a micro -partitioned system based on a n 
unspent transaction output (UTXO) funds model.</x:v>
      </x:c>
      <x:c r="C305" s="34" t="str"/>
      <x:c r="D305" s="34" t="str"/>
      <x:c r="E305" s="34" t="str"/>
      <x:c r="F305" s="34" t="str">
        <x:v>1 
Executive summary 
Darbha (2022) develops five archetypes, or common system design patterns, for retail CBDC: 
the centralized, the leaderless, the micro- and macro-partitioned, and the direct. In this paper, 
we analyze combinations of the archetypes with three funds models , or representations of 
money, to identify one system architecture that is, in our opinion, well -suited for basic 
payments in an online retail CBDC system . This is a micro -partitioned system based on a n 
unspent transaction output (UTXO) funds model. 
We select a representative system design, OpenCBDC 2PC  (Massachusetts Institute of 
Technology Digital Currency Initiative 2022), that fits this  architecture for basic payments and 
analyze it using a range of criteria to assess the feasibility of such system designs for an online 
retail CBDC. From our findings, summarized below, we do not anticipate serious  obstacles to 
achieving feasibility, although some areas require further investigation. 
Designs like OpenCBDC 2PC align well with a two-tier system, allowing a separation of central  …</x:v>
      </x:c>
      <x:c r="G305" s="34" t="str">
        <x:v>PRD-0108-P0004-U01</x:v>
      </x:c>
      <x:c r="H305" s="34" t="str"/>
      <x:c r="I305" s="34" t="str">
        <x:v>CA_BoC_RetailFeasibility_SDP2025_9</x:v>
      </x:c>
      <x:c r="J305" s="34" t="n">
        <x:v>4</x:v>
      </x:c>
      <x:c r="K305" s="34" t="str">
        <x:v>en</x:v>
      </x:c>
      <x:c r="L305" s="34" t="str">
        <x:v>Bank of Canada research on retail CBDC feasibility</x:v>
      </x:c>
      <x:c r="M305" s="34" t="str">
        <x:v>Staff research is not an adopted design. Retain empirical findings or explicit Bank of Canada conclusions tied to its potential CBDC; exclude model assumptions and literature.</x:v>
      </x:c>
      <x:c r="N305" s="34" t="str">
        <x:v>text</x:v>
      </x:c>
      <x:c r="O305" s="34" t="str"/>
      <x:c r="P305" s="38" t="str"/>
      <x:c r="Q305" s="38" t="str"/>
      <x:c r="R305" s="38" t="str"/>
      <x:c r="S305" s="38" t="str"/>
      <x:c r="T305" s="38" t="str"/>
      <x:c r="U305" s="38" t="str"/>
      <x:c r="V305" s="38" t="str"/>
      <x:c r="W305" s="38" t="str"/>
      <x:c r="X305" s="38" t="str"/>
      <x:c r="Y305" s="38" t="str"/>
      <x:c r="Z305" s="38" t="str"/>
      <x:c r="AA305" s="43" t="str">
        <x:f>IF('Instructions'!$B$3="","",'Instructions'!$B$3)</x:f>
      </x:c>
      <x:c r="AB305" s="43" t="str">
        <x:f>IF(P305="","PENDING",IF('Instructions'!$B$3="","SET_INITIALS",IF(P305="keep",IF(OR(Q305="",R305="",S305="",T305="",U305="",W305=""),"INCOMPLETE_KEEP","COMPLETE"),IF(P305="exclude",IF(OR(V305="",W305=""),"INCOMPLETE_EXCLUDE","COMPLETE"),"NEEDS_CONTEXT"))))</x:f>
        <x:v>PENDING</x:v>
      </x:c>
    </x:row>
    <x:row r="306" ht="62" customHeight="1">
      <x:c r="A306" s="34" t="str">
        <x:v>SV-0303</x:v>
      </x:c>
      <x:c r="B306" s="34" t="str">
        <x:v>Retail purchase — 39 (50%)</x:v>
      </x:c>
      <x:c r="C306" s="34" t="str"/>
      <x:c r="D306" s="34" t="str"/>
      <x:c r="E306" s="34" t="str"/>
      <x:c r="F306" s="34" t="str">
        <x:v>Ministry of Finance Republic of Palau Stablecoin Program: Phase 1 Report                         18</x:v>
      </x:c>
      <x:c r="G306" s="34" t="str">
        <x:v>PRD-0061-P0018-U01</x:v>
      </x:c>
      <x:c r="H306" s="34" t="str"/>
      <x:c r="I306" s="34" t="str">
        <x:v>PW_Palau_Phase1_Report</x:v>
      </x:c>
      <x:c r="J306" s="34" t="n">
        <x:v>18</x:v>
      </x:c>
      <x:c r="K306" s="34" t="str">
        <x:v>en</x:v>
      </x:c>
      <x:c r="L306" s="34" t="str">
        <x:v>Republic of Palau (Palau Stablecoin programme)</x:v>
      </x:c>
      <x:c r="M306" s="34" t="str">
        <x:v>Retain executed programme design choices and Phase 1 findings. Preserve that this is a government stablecoin programme rather than central-bank-issued CBDC.</x:v>
      </x:c>
      <x:c r="N306" s="34" t="str">
        <x:v>text_and_render</x:v>
      </x:c>
      <x:c r="O306" s="34" t="str">
        <x:v>renders/PRD-0061-P0018.jpg</x:v>
      </x:c>
      <x:c r="P306" s="38" t="str"/>
      <x:c r="Q306" s="38" t="str"/>
      <x:c r="R306" s="38" t="str"/>
      <x:c r="S306" s="38" t="str"/>
      <x:c r="T306" s="38" t="str"/>
      <x:c r="U306" s="38" t="str"/>
      <x:c r="V306" s="38" t="str"/>
      <x:c r="W306" s="38" t="str"/>
      <x:c r="X306" s="38" t="str"/>
      <x:c r="Y306" s="38" t="str"/>
      <x:c r="Z306" s="38" t="str"/>
      <x:c r="AA306" s="43" t="str">
        <x:f>IF('Instructions'!$B$3="","",'Instructions'!$B$3)</x:f>
      </x:c>
      <x:c r="AB306" s="43" t="str">
        <x:f>IF(P306="","PENDING",IF('Instructions'!$B$3="","SET_INITIALS",IF(P306="keep",IF(OR(Q306="",R306="",S306="",T306="",U306="",W306=""),"INCOMPLETE_KEEP","COMPLETE"),IF(P306="exclude",IF(OR(V306="",W306=""),"INCOMPLETE_EXCLUDE","COMPLETE"),"NEEDS_CONTEXT"))))</x:f>
        <x:v>PENDING</x:v>
      </x:c>
    </x:row>
    <x:row r="307" ht="62" customHeight="1">
      <x:c r="A307" s="34" t="str">
        <x:v>SV-0304</x:v>
      </x:c>
      <x:c r="B307" s="34" t="str">
        <x:v>In the long term, recipients should 
have the freedom to choose their own wallet 
applications to access Government issued  
PBM tokens.</x:v>
      </x:c>
      <x:c r="C307" s="34" t="str"/>
      <x:c r="D307" s="34" t="str"/>
      <x:c r="E307" s="34" t="str"/>
      <x:c r="F307" s="34" t="str">
        <x:v>…  
Government campaign organisers should be 
able to easily define and enforce their voucher 
logic (e.g. targeted merchants, specific 
timeframe) and issue vouchers to their targeted 
users. If vouchers are used outside of the terms 
of the smart contract (e.g. at merchants not 
participating in the scheme), the transaction 
should fail. 
3. Demonstrate interoperability across 
voucher schemes  
Campaign organisers should also be able to 
easily specify their own required voucher logic, 
without the need to re-invent existing voucher 
systems. In the long term, recipients should 
have the freedom to choose their own wallet 
applications to access Government issued  
PBM tokens.

As Is
Nov 22 Gov PBM Pilot
1
3
4
2
EOD API for bulk FAST
transfer to mer chants
Issue Voucher Spend Voucher
FAST transfer
(both DBS &amp; non-DBS mer chants)
3
2
5
4
1 DSGD 10 0SGD 100
OGP wr aps DSGD 100 to PBM 10 0
Distribute to r etail
Spend PBM 100 Smart c ontract 
release DSGD 10 0
Redeem DSGD 10 0
for SGD 10 0</x:v>
      </x:c>
      <x:c r="G307" s="34" t="str">
        <x:v>PRD-0068-P0040-U01</x:v>
      </x:c>
      <x:c r="H307" s="34" t="str"/>
      <x:c r="I307" s="34" t="str">
        <x:v>SG_MAS_mas-project-orchid-report</x:v>
      </x:c>
      <x:c r="J307" s="34" t="n">
        <x:v>40</x:v>
      </x:c>
      <x:c r="K307" s="34" t="str">
        <x:v>en</x:v>
      </x:c>
      <x:c r="L307" s="34" t="str">
        <x:v>Monetary Authority of Singapore (Project Orchid / purpose-bound money)</x:v>
      </x:c>
      <x:c r="M307" s="34" t="str">
        <x:v>Retain complete Project Orchid decisions, requirements, and executed findings. Exclude future research and incomplete fragments.</x:v>
      </x:c>
      <x:c r="N307" s="34" t="str">
        <x:v>text</x:v>
      </x:c>
      <x:c r="O307" s="34" t="str"/>
      <x:c r="P307" s="38" t="str"/>
      <x:c r="Q307" s="38" t="str"/>
      <x:c r="R307" s="38" t="str"/>
      <x:c r="S307" s="38" t="str"/>
      <x:c r="T307" s="38" t="str"/>
      <x:c r="U307" s="38" t="str"/>
      <x:c r="V307" s="38" t="str"/>
      <x:c r="W307" s="38" t="str"/>
      <x:c r="X307" s="38" t="str"/>
      <x:c r="Y307" s="38" t="str"/>
      <x:c r="Z307" s="38" t="str"/>
      <x:c r="AA307" s="43" t="str">
        <x:f>IF('Instructions'!$B$3="","",'Instructions'!$B$3)</x:f>
      </x:c>
      <x:c r="AB307" s="43" t="str">
        <x:f>IF(P307="","PENDING",IF('Instructions'!$B$3="","SET_INITIALS",IF(P307="keep",IF(OR(Q307="",R307="",S307="",T307="",U307="",W307=""),"INCOMPLETE_KEEP","COMPLETE"),IF(P307="exclude",IF(OR(V307="",W307=""),"INCOMPLETE_EXCLUDE","COMPLETE"),"NEEDS_CONTEXT"))))</x:f>
        <x:v>PENDING</x:v>
      </x:c>
    </x:row>
    <x:row r="308" ht="62" customHeight="1">
      <x:c r="A308" s="34" t="str">
        <x:v>SV-0305</x:v>
      </x:c>
      <x:c r="B308" s="34" t="str">
        <x:v>Men det bør ikke etableres et rangforhold mellom DSP og kontanter, slik at 
innehavere at DSP kan kreve dem vekslet til kontanter, mens innehavere av 
kontanter ikke kan kreve dem vekslet til DSP, eller motsatt.</x:v>
      </x:c>
      <x:c r="C308" s="34" t="str"/>
      <x:c r="D308" s="34" t="str"/>
      <x:c r="E308" s="34" t="str"/>
      <x:c r="F308" s="34" t="str">
        <x:v>…  kontoløsning.11 
Hvis DSP skal være tvungent betalingsmiddel sammen med kontanter, bør det 
fastsettes om innehaver av DSP skal kunne kreve dem vekslet om til 
kontanter, eller motsatt. Vi antar at en hensiktsmessig løsning kan være en 
vekslingsplikt som går begge veier, dvs. at Norges Bank får en plikt til å veksle 
kontanter til DSP og vice versa. Det er nærliggende å tenke seg en tilsvarende 
plikt for banker ut fra prinsippet om at bankene skal gjøre tvungne 
betalingsmidler tilgjengelige for sine kunder, jf. finansforetaksloven § 16-4. 
Men det bør ikke etableres et rangforhold mellom DSP og kontanter, slik at 
innehavere at DSP kan kreve dem vekslet til kontanter, mens innehavere av 
kontanter ikke kan kreve dem vekslet til DSP, eller motsatt. 
2.7. Samsvar med EØS-rettslige forpliktelser 
Norge er bundet av EØS-avtalen, og DSP må utformes i samsvar med de 
grunnleggende prinsippene her, for eksempel de fire friheter, 
statsstøttereglene og konkurransereglene. Det er likevel vår vurdering at disse 
10 Ny finansavtalelov ble vedtatt den 1.12.2020, og sanksjonert den 18.12.2020. Det er ennå ikke klart når 
den vil tre i kraft. Vi har l kevel funnet det riktig å henvise til den nye loven. Loven erstatter finansavtaloven 
av 1999 (LOV-199 …</x:v>
      </x:c>
      <x:c r="G308" s="34" t="str">
        <x:v>PRD-0054-P0017-U01</x:v>
      </x:c>
      <x:c r="H308" s="34" t="str"/>
      <x:c r="I308" s="34" t="str">
        <x:v>NO_Norway_norges-bank-memo-1-2021</x:v>
      </x:c>
      <x:c r="J308" s="34" t="n">
        <x:v>17</x:v>
      </x:c>
      <x:c r="K308" s="34" t="str">
        <x:v>en</x:v>
      </x:c>
      <x:c r="L308" s="34" t="str">
        <x:v>Norges Bank (Norwegian CBDC work)</x:v>
      </x:c>
      <x:c r="M308" s="34" t="str">
        <x:v>Retain Norges Bank CBDC positions and requirements; exclude generic or cited research.</x:v>
      </x:c>
      <x:c r="N308" s="34" t="str">
        <x:v>text</x:v>
      </x:c>
      <x:c r="O308" s="34" t="str"/>
      <x:c r="P308" s="38" t="str"/>
      <x:c r="Q308" s="38" t="str"/>
      <x:c r="R308" s="38" t="str"/>
      <x:c r="S308" s="38" t="str"/>
      <x:c r="T308" s="38" t="str"/>
      <x:c r="U308" s="38" t="str"/>
      <x:c r="V308" s="38" t="str"/>
      <x:c r="W308" s="38" t="str"/>
      <x:c r="X308" s="38" t="str"/>
      <x:c r="Y308" s="38" t="str"/>
      <x:c r="Z308" s="38" t="str"/>
      <x:c r="AA308" s="43" t="str">
        <x:f>IF('Instructions'!$B$3="","",'Instructions'!$B$3)</x:f>
      </x:c>
      <x:c r="AB308" s="43" t="str">
        <x:f>IF(P308="","PENDING",IF('Instructions'!$B$3="","SET_INITIALS",IF(P308="keep",IF(OR(Q308="",R308="",S308="",T308="",U308="",W308=""),"INCOMPLETE_KEEP","COMPLETE"),IF(P308="exclude",IF(OR(V308="",W308=""),"INCOMPLETE_EXCLUDE","COMPLETE"),"NEEDS_CONTEXT"))))</x:f>
        <x:v>PENDING</x:v>
      </x:c>
    </x:row>
    <x:row r="309" ht="62" customHeight="1">
      <x:c r="A309" s="34" t="str">
        <x:v>SV-0306</x:v>
      </x:c>
      <x:c r="B309" s="34" t="str">
        <x:v>The wRD 
platform demonstrated that message formats and 
communication protocols could be configured to 
meet user requirements.</x:v>
      </x:c>
      <x:c r="C309" s="34" t="str"/>
      <x:c r="D309" s="34" t="str"/>
      <x:c r="E309" s="34" t="str"/>
      <x:c r="F309" s="34" t="str">
        <x:v>… wRD platform 
with BI-RTGS
R3 Corda and Kaleido Hyperledger Besu, in general, 
have built-in interoperability features that enable the 
wRD platform to communicate with other payment 
systems, such as BI-RTGS, through standard 
communication protocols. This capability directly 
supports the creation of an integrated, interoperable, 
and interconnected (3i) digital ecosystem. 
In the PoC, both solutions were connected to 
the BI-RTGS using standard communication 
protocols and message formats defined by the 
existing BI-RTGS messaging standard. The wRD 
platform demonstrated that message formats and 
communication protocols could be configured to 
meet user requirements. Adjustments from the 
current message format standard to the ISO 20022 
standard are feasible, leveraging the Bank Indonesia 
3i standard of integration, interoperability and 
interconnection. 
The mapping of the current message format 
to the ISO 20022 format was carried out in the 
PoC and will serve as a reference point for future 
developments. Bank Indonesia chose ISO 20022 
because it is a globally recognized communication 
standard for financial transactions, including 
payments, remittances, and other transactions that 
support financi …</x:v>
      </x:c>
      <x:c r="G309" s="34" t="str">
        <x:v>PRD-0037-P0038-U01</x:v>
      </x:c>
      <x:c r="H309" s="34" t="str"/>
      <x:c r="I309" s="34" t="str">
        <x:v>ID_Indonesia_2024</x:v>
      </x:c>
      <x:c r="J309" s="34" t="n">
        <x:v>38</x:v>
      </x:c>
      <x:c r="K309" s="34" t="str">
        <x:v>en</x:v>
      </x:c>
      <x:c r="L309" s="34" t="str">
        <x:v>Bank Indonesia (Digital Rupiah)</x:v>
      </x:c>
      <x:c r="M309" s="34" t="str">
        <x:v>Retain the named authority's own CBDC decisions, explicit proposals, requirements, features, and executed findings. Exclude generic context, literature, foreign projects, and stakeholder views not explicitly adopted by the authority.</x:v>
      </x:c>
      <x:c r="N309" s="34" t="str">
        <x:v>text</x:v>
      </x:c>
      <x:c r="O309" s="34" t="str"/>
      <x:c r="P309" s="38" t="str"/>
      <x:c r="Q309" s="38" t="str"/>
      <x:c r="R309" s="38" t="str"/>
      <x:c r="S309" s="38" t="str"/>
      <x:c r="T309" s="38" t="str"/>
      <x:c r="U309" s="38" t="str"/>
      <x:c r="V309" s="38" t="str"/>
      <x:c r="W309" s="38" t="str"/>
      <x:c r="X309" s="38" t="str"/>
      <x:c r="Y309" s="38" t="str"/>
      <x:c r="Z309" s="38" t="str"/>
      <x:c r="AA309" s="43" t="str">
        <x:f>IF('Instructions'!$B$3="","",'Instructions'!$B$3)</x:f>
      </x:c>
      <x:c r="AB309" s="43" t="str">
        <x:f>IF(P309="","PENDING",IF('Instructions'!$B$3="","SET_INITIALS",IF(P309="keep",IF(OR(Q309="",R309="",S309="",T309="",U309="",W309=""),"INCOMPLETE_KEEP","COMPLETE"),IF(P309="exclude",IF(OR(V309="",W309=""),"INCOMPLETE_EXCLUDE","COMPLETE"),"NEEDS_CONTEXT"))))</x:f>
        <x:v>PENDING</x:v>
      </x:c>
    </x:row>
    <x:row r="310" ht="62" customHeight="1">
      <x:c r="A310" s="34" t="str">
        <x:v>SV-0307</x:v>
      </x:c>
      <x:c r="B310" s="34" t="str">
        <x:v>With the introduction of a digital ruble, households will distribute their money based on their 
needs between cash, accounts with commercial banks, and electronic wallets in digital rubles in the 
same way as they currently distribute it between cash and bank accounts.</x:v>
      </x:c>
      <x:c r="C310" s="34" t="str"/>
      <x:c r="D310" s="34" t="str"/>
      <x:c r="E310" s="34" t="str"/>
      <x:c r="F310" s="34" t="str">
        <x:v>… LE AND MONETARY POLICY
Through its monetary policy, the Bank of Russia maintains the purchasing power of the ruble in all 
its forms, i.e. ensures price stability, or stable low inflation. Monetary policy influences the economy 
and inflation through the financial sector. Given that the possible introduction of a digital ruble will 
primarily influence money circulation and the financial sphere of the economy, it is important to 
assess the potential effects of the introduction of a central bank digital currency on monetary policy 
conditions.
With the introduction of a digital ruble, households will distribute their money based on their 
needs between cash, accounts with commercial banks, and electronic wallets in digital rubles in the 
same way as they currently distribute it between cash and bank accounts.
Banks will act as intermediaries in transferring funds between cash and digital rubles, and these 
transactions will not affect the size of their balances. The redistribution of funds between banks’ 
deposits and the central bank digital currency will have an impact on banks’ balance sheets and 
their need to use the operations they conduct with the central bank (see Box 5) and may also exert 
upward pressure on the formation of bank deposit and loan rates. This must also be taken into 
account when implementing monetary policy.
Achieving the  …</x:v>
      </x:c>
      <x:c r="G310" s="34" t="str">
        <x:v>PRD-0064-P0020-U01</x:v>
      </x:c>
      <x:c r="H310" s="34" t="str"/>
      <x:c r="I310" s="34" t="str">
        <x:v>RU_Russia_consultation_paper_201013</x:v>
      </x:c>
      <x:c r="J310" s="34" t="n">
        <x:v>20</x:v>
      </x:c>
      <x:c r="K310" s="34" t="str">
        <x:v>en</x:v>
      </x:c>
      <x:c r="L310" s="34" t="str">
        <x:v>Bank of Russia (digital ruble)</x:v>
      </x:c>
      <x:c r="M310" s="34" t="str">
        <x:v>Retain explicit Bank of Russia proposals, preferences, and requirements. Exclude open questions and future research without a position.</x:v>
      </x:c>
      <x:c r="N310" s="34" t="str">
        <x:v>text</x:v>
      </x:c>
      <x:c r="O310" s="34" t="str"/>
      <x:c r="P310" s="38" t="str"/>
      <x:c r="Q310" s="38" t="str"/>
      <x:c r="R310" s="38" t="str"/>
      <x:c r="S310" s="38" t="str"/>
      <x:c r="T310" s="38" t="str"/>
      <x:c r="U310" s="38" t="str"/>
      <x:c r="V310" s="38" t="str"/>
      <x:c r="W310" s="38" t="str"/>
      <x:c r="X310" s="38" t="str"/>
      <x:c r="Y310" s="38" t="str"/>
      <x:c r="Z310" s="38" t="str"/>
      <x:c r="AA310" s="43" t="str">
        <x:f>IF('Instructions'!$B$3="","",'Instructions'!$B$3)</x:f>
      </x:c>
      <x:c r="AB310" s="43" t="str">
        <x:f>IF(P310="","PENDING",IF('Instructions'!$B$3="","SET_INITIALS",IF(P310="keep",IF(OR(Q310="",R310="",S310="",T310="",U310="",W310=""),"INCOMPLETE_KEEP","COMPLETE"),IF(P310="exclude",IF(OR(V310="",W310=""),"INCOMPLETE_EXCLUDE","COMPLETE"),"NEEDS_CONTEXT"))))</x:f>
        <x:v>PENDING</x:v>
      </x:c>
    </x:row>
    <x:row r="311" ht="62" customHeight="1">
      <x:c r="A311" s="34" t="str">
        <x:v>SV-0308</x:v>
      </x:c>
      <x:c r="B311" s="34" t="str">
        <x:v>Participants will not be able to use the information accumulated about users and their 
activities in the digital shekel system for commercial purposes unless users give clear and 
informed consent.</x:v>
      </x:c>
      <x:c r="C311" s="34" t="str"/>
      <x:c r="D311" s="34" t="str"/>
      <x:c r="E311" s="34" t="str"/>
      <x:c r="F311" s="34" t="str">
        <x:v>… 
optimal performance regardless of the participant serving them. The system will be designed 
to be scalable according to the growth in usage. 
Policy, Rules, and Regulation  
The digital shekel system will be designed with a privacy-by-design approach. The Bank of 
Israel or any other central entity will not have access to personal identifiable information 
about end-users' activities in the digital shekel. The level of privacy in the digital shekel will 
be higher than that of existing digital means of payment s but lower than that of cash. 
Participants will not be able to use the information accumulated about users and their 
activities in the digital shekel system for commercial purposes unless users give clear and 
informed consent. Anonymous payments, both online and offline, will be possible below 
thresholds that will be set and in accordance with relevant risk management rules. 
The cost of using  the digital s hekel for basic  activities should be low to negligible. 
Individuals will not pay fees for these activities. PSPs will be able to charge a fee for receiving 
payments from merchants and will pay an interchange fee to the PSP of the payer. The Bank 
of Israel will bear its own costs of managing and operating the system. 
Users of the digital shekel will enjoy c …</x:v>
      </x:c>
      <x:c r="G311" s="34" t="str">
        <x:v>PRD-0038-P0011-U01</x:v>
      </x:c>
      <x:c r="H311" s="34" t="str"/>
      <x:c r="I311" s="34" t="str">
        <x:v>IL_BoI_2024</x:v>
      </x:c>
      <x:c r="J311" s="34" t="n">
        <x:v>11</x:v>
      </x:c>
      <x:c r="K311" s="34" t="str">
        <x:v>en</x:v>
      </x:c>
      <x:c r="L311" s="34" t="str">
        <x:v>Bank of Israel (digital shekel)</x:v>
      </x:c>
      <x:c r="M311" s="34" t="str">
        <x:v>Retain the named authority's own CBDC decisions, explicit proposals, requirements, features, and executed findings. Exclude generic context, literature, foreign projects, and stakeholder views not explicitly adopted by the authority.</x:v>
      </x:c>
      <x:c r="N311" s="34" t="str">
        <x:v>text</x:v>
      </x:c>
      <x:c r="O311" s="34" t="str"/>
      <x:c r="P311" s="38" t="str"/>
      <x:c r="Q311" s="38" t="str"/>
      <x:c r="R311" s="38" t="str"/>
      <x:c r="S311" s="38" t="str"/>
      <x:c r="T311" s="38" t="str"/>
      <x:c r="U311" s="38" t="str"/>
      <x:c r="V311" s="38" t="str"/>
      <x:c r="W311" s="38" t="str"/>
      <x:c r="X311" s="38" t="str"/>
      <x:c r="Y311" s="38" t="str"/>
      <x:c r="Z311" s="38" t="str"/>
      <x:c r="AA311" s="43" t="str">
        <x:f>IF('Instructions'!$B$3="","",'Instructions'!$B$3)</x:f>
      </x:c>
      <x:c r="AB311" s="43" t="str">
        <x:f>IF(P311="","PENDING",IF('Instructions'!$B$3="","SET_INITIALS",IF(P311="keep",IF(OR(Q311="",R311="",S311="",T311="",U311="",W311=""),"INCOMPLETE_KEEP","COMPLETE"),IF(P311="exclude",IF(OR(V311="",W311=""),"INCOMPLETE_EXCLUDE","COMPLETE"),"NEEDS_CONTEXT"))))</x:f>
        <x:v>PENDING</x:v>
      </x:c>
    </x:row>
    <x:row r="312" ht="62" customHeight="1">
      <x:c r="A312" s="34" t="str">
        <x:v>SV-0309</x:v>
      </x:c>
      <x:c r="B312" s="34" t="str">
        <x:v>For cross-border payments, the digital ruble platform can be integrated with CBDC platforms 
of other countries and international organisations, which will speed up and reduce the cost of 
payments for consumers.</x:v>
      </x:c>
      <x:c r="C312" s="34" t="str"/>
      <x:c r="D312" s="34" t="str"/>
      <x:c r="E312" s="34" t="str"/>
      <x:c r="F312" s="34" t="str">
        <x:v>8
A Digital Ruble
October 2020
1. The role of a digital ruble  
in money circulation
for consumers, promote competition among credit institutions and their fight for clients through 
offering more convenient services for households and businesses. It will also serve as a stimulus for 
companies to develop and implement innovative products and technologies.
For cross-border payments, the digital ruble platform can be integrated with CBDC platforms 
of other countries and international organisations, which will speed up and reduce the cost of 
payments for consumers.
Box 1 
The forms of money that currently exist
These days, the functions of money such as being a medium of exchange, a unit of account, and a 
store of value can be performed by cash and non-cash funds issued by a central bank as well as funds in 
accounts with commercial banks.
Cash (banknotes and coins) is bearer money on a protected medium issued by a central bank. It 
circulates through the exchange of the medium from one person to another. Its protection is its owner’s 
responsibility, and forging it  is prohibited by law.
Non-cash centr …</x:v>
      </x:c>
      <x:c r="G312" s="34" t="str">
        <x:v>PRD-0064-P0009-U01</x:v>
      </x:c>
      <x:c r="H312" s="34" t="str"/>
      <x:c r="I312" s="34" t="str">
        <x:v>RU_Russia_consultation_paper_201013</x:v>
      </x:c>
      <x:c r="J312" s="34" t="n">
        <x:v>9</x:v>
      </x:c>
      <x:c r="K312" s="34" t="str">
        <x:v>en</x:v>
      </x:c>
      <x:c r="L312" s="34" t="str">
        <x:v>Bank of Russia (digital ruble)</x:v>
      </x:c>
      <x:c r="M312" s="34" t="str">
        <x:v>Retain explicit Bank of Russia proposals, preferences, and requirements. Exclude open questions and future research without a position.</x:v>
      </x:c>
      <x:c r="N312" s="34" t="str">
        <x:v>text</x:v>
      </x:c>
      <x:c r="O312" s="34" t="str"/>
      <x:c r="P312" s="38" t="str"/>
      <x:c r="Q312" s="38" t="str"/>
      <x:c r="R312" s="38" t="str"/>
      <x:c r="S312" s="38" t="str"/>
      <x:c r="T312" s="38" t="str"/>
      <x:c r="U312" s="38" t="str"/>
      <x:c r="V312" s="38" t="str"/>
      <x:c r="W312" s="38" t="str"/>
      <x:c r="X312" s="38" t="str"/>
      <x:c r="Y312" s="38" t="str"/>
      <x:c r="Z312" s="38" t="str"/>
      <x:c r="AA312" s="43" t="str">
        <x:f>IF('Instructions'!$B$3="","",'Instructions'!$B$3)</x:f>
      </x:c>
      <x:c r="AB312" s="43" t="str">
        <x:f>IF(P312="","PENDING",IF('Instructions'!$B$3="","SET_INITIALS",IF(P312="keep",IF(OR(Q312="",R312="",S312="",T312="",U312="",W312=""),"INCOMPLETE_KEEP","COMPLETE"),IF(P312="exclude",IF(OR(V312="",W312=""),"INCOMPLETE_EXCLUDE","COMPLETE"),"NEEDS_CONTEXT"))))</x:f>
        <x:v>PENDING</x:v>
      </x:c>
    </x:row>
    <x:row r="313" ht="62" customHeight="1">
      <x:c r="A313" s="34" t="str">
        <x:v>SV-0310</x:v>
      </x:c>
      <x:c r="B313" s="34" t="str">
        <x:v>PBMs are 
bearer instruments, with self-contained 
programming logic and transferrable 
between two parties without intermediaries.</x:v>
      </x:c>
      <x:c r="C313" s="34" t="str"/>
      <x:c r="D313" s="34" t="str"/>
      <x:c r="E313" s="34" t="str"/>
      <x:c r="F313" s="34" t="str">
        <x:v>…  programming logic or conditions 
that could be applied across a variety of different 
forms of money. Meanwhile, programmable money 
has the advantage of being self-contained 
and transferrable on a peer-to-peer basis 
between parties. A third model – Purpose 
Bound Money (PBM) , which is explored 
in the initial phase of Project Orchid, builds 
upon the concept and capabilities of both 
programmable payment and programmable 
money. PBM refers to a protocol that specifies 
the conditions upon which an underlying 
digital currency can be used. PBMs are 
bearer instruments, with self-contained 
programming logic and transferrable 
between two parties without intermediaries.
A crucial aspect of PBM is that the underlying 
digital medium of exchange bound within 
it comes embedded with programmable 
logic that makes it possible for use across 
different platforms and systems. 
PBMs could be used to digitalise vouchers. 
A voucher comes with it a predefined set 
of conditions for its usage. The holder of 
the voucher can present it to participating 
merchants in exchange for goods or services 
(a programmable payment feature). In some 
instances, the terms of the voucher scheme 
allow it to be transferrable between  …</x:v>
      </x:c>
      <x:c r="G313" s="34" t="str">
        <x:v>PRD-0068-P0009-U01</x:v>
      </x:c>
      <x:c r="H313" s="34" t="str"/>
      <x:c r="I313" s="34" t="str">
        <x:v>SG_MAS_mas-project-orchid-report</x:v>
      </x:c>
      <x:c r="J313" s="34" t="n">
        <x:v>9</x:v>
      </x:c>
      <x:c r="K313" s="34" t="str">
        <x:v>en</x:v>
      </x:c>
      <x:c r="L313" s="34" t="str">
        <x:v>Monetary Authority of Singapore (Project Orchid / purpose-bound money)</x:v>
      </x:c>
      <x:c r="M313" s="34" t="str">
        <x:v>Retain complete Project Orchid decisions, requirements, and executed findings. Exclude future research and incomplete fragments.</x:v>
      </x:c>
      <x:c r="N313" s="34" t="str">
        <x:v>text</x:v>
      </x:c>
      <x:c r="O313" s="34" t="str"/>
      <x:c r="P313" s="38" t="str"/>
      <x:c r="Q313" s="38" t="str"/>
      <x:c r="R313" s="38" t="str"/>
      <x:c r="S313" s="38" t="str"/>
      <x:c r="T313" s="38" t="str"/>
      <x:c r="U313" s="38" t="str"/>
      <x:c r="V313" s="38" t="str"/>
      <x:c r="W313" s="38" t="str"/>
      <x:c r="X313" s="38" t="str"/>
      <x:c r="Y313" s="38" t="str"/>
      <x:c r="Z313" s="38" t="str"/>
      <x:c r="AA313" s="43" t="str">
        <x:f>IF('Instructions'!$B$3="","",'Instructions'!$B$3)</x:f>
      </x:c>
      <x:c r="AB313" s="43" t="str">
        <x:f>IF(P313="","PENDING",IF('Instructions'!$B$3="","SET_INITIALS",IF(P313="keep",IF(OR(Q313="",R313="",S313="",T313="",U313="",W313=""),"INCOMPLETE_KEEP","COMPLETE"),IF(P313="exclude",IF(OR(V313="",W313=""),"INCOMPLETE_EXCLUDE","COMPLETE"),"NEEDS_CONTEXT"))))</x:f>
        <x:v>PENDING</x:v>
      </x:c>
    </x:row>
    <x:row r="314" ht="62" customHeight="1">
      <x:c r="A314" s="34" t="str">
        <x:v>SV-0311</x:v>
      </x:c>
      <x:c r="B314" s="34" t="str">
        <x:v>Any PSP serving the private 
user sector will be required to provide this access technology to its users.</x:v>
      </x:c>
      <x:c r="C314" s="34" t="str"/>
      <x:c r="D314" s="34" t="str"/>
      <x:c r="E314" s="34" t="str"/>
      <x:c r="F314" s="34" t="str">
        <x:v>… ing, inventory management, etc. 
Generally, the PSPs will develop the access technologies (themselves or by purchasing them 
from suppliers who develop them) and offer them to end users. The system manager will 
define rules and standards for the access technology offered by the PSPs. Additionally, the 
system manager will define a standard for a basic and accessible access technology,38 which 
can meet the needs of people with disabilities, individuals whose digital literacy is 
insufficient to use access technology such as a smartphone, etc. Any PSP serving the private 
user sector will be required to provide this access technology to its users. If necessary, the 
subsidisation of this device by the Bank of Israel or other state authorities will be considered. 
38 The Bank of Canada coined the term "Universally Accessible Device" (UAD) in this context, see:  
Miedema, J., Minwalla, C., Warren, M., &amp; Shah, D.(2020).  Designing a CBDC for universal access  (No. 
2020-10). Bank of Canada.</x:v>
      </x:c>
      <x:c r="G314" s="34" t="str">
        <x:v>PRD-0038-P0060-U01</x:v>
      </x:c>
      <x:c r="H314" s="34" t="str"/>
      <x:c r="I314" s="34" t="str">
        <x:v>IL_BoI_2024</x:v>
      </x:c>
      <x:c r="J314" s="34" t="n">
        <x:v>60</x:v>
      </x:c>
      <x:c r="K314" s="34" t="str">
        <x:v>en</x:v>
      </x:c>
      <x:c r="L314" s="34" t="str">
        <x:v>Bank of Israel (digital shekel)</x:v>
      </x:c>
      <x:c r="M314" s="34" t="str">
        <x:v>Retain the named authority's own CBDC decisions, explicit proposals, requirements, features, and executed findings. Exclude generic context, literature, foreign projects, and stakeholder views not explicitly adopted by the authority.</x:v>
      </x:c>
      <x:c r="N314" s="34" t="str">
        <x:v>text</x:v>
      </x:c>
      <x:c r="O314" s="34" t="str"/>
      <x:c r="P314" s="38" t="str"/>
      <x:c r="Q314" s="38" t="str"/>
      <x:c r="R314" s="38" t="str"/>
      <x:c r="S314" s="38" t="str"/>
      <x:c r="T314" s="38" t="str"/>
      <x:c r="U314" s="38" t="str"/>
      <x:c r="V314" s="38" t="str"/>
      <x:c r="W314" s="38" t="str"/>
      <x:c r="X314" s="38" t="str"/>
      <x:c r="Y314" s="38" t="str"/>
      <x:c r="Z314" s="38" t="str"/>
      <x:c r="AA314" s="43" t="str">
        <x:f>IF('Instructions'!$B$3="","",'Instructions'!$B$3)</x:f>
      </x:c>
      <x:c r="AB314" s="43" t="str">
        <x:f>IF(P314="","PENDING",IF('Instructions'!$B$3="","SET_INITIALS",IF(P314="keep",IF(OR(Q314="",R314="",S314="",T314="",U314="",W314=""),"INCOMPLETE_KEEP","COMPLETE"),IF(P314="exclude",IF(OR(V314="",W314=""),"INCOMPLETE_EXCLUDE","COMPLETE"),"NEEDS_CONTEXT"))))</x:f>
        <x:v>PENDING</x:v>
      </x:c>
    </x:row>
    <x:row r="315" ht="62" customHeight="1">
      <x:c r="A315" s="34" t="str">
        <x:v>SV-0312</x:v>
      </x:c>
      <x:c r="B315" s="34" t="str">
        <x:v>Users 
could access CBDC through wallets on smart devices.</x:v>
      </x:c>
      <x:c r="C315" s="34" t="str"/>
      <x:c r="D315" s="34" t="str"/>
      <x:c r="E315" s="34" t="str"/>
      <x:c r="F315" s="34" t="str">
        <x:v>… ger term, innovation and evolving user needs may mean a broader range of 
CBDC payment types could be offered. For example, offline and cross-border payments 
could support public policy objectives, but might take time to deliver given the technological 
and operational complexities involved. Batch, split, and micropayments are additional 
payment types that could help to support innovation and meet user needs. 
CBDC would be accessed via smart devices and cards. 
The digital pound CP outlines how users would interact with their CBDC holdings. Users 
could access CBDC through wallets on smart devices. This means that they would be able to 
open a wallet using these devices, which would enable them to manage their balance and 
make payments. Smart devices might include smartphones, laptops, Internet of Things (IoT) 
devices and wearables. Not everyone has a smart device or finds it easy to use one, so 
users could also have physical card options for CBDC payments.  
It should be fast and easy to transfer between CBDC and other forms of money, 
including cash and bank deposits. 
Households and businesses currently make payments using a mix of …</x:v>
      </x:c>
      <x:c r="G315" s="34" t="str">
        <x:v>PRD-0076-P0017-U01</x:v>
      </x:c>
      <x:c r="H315" s="34" t="str"/>
      <x:c r="I315" s="34" t="str">
        <x:v>UK_BoE_2023_TechWP</x:v>
      </x:c>
      <x:c r="J315" s="34" t="n">
        <x:v>17</x:v>
      </x:c>
      <x:c r="K315" s="34" t="str">
        <x:v>en</x:v>
      </x:c>
      <x:c r="L315" s="34" t="str">
        <x:v>Bank of England and HM Treasury (digital pound)</x:v>
      </x:c>
      <x:c r="M315" s="34" t="str">
        <x:v>Retain the named authority's own CBDC decisions, explicit proposals, requirements, features, and executed findings. Exclude generic context, literature, foreign projects, and stakeholder views not explicitly adopted by the authority.</x:v>
      </x:c>
      <x:c r="N315" s="34" t="str">
        <x:v>text</x:v>
      </x:c>
      <x:c r="O315" s="34" t="str"/>
      <x:c r="P315" s="38" t="str"/>
      <x:c r="Q315" s="38" t="str"/>
      <x:c r="R315" s="38" t="str"/>
      <x:c r="S315" s="38" t="str"/>
      <x:c r="T315" s="38" t="str"/>
      <x:c r="U315" s="38" t="str"/>
      <x:c r="V315" s="38" t="str"/>
      <x:c r="W315" s="38" t="str"/>
      <x:c r="X315" s="38" t="str"/>
      <x:c r="Y315" s="38" t="str"/>
      <x:c r="Z315" s="38" t="str"/>
      <x:c r="AA315" s="43" t="str">
        <x:f>IF('Instructions'!$B$3="","",'Instructions'!$B$3)</x:f>
      </x:c>
      <x:c r="AB315" s="43" t="str">
        <x:f>IF(P315="","PENDING",IF('Instructions'!$B$3="","SET_INITIALS",IF(P315="keep",IF(OR(Q315="",R315="",S315="",T315="",U315="",W315=""),"INCOMPLETE_KEEP","COMPLETE"),IF(P315="exclude",IF(OR(V315="",W315=""),"INCOMPLETE_EXCLUDE","COMPLETE"),"NEEDS_CONTEXT"))))</x:f>
        <x:v>PENDING</x:v>
      </x:c>
    </x:row>
    <x:row r="316" ht="62" customHeight="1">
      <x:c r="A316" s="34" t="str">
        <x:v>SV-0313</x:v>
      </x:c>
      <x:c r="B316" s="34" t="str">
        <x:v>Alongside the backend 
layer, several other central services will operate, such as an alias management system and a 
fraud monitoring system that will help identify and prevent fraud through  real-time data 
analysis. These systems will be designed to maintaining the DS's privacy principles  and 
operate accordingly.</x:v>
      </x:c>
      <x:c r="C316" s="34" t="str"/>
      <x:c r="D316" s="34" t="str"/>
      <x:c r="E316" s="34" t="str"/>
      <x:c r="F316" s="34" t="str">
        <x:v>… ystem  
The ecosystem includes various entities that will fulfil diverse roles. The Bank of Israel, 
beyond being the sole issuer of the DS, will serve as the system manager and would be setting 
system rules. The bank (or an entity on its behalf) will also serve as the system operator 
responsible for the proper functioning of the backend layer. In another role, the Bank of Israel 
will also act as the supervisor of the digital shekel system, as defined by the Bank of Israel 
Law: "to regulate the payment and clearing systems in the economy." Alongside the backend 
layer, several other central services will operate, such as an alias management system and a 
fraud monitoring system that will help identify and prevent fraud through  real-time data 
analysis. These systems will be designed to maintaining the DS's privacy principles  and 
operate accordingly. 
The DS will operate in a two -tier model. Private sector system participants include digital 
shekel Payment Service Providers (DS -PSPs or PSPs), Funding institutions ( FIs), and 
Additional Service Providers (ASPs). PSPs are responsible for connecting end -users to the 
digital shekel system and enabling them to make transactions. Without engaging a PSP, an 
end-user cannot operate in the digital shekel system. Since they do not hold the customer's 
funds, they do not create the financial risk associated with this, allowing a wide range of  …</x:v>
      </x:c>
      <x:c r="G316" s="34" t="str">
        <x:v>PRD-0038-P0009-U01</x:v>
      </x:c>
      <x:c r="H316" s="34" t="str"/>
      <x:c r="I316" s="34" t="str">
        <x:v>IL_BoI_2024</x:v>
      </x:c>
      <x:c r="J316" s="34" t="n">
        <x:v>9</x:v>
      </x:c>
      <x:c r="K316" s="34" t="str">
        <x:v>en</x:v>
      </x:c>
      <x:c r="L316" s="34" t="str">
        <x:v>Bank of Israel (digital shekel)</x:v>
      </x:c>
      <x:c r="M316" s="34" t="str">
        <x:v>Retain the named authority's own CBDC decisions, explicit proposals, requirements, features, and executed findings. Exclude generic context, literature, foreign projects, and stakeholder views not explicitly adopted by the authority.</x:v>
      </x:c>
      <x:c r="N316" s="34" t="str">
        <x:v>text</x:v>
      </x:c>
      <x:c r="O316" s="34" t="str"/>
      <x:c r="P316" s="38" t="str"/>
      <x:c r="Q316" s="38" t="str"/>
      <x:c r="R316" s="38" t="str"/>
      <x:c r="S316" s="38" t="str"/>
      <x:c r="T316" s="38" t="str"/>
      <x:c r="U316" s="38" t="str"/>
      <x:c r="V316" s="38" t="str"/>
      <x:c r="W316" s="38" t="str"/>
      <x:c r="X316" s="38" t="str"/>
      <x:c r="Y316" s="38" t="str"/>
      <x:c r="Z316" s="38" t="str"/>
      <x:c r="AA316" s="43" t="str">
        <x:f>IF('Instructions'!$B$3="","",'Instructions'!$B$3)</x:f>
      </x:c>
      <x:c r="AB316" s="43" t="str">
        <x:f>IF(P316="","PENDING",IF('Instructions'!$B$3="","SET_INITIALS",IF(P316="keep",IF(OR(Q316="",R316="",S316="",T316="",U316="",W316=""),"INCOMPLETE_KEEP","COMPLETE"),IF(P316="exclude",IF(OR(V316="",W316=""),"INCOMPLETE_EXCLUDE","COMPLETE"),"NEEDS_CONTEXT"))))</x:f>
        <x:v>PENDING</x:v>
      </x:c>
    </x:row>
    <x:row r="317" ht="62" customHeight="1">
      <x:c r="A317" s="34" t="str">
        <x:v>SV-0314</x:v>
      </x:c>
      <x:c r="B317" s="34" t="str">
        <x:v>wCBDC was issued to commercial banks when 
they bought it with money from their settlement 
account in the SAMOS system.</x:v>
      </x:c>
      <x:c r="C317" s="34" t="str"/>
      <x:c r="D317" s="34" t="str"/>
      <x:c r="E317" s="34" t="str"/>
      <x:c r="F317" s="34" t="str">
        <x:v>24
PROJECT KHOKHA 2
THE PROOF-OF-CONCEPT
Debenture token market activities
The next section discusses some of the debenture token market activities for the different 
prototypes depicted in the overview provided in Figure 7 below. 
Wholesale central bank digital 
currency functionality
The issuing of wCBDC
wCBDC was issued to commercial banks when 
they bought it with money from their settlement 
account in the SAMOS system. The wCBDC can 
be sold back to the SARB as and when required. 
Using wCBDC to settle securities trades
wCBDC tokens were designed to carry a 
direct and fungible claim on the SARB and 
are recorded as an asset on the token holder’s 
balance sheet. This means that when a wCBDC 
is transferred from one participant to another, 
the associated claim on the central bank is 
transferred with the token. In the PoC, this not 
only effected the function of payment, but also 
impacted legal and operational settlement. 
According to South African legisla …</x:v>
      </x:c>
      <x:c r="G317" s="34" t="str">
        <x:v>PRD-0085-P0024-U01</x:v>
      </x:c>
      <x:c r="H317" s="34" t="str"/>
      <x:c r="I317" s="34" t="str">
        <x:v>ZA_SARB_Project_Khokha_2_Full_Report_6_April_2022</x:v>
      </x:c>
      <x:c r="J317" s="34" t="n">
        <x:v>24</x:v>
      </x:c>
      <x:c r="K317" s="34" t="str">
        <x:v>en</x:v>
      </x:c>
      <x:c r="L317" s="34" t="str">
        <x:v>South African Reserve Bank</x:v>
      </x:c>
      <x:c r="M317" s="34" t="str">
        <x:v>Retain the named authority's own CBDC decisions, explicit proposals, requirements, features, and executed findings. Exclude generic context, literature, foreign projects, and stakeholder views not explicitly adopted by the authority.</x:v>
      </x:c>
      <x:c r="N317" s="34" t="str">
        <x:v>text</x:v>
      </x:c>
      <x:c r="O317" s="34" t="str"/>
      <x:c r="P317" s="38" t="str"/>
      <x:c r="Q317" s="38" t="str"/>
      <x:c r="R317" s="38" t="str"/>
      <x:c r="S317" s="38" t="str"/>
      <x:c r="T317" s="38" t="str"/>
      <x:c r="U317" s="38" t="str"/>
      <x:c r="V317" s="38" t="str"/>
      <x:c r="W317" s="38" t="str"/>
      <x:c r="X317" s="38" t="str"/>
      <x:c r="Y317" s="38" t="str"/>
      <x:c r="Z317" s="38" t="str"/>
      <x:c r="AA317" s="43" t="str">
        <x:f>IF('Instructions'!$B$3="","",'Instructions'!$B$3)</x:f>
      </x:c>
      <x:c r="AB317" s="43" t="str">
        <x:f>IF(P317="","PENDING",IF('Instructions'!$B$3="","SET_INITIALS",IF(P317="keep",IF(OR(Q317="",R317="",S317="",T317="",U317="",W317=""),"INCOMPLETE_KEEP","COMPLETE"),IF(P317="exclude",IF(OR(V317="",W317=""),"INCOMPLETE_EXCLUDE","COMPLETE"),"NEEDS_CONTEXT"))))</x:f>
        <x:v>PENDING</x:v>
      </x:c>
    </x:row>
    <x:row r="318" ht="62" customHeight="1">
      <x:c r="A318" s="34" t="str">
        <x:v>SV-0315</x:v>
      </x:c>
      <x:c r="B318" s="34" t="str">
        <x:v>When implementing the offline digital ruble mode, special attention should 
be paid to confirming the paying capacity of digital rubles offered as payment in this mode.</x:v>
      </x:c>
      <x:c r="C318" s="34" t="str"/>
      <x:c r="D318" s="34" t="str"/>
      <x:c r="E318" s="34" t="str"/>
      <x:c r="F318" s="34" t="str">
        <x:v>… n funds);
• disagreement with operations (transactions) performed;
• disagreement among participants in digital ruble settlements.
The system of digital ruble settlements must provide for a multilevel framework for protection 
against unauthorised (fraudulent) transactions, including mechanisms for the automatic detection 
of such transactions for the purpose of their additional investigation, confirmation or suspension, 
as well as the possibility of setting limits on operations in digital rubles, including those set by 
consumers themselves. When implementing the offline digital ruble mode, special attention should 
be paid to confirming the paying capacity of digital rubles offered as payment in this mode.
In addition, the format of the system for processing individuals’ inquiries on all issues related to 
the use of a digital ruble, including unauthorised transactions, must be considered.
Topics for discussion:
1. Which key properties from among those listed in Section 2 should a digital ruble as a form 
of money have in order to be useful to society? What other properties are important?
2. In your opinion, will the introduction of a digital ruble provide significant advantages over 
existing payment and settlement forms?
3. Do you consider it  …</x:v>
      </x:c>
      <x:c r="G318" s="34" t="str">
        <x:v>PRD-0064-P0019-U01</x:v>
      </x:c>
      <x:c r="H318" s="34" t="str"/>
      <x:c r="I318" s="34" t="str">
        <x:v>RU_Russia_consultation_paper_201013</x:v>
      </x:c>
      <x:c r="J318" s="34" t="n">
        <x:v>19</x:v>
      </x:c>
      <x:c r="K318" s="34" t="str">
        <x:v>en</x:v>
      </x:c>
      <x:c r="L318" s="34" t="str">
        <x:v>Bank of Russia (digital ruble)</x:v>
      </x:c>
      <x:c r="M318" s="34" t="str">
        <x:v>Retain explicit Bank of Russia proposals, preferences, and requirements. Exclude open questions and future research without a position.</x:v>
      </x:c>
      <x:c r="N318" s="34" t="str">
        <x:v>text</x:v>
      </x:c>
      <x:c r="O318" s="34" t="str"/>
      <x:c r="P318" s="38" t="str"/>
      <x:c r="Q318" s="38" t="str"/>
      <x:c r="R318" s="38" t="str"/>
      <x:c r="S318" s="38" t="str"/>
      <x:c r="T318" s="38" t="str"/>
      <x:c r="U318" s="38" t="str"/>
      <x:c r="V318" s="38" t="str"/>
      <x:c r="W318" s="38" t="str"/>
      <x:c r="X318" s="38" t="str"/>
      <x:c r="Y318" s="38" t="str"/>
      <x:c r="Z318" s="38" t="str"/>
      <x:c r="AA318" s="43" t="str">
        <x:f>IF('Instructions'!$B$3="","",'Instructions'!$B$3)</x:f>
      </x:c>
      <x:c r="AB318" s="43" t="str">
        <x:f>IF(P318="","PENDING",IF('Instructions'!$B$3="","SET_INITIALS",IF(P318="keep",IF(OR(Q318="",R318="",S318="",T318="",U318="",W318=""),"INCOMPLETE_KEEP","COMPLETE"),IF(P318="exclude",IF(OR(V318="",W318=""),"INCOMPLETE_EXCLUDE","COMPLETE"),"NEEDS_CONTEXT"))))</x:f>
        <x:v>PENDING</x:v>
      </x:c>
    </x:row>
    <x:row r="319" ht="62" customHeight="1">
      <x:c r="A319" s="34" t="str">
        <x:v>SV-0316</x:v>
      </x:c>
      <x:c r="B319" s="34" t="str">
        <x:v>Any 
decision to issue a CBDC would only be made following consultation with the Government, the 
public and other stakeholders.</x:v>
      </x:c>
      <x:c r="C319" s="34" t="str"/>
      <x:c r="D319" s="34" t="str"/>
      <x:c r="E319" s="34" t="str"/>
      <x:c r="F319" s="34" t="str">
        <x:v>16  
16  Future of Money – Central Bank Digital Currency  
3.1 Process and scope for our CBDC investigation 
The Reserve Bank expects to take a multi-stage approach to considering and developing a CBDC 
that includes assessments of the policy opportunities, risks, use cases and design options as 
illustrated in Figure 8 Future stages of work are likely to involve designing a prototype, assessing 
the prototype, seeking feedback, redesigning if necessary and undertaking practical trials. Any 
decision to issue a CBDC would only be made following consultation with the Government, the 
public and other stakeholders.  
Figure 8: A multi-stage approach to CBDC 
3.2 Focusing on a general-purpose CBDC 
A CBDC can take many forms, but this issues paper focuses on a CBDC that would be issued to 
any individual or business that wants to use it. Such a ‘general-purpose’ CBDC27 would be closer in 
function to cash and better placed to fulfil the role of central bank money than a ‘wholesale’ CBDC. 
The rest of this paper refers to CBDC and general-purpose CBDC interchangeably. 
A general-purpose CBDC is digital money issued by a central bank that is available to  …</x:v>
      </x:c>
      <x:c r="G319" s="34" t="str">
        <x:v>PRD-0057-P0016-U01</x:v>
      </x:c>
      <x:c r="H319" s="34" t="str"/>
      <x:c r="I319" s="34" t="str">
        <x:v>NZ_RBNZ_CBDCIssuesPaper_2021</x:v>
      </x:c>
      <x:c r="J319" s="34" t="n">
        <x:v>16</x:v>
      </x:c>
      <x:c r="K319" s="34" t="str">
        <x:v>en</x:v>
      </x:c>
      <x:c r="L319" s="34" t="str">
        <x:v>Reserve Bank of New Zealand</x:v>
      </x:c>
      <x:c r="M319" s="34" t="str">
        <x:v>Retain the named authority's own CBDC decisions, explicit proposals, requirements, features, and executed findings. Exclude generic context, literature, foreign projects, and stakeholder views not explicitly adopted by the authority.</x:v>
      </x:c>
      <x:c r="N319" s="34" t="str">
        <x:v>text</x:v>
      </x:c>
      <x:c r="O319" s="34" t="str"/>
      <x:c r="P319" s="38" t="str"/>
      <x:c r="Q319" s="38" t="str"/>
      <x:c r="R319" s="38" t="str"/>
      <x:c r="S319" s="38" t="str"/>
      <x:c r="T319" s="38" t="str"/>
      <x:c r="U319" s="38" t="str"/>
      <x:c r="V319" s="38" t="str"/>
      <x:c r="W319" s="38" t="str"/>
      <x:c r="X319" s="38" t="str"/>
      <x:c r="Y319" s="38" t="str"/>
      <x:c r="Z319" s="38" t="str"/>
      <x:c r="AA319" s="43" t="str">
        <x:f>IF('Instructions'!$B$3="","",'Instructions'!$B$3)</x:f>
      </x:c>
      <x:c r="AB319" s="43" t="str">
        <x:f>IF(P319="","PENDING",IF('Instructions'!$B$3="","SET_INITIALS",IF(P319="keep",IF(OR(Q319="",R319="",S319="",T319="",U319="",W319=""),"INCOMPLETE_KEEP","COMPLETE"),IF(P319="exclude",IF(OR(V319="",W319=""),"INCOMPLETE_EXCLUDE","COMPLETE"),"NEEDS_CONTEXT"))))</x:f>
        <x:v>PENDING</x:v>
      </x:c>
    </x:row>
    <x:row r="320" ht="62" customHeight="1">
      <x:c r="A320" s="34" t="str">
        <x:v>SV-0317</x:v>
      </x:c>
      <x:c r="B320" s="34" t="str">
        <x:v>w-Digital Rupiah platform 
will be integrated, interconnected, and 
interoperable (3i) with the existing BI-
RTGS through a converter.</x:v>
      </x:c>
      <x:c r="C320" s="34" t="str"/>
      <x:c r="D320" s="34" t="str"/>
      <x:c r="E320" s="34" t="str"/>
      <x:c r="F320" s="34" t="str">
        <x:v>… nd transfer of funds use cases. These use 
cases are considered the most feasible 
choices for the initial stage of development 
of Digital Rupiah. These use cases are 
relatively more straightforward, as they 
involve a limited ecosystem, less transaction 
complexity, and minimum required system 
adjustment. This stage serves as the 
essential foundation for the development of 
subsequent use cases.
Issuance and redemption use case constitute 
the process of conversion between reserve 
accounts	and	w-Digital	Rupiah. To support 
this use case, w-Digital Rupiah platform 
will be integrated, interconnected, and 
interoperable (3i) with the existing BI-
RTGS through a converter. Meanwhile, the 
processes of validation and settlement of 
fund transfers use case will be performed 
on w-Digital Rupiah platform. At this stage, 
participants can utilize sharing node prepared 
by Bank Indonesia or, in other words, does not 
need to prepare their own nodes.
At	the	next	(intermediate)	stage,	w-Digital 	
Rupiah	use	cases	developed	in	the	first 	
phase will be expanded with additional 
use	cases	that	support	financial	market 	
transactions. These use cases include DvP 
for interbank money market and monetary 
operations, as wel …</x:v>
      </x:c>
      <x:c r="G320" s="34" t="str">
        <x:v>PRD-0035-P0050-U01</x:v>
      </x:c>
      <x:c r="H320" s="34" t="str"/>
      <x:c r="I320" s="34" t="str">
        <x:v>ID_Indonesia_2022</x:v>
      </x:c>
      <x:c r="J320" s="34" t="n">
        <x:v>50</x:v>
      </x:c>
      <x:c r="K320" s="34" t="str">
        <x:v>en</x:v>
      </x:c>
      <x:c r="L320" s="34" t="str">
        <x:v>Bank Indonesia (Digital Rupiah)</x:v>
      </x:c>
      <x:c r="M320" s="34" t="str">
        <x:v>Retain Bank Indonesia Digital Rupiah decisions, roadmap commitments, features, and requirements.</x:v>
      </x:c>
      <x:c r="N320" s="34" t="str">
        <x:v>text</x:v>
      </x:c>
      <x:c r="O320" s="34" t="str"/>
      <x:c r="P320" s="38" t="str"/>
      <x:c r="Q320" s="38" t="str"/>
      <x:c r="R320" s="38" t="str"/>
      <x:c r="S320" s="38" t="str"/>
      <x:c r="T320" s="38" t="str"/>
      <x:c r="U320" s="38" t="str"/>
      <x:c r="V320" s="38" t="str"/>
      <x:c r="W320" s="38" t="str"/>
      <x:c r="X320" s="38" t="str"/>
      <x:c r="Y320" s="38" t="str"/>
      <x:c r="Z320" s="38" t="str"/>
      <x:c r="AA320" s="43" t="str">
        <x:f>IF('Instructions'!$B$3="","",'Instructions'!$B$3)</x:f>
      </x:c>
      <x:c r="AB320" s="43" t="str">
        <x:f>IF(P320="","PENDING",IF('Instructions'!$B$3="","SET_INITIALS",IF(P320="keep",IF(OR(Q320="",R320="",S320="",T320="",U320="",W320=""),"INCOMPLETE_KEEP","COMPLETE"),IF(P320="exclude",IF(OR(V320="",W320=""),"INCOMPLETE_EXCLUDE","COMPLETE"),"NEEDS_CONTEXT"))))</x:f>
        <x:v>PENDING</x:v>
      </x:c>
    </x:row>
    <x:row r="321" ht="62" customHeight="1">
      <x:c r="A321" s="34" t="str">
        <x:v>SV-0318</x:v>
      </x:c>
      <x:c r="B321" s="34" t="str">
        <x:v>Given that e-HKD 
is designed for settling real-time small-value retail payments, it is also unlikely that its 
use by regular citizens would be greatly inhibited by these fairly loose holding caps.</x:v>
      </x:c>
      <x:c r="C321" s="34" t="str"/>
      <x:c r="D321" s="34" t="str"/>
      <x:c r="E321" s="34" t="str"/>
      <x:c r="F321" s="34" t="str">
        <x:v>… witching over to rCBDC. Thus, 
striking the right balance between the two would be crucial to the success of rCBDC. 
To further ensure that the execution of rCBDC transactions would not be blocked in the 
event where the recipient ’s rCBDC balance reaches its limit, a mechanism could also be 
deployed to automatically direct any excess holding of rCBDC into the recipient ’s bank 
account.
In the case of Hong Kong, our internal analysis suggests that, with appropriate holding 
caps in place, the deposit substitution effect should be manageable. Given that e-HKD 
is designed for settling real-time small-value retail payments, it is also unlikely that its 
use by regular citizens would be greatly inhibited by these fairly loose holding caps.
11 See Auer R., Frost, J., Gambacorta, L., Monnet, C., Rice, T., &amp; Shin, H. S. (2021) “Central bank digital currencies: 
motives, economic implications and the research frontier ”, Annual Review of Economics, forthcoming .</x:v>
      </x:c>
      <x:c r="G321" s="34" t="str">
        <x:v>PRD-0090-P0022-U01</x:v>
      </x:c>
      <x:c r="H321" s="34" t="str"/>
      <x:c r="I321" s="34" t="str">
        <x:v>HK_HKMA_eHKD_PolicyDesign</x:v>
      </x:c>
      <x:c r="J321" s="34" t="n">
        <x:v>22</x:v>
      </x:c>
      <x:c r="K321" s="34" t="str">
        <x:v>en</x:v>
      </x:c>
      <x:c r="L321" s="34" t="str">
        <x:v>Hong Kong Monetary Authority (e-HKD)</x:v>
      </x:c>
      <x:c r="M321" s="34" t="str">
        <x:v>Retain HKMA policy/design positions for e-HKD; exclude generic literature and open questions.</x:v>
      </x:c>
      <x:c r="N321" s="34" t="str">
        <x:v>text</x:v>
      </x:c>
      <x:c r="O321" s="34" t="str"/>
      <x:c r="P321" s="38" t="str"/>
      <x:c r="Q321" s="38" t="str"/>
      <x:c r="R321" s="38" t="str"/>
      <x:c r="S321" s="38" t="str"/>
      <x:c r="T321" s="38" t="str"/>
      <x:c r="U321" s="38" t="str"/>
      <x:c r="V321" s="38" t="str"/>
      <x:c r="W321" s="38" t="str"/>
      <x:c r="X321" s="38" t="str"/>
      <x:c r="Y321" s="38" t="str"/>
      <x:c r="Z321" s="38" t="str"/>
      <x:c r="AA321" s="43" t="str">
        <x:f>IF('Instructions'!$B$3="","",'Instructions'!$B$3)</x:f>
      </x:c>
      <x:c r="AB321" s="43" t="str">
        <x:f>IF(P321="","PENDING",IF('Instructions'!$B$3="","SET_INITIALS",IF(P321="keep",IF(OR(Q321="",R321="",S321="",T321="",U321="",W321=""),"INCOMPLETE_KEEP","COMPLETE"),IF(P321="exclude",IF(OR(V321="",W321=""),"INCOMPLETE_EXCLUDE","COMPLETE"),"NEEDS_CONTEXT"))))</x:f>
        <x:v>PENDING</x:v>
      </x:c>
    </x:row>
    <x:row r="322" ht="62" customHeight="1">
      <x:c r="A322" s="34" t="str">
        <x:v>SV-0319</x:v>
      </x:c>
      <x:c r="B322" s="34" t="str">
        <x:v>System transformation would be needed for 
enabling transactions using an e-HKD and 
tokenised deposits. However, less system 
overhaul would be required for banks to 
implement tokenised deposits, as banks could 
leverage some of the infrastructure they have 
established for other deposit products.</x:v>
      </x:c>
      <x:c r="C322" s="34" t="str"/>
      <x:c r="D322" s="34" t="str"/>
      <x:c r="E322" s="34" t="str"/>
      <x:c r="F322" s="34" t="str">
        <x:v>… ows. Legacy and 
modern systems would likely need to operate in 
parallel during this transition. 
Such transformation will also require substantial 
investment by the financial institutions. Although 
the complexity and cost of this undertaking 
could deter many institutions from committing 
the necessary investment, the growing maturity 
of the tokenised asset market and predicted 
increase in demand from customers are likely 
to prompt financial institutions to reassess 
their decisions on whether to commit to these 
necessary investments. 
System transformation would be needed for 
enabling transactions using an e-HKD and 
tokenised deposits. However, less system 
overhaul would be required for banks to 
implement tokenised deposits, as banks could 
leverage some of the infrastructure they have 
established for other deposit products. 
To transition to T+0 settlement, a comprehensive 
effort will be necessary, one that goes beyond 
simply extending the e-HKD to retail use cases. 
Success will depend on three enablers: near 
real-time on-chain access to NAV for atomic 
settlement, broader adoption of native on-chain 
tokenisation and a substantial overhaul of core 
banking infrastructure. 
Although the above constraints should be 
valid for the time being, market participants' 
increasing interest in tokenisation implies that 
these challenges will be progressively addressed …</x:v>
      </x:c>
      <x:c r="G322" s="34" t="str">
        <x:v>PRD-0093-P0024-U01</x:v>
      </x:c>
      <x:c r="H322" s="34" t="str"/>
      <x:c r="I322" s="34" t="str">
        <x:v>HK_HKMA_eHKD_Phase2_2025</x:v>
      </x:c>
      <x:c r="J322" s="34" t="n">
        <x:v>24</x:v>
      </x:c>
      <x:c r="K322" s="34" t="str">
        <x:v>en</x:v>
      </x:c>
      <x:c r="L322" s="34" t="str">
        <x:v>Hong Kong Monetary Authority (e-HKD Phase 2 pilots)</x:v>
      </x:c>
      <x:c r="M322" s="34" t="str">
        <x:v>Retain complete e-HKD pilot findings, conclusions, and HKMA requirements. Quote the complete claim before any trailing fragment.</x:v>
      </x:c>
      <x:c r="N322" s="34" t="str">
        <x:v>text</x:v>
      </x:c>
      <x:c r="O322" s="34" t="str"/>
      <x:c r="P322" s="38" t="str"/>
      <x:c r="Q322" s="38" t="str"/>
      <x:c r="R322" s="38" t="str"/>
      <x:c r="S322" s="38" t="str"/>
      <x:c r="T322" s="38" t="str"/>
      <x:c r="U322" s="38" t="str"/>
      <x:c r="V322" s="38" t="str"/>
      <x:c r="W322" s="38" t="str"/>
      <x:c r="X322" s="38" t="str"/>
      <x:c r="Y322" s="38" t="str"/>
      <x:c r="Z322" s="38" t="str"/>
      <x:c r="AA322" s="43" t="str">
        <x:f>IF('Instructions'!$B$3="","",'Instructions'!$B$3)</x:f>
      </x:c>
      <x:c r="AB322" s="43" t="str">
        <x:f>IF(P322="","PENDING",IF('Instructions'!$B$3="","SET_INITIALS",IF(P322="keep",IF(OR(Q322="",R322="",S322="",T322="",U322="",W322=""),"INCOMPLETE_KEEP","COMPLETE"),IF(P322="exclude",IF(OR(V322="",W322=""),"INCOMPLETE_EXCLUDE","COMPLETE"),"NEEDS_CONTEXT"))))</x:f>
        <x:v>PENDING</x:v>
      </x:c>
    </x:row>
    <x:row r="323" ht="62" customHeight="1">
      <x:c r="A323" s="34" t="str">
        <x:v>SV-0320</x:v>
      </x:c>
      <x:c r="B323" s="34" t="str">
        <x:v>Interoperability with existing financial systems and infrastructure also poses significant challenges.</x:v>
      </x:c>
      <x:c r="C323" s="34" t="str"/>
      <x:c r="D323" s="34" t="str"/>
      <x:c r="E323" s="34" t="str"/>
      <x:c r="F323" s="34" t="str">
        <x:v>… both opportunities
and challenges. While these technologies enhance privacy, they also involve complex mathematical
computations that can introduce computational overhead, potentially affecting transaction processing
speed and the scalability of the CBDC system. Another challenge is the maturity and complexity of these
techniques, which may not yet be sufficiently developed to meet the robust demands of a mission-critical
system such as CBDC. This immaturity can lead to reliability and performance issues that are critical in
financial systems.
Interoperability with existing financial systems and infrastructure also poses significant challenges.
Current systems use standardized payment message formats, such as ISO 20022 (n.d.), and we do not yet
know how messages from these PETs will align with those of legacy financial systems. The lack of
universally accepted standards for ZKP, SMPC, or specific signature implementations could complicate
seamless integration across various systems.
Moreover, achieving compliance with regulations such as AML becomes more complex when using these
PETs. For instance, while ZKPs can confirm that a transaction complies with certain criteria without
revea …</x:v>
      </x:c>
      <x:c r="G323" s="34" t="str">
        <x:v>PRD-0107-P0025-U01</x:v>
      </x:c>
      <x:c r="H323" s="34" t="str"/>
      <x:c r="I323" s="34" t="str">
        <x:v>CA_BoC_PETs_SDP2025_1</x:v>
      </x:c>
      <x:c r="J323" s="34" t="n">
        <x:v>25</x:v>
      </x:c>
      <x:c r="K323" s="34" t="str">
        <x:v>en</x:v>
      </x:c>
      <x:c r="L323" s="34" t="str">
        <x:v>Bank of Canada research on privacy-enhancing technologies for a potential CBDC</x:v>
      </x:c>
      <x:c r="M323" s="34" t="str">
        <x:v>Staff research is not an adopted design. Retain empirical findings or explicit Bank of Canada conclusions tied to its potential CBDC; exclude literature summaries.</x:v>
      </x:c>
      <x:c r="N323" s="34" t="str">
        <x:v>text</x:v>
      </x:c>
      <x:c r="O323" s="34" t="str"/>
      <x:c r="P323" s="38" t="str"/>
      <x:c r="Q323" s="38" t="str"/>
      <x:c r="R323" s="38" t="str"/>
      <x:c r="S323" s="38" t="str"/>
      <x:c r="T323" s="38" t="str"/>
      <x:c r="U323" s="38" t="str"/>
      <x:c r="V323" s="38" t="str"/>
      <x:c r="W323" s="38" t="str"/>
      <x:c r="X323" s="38" t="str"/>
      <x:c r="Y323" s="38" t="str"/>
      <x:c r="Z323" s="38" t="str"/>
      <x:c r="AA323" s="43" t="str">
        <x:f>IF('Instructions'!$B$3="","",'Instructions'!$B$3)</x:f>
      </x:c>
      <x:c r="AB323" s="43" t="str">
        <x:f>IF(P323="","PENDING",IF('Instructions'!$B$3="","SET_INITIALS",IF(P323="keep",IF(OR(Q323="",R323="",S323="",T323="",U323="",W323=""),"INCOMPLETE_KEEP","COMPLETE"),IF(P323="exclude",IF(OR(V323="",W323=""),"INCOMPLETE_EXCLUDE","COMPLETE"),"NEEDS_CONTEXT"))))</x:f>
        <x:v>PENDING</x:v>
      </x:c>
    </x:row>
    <x:row r="324" ht="62" customHeight="1">
      <x:c r="A324" s="34" t="str">
        <x:v>SV-0321</x:v>
      </x:c>
      <x:c r="B324" s="34" t="str">
        <x:v>ATMs will also 
enable software and wallet restrictions updates, among other things, for business continuity 
in case of network failure (assuming the ATM still has communication).</x:v>
      </x:c>
      <x:c r="C324" s="34" t="str"/>
      <x:c r="D324" s="34" t="str"/>
      <x:c r="E324" s="34" t="str"/>
      <x:c r="F324" s="34" t="str">
        <x:v>The Bank of Israel Steering Com mittee 
for the Potential Issuance of a Digital Shekel 
98 
purpose, ATMs will hold an offline digital shekel wallet72 and allow cash withdrawals against 
offline digital shekels and cash deposits to the offline digital shekel wallet. ATMs will also 
enable software and wallet restrictions updates, among other things, for business continuity 
in case of network failure (assuming the ATM still has communication). Such funding will also 
be possible at some FI counters. 
Every offline wallet will be required to synchronize periodically with the PSP systems. An 
offline wallet that is not synchroni sed according to the rules will be frozen (cannot make 
payments; can receive funds, as long as it does not exceed the holding limit). The 
synchronization requirement will be determined by the volume of outgoing payments:73 The 
secure container will count the amounts of outgoi ng payments from the wallet. After 
reaching the limit, all outgoing payment trans …</x:v>
      </x:c>
      <x:c r="G324" s="34" t="str">
        <x:v>PRD-0038-P0098-U01</x:v>
      </x:c>
      <x:c r="H324" s="34" t="str"/>
      <x:c r="I324" s="34" t="str">
        <x:v>IL_BoI_2024</x:v>
      </x:c>
      <x:c r="J324" s="34" t="n">
        <x:v>98</x:v>
      </x:c>
      <x:c r="K324" s="34" t="str">
        <x:v>en</x:v>
      </x:c>
      <x:c r="L324" s="34" t="str">
        <x:v>Bank of Israel (digital shekel)</x:v>
      </x:c>
      <x:c r="M324" s="34" t="str">
        <x:v>Retain the named authority's own CBDC decisions, explicit proposals, requirements, features, and executed findings. Exclude generic context, literature, foreign projects, and stakeholder views not explicitly adopted by the authority.</x:v>
      </x:c>
      <x:c r="N324" s="34" t="str">
        <x:v>text</x:v>
      </x:c>
      <x:c r="O324" s="34" t="str"/>
      <x:c r="P324" s="38" t="str"/>
      <x:c r="Q324" s="38" t="str"/>
      <x:c r="R324" s="38" t="str"/>
      <x:c r="S324" s="38" t="str"/>
      <x:c r="T324" s="38" t="str"/>
      <x:c r="U324" s="38" t="str"/>
      <x:c r="V324" s="38" t="str"/>
      <x:c r="W324" s="38" t="str"/>
      <x:c r="X324" s="38" t="str"/>
      <x:c r="Y324" s="38" t="str"/>
      <x:c r="Z324" s="38" t="str"/>
      <x:c r="AA324" s="43" t="str">
        <x:f>IF('Instructions'!$B$3="","",'Instructions'!$B$3)</x:f>
      </x:c>
      <x:c r="AB324" s="43" t="str">
        <x:f>IF(P324="","PENDING",IF('Instructions'!$B$3="","SET_INITIALS",IF(P324="keep",IF(OR(Q324="",R324="",S324="",T324="",U324="",W324=""),"INCOMPLETE_KEEP","COMPLETE"),IF(P324="exclude",IF(OR(V324="",W324=""),"INCOMPLETE_EXCLUDE","COMPLETE"),"NEEDS_CONTEXT"))))</x:f>
        <x:v>PENDING</x:v>
      </x:c>
    </x:row>
    <x:row r="325" ht="62" customHeight="1">
      <x:c r="A325" s="34" t="str">
        <x:v>SV-0322</x:v>
      </x:c>
      <x:c r="B325" s="34" t="str">
        <x:v>However, to be practical and attractive, CBDC would need to be directly convertible into cash and deposits.</x:v>
      </x:c>
      <x:c r="C325" s="34" t="str"/>
      <x:c r="D325" s="34" t="str"/>
      <x:c r="E325" s="34" t="str"/>
      <x:c r="F325" s="34" t="str">
        <x:v>…  it, for 
example to ensure there are banknotes in ATMs before Bank Holiday weekends (when demand for cash usually 
increases). So, underpinning the current sterling monetary system is the principle that both types of central bank 
money (reserves and banknotes) are directly convertible into one another, and that households and businesses 
can convert their deposits into central bank money, in the form of physical cash. 
How CBDC compares
A CBDC could in principle perform many of the functions currently offered by both cash and bank deposits. 
However, to be practical and attractive, CBDC would need to be directly convertible into cash and deposits.
CBDC would be equally safe and free of credit risk as physical cash, but could be more convenient as a means of 
payment for both households and businesses, particularly for electronic and remote payments. So there may be 
some shift between cash and CBDC.
Compared to bank deposits held by households, which are insured up to £85,000 under the FSCS, a CBDC would 
be equally safe and have no credit risk, and similar usefulness as a means of payment to an ordinary current 
account. But it is not clear that households would necessarily want to sub …</x:v>
      </x:c>
      <x:c r="G325" s="34" t="str">
        <x:v>PRD-0075-P0011-U01</x:v>
      </x:c>
      <x:c r="H325" s="34" t="str"/>
      <x:c r="I325" s="34" t="str">
        <x:v>UK_BoE_2020_OpportChall</x:v>
      </x:c>
      <x:c r="J325" s="34" t="n">
        <x:v>11</x:v>
      </x:c>
      <x:c r="K325" s="34" t="str">
        <x:v>en</x:v>
      </x:c>
      <x:c r="L325" s="34" t="str">
        <x:v>Bank of England and HM Treasury (digital pound)</x:v>
      </x:c>
      <x:c r="M325" s="34" t="str">
        <x:v>Retain the named authority's own CBDC decisions, explicit proposals, requirements, features, and executed findings. Exclude generic context, literature, foreign projects, and stakeholder views not explicitly adopted by the authority.</x:v>
      </x:c>
      <x:c r="N325" s="34" t="str">
        <x:v>text</x:v>
      </x:c>
      <x:c r="O325" s="34" t="str"/>
      <x:c r="P325" s="38" t="str"/>
      <x:c r="Q325" s="38" t="str"/>
      <x:c r="R325" s="38" t="str"/>
      <x:c r="S325" s="38" t="str"/>
      <x:c r="T325" s="38" t="str"/>
      <x:c r="U325" s="38" t="str"/>
      <x:c r="V325" s="38" t="str"/>
      <x:c r="W325" s="38" t="str"/>
      <x:c r="X325" s="38" t="str"/>
      <x:c r="Y325" s="38" t="str"/>
      <x:c r="Z325" s="38" t="str"/>
      <x:c r="AA325" s="43" t="str">
        <x:f>IF('Instructions'!$B$3="","",'Instructions'!$B$3)</x:f>
      </x:c>
      <x:c r="AB325" s="43" t="str">
        <x:f>IF(P325="","PENDING",IF('Instructions'!$B$3="","SET_INITIALS",IF(P325="keep",IF(OR(Q325="",R325="",S325="",T325="",U325="",W325=""),"INCOMPLETE_KEEP","COMPLETE"),IF(P325="exclude",IF(OR(V325="",W325=""),"INCOMPLETE_EXCLUDE","COMPLETE"),"NEEDS_CONTEXT"))))</x:f>
        <x:v>PENDING</x:v>
      </x:c>
    </x:row>
    <x:row r="326" ht="62" customHeight="1">
      <x:c r="A326" s="34" t="str">
        <x:v>SV-0323</x:v>
      </x:c>
      <x:c r="B326" s="34" t="str">
        <x:v>the second version combines TIPS+ with a permissioned and programmable 
DLT based on Ethereum technology, which will be described in Section 
3.3.2. This second DLT enables the creation of a programmable digital 
euro aimed at addressing requirements of enhanced digital efficiency and 
competitive features, as referred to in the HLTF report on the D€.</x:v>
      </x:c>
      <x:c r="C326" s="34" t="str"/>
      <x:c r="D326" s="34" t="str"/>
      <x:c r="E326" s="34" t="str"/>
      <x:c r="F326" s="34" t="str">
        <x:v>… that 
may be missing in the former. In particular, in order to show different 
combinations of systems aiming to solve different kinds of problems and 
to address different requirements, two versions of the combined feasibility 
model were explored: 
• the first version combines TIPS+ with itCoin, the token-based DLT described 
in Section 2.4, which enables the creation of an online bearer digital euro; 
this solution is best suited to addressing the requirements of cash-like 
features and competitive features of the HLTF report on the D€;72
• the second version combines TIPS+ with a permissioned and programmable 
DLT based on Ethereum technology, which will be described in Section 
3.3.2. This second DLT enables the creation of a programmable digital 
euro aimed at addressing requirements of enhanced digital efficiency and 
competitive features, as referred to in the HLTF report on the D€.
The fundamental idea of this combined feasibility model is that both the 
account-based and DLT-based platforms offer platform-specific functionalities, 
by means of platform-specific Application Programming Interfaces (APIs); they 
72 As highlighted in Section 2.6, a non-DLT platform based on the eCash scheme could also be used to complement 
TIPS+ in terms of cash-like features. This scheme has not been part of the experiments for two reasons: (i) The focus of 
Work Stream 2 was explicitly on the combination of centralized platforms with dis …</x:v>
      </x:c>
      <x:c r="G326" s="34" t="str">
        <x:v>PRD-0042-P0048-U01</x:v>
      </x:c>
      <x:c r="H326" s="34" t="str"/>
      <x:c r="I326" s="34" t="str">
        <x:v>IT_BdI_MISP_2021</x:v>
      </x:c>
      <x:c r="J326" s="34" t="n">
        <x:v>48</x:v>
      </x:c>
      <x:c r="K326" s="34" t="str">
        <x:v>en</x:v>
      </x:c>
      <x:c r="L326" s="34" t="str">
        <x:v>Banca d'Italia research context</x:v>
      </x:c>
      <x:c r="M326" s="34" t="str">
        <x:v>This research paper is not automatically an issuer commitment. Retain only Banca d'Italia own-project results or explicit institutional positions; exclude literature and model assumptions.</x:v>
      </x:c>
      <x:c r="N326" s="34" t="str">
        <x:v>text</x:v>
      </x:c>
      <x:c r="O326" s="34" t="str"/>
      <x:c r="P326" s="38" t="str"/>
      <x:c r="Q326" s="38" t="str"/>
      <x:c r="R326" s="38" t="str"/>
      <x:c r="S326" s="38" t="str"/>
      <x:c r="T326" s="38" t="str"/>
      <x:c r="U326" s="38" t="str"/>
      <x:c r="V326" s="38" t="str"/>
      <x:c r="W326" s="38" t="str"/>
      <x:c r="X326" s="38" t="str"/>
      <x:c r="Y326" s="38" t="str"/>
      <x:c r="Z326" s="38" t="str"/>
      <x:c r="AA326" s="43" t="str">
        <x:f>IF('Instructions'!$B$3="","",'Instructions'!$B$3)</x:f>
      </x:c>
      <x:c r="AB326" s="43" t="str">
        <x:f>IF(P326="","PENDING",IF('Instructions'!$B$3="","SET_INITIALS",IF(P326="keep",IF(OR(Q326="",R326="",S326="",T326="",U326="",W326=""),"INCOMPLETE_KEEP","COMPLETE"),IF(P326="exclude",IF(OR(V326="",W326=""),"INCOMPLETE_EXCLUDE","COMPLETE"),"NEEDS_CONTEXT"))))</x:f>
        <x:v>PENDING</x:v>
      </x:c>
    </x:row>
    <x:row r="327" ht="62" customHeight="1">
      <x:c r="A327" s="34" t="str">
        <x:v>SV-0324</x:v>
      </x:c>
      <x:c r="B327" s="34" t="str">
        <x:v>The 
verification of the value of the wCBDC is linked 
to the central bank as its issuer</x:v>
      </x:c>
      <x:c r="C327" s="34" t="str"/>
      <x:c r="D327" s="34" t="str"/>
      <x:c r="E327" s="34" t="str"/>
      <x:c r="F327" s="34" t="str">
        <x:v>… token may, depending on the nature 
of the token, require verifying three factors, 
namely the authenticity, value and potential 
actions linked to a token. With the wCBDC, 
particularly as a fungible token, its authenticity 
is linked to the SARB as its issuer, which 
attestation is then linked to the wCBDC Zone 
on which the wCBDC tokens are issued. With 
NFTs, it is not only the issuer that is important, 
but also verifying the authenticity of individual 
tokens, which is why the verification of the 
ISIN and other details become important. The 
verification of the value of the wCBDC is linked 
to the central bank as its issuer, whereas for the 
wToken, as a stablecoin, verification requires 
verification of the reserve assets to which its 
value is linked. In other words, for the wToken, 
it means verification that the value on the 
wToken arrangement is fully backed by central 
bank money earmarked in settlement accounts. 
Security tokens, such as the debenture token, 
may have actions linked to it, such as settlement 
of obligations like the payment of principal and 
interest at maturity. To increase the utility of a 
ported security token on a non-native network, …</x:v>
      </x:c>
      <x:c r="G327" s="34" t="str">
        <x:v>PRD-0085-P0034-U01</x:v>
      </x:c>
      <x:c r="H327" s="34" t="str"/>
      <x:c r="I327" s="34" t="str">
        <x:v>ZA_SARB_Project_Khokha_2_Full_Report_6_April_2022</x:v>
      </x:c>
      <x:c r="J327" s="34" t="n">
        <x:v>34</x:v>
      </x:c>
      <x:c r="K327" s="34" t="str">
        <x:v>en</x:v>
      </x:c>
      <x:c r="L327" s="34" t="str">
        <x:v>South African Reserve Bank</x:v>
      </x:c>
      <x:c r="M327" s="34" t="str">
        <x:v>Retain the named authority's own CBDC decisions, explicit proposals, requirements, features, and executed findings. Exclude generic context, literature, foreign projects, and stakeholder views not explicitly adopted by the authority.</x:v>
      </x:c>
      <x:c r="N327" s="34" t="str">
        <x:v>text</x:v>
      </x:c>
      <x:c r="O327" s="34" t="str"/>
      <x:c r="P327" s="38" t="str"/>
      <x:c r="Q327" s="38" t="str"/>
      <x:c r="R327" s="38" t="str"/>
      <x:c r="S327" s="38" t="str"/>
      <x:c r="T327" s="38" t="str"/>
      <x:c r="U327" s="38" t="str"/>
      <x:c r="V327" s="38" t="str"/>
      <x:c r="W327" s="38" t="str"/>
      <x:c r="X327" s="38" t="str"/>
      <x:c r="Y327" s="38" t="str"/>
      <x:c r="Z327" s="38" t="str"/>
      <x:c r="AA327" s="43" t="str">
        <x:f>IF('Instructions'!$B$3="","",'Instructions'!$B$3)</x:f>
      </x:c>
      <x:c r="AB327" s="43" t="str">
        <x:f>IF(P327="","PENDING",IF('Instructions'!$B$3="","SET_INITIALS",IF(P327="keep",IF(OR(Q327="",R327="",S327="",T327="",U327="",W327=""),"INCOMPLETE_KEEP","COMPLETE"),IF(P327="exclude",IF(OR(V327="",W327=""),"INCOMPLETE_EXCLUDE","COMPLETE"),"NEEDS_CONTEXT"))))</x:f>
        <x:v>PENDING</x:v>
      </x:c>
    </x:row>
    <x:row r="328" ht="62" customHeight="1">
      <x:c r="A328" s="34" t="str">
        <x:v>SV-0325</x:v>
      </x:c>
      <x:c r="B328" s="34" t="str">
        <x:v>Реализация указанных выше подходов позволяет обеспечить целостность и конфиденциальность 
информации при проведении пользователями операций с цифровыми рублями. Под защитой 
находятся сведения о средствах на счетах цифрового рубля, о транзакциях с цифровыми 
рублями и информация, необходимая для авторизации и идентификации пользователей, включая 
персональные данные.</x:v>
      </x:c>
      <x:c r="C328" s="34" t="str">
        <x:v>Implementation of the above approaches ensures the integrity and confidentiality of information during users' digital ruble operations. Protected data includes information on digital ruble account balances, transactions, and information necessary for authorization and identification of users, including personal data.</x:v>
      </x:c>
      <x:c r="D328" s="34" t="str"/>
      <x:c r="E328" s="34" t="str"/>
      <x:c r="F328" s="34" t="str">
        <x:v>23
Цифровой рубль: 
текущий статус проекта
3. Технологическая платформа  
и инфраструктура
Банк России занимается дальнейшим развитием программного модуля для поддержания 
высокого уровня информационной безопасности при появлении новых видов операций 
с цифровыми рублями.
Реализация указанных выше подходов позволяет обеспечить целостность и конфиденциальность 
информации при проведении пользователями операций с цифровыми рублями. Под защитой 
находятся сведения о средствах на счетах цифрового рубля, о транзакциях с цифровыми 
рублями и информация, необходимая для авторизации и идентификации пользователей, включая 
персональные данные.
Для противодействия переводам цифровых рублей без добровольного согласия пользователя 
платформы реализованы меры защиты, в том числе антифрод-контроль, как на уровне участников 
платформы, так и на уровне оператора платформы.
Основная цель антифрод-контроля – выявление и предотвращение мошеннических операций 
для защиты средств пользователей платформы. Для этого каждая операция с цифровыми 
рублями проверяется в режиме реального времени. При выявлении подозрительной операции 
участник платформы приостанавливает операцию до выяснения обстоятел …</x:v>
      </x:c>
      <x:c r="G328" s="34" t="str">
        <x:v>PRD-0065-P0024-U01</x:v>
      </x:c>
      <x:c r="H328" s="34" t="str"/>
      <x:c r="I328" s="34" t="str">
        <x:v>RU_Russia_digital_ruble_30062025</x:v>
      </x:c>
      <x:c r="J328" s="34" t="n">
        <x:v>24</x:v>
      </x:c>
      <x:c r="K328" s="34" t="str">
        <x:v>ru/uk</x:v>
      </x:c>
      <x:c r="L328" s="34" t="str">
        <x:v>Bank of Russia (digital ruble)</x:v>
      </x:c>
      <x:c r="M328" s="34" t="str">
        <x:v>Retain implemented digital-ruble features, requirements, and reported results.</x:v>
      </x:c>
      <x:c r="N328" s="34" t="str">
        <x:v>text</x:v>
      </x:c>
      <x:c r="O328" s="34" t="str"/>
      <x:c r="P328" s="38" t="str"/>
      <x:c r="Q328" s="38" t="str"/>
      <x:c r="R328" s="38" t="str"/>
      <x:c r="S328" s="38" t="str"/>
      <x:c r="T328" s="38" t="str"/>
      <x:c r="U328" s="38" t="str"/>
      <x:c r="V328" s="38" t="str"/>
      <x:c r="W328" s="38" t="str"/>
      <x:c r="X328" s="38" t="str"/>
      <x:c r="Y328" s="38" t="str"/>
      <x:c r="Z328" s="38" t="str"/>
      <x:c r="AA328" s="43" t="str">
        <x:f>IF('Instructions'!$B$3="","",'Instructions'!$B$3)</x:f>
      </x:c>
      <x:c r="AB328" s="43" t="str">
        <x:f>IF(P328="","PENDING",IF('Instructions'!$B$3="","SET_INITIALS",IF(P328="keep",IF(OR(Q328="",R328="",S328="",T328="",U328="",W328=""),"INCOMPLETE_KEEP","COMPLETE"),IF(P328="exclude",IF(OR(V328="",W328=""),"INCOMPLETE_EXCLUDE","COMPLETE"),"NEEDS_CONTEXT"))))</x:f>
        <x:v>PENDING</x:v>
      </x:c>
    </x:row>
    <x:row r="329" ht="62" customHeight="1">
      <x:c r="A329" s="34" t="str">
        <x:v>SV-0326</x:v>
      </x:c>
      <x:c r="B329" s="34" t="str">
        <x:v>Rationale:Offline capability will be an important feature of a NZ CBDC, as users will be able to spend/transfer/ receive CBDC without access to the internet or cellular data.</x:v>
      </x:c>
      <x:c r="C329" s="34" t="str"/>
      <x:c r="D329" s="34" t="str"/>
      <x:c r="E329" s="34" t="str"/>
      <x:c r="F329" s="34" t="str">
        <x:v>… l
Rationale:As with reversals, the concept of the core system providing refunds is not compatible with the final and irrevocable nature of CBDC.Individual intermediaries may adopt a customer service position that may providing refunds to customers in the event of a situation in which goods have not been received.Insights:Similar to item 10, CBDCs have been designed with atomic settlement functionality. For refunds, an equal and opposite transaction can be made to refund the initial transaction in the event of an unfulfilled order, for example.
Rationale:Offline capability will be an important feature of a NZ CBDC, as users will be able to spend/transfer/ receive CBDC without access to the internet or cellular data.The following offline capability options could be explored further:•Intermittent offline•Enduring offlineEnduring offline is considered as a desirable end-state, subject to an understanding and management of risk, and the capabilities required.Insights:Many Central Banks consider offline capability as a key component of a retail CBDC strategy and is currently an area of intense exploration and PoC's to establish the best options for implementation. The recent CBDC Offline Handbook (known as project Polaris) published by the Bank for Internation …</x:v>
      </x:c>
      <x:c r="G329" s="34" t="str">
        <x:v>PRD-0058-P0046-U01</x:v>
      </x:c>
      <x:c r="H329" s="34" t="str"/>
      <x:c r="I329" s="34" t="str">
        <x:v>NZ_RBNZ_cbdc-insights-dossier-for-public-1</x:v>
      </x:c>
      <x:c r="J329" s="34" t="n">
        <x:v>46</x:v>
      </x:c>
      <x:c r="K329" s="34" t="str">
        <x:v>en</x:v>
      </x:c>
      <x:c r="L329" s="34" t="str">
        <x:v>Reserve Bank of New Zealand (digital cash/CBDC)</x:v>
      </x:c>
      <x:c r="M329" s="34" t="str">
        <x:v>Mixed workshop dossier: retain only text expressly labelled RBNZ initial preference or RBNZ workshopped preference. Exclude Accenture initial answers, questions, option tables, and unadopted participant material.</x:v>
      </x:c>
      <x:c r="N329" s="34" t="str">
        <x:v>text</x:v>
      </x:c>
      <x:c r="O329" s="34" t="str"/>
      <x:c r="P329" s="38" t="str"/>
      <x:c r="Q329" s="38" t="str"/>
      <x:c r="R329" s="38" t="str"/>
      <x:c r="S329" s="38" t="str"/>
      <x:c r="T329" s="38" t="str"/>
      <x:c r="U329" s="38" t="str"/>
      <x:c r="V329" s="38" t="str"/>
      <x:c r="W329" s="38" t="str"/>
      <x:c r="X329" s="38" t="str"/>
      <x:c r="Y329" s="38" t="str"/>
      <x:c r="Z329" s="38" t="str"/>
      <x:c r="AA329" s="43" t="str">
        <x:f>IF('Instructions'!$B$3="","",'Instructions'!$B$3)</x:f>
      </x:c>
      <x:c r="AB329" s="43" t="str">
        <x:f>IF(P329="","PENDING",IF('Instructions'!$B$3="","SET_INITIALS",IF(P329="keep",IF(OR(Q329="",R329="",S329="",T329="",U329="",W329=""),"INCOMPLETE_KEEP","COMPLETE"),IF(P329="exclude",IF(OR(V329="",W329=""),"INCOMPLETE_EXCLUDE","COMPLETE"),"NEEDS_CONTEXT"))))</x:f>
        <x:v>PENDING</x:v>
      </x:c>
    </x:row>
    <x:row r="330" ht="62" customHeight="1">
      <x:c r="A330" s="34" t="str">
        <x:v>SV-0327</x:v>
      </x:c>
      <x:c r="B330" s="34" t="str">
        <x:v>Considering that the Pilot Project had a limited list of 
transaction types and a limited range of users, as well as the 
minor quantity and volumes of executed transactions, the 
project did not fully uncover the instrument’s att ractiveness 
and the potential level of involvement of Ukraine's population 
in using it.</x:v>
      </x:c>
      <x:c r="C330" s="34" t="str"/>
      <x:c r="D330" s="34" t="str"/>
      <x:c r="E330" s="34" t="str"/>
      <x:c r="F330" s="34" t="str">
        <x:v>… transfers 
between e -wallets (208 transactions amounting to UAH 
2,117). The total volume of the e -wallets refilling with the e-
hryvnia through NPS PROSTIR cards was UAH 5479. On the 
occasion of the Ukraine Defender Day, we’ve launched an 
option to make charitable contributions to the soldiers of the 
Joint Forces Operation, which resulted in 40 contributions 
amounting to UAH 3,428. To test the e -hryvnia merchant  
transactions, particip ants of the working groups toped -up 
UAH 223 to the balances of their mobile phones (19 top-ups).  
Considering that the Pilot Project had a limited list of 
transaction types and a limited range of users, as well as the 
minor quantity and volumes of executed transactions, the 
project did not fully uncover the instrument’s att ractiveness 
and the potential level of involvement of Ukraine's population 
in using it. 
Thus, it is hard to predict the number of Ukraine’s citizens to 
become e -hryvnia users if the decision to implement e-
hryvnia at a national scale is taken. 
208
82
42 40
19
0
50
100
150
200
250 Quantity, pcs.
2117
5479
915
3428
223
0
2000
4000
6000
Amount, UAH</x:v>
      </x:c>
      <x:c r="G330" s="34" t="str">
        <x:v>PRD-0074-P0029-U01</x:v>
      </x:c>
      <x:c r="H330" s="34" t="str"/>
      <x:c r="I330" s="34" t="str">
        <x:v>UA_NBU_E-hryvnia_2019</x:v>
      </x:c>
      <x:c r="J330" s="34" t="n">
        <x:v>29</x:v>
      </x:c>
      <x:c r="K330" s="34" t="str">
        <x:v>en</x:v>
      </x:c>
      <x:c r="L330" s="34" t="str">
        <x:v>National Bank of Ukraine (e-hryvnia pilot)</x:v>
      </x:c>
      <x:c r="M330" s="34" t="str">
        <x:v>Retain NBU own-pilot findings and resulting decisions/requirements. Prefer a specific substantive code over PROC.pilot_learning.</x:v>
      </x:c>
      <x:c r="N330" s="34" t="str">
        <x:v>text</x:v>
      </x:c>
      <x:c r="O330" s="34" t="str"/>
      <x:c r="P330" s="38" t="str"/>
      <x:c r="Q330" s="38" t="str"/>
      <x:c r="R330" s="38" t="str"/>
      <x:c r="S330" s="38" t="str"/>
      <x:c r="T330" s="38" t="str"/>
      <x:c r="U330" s="38" t="str"/>
      <x:c r="V330" s="38" t="str"/>
      <x:c r="W330" s="38" t="str"/>
      <x:c r="X330" s="38" t="str"/>
      <x:c r="Y330" s="38" t="str"/>
      <x:c r="Z330" s="38" t="str"/>
      <x:c r="AA330" s="43" t="str">
        <x:f>IF('Instructions'!$B$3="","",'Instructions'!$B$3)</x:f>
      </x:c>
      <x:c r="AB330" s="43" t="str">
        <x:f>IF(P330="","PENDING",IF('Instructions'!$B$3="","SET_INITIALS",IF(P330="keep",IF(OR(Q330="",R330="",S330="",T330="",U330="",W330=""),"INCOMPLETE_KEEP","COMPLETE"),IF(P330="exclude",IF(OR(V330="",W330=""),"INCOMPLETE_EXCLUDE","COMPLETE"),"NEEDS_CONTEXT"))))</x:f>
        <x:v>PENDING</x:v>
      </x:c>
    </x:row>
    <x:row r="331" ht="62" customHeight="1">
      <x:c r="A331" s="34" t="str">
        <x:v>SV-0328</x:v>
      </x:c>
      <x:c r="B331" s="34" t="str">
        <x:v>При платежах в офлайн-режиме клиент-отправитель должен будет ввести сумму перево -
да, а затем подтвердить перевод.</x:v>
      </x:c>
      <x:c r="C331" s="34" t="str">
        <x:v>For payments in offline mode, the sending client will have to enter the transfer amount and then confirm the transfer.</x:v>
      </x:c>
      <x:c r="D331" s="34" t="str"/>
      <x:c r="E331" s="34" t="str"/>
      <x:c r="F331" s="34" t="str">
        <x:v>… 
Возможность офлайн-переводов предполагается обеспечить для С2С-, С2В-, В2С-операций.
Для совершения офлайн-операций, помимо онлайн-кошелька, клиенту будет открыт второй 
кошелек в цифровых рублях непосредственно на мобильном устройстве. Пополнение офлайн-
кошелька будет осуществляться клиентом путем перевода цифровых рублей с его онлайн-ко-
шелька при наличии доступа к сети Интернет.
Планируется, что офлайн-перевод может выполняться с использованием технологии бес -
проводной передачи данных малого радиуса действия (например, Bluetooth, NFC).
При платежах в офлайн-режиме клиент-отправитель должен будет ввести сумму перево -
да, а затем подтвердить перевод. При достаточности средств в офлайн-кошельке клиента-от-
правителя осуществляется перевод необходимой суммы цифровых рублей на офлайн-коше -
лек клиента-получателя.
Банк России рассматривает вопрос об установлении лимитов при проведении офлайн-опе-
раций. Среди возможных вариантов – лимиты по сумме остатка на офлайн-кошельке, лимиты 
на сумму одной транзакции и лимиты на количество операций в офлайн-режиме. Окончатель-
ное решение будет принято по результатам пилотирования офлайн-режима.
В рамках офлайн-режима прорабатывается возможность реализ …</x:v>
      </x:c>
      <x:c r="G331" s="34" t="str">
        <x:v>PRD-0063-P0019-U01</x:v>
      </x:c>
      <x:c r="H331" s="34" t="str"/>
      <x:c r="I331" s="34" t="str">
        <x:v>RU_Russia_concept_08042021</x:v>
      </x:c>
      <x:c r="J331" s="34" t="n">
        <x:v>19</x:v>
      </x:c>
      <x:c r="K331" s="34" t="str">
        <x:v>ru/uk</x:v>
      </x:c>
      <x:c r="L331" s="34" t="str">
        <x:v>Bank of Russia (digital ruble)</x:v>
      </x:c>
      <x:c r="M331" s="34" t="str">
        <x:v>Retain the named authority's own CBDC decisions, explicit proposals, requirements, features, and executed findings. Exclude generic context, literature, foreign projects, and stakeholder views not explicitly adopted by the authority.</x:v>
      </x:c>
      <x:c r="N331" s="34" t="str">
        <x:v>text</x:v>
      </x:c>
      <x:c r="O331" s="34" t="str"/>
      <x:c r="P331" s="38" t="str"/>
      <x:c r="Q331" s="38" t="str"/>
      <x:c r="R331" s="38" t="str"/>
      <x:c r="S331" s="38" t="str"/>
      <x:c r="T331" s="38" t="str"/>
      <x:c r="U331" s="38" t="str"/>
      <x:c r="V331" s="38" t="str"/>
      <x:c r="W331" s="38" t="str"/>
      <x:c r="X331" s="38" t="str"/>
      <x:c r="Y331" s="38" t="str"/>
      <x:c r="Z331" s="38" t="str"/>
      <x:c r="AA331" s="43" t="str">
        <x:f>IF('Instructions'!$B$3="","",'Instructions'!$B$3)</x:f>
      </x:c>
      <x:c r="AB331" s="43" t="str">
        <x:f>IF(P331="","PENDING",IF('Instructions'!$B$3="","SET_INITIALS",IF(P331="keep",IF(OR(Q331="",R331="",S331="",T331="",U331="",W331=""),"INCOMPLETE_KEEP","COMPLETE"),IF(P331="exclude",IF(OR(V331="",W331=""),"INCOMPLETE_EXCLUDE","COMPLETE"),"NEEDS_CONTEXT"))))</x:f>
        <x:v>PENDING</x:v>
      </x:c>
    </x:row>
    <x:row r="332" ht="62" customHeight="1">
      <x:c r="A332" s="34" t="str">
        <x:v>SV-0329</x:v>
      </x:c>
      <x:c r="B332" s="34" t="str">
        <x:v>DSP fremstår som mer attraktivt enn 
bankinnskudd og kan få høyere markedsverdi i et «skyggemarked».</x:v>
      </x:c>
      <x:c r="C332" s="34" t="str"/>
      <x:c r="D332" s="34" t="str"/>
      <x:c r="E332" s="34" t="str"/>
      <x:c r="F332" s="34" t="str">
        <x:v>13 
NORGES BANK MEMO 
NR 1 | 2021 
DIGITALE 
SENTRALBANKPENGER 
3. RAPPORT FRA 
ARBEIDSGRUPPEN 
situasjon der innskyterne er usikre på soliditeten og likviditeten til hele den 
private banksektoren. Da kan innskyterne ønske å flytte sine midler ut av 
banksystemet og inn i DSP. DSP fremstår som mer attraktivt enn 
bankinnskudd og kan få høyere markedsverdi i et «skyggemarked». Effekten 
på markedsverdi kan forsterkes dersom tilbudet av DSP er begrenset gjennom 
ulike former for volumbegrensninger, se avsnitt 2.4. Veksling fra bankinnskudd 
til DSP vil være praktisk enklere og innebære mindre tyveri-/tapsrisiko enn ved 
veksling fra bankinnskudd til kontanter.  
Det er samtidig forhold som kan fremme paritet:  
- Bankene kan øke innskuddsrentene slik at innskyterne kompenseres 
for det de oppfatter som økt kreditt- og likviditetsrisiko. I en stor krise 
kan rentedifferansen mot DSP bli betydelig.  
- Innskuddsgaranti …</x:v>
      </x:c>
      <x:c r="G332" s="34" t="str">
        <x:v>PRD-0054-P0013-U01</x:v>
      </x:c>
      <x:c r="H332" s="34" t="str"/>
      <x:c r="I332" s="34" t="str">
        <x:v>NO_Norway_norges-bank-memo-1-2021</x:v>
      </x:c>
      <x:c r="J332" s="34" t="n">
        <x:v>13</x:v>
      </x:c>
      <x:c r="K332" s="34" t="str">
        <x:v>en</x:v>
      </x:c>
      <x:c r="L332" s="34" t="str">
        <x:v>Norges Bank (Norwegian CBDC work)</x:v>
      </x:c>
      <x:c r="M332" s="34" t="str">
        <x:v>Retain Norges Bank CBDC positions and requirements; exclude generic or cited research.</x:v>
      </x:c>
      <x:c r="N332" s="34" t="str">
        <x:v>text</x:v>
      </x:c>
      <x:c r="O332" s="34" t="str"/>
      <x:c r="P332" s="38" t="str"/>
      <x:c r="Q332" s="38" t="str"/>
      <x:c r="R332" s="38" t="str"/>
      <x:c r="S332" s="38" t="str"/>
      <x:c r="T332" s="38" t="str"/>
      <x:c r="U332" s="38" t="str"/>
      <x:c r="V332" s="38" t="str"/>
      <x:c r="W332" s="38" t="str"/>
      <x:c r="X332" s="38" t="str"/>
      <x:c r="Y332" s="38" t="str"/>
      <x:c r="Z332" s="38" t="str"/>
      <x:c r="AA332" s="43" t="str">
        <x:f>IF('Instructions'!$B$3="","",'Instructions'!$B$3)</x:f>
      </x:c>
      <x:c r="AB332" s="43" t="str">
        <x:f>IF(P332="","PENDING",IF('Instructions'!$B$3="","SET_INITIALS",IF(P332="keep",IF(OR(Q332="",R332="",S332="",T332="",U332="",W332=""),"INCOMPLETE_KEEP","COMPLETE"),IF(P332="exclude",IF(OR(V332="",W332=""),"INCOMPLETE_EXCLUDE","COMPLETE"),"NEEDS_CONTEXT"))))</x:f>
        <x:v>PENDING</x:v>
      </x:c>
    </x:row>
    <x:row r="333" ht="62" customHeight="1">
      <x:c r="A333" s="34" t="str">
        <x:v>SV-0330</x:v>
      </x:c>
      <x:c r="B333" s="34" t="str">
        <x:v>Under the base scenario, each of the designs achieved a throughput of 500 transactions per 
second, which was the target we had set beforehand, a latency of roughly 10 milliseconds, and 
CPU utilization rates of 10 to 30% (Figure 3).</x:v>
      </x:c>
      <x:c r="C333" s="34" t="str"/>
      <x:c r="D333" s="34" t="str"/>
      <x:c r="E333" s="34" t="str"/>
      <x:c r="F333" s="34" t="str">
        <x:v>… ility” of each design. 
Specifically, based on the results of performance evaluation in experimental work, we examined 
the strategies to achieve the processing performance in a production -ready system for each 
design, and the issues that would be faced. 
In addition, we compared and evaluated the reliability (resistance to security risks, fault 
tolerance, and availability) and ease of extension (ease of implementing additional functions) 
for each design of CBDC ledger systems. 
3. Main  results  
3.1  Results of performance evaluation  
Under the base scenario, each of the designs achieved a throughput of 500 transactions per 
second, which was the target we had set beforehand, a latency of roughly 10 milliseconds, and 
CPU utilization rates of 10 to 30% (Figure 3). Under the high-load scenario, Design 1 achieved 
a throughput of 3,000 transactions per second, which was equivalent to the target rate set for</x:v>
      </x:c>
      <x:c r="G333" s="34" t="str">
        <x:v>PRD-0043-P0007-U01</x:v>
      </x:c>
      <x:c r="H333" s="34" t="str"/>
      <x:c r="I333" s="34" t="str">
        <x:v>JP_BoJ_2022</x:v>
      </x:c>
      <x:c r="J333" s="34" t="n">
        <x:v>7</x:v>
      </x:c>
      <x:c r="K333" s="34" t="str">
        <x:v>en</x:v>
      </x:c>
      <x:c r="L333" s="34" t="str">
        <x:v>Bank of Japan</x:v>
      </x:c>
      <x:c r="M333" s="34" t="str">
        <x:v>Retain the named authority's own CBDC decisions, explicit proposals, requirements, features, and executed findings. Exclude generic context, literature, foreign projects, and stakeholder views not explicitly adopted by the authority.</x:v>
      </x:c>
      <x:c r="N333" s="34" t="str">
        <x:v>text</x:v>
      </x:c>
      <x:c r="O333" s="34" t="str"/>
      <x:c r="P333" s="38" t="str"/>
      <x:c r="Q333" s="38" t="str"/>
      <x:c r="R333" s="38" t="str"/>
      <x:c r="S333" s="38" t="str"/>
      <x:c r="T333" s="38" t="str"/>
      <x:c r="U333" s="38" t="str"/>
      <x:c r="V333" s="38" t="str"/>
      <x:c r="W333" s="38" t="str"/>
      <x:c r="X333" s="38" t="str"/>
      <x:c r="Y333" s="38" t="str"/>
      <x:c r="Z333" s="38" t="str"/>
      <x:c r="AA333" s="43" t="str">
        <x:f>IF('Instructions'!$B$3="","",'Instructions'!$B$3)</x:f>
      </x:c>
      <x:c r="AB333" s="43" t="str">
        <x:f>IF(P333="","PENDING",IF('Instructions'!$B$3="","SET_INITIALS",IF(P333="keep",IF(OR(Q333="",R333="",S333="",T333="",U333="",W333=""),"INCOMPLETE_KEEP","COMPLETE"),IF(P333="exclude",IF(OR(V333="",W333=""),"INCOMPLETE_EXCLUDE","COMPLETE"),"NEEDS_CONTEXT"))))</x:f>
        <x:v>PENDING</x:v>
      </x:c>
    </x:row>
    <x:row r="334" ht="62" customHeight="1">
      <x:c r="A334" s="34" t="str">
        <x:v>SV-0331</x:v>
      </x:c>
      <x:c r="B334" s="34" t="str">
        <x:v>Som nevnt over vil et system for registerbaserte tokenpenger i prinsippet basere seg 
på at brukerne har tilgang til internett (er online) og at sentralbankens 
valideringssystem er operativt.</x:v>
      </x:c>
      <x:c r="C334" s="34" t="str"/>
      <x:c r="D334" s="34" t="str"/>
      <x:c r="E334" s="34" t="str"/>
      <x:c r="F334" s="34" t="str">
        <x:v>… ger kunne fungere uavhengig av 
bankenes betalingssystem. DSP vil utgjøre et selvstendig register som valideres og 
oppdateres uten involvering av bankenes løsninger. Brukerne vil imidlertid være 
avhengig av bankene eller andre tredjeparter for å anskaffe DSP. Brukere som 
benytter brukergrensesnitt fra bankene for å disponere over DSP, kan bli rammet 
dersom det oppstår svikt i bankenes systemer. Et system kan imidlertid designes slik 
at en bruker ikke er avhengig av en spesifikk aktørs grensesnitt for å få tilgang til DSP 
på registeret.  
Som nevnt over vil et system for registerbaserte tokenpenger i prinsippet basere seg 
på at brukerne har tilgang til internett (er online) og at sentralbankens 
valideringssystem er operativt. Det kan imidlertid bygges tredjepartsløsninger på 
toppen av systemet som kan avhjelpe slike krav – i alle fall for en periode – for 
eksempel gjennom offline-løsninger eller DLT-systemer som ligger på siden av DSP-
registeret. Slike løsninger vil innebære at det kan gjøres transaksjoner i DSP eller 
DSP-baserte tokener uten kontinuerlig tilgang til registeret og uten at det oppstår 
kredittrisiko på foretaket som tilbyr løsningen. Dette vil for eksempel kunne fungere 
ved at et bestemt beløp tidsbegrenset låses i registeret til bruk for løsni …</x:v>
      </x:c>
      <x:c r="G334" s="34" t="str">
        <x:v>PRD-0052-P0028-U01</x:v>
      </x:c>
      <x:c r="H334" s="34" t="str"/>
      <x:c r="I334" s="34" t="str">
        <x:v>NO_Norway_nb_memo_2_19_dsp</x:v>
      </x:c>
      <x:c r="J334" s="34" t="n">
        <x:v>28</x:v>
      </x:c>
      <x:c r="K334" s="34" t="str">
        <x:v>en</x:v>
      </x:c>
      <x:c r="L334" s="34" t="str">
        <x:v>Norges Bank (Norwegian CBDC work)</x:v>
      </x:c>
      <x:c r="M334" s="34" t="str">
        <x:v>Retain Norges Bank CBDC analysis only when it states an issuer proposal, preference, requirement, or own-project finding; exclude cited theory.</x:v>
      </x:c>
      <x:c r="N334" s="34" t="str">
        <x:v>text</x:v>
      </x:c>
      <x:c r="O334" s="34" t="str"/>
      <x:c r="P334" s="38" t="str"/>
      <x:c r="Q334" s="38" t="str"/>
      <x:c r="R334" s="38" t="str"/>
      <x:c r="S334" s="38" t="str"/>
      <x:c r="T334" s="38" t="str"/>
      <x:c r="U334" s="38" t="str"/>
      <x:c r="V334" s="38" t="str"/>
      <x:c r="W334" s="38" t="str"/>
      <x:c r="X334" s="38" t="str"/>
      <x:c r="Y334" s="38" t="str"/>
      <x:c r="Z334" s="38" t="str"/>
      <x:c r="AA334" s="43" t="str">
        <x:f>IF('Instructions'!$B$3="","",'Instructions'!$B$3)</x:f>
      </x:c>
      <x:c r="AB334" s="43" t="str">
        <x:f>IF(P334="","PENDING",IF('Instructions'!$B$3="","SET_INITIALS",IF(P334="keep",IF(OR(Q334="",R334="",S334="",T334="",U334="",W334=""),"INCOMPLETE_KEEP","COMPLETE"),IF(P334="exclude",IF(OR(V334="",W334=""),"INCOMPLETE_EXCLUDE","COMPLETE"),"NEEDS_CONTEXT"))))</x:f>
        <x:v>PENDING</x:v>
      </x:c>
    </x:row>
    <x:row r="335" ht="62" customHeight="1">
      <x:c r="A335" s="34" t="str">
        <x:v>SV-0332</x:v>
      </x:c>
      <x:c r="B335" s="34" t="str">
        <x:v>R-Digital	Rupiah	is	accessible	via	account- 	
and token-based, arranged based on users’ 
segmentation	(tiering)	and	transactions 	
value cap.</x:v>
      </x:c>
      <x:c r="C335" s="34" t="str"/>
      <x:c r="D335" s="34" t="str"/>
      <x:c r="E335" s="34" t="str"/>
      <x:c r="F335" s="34" t="str">
        <x:v>… esilient, 
particularly if the system of one or more 
intermediaries experience failure.
2.2.3 Access
Digital	Rupiah	can	be	accessed	through	two 	
methods:	account	and/or	token.
17 
W-Digital	Rupiah is accessible via token-
based verification. Token-based is 
considered suitable for w-Digital Rupiah 
because of its assumed capabilities in 
facilitating complex transactions among 
participants in the financial market. 
Furthermore, it will complement the existing 
Bank Indonesia Real Time Gross Settlement 
(BI-RTGS) account-based arrangements. 
R-Digital	Rupiah	is	accessible	via	account- 	
and token-based, arranged based on users’ 
segmentation	(tiering)	and	transactions 	
value cap. Token based r-Digital Rupiah 
facilitates small-value transactions up to a 
certain threshold. Account based r-Digital 
Rupiah facilitates transactions higher than 
the respective threshold. Token-based 
r-Digital Rupiah mimics the flexibility of 
banknotes and coins. Bank Indonesia could 
obtain granular data from token-based 
r-Digital Rupiah transactions through 
information stored in wallet address. To 
fulfill AML/CFT compliance, account-based 
r-Digital Rupiah is considered best-fitted for 
higher-value transactions.
2.2.4 Use Cases And  …</x:v>
      </x:c>
      <x:c r="G335" s="34" t="str">
        <x:v>PRD-0035-P0034-U01</x:v>
      </x:c>
      <x:c r="H335" s="34" t="str"/>
      <x:c r="I335" s="34" t="str">
        <x:v>ID_Indonesia_2022</x:v>
      </x:c>
      <x:c r="J335" s="34" t="n">
        <x:v>34</x:v>
      </x:c>
      <x:c r="K335" s="34" t="str">
        <x:v>en</x:v>
      </x:c>
      <x:c r="L335" s="34" t="str">
        <x:v>Bank Indonesia (Digital Rupiah)</x:v>
      </x:c>
      <x:c r="M335" s="34" t="str">
        <x:v>Retain Bank Indonesia Digital Rupiah decisions, roadmap commitments, features, and requirements.</x:v>
      </x:c>
      <x:c r="N335" s="34" t="str">
        <x:v>text</x:v>
      </x:c>
      <x:c r="O335" s="34" t="str"/>
      <x:c r="P335" s="38" t="str"/>
      <x:c r="Q335" s="38" t="str"/>
      <x:c r="R335" s="38" t="str"/>
      <x:c r="S335" s="38" t="str"/>
      <x:c r="T335" s="38" t="str"/>
      <x:c r="U335" s="38" t="str"/>
      <x:c r="V335" s="38" t="str"/>
      <x:c r="W335" s="38" t="str"/>
      <x:c r="X335" s="38" t="str"/>
      <x:c r="Y335" s="38" t="str"/>
      <x:c r="Z335" s="38" t="str"/>
      <x:c r="AA335" s="43" t="str">
        <x:f>IF('Instructions'!$B$3="","",'Instructions'!$B$3)</x:f>
      </x:c>
      <x:c r="AB335" s="43" t="str">
        <x:f>IF(P335="","PENDING",IF('Instructions'!$B$3="","SET_INITIALS",IF(P335="keep",IF(OR(Q335="",R335="",S335="",T335="",U335="",W335=""),"INCOMPLETE_KEEP","COMPLETE"),IF(P335="exclude",IF(OR(V335="",W335=""),"INCOMPLETE_EXCLUDE","COMPLETE"),"NEEDS_CONTEXT"))))</x:f>
        <x:v>PENDING</x:v>
      </x:c>
    </x:row>
    <x:row r="336" ht="62" customHeight="1">
      <x:c r="A336" s="34" t="str">
        <x:v>SV-0333</x:v>
      </x:c>
      <x:c r="B336" s="34" t="str">
        <x:v>En forutsetning for å kunne analysere data er at DSP-systemet har en 
statistikkmodul eller i det minste et verktøy for å hente ut informasjon på egnet 
form for analyse i andre program.</x:v>
      </x:c>
      <x:c r="C336" s="34" t="str"/>
      <x:c r="D336" s="34" t="str"/>
      <x:c r="E336" s="34" t="str"/>
      <x:c r="F336" s="34" t="str">
        <x:v>… personer, 
bedrifter, offentlig sektor). For makroovervåking er kanskje betalinger fra 
privatpersoner til bedrifter og betalinger mellom bedrifter mest interessant. 
Gjennom opplegget for transaksjonsregistering i systemet vil vi blant annet 
kunne sikre oss tilgang på sektorkoder for betaler og mottaker.  
Aktuelle anvendelser kan være «nowcasting» - anslag på den økonomiske 
utviklingen nå og i nær fremtid - og informasjon om økonomiske reaksjoner på 
renteendringer. Store overføringer inn i DSP kan være en indikator for 
finansiell uro.   
En forutsetning for å kunne analysere data er at DSP-systemet har en 
statistikkmodul eller i det minste et verktøy for å hente ut informasjon på egnet 
form for analyse i andre program. Videre må DSP-regelverket inkludere 
bestemmelser om bruk, rettigheter og sikkerhet for DSP-data.  
I forlengelsen av dette må det også være et opplegg for kundenes tilgang til 
data og for tredjepartsaktørers tilgang til kunders data via API, dersom kunder 
ønsker dette. DSP-regelverket må inneholde vilkår og krav til standarder for 
tredjepartsaktører, samt opplegg for håndtering av situasjoner der kunder 
mener at data i DSP-systemet er feil, se også avsnitt 2.12 om personvern.  
I en registerbasert løsning vil det ikke være identitet i kje …</x:v>
      </x:c>
      <x:c r="G336" s="34" t="str">
        <x:v>PRD-0054-P0028-U01</x:v>
      </x:c>
      <x:c r="H336" s="34" t="str"/>
      <x:c r="I336" s="34" t="str">
        <x:v>NO_Norway_norges-bank-memo-1-2021</x:v>
      </x:c>
      <x:c r="J336" s="34" t="n">
        <x:v>28</x:v>
      </x:c>
      <x:c r="K336" s="34" t="str">
        <x:v>en</x:v>
      </x:c>
      <x:c r="L336" s="34" t="str">
        <x:v>Norges Bank (Norwegian CBDC work)</x:v>
      </x:c>
      <x:c r="M336" s="34" t="str">
        <x:v>Retain Norges Bank CBDC positions and requirements; exclude generic or cited research.</x:v>
      </x:c>
      <x:c r="N336" s="34" t="str">
        <x:v>text</x:v>
      </x:c>
      <x:c r="O336" s="34" t="str"/>
      <x:c r="P336" s="38" t="str"/>
      <x:c r="Q336" s="38" t="str"/>
      <x:c r="R336" s="38" t="str"/>
      <x:c r="S336" s="38" t="str"/>
      <x:c r="T336" s="38" t="str"/>
      <x:c r="U336" s="38" t="str"/>
      <x:c r="V336" s="38" t="str"/>
      <x:c r="W336" s="38" t="str"/>
      <x:c r="X336" s="38" t="str"/>
      <x:c r="Y336" s="38" t="str"/>
      <x:c r="Z336" s="38" t="str"/>
      <x:c r="AA336" s="43" t="str">
        <x:f>IF('Instructions'!$B$3="","",'Instructions'!$B$3)</x:f>
      </x:c>
      <x:c r="AB336" s="43" t="str">
        <x:f>IF(P336="","PENDING",IF('Instructions'!$B$3="","SET_INITIALS",IF(P336="keep",IF(OR(Q336="",R336="",S336="",T336="",U336="",W336=""),"INCOMPLETE_KEEP","COMPLETE"),IF(P336="exclude",IF(OR(V336="",W336=""),"INCOMPLETE_EXCLUDE","COMPLETE"),"NEEDS_CONTEXT"))))</x:f>
        <x:v>PENDING</x:v>
      </x:c>
    </x:row>
    <x:row r="337" ht="62" customHeight="1">
      <x:c r="A337" s="34" t="str">
        <x:v>SV-0334</x:v>
      </x:c>
      <x:c r="B337" s="34" t="str">
        <x:v>It would be possible to apply limits and thresholds in TIPS+, 
depending on additional information collected by the platform 
and provided by gatekeepers, to set up accounts with specific 
characteristics for non-euro area residents.</x:v>
      </x:c>
      <x:c r="C337" s="34" t="str"/>
      <x:c r="D337" s="34" t="str"/>
      <x:c r="E337" s="34" t="str"/>
      <x:c r="F337" s="34" t="str">
        <x:v>54
Effects on the cross-
border use of the euro 
[Requirement 13 (R13): 
conditional use by non-
euro area residents]
It would be possible to apply limits and thresholds in TIPS+, 
depending on additional information collected by the platform 
and provided by gatekeepers, to set up accounts with specific 
characteristics for non-euro area residents.
Moreover, the use of technical positions paves the way for the 
adoption of pre-paid cards to be used also by non-euro area 
residents. For example, following a light identity verification 
process, unbanked users may be provided with a low-capacity 
itCoin payment channel or with a limited amount of e-cash tokens. 
Cyber risk  
[Requirement 14 (R14): 
cyber resilience]
By leveraging the experience of the Eurosystem in the operations of 
gross and retail payment systems, the integrated solution benefits 
from state-of-the-art methodologies and …</x:v>
      </x:c>
      <x:c r="G337" s="34" t="str">
        <x:v>PRD-0042-P0056-U01</x:v>
      </x:c>
      <x:c r="H337" s="34" t="str"/>
      <x:c r="I337" s="34" t="str">
        <x:v>IT_BdI_MISP_2021</x:v>
      </x:c>
      <x:c r="J337" s="34" t="n">
        <x:v>56</x:v>
      </x:c>
      <x:c r="K337" s="34" t="str">
        <x:v>en</x:v>
      </x:c>
      <x:c r="L337" s="34" t="str">
        <x:v>Banca d'Italia research context</x:v>
      </x:c>
      <x:c r="M337" s="34" t="str">
        <x:v>This research paper is not automatically an issuer commitment. Retain only Banca d'Italia own-project results or explicit institutional positions; exclude literature and model assumptions.</x:v>
      </x:c>
      <x:c r="N337" s="34" t="str">
        <x:v>text</x:v>
      </x:c>
      <x:c r="O337" s="34" t="str"/>
      <x:c r="P337" s="38" t="str"/>
      <x:c r="Q337" s="38" t="str"/>
      <x:c r="R337" s="38" t="str"/>
      <x:c r="S337" s="38" t="str"/>
      <x:c r="T337" s="38" t="str"/>
      <x:c r="U337" s="38" t="str"/>
      <x:c r="V337" s="38" t="str"/>
      <x:c r="W337" s="38" t="str"/>
      <x:c r="X337" s="38" t="str"/>
      <x:c r="Y337" s="38" t="str"/>
      <x:c r="Z337" s="38" t="str"/>
      <x:c r="AA337" s="43" t="str">
        <x:f>IF('Instructions'!$B$3="","",'Instructions'!$B$3)</x:f>
      </x:c>
      <x:c r="AB337" s="43" t="str">
        <x:f>IF(P337="","PENDING",IF('Instructions'!$B$3="","SET_INITIALS",IF(P337="keep",IF(OR(Q337="",R337="",S337="",T337="",U337="",W337=""),"INCOMPLETE_KEEP","COMPLETE"),IF(P337="exclude",IF(OR(V337="",W337=""),"INCOMPLETE_EXCLUDE","COMPLETE"),"NEEDS_CONTEXT"))))</x:f>
        <x:v>PENDING</x:v>
      </x:c>
    </x:row>
    <x:row r="338" ht="62" customHeight="1">
      <x:c r="A338" s="34" t="str">
        <x:v>SV-0335</x:v>
      </x:c>
      <x:c r="B338" s="34" t="str">
        <x:v>Sikkerhet: IT-løsningen for DSP skal etterleve risikobaserte krav til 
driftssikkerhet, sikring mot brudd på konfidensialitet, integritet og 
tilgjengelighet, samt beskyttelse mot cyberangrep.</x:v>
      </x:c>
      <x:c r="C338" s="34" t="str"/>
      <x:c r="D338" s="34" t="str"/>
      <x:c r="E338" s="34" t="str"/>
      <x:c r="F338" s="34" t="str">
        <x:v>… ige teknologiske endringer. Løsningen skal benytte offentlig 
godkjente standarder og formater for å fremme samarbeid, innovasjon og 
informasjonsutveksling. 
- Tilgjengelighet: En løsning for DSP skal tilby tjenester som er tilgjengelige 
når brukerne trenger dem, lette å finne frem til, brukervennlige og universelt 
utformet. DSP skal være tilgjengelig for alle relevante brukergrupper 
uavhengig av alder og funksjonsevne, slik at ingen brukergrupper blir 
diskriminert. Løsningen skal være tilgjengelig 24 timer i døgnet, 365 dager i 
året. 
- Sikkerhet: IT-løsningen for DSP skal etterleve risikobaserte krav til 
driftssikkerhet, sikring mot brudd på konfidensialitet, integritet og 
tilgjengelighet, samt beskyttelse mot cyberangrep. Løsningen må etterleve alle 
lovpålagte krav som følger av for eksempel sikkerhetsloven og 
personopplysningsloven, samt internasjonale retningslinjer og standarder der 
dette er aktuelt.  
- Fleksibilitet: En løsning for DSP skal være utformet slik at den ikke fremstår 
som begrensende for endringer i funksjonalitet, organisering, eierskap og 
infrastruktur. Det skal ta høyde for endringer i leverandørmarkedet, lover og 
regler som påvirker ansvar og eierskap eller endringer i standarder for 
informasjonsutveksling.   
Arbeidet med DSP er på  …</x:v>
      </x:c>
      <x:c r="G338" s="34" t="str">
        <x:v>PRD-0053-P0030-U01</x:v>
      </x:c>
      <x:c r="H338" s="34" t="str"/>
      <x:c r="I338" s="34" t="str">
        <x:v>NO_Norway_nbmemo-1-2018</x:v>
      </x:c>
      <x:c r="J338" s="34" t="n">
        <x:v>30</x:v>
      </x:c>
      <x:c r="K338" s="34" t="str">
        <x:v>en</x:v>
      </x:c>
      <x:c r="L338" s="34" t="str">
        <x:v>Norges Bank</x:v>
      </x:c>
      <x:c r="M338" s="34" t="str">
        <x:v>Retain the named authority's own CBDC decisions, explicit proposals, requirements, features, and executed findings. Exclude generic context, literature, foreign projects, and stakeholder views not explicitly adopted by the authority.</x:v>
      </x:c>
      <x:c r="N338" s="34" t="str">
        <x:v>text</x:v>
      </x:c>
      <x:c r="O338" s="34" t="str"/>
      <x:c r="P338" s="38" t="str"/>
      <x:c r="Q338" s="38" t="str"/>
      <x:c r="R338" s="38" t="str"/>
      <x:c r="S338" s="38" t="str"/>
      <x:c r="T338" s="38" t="str"/>
      <x:c r="U338" s="38" t="str"/>
      <x:c r="V338" s="38" t="str"/>
      <x:c r="W338" s="38" t="str"/>
      <x:c r="X338" s="38" t="str"/>
      <x:c r="Y338" s="38" t="str"/>
      <x:c r="Z338" s="38" t="str"/>
      <x:c r="AA338" s="43" t="str">
        <x:f>IF('Instructions'!$B$3="","",'Instructions'!$B$3)</x:f>
      </x:c>
      <x:c r="AB338" s="43" t="str">
        <x:f>IF(P338="","PENDING",IF('Instructions'!$B$3="","SET_INITIALS",IF(P338="keep",IF(OR(Q338="",R338="",S338="",T338="",U338="",W338=""),"INCOMPLETE_KEEP","COMPLETE"),IF(P338="exclude",IF(OR(V338="",W338=""),"INCOMPLETE_EXCLUDE","COMPLETE"),"NEEDS_CONTEXT"))))</x:f>
        <x:v>PENDING</x:v>
      </x:c>
    </x:row>
    <x:row r="339" ht="62" customHeight="1">
      <x:c r="A339" s="34" t="str">
        <x:v>SV-0336</x:v>
      </x:c>
      <x:c r="B339" s="34" t="str">
        <x:v>The PSP will configure the offline 
wallet to prevent receiving amounts that exceed the defined limit, and a wallet in this state 
will not be able to receive funds.</x:v>
      </x:c>
      <x:c r="C339" s="34" t="str"/>
      <x:c r="D339" s="34" t="str"/>
      <x:c r="E339" s="34" t="str"/>
      <x:c r="F339" s="34" t="str">
        <x:v>… es related to offline 
payment transactions will be locked in the secure container of the payer, and withdrawn for 
the beneficiary (in the case of merchant fees, the PSP, for example) automatically during the 
synchronization. 
To address various risks, the system can implement restrictions on offline activity 
(transactions and holding). These restrictions can vary by user types an d even at the 
individual user level. PSPs will have the option to set a transaction amount limit (per 
transaction/period) and a holding amount limit in wallets. The PSP will configure the offline 
wallet to prevent receiving amounts that exceed the defined limit, and a wallet in this state 
will not be able to receive funds. When opening any offline wallet, the user will be required 
to allocate part of their general holding limit 74 for the offline wallet. For this purpose, the 
72 Criteria will be set to de cide which ATM operators must provide this functionality and which do 
not. 
73 If a secure solution for using a time counter from the last synchronization will be available  in the 
future, this mechanism will be preferred.  
74 See section 7.6.</x:v>
      </x:c>
      <x:c r="G339" s="34" t="str">
        <x:v>PRD-0038-P0098-U01</x:v>
      </x:c>
      <x:c r="H339" s="34" t="str"/>
      <x:c r="I339" s="34" t="str">
        <x:v>IL_BoI_2024</x:v>
      </x:c>
      <x:c r="J339" s="34" t="n">
        <x:v>98</x:v>
      </x:c>
      <x:c r="K339" s="34" t="str">
        <x:v>en</x:v>
      </x:c>
      <x:c r="L339" s="34" t="str">
        <x:v>Bank of Israel (digital shekel)</x:v>
      </x:c>
      <x:c r="M339" s="34" t="str">
        <x:v>Retain the named authority's own CBDC decisions, explicit proposals, requirements, features, and executed findings. Exclude generic context, literature, foreign projects, and stakeholder views not explicitly adopted by the authority.</x:v>
      </x:c>
      <x:c r="N339" s="34" t="str">
        <x:v>text</x:v>
      </x:c>
      <x:c r="O339" s="34" t="str"/>
      <x:c r="P339" s="38" t="str"/>
      <x:c r="Q339" s="38" t="str"/>
      <x:c r="R339" s="38" t="str"/>
      <x:c r="S339" s="38" t="str"/>
      <x:c r="T339" s="38" t="str"/>
      <x:c r="U339" s="38" t="str"/>
      <x:c r="V339" s="38" t="str"/>
      <x:c r="W339" s="38" t="str"/>
      <x:c r="X339" s="38" t="str"/>
      <x:c r="Y339" s="38" t="str"/>
      <x:c r="Z339" s="38" t="str"/>
      <x:c r="AA339" s="43" t="str">
        <x:f>IF('Instructions'!$B$3="","",'Instructions'!$B$3)</x:f>
      </x:c>
      <x:c r="AB339" s="43" t="str">
        <x:f>IF(P339="","PENDING",IF('Instructions'!$B$3="","SET_INITIALS",IF(P339="keep",IF(OR(Q339="",R339="",S339="",T339="",U339="",W339=""),"INCOMPLETE_KEEP","COMPLETE"),IF(P339="exclude",IF(OR(V339="",W339=""),"INCOMPLETE_EXCLUDE","COMPLETE"),"NEEDS_CONTEXT"))))</x:f>
        <x:v>PENDING</x:v>
      </x:c>
    </x:row>
    <x:row r="340" ht="62" customHeight="1">
      <x:c r="A340" s="34" t="str">
        <x:v>SV-0337</x:v>
      </x:c>
      <x:c r="B340" s="34" t="str">
        <x:v>use their wallets with digital rubles via various financial intermediaries without tying it to a 
single financial intermediary where it was opened (subject to adequate user identification).</x:v>
      </x:c>
      <x:c r="C340" s="34" t="str"/>
      <x:c r="D340" s="34" t="str"/>
      <x:c r="E340" s="34" t="str"/>
      <x:c r="F340" s="34" t="str">
        <x:v>… e irrespective of being connected 
to the Internet or a mobile network.
Households will be able to:
• promptly credit funds to their digital ruble accounts (with the funds from a bank account or a 
card, salary, pension, etc.);
• transfer digital rubles to other individuals;
• make payments in digital rubles to enterprises and the state, pay for transactions in financial 
instruments and digital financial assets, including with the use of smart contracts;
• easily convert digital rubles into cash and non-cash funds in bank accounts and back;
• use their wallets with digital rubles via various financial intermediaries without tying it to a 
single financial intermediary where it was opened (subject to adequate user identification).
Box 4 
Offline use of a digital ruble
Offline mode provides an opportunity to make payments in a CBDC without access to the Internet, 
including in remote and hard-to-reach regions of the country.
Offline payments are similar to cash payments as they do not require the involvement of intermediaries 
and are final. In order to make such payments, the user needs to transfer a CBDC from his online wallet to 
a device such as a mobile phone or another device that supports offline CBDC payments.
If it is necessary to withdraw a CBDC from the device …</x:v>
      </x:c>
      <x:c r="G340" s="34" t="str">
        <x:v>PRD-0064-P0015-U01</x:v>
      </x:c>
      <x:c r="H340" s="34" t="str"/>
      <x:c r="I340" s="34" t="str">
        <x:v>RU_Russia_consultation_paper_201013</x:v>
      </x:c>
      <x:c r="J340" s="34" t="n">
        <x:v>15</x:v>
      </x:c>
      <x:c r="K340" s="34" t="str">
        <x:v>en</x:v>
      </x:c>
      <x:c r="L340" s="34" t="str">
        <x:v>Bank of Russia (digital ruble)</x:v>
      </x:c>
      <x:c r="M340" s="34" t="str">
        <x:v>Retain explicit Bank of Russia proposals, preferences, and requirements. Exclude open questions and future research without a position.</x:v>
      </x:c>
      <x:c r="N340" s="34" t="str">
        <x:v>text</x:v>
      </x:c>
      <x:c r="O340" s="34" t="str"/>
      <x:c r="P340" s="38" t="str"/>
      <x:c r="Q340" s="38" t="str"/>
      <x:c r="R340" s="38" t="str"/>
      <x:c r="S340" s="38" t="str"/>
      <x:c r="T340" s="38" t="str"/>
      <x:c r="U340" s="38" t="str"/>
      <x:c r="V340" s="38" t="str"/>
      <x:c r="W340" s="38" t="str"/>
      <x:c r="X340" s="38" t="str"/>
      <x:c r="Y340" s="38" t="str"/>
      <x:c r="Z340" s="38" t="str"/>
      <x:c r="AA340" s="43" t="str">
        <x:f>IF('Instructions'!$B$3="","",'Instructions'!$B$3)</x:f>
      </x:c>
      <x:c r="AB340" s="43" t="str">
        <x:f>IF(P340="","PENDING",IF('Instructions'!$B$3="","SET_INITIALS",IF(P340="keep",IF(OR(Q340="",R340="",S340="",T340="",U340="",W340=""),"INCOMPLETE_KEEP","COMPLETE"),IF(P340="exclude",IF(OR(V340="",W340=""),"INCOMPLETE_EXCLUDE","COMPLETE"),"NEEDS_CONTEXT"))))</x:f>
        <x:v>PENDING</x:v>
      </x:c>
    </x:row>
    <x:row r="341" ht="62" customHeight="1">
      <x:c r="A341" s="34" t="str">
        <x:v>SV-0338</x:v>
      </x:c>
      <x:c r="B341" s="34" t="str">
        <x:v>the adoption 
of e-MOP is envisaged not only to enhance the payment experience 
for inbound visitors, but also to strengthen Macao’s strategic 
positioning as a  “world centre of tourism and leisure”.</x:v>
      </x:c>
      <x:c r="C341" s="34" t="str"/>
      <x:c r="D341" s="34" t="str"/>
      <x:c r="E341" s="34" t="str"/>
      <x:c r="F341" s="34" t="str">
        <x:v>…  Hong Kong, as well as relevant 
payment services of international card organisations.  However, 
certain foreign payment instruments (particularly those associated 
with international card organisations) are not accepted by some 
merchants in the local community or in specific payment scenarios 
due to concerns about transaction fees,  affecting visitors’ 
consumption experience to a certain extent.  Looking ahead, e-MOP 
can provide an efficient and convenient payment experience to 
visitors.  Together with its recognition as a legal tender, the adoption 
of e-MOP is envisaged not only to enhance the payment experience 
for inbound visitors, but also to strengthen Macao’s strategic 
positioning as a  “world centre of tourism and leisure”.
3.12. The day-to-day operation of e-MOP will encompass multiple 
professional areas, including currency issuance, financial 
infrastructure, cybersecurity, financial technology and legal 
compliance.  This will create a diverse array of specialised roles in 
the local job market, attracting young individuals who are aspired to 
pursuing careers in these fields.  The adoption of e-MOP will benefit 
the nurturing of professional talents and generate new impetus for the 
sustainable growth of Macao’s economy.</x:v>
      </x:c>
      <x:c r="G341" s="34" t="str">
        <x:v>PRD-0050-P0025-U01</x:v>
      </x:c>
      <x:c r="H341" s="34" t="str"/>
      <x:c r="I341" s="34" t="str">
        <x:v>MO_AMCM_eMOP_WP</x:v>
      </x:c>
      <x:c r="J341" s="34" t="n">
        <x:v>25</x:v>
      </x:c>
      <x:c r="K341" s="34" t="str">
        <x:v>en</x:v>
      </x:c>
      <x:c r="L341" s="34" t="str">
        <x:v>Monetary Authority of Macao (e-MOP)</x:v>
      </x:c>
      <x:c r="M341" s="34" t="str">
        <x:v>Retain AMCM e-MOP decisions, aims, features, and requirements. Exclude incomplete OCR fragments.</x:v>
      </x:c>
      <x:c r="N341" s="34" t="str">
        <x:v>text</x:v>
      </x:c>
      <x:c r="O341" s="34" t="str"/>
      <x:c r="P341" s="38" t="str"/>
      <x:c r="Q341" s="38" t="str"/>
      <x:c r="R341" s="38" t="str"/>
      <x:c r="S341" s="38" t="str"/>
      <x:c r="T341" s="38" t="str"/>
      <x:c r="U341" s="38" t="str"/>
      <x:c r="V341" s="38" t="str"/>
      <x:c r="W341" s="38" t="str"/>
      <x:c r="X341" s="38" t="str"/>
      <x:c r="Y341" s="38" t="str"/>
      <x:c r="Z341" s="38" t="str"/>
      <x:c r="AA341" s="43" t="str">
        <x:f>IF('Instructions'!$B$3="","",'Instructions'!$B$3)</x:f>
      </x:c>
      <x:c r="AB341" s="43" t="str">
        <x:f>IF(P341="","PENDING",IF('Instructions'!$B$3="","SET_INITIALS",IF(P341="keep",IF(OR(Q341="",R341="",S341="",T341="",U341="",W341=""),"INCOMPLETE_KEEP","COMPLETE"),IF(P341="exclude",IF(OR(V341="",W341=""),"INCOMPLETE_EXCLUDE","COMPLETE"),"NEEDS_CONTEXT"))))</x:f>
        <x:v>PENDING</x:v>
      </x:c>
    </x:row>
    <x:row r="342" ht="62" customHeight="1">
      <x:c r="A342" s="34" t="str">
        <x:v>SV-0339</x:v>
      </x:c>
      <x:c r="B342" s="34" t="str">
        <x:v>The Ministry of Finance (MOF) of the Republic of Palau recently completed Phase 1 of the Palau Stablecoin 
(PSC) Program focusing on a Solution Design Pilot and Research and Development Project in partnership 
with Ripple’s Central Bank Digital Currencies (CBDC) and Central Bank Engagements team and using the 
Ripple CBDC platform.</x:v>
      </x:c>
      <x:c r="C342" s="34" t="str"/>
      <x:c r="D342" s="34" t="str"/>
      <x:c r="E342" s="34" t="str"/>
      <x:c r="F342" s="34" t="str">
        <x:v>Ministry of Finance Republic of Palau Stablecoin Program: Phase 1 Report                         3
1.   Introduction 
The Ministry of Finance (MOF) of the Republic of Palau recently completed Phase 1 of the Palau Stablecoin 
(PSC) Program focusing on a Solution Design Pilot and Research and Development Project in partnership 
with Ripple’s Central Bank Digital Currencies (CBDC) and Central Bank Engagements team and using the 
Ripple CBDC platform. The primary objective of the PSC Pilot Project was to assess different use cases 
and proposed benefits brought by the PSC, in a controlled environment and during a determined period, 
where up to 200 volunteers from among the Palau government’s executive branch employees would making 
purchases at a select number of retailers onboarded in this project. 
Upon successful testing of the PSC solution design, the long-term objective was to promote the use of the 
PSC at a national level and make it a convenient and cost -effective way of payment,  …</x:v>
      </x:c>
      <x:c r="G342" s="34" t="str">
        <x:v>PRD-0061-P0003-U01</x:v>
      </x:c>
      <x:c r="H342" s="34" t="str"/>
      <x:c r="I342" s="34" t="str">
        <x:v>PW_Palau_Phase1_Report</x:v>
      </x:c>
      <x:c r="J342" s="34" t="n">
        <x:v>3</x:v>
      </x:c>
      <x:c r="K342" s="34" t="str">
        <x:v>en</x:v>
      </x:c>
      <x:c r="L342" s="34" t="str">
        <x:v>Republic of Palau (Palau Stablecoin programme)</x:v>
      </x:c>
      <x:c r="M342" s="34" t="str">
        <x:v>Retain executed programme design choices and Phase 1 findings. Preserve that this is a government stablecoin programme rather than central-bank-issued CBDC.</x:v>
      </x:c>
      <x:c r="N342" s="34" t="str">
        <x:v>text</x:v>
      </x:c>
      <x:c r="O342" s="34" t="str"/>
      <x:c r="P342" s="38" t="str"/>
      <x:c r="Q342" s="38" t="str"/>
      <x:c r="R342" s="38" t="str"/>
      <x:c r="S342" s="38" t="str"/>
      <x:c r="T342" s="38" t="str"/>
      <x:c r="U342" s="38" t="str"/>
      <x:c r="V342" s="38" t="str"/>
      <x:c r="W342" s="38" t="str"/>
      <x:c r="X342" s="38" t="str"/>
      <x:c r="Y342" s="38" t="str"/>
      <x:c r="Z342" s="38" t="str"/>
      <x:c r="AA342" s="43" t="str">
        <x:f>IF('Instructions'!$B$3="","",'Instructions'!$B$3)</x:f>
      </x:c>
      <x:c r="AB342" s="43" t="str">
        <x:f>IF(P342="","PENDING",IF('Instructions'!$B$3="","SET_INITIALS",IF(P342="keep",IF(OR(Q342="",R342="",S342="",T342="",U342="",W342=""),"INCOMPLETE_KEEP","COMPLETE"),IF(P342="exclude",IF(OR(V342="",W342=""),"INCOMPLETE_EXCLUDE","COMPLETE"),"NEEDS_CONTEXT"))))</x:f>
        <x:v>PENDING</x:v>
      </x:c>
    </x:row>
    <x:row r="343" ht="62" customHeight="1">
      <x:c r="A343" s="34" t="str">
        <x:v>SV-0340</x:v>
      </x:c>
      <x:c r="B343" s="34" t="str">
        <x:v>Special 
connectivity between the digital shekel  system and MASAV will allow splitting these 
payments also to the payees' digital shekel wallets.</x:v>
      </x:c>
      <x:c r="C343" s="34" t="str"/>
      <x:c r="D343" s="34" t="str"/>
      <x:c r="E343" s="34" t="str"/>
      <x:c r="F343" s="34" t="str">
        <x:v>… l shekel will receive an identification code 
within the payment system,57 ensuring that the existing interface at the banks – based on the 
payment institution's identification code and account details or account alias – will be able 
to support these payments in their existing format. 
A special case of transfer between bank accounts and digital shekel wallets and vice versa is 
batch payments. MASAV allows various entities to make payments t o a large number of 
payees – for example, salary and pension payments, supplier payments, and more. Special 
connectivity between the digital shekel  system and MASAV will allow splitting these 
payments also to the payees' digital shekel wallets. For example , an employer paying 
salaries to employees' bank accounts or digital shekel wallets according to their choice 
through the MASAV batch payment system will be able to enter the digital shekel wallet 
details of their employees into the system. MASAV will manage the transfer of funds from the 
employer's bank account to the employees' bank accounts who chose to continue receiving 
their salary in the bank account, and simultaneously – to the digital shekel wallets of those 
who chose to receive the salary in digital shekels. The tra …</x:v>
      </x:c>
      <x:c r="G343" s="34" t="str">
        <x:v>PRD-0038-P0078-U01</x:v>
      </x:c>
      <x:c r="H343" s="34" t="str"/>
      <x:c r="I343" s="34" t="str">
        <x:v>IL_BoI_2024</x:v>
      </x:c>
      <x:c r="J343" s="34" t="n">
        <x:v>78</x:v>
      </x:c>
      <x:c r="K343" s="34" t="str">
        <x:v>en</x:v>
      </x:c>
      <x:c r="L343" s="34" t="str">
        <x:v>Bank of Israel (digital shekel)</x:v>
      </x:c>
      <x:c r="M343" s="34" t="str">
        <x:v>Retain the named authority's own CBDC decisions, explicit proposals, requirements, features, and executed findings. Exclude generic context, literature, foreign projects, and stakeholder views not explicitly adopted by the authority.</x:v>
      </x:c>
      <x:c r="N343" s="34" t="str">
        <x:v>text</x:v>
      </x:c>
      <x:c r="O343" s="34" t="str"/>
      <x:c r="P343" s="38" t="str"/>
      <x:c r="Q343" s="38" t="str"/>
      <x:c r="R343" s="38" t="str"/>
      <x:c r="S343" s="38" t="str"/>
      <x:c r="T343" s="38" t="str"/>
      <x:c r="U343" s="38" t="str"/>
      <x:c r="V343" s="38" t="str"/>
      <x:c r="W343" s="38" t="str"/>
      <x:c r="X343" s="38" t="str"/>
      <x:c r="Y343" s="38" t="str"/>
      <x:c r="Z343" s="38" t="str"/>
      <x:c r="AA343" s="43" t="str">
        <x:f>IF('Instructions'!$B$3="","",'Instructions'!$B$3)</x:f>
      </x:c>
      <x:c r="AB343" s="43" t="str">
        <x:f>IF(P343="","PENDING",IF('Instructions'!$B$3="","SET_INITIALS",IF(P343="keep",IF(OR(Q343="",R343="",S343="",T343="",U343="",W343=""),"INCOMPLETE_KEEP","COMPLETE"),IF(P343="exclude",IF(OR(V343="",W343=""),"INCOMPLETE_EXCLUDE","COMPLETE"),"NEEDS_CONTEXT"))))</x:f>
        <x:v>PENDING</x:v>
      </x:c>
    </x:row>
    <x:row r="344" ht="62" customHeight="1">
      <x:c r="A344" s="34" t="str">
        <x:v>SV-0341</x:v>
      </x:c>
      <x:c r="B344" s="34" t="str">
        <x:v>In general, we
follow two principles to balance privacy and compliance requirements: (1) minimize the number of entities
that have visibility of PII;</x:v>
      </x:c>
      <x:c r="C344" s="34" t="str"/>
      <x:c r="D344" s="34" t="str"/>
      <x:c r="E344" s="34" t="str"/>
      <x:c r="F344" s="34" t="str">
        <x:v>… his
process is typically executed in accordance with established protocols and procedures to ensure compliance
with regulatory requirements and security standards. Similar to onboarding, offboarding may also involve
adherence to KYC protocols, especially in regulated industries, to facilitate the proper termination or
transition of user accounts.
Since onboarding and offboarding are the first and last step of every observable transaction chain, this is
where the engineering of privacy protections and data collection mechanisms is most crucial. In general, we
follow two principles to balance privacy and compliance requirements: (1) minimize the number of entities
that have visibility of PII; and (2) limit the data collected and PII to the minimum necessary to comply
with privacy and regulatory requirements.
4.1 Privacy-enhancing technologies for the onboarding process
Onboarding users typically involves verifying user ID documents that are issued by other trusted entities,
such as government agencies and regulated financial institutions. Individuals can use an SSI to maintain
control over their digital identity records and selectively share it for the CBDC onboarding process (Soltani,
Nguyen, and An 2018). If an SSI system exists  …</x:v>
      </x:c>
      <x:c r="G344" s="34" t="str">
        <x:v>PRD-0107-P0020-U01</x:v>
      </x:c>
      <x:c r="H344" s="34" t="str"/>
      <x:c r="I344" s="34" t="str">
        <x:v>CA_BoC_PETs_SDP2025_1</x:v>
      </x:c>
      <x:c r="J344" s="34" t="n">
        <x:v>20</x:v>
      </x:c>
      <x:c r="K344" s="34" t="str">
        <x:v>en</x:v>
      </x:c>
      <x:c r="L344" s="34" t="str">
        <x:v>Bank of Canada research on privacy-enhancing technologies for a potential CBDC</x:v>
      </x:c>
      <x:c r="M344" s="34" t="str">
        <x:v>Staff research is not an adopted design. Retain empirical findings or explicit Bank of Canada conclusions tied to its potential CBDC; exclude literature summaries.</x:v>
      </x:c>
      <x:c r="N344" s="34" t="str">
        <x:v>text</x:v>
      </x:c>
      <x:c r="O344" s="34" t="str"/>
      <x:c r="P344" s="38" t="str"/>
      <x:c r="Q344" s="38" t="str"/>
      <x:c r="R344" s="38" t="str"/>
      <x:c r="S344" s="38" t="str"/>
      <x:c r="T344" s="38" t="str"/>
      <x:c r="U344" s="38" t="str"/>
      <x:c r="V344" s="38" t="str"/>
      <x:c r="W344" s="38" t="str"/>
      <x:c r="X344" s="38" t="str"/>
      <x:c r="Y344" s="38" t="str"/>
      <x:c r="Z344" s="38" t="str"/>
      <x:c r="AA344" s="43" t="str">
        <x:f>IF('Instructions'!$B$3="","",'Instructions'!$B$3)</x:f>
      </x:c>
      <x:c r="AB344" s="43" t="str">
        <x:f>IF(P344="","PENDING",IF('Instructions'!$B$3="","SET_INITIALS",IF(P344="keep",IF(OR(Q344="",R344="",S344="",T344="",U344="",W344=""),"INCOMPLETE_KEEP","COMPLETE"),IF(P344="exclude",IF(OR(V344="",W344=""),"INCOMPLETE_EXCLUDE","COMPLETE"),"NEEDS_CONTEXT"))))</x:f>
        <x:v>PENDING</x:v>
      </x:c>
    </x:row>
    <x:row r="345" ht="62" customHeight="1">
      <x:c r="A345" s="34" t="str">
        <x:v>SV-0342</x:v>
      </x:c>
      <x:c r="B345" s="34" t="str">
        <x:v>Adoption of resiliency and cybersecurity standards equivalent to 
those applicable to critical infrastructures in the financial market.</x:v>
      </x:c>
      <x:c r="C345" s="34" t="str"/>
      <x:c r="D345" s="34" t="str"/>
      <x:c r="E345" s="34" t="str"/>
      <x:c r="F345" s="34" t="str">
        <x:v>… uding compliance with court orders for tracking illicit operations.
Guideline 8. Adoption of a technological solution based on DLT that enables:
1. Initial registration of assets of different natures
2. Decentralization in the provision of products and services
3. Interoperability with legacy domestic systems and with other systems for 
registration and information transfers information, as well as trading of regulated 
digital assets
4. Integration with systems in other jurisdictions, with a view to making cross-border 
payments.
Guideline 9. Adoption of resiliency and cybersecurity standards equivalent to 
those applicable to critical infrastructures in the financial market.</x:v>
      </x:c>
      <x:c r="G345" s="34" t="str">
        <x:v>PRD-0011-P0007-U01</x:v>
      </x:c>
      <x:c r="H345" s="34" t="str"/>
      <x:c r="I345" s="34" t="str">
        <x:v>BR_Brazil_2023</x:v>
      </x:c>
      <x:c r="J345" s="34" t="n">
        <x:v>7</x:v>
      </x:c>
      <x:c r="K345" s="34" t="str">
        <x:v>en</x:v>
      </x:c>
      <x:c r="L345" s="34" t="str">
        <x:v>Banco Central do Brasil (Drex / Digital Real)</x:v>
      </x:c>
      <x:c r="M345" s="34" t="str">
        <x:v>Retain the named authority's own CBDC decisions, explicit proposals, requirements, features, and executed findings. Exclude generic context, literature, foreign projects, and stakeholder views not explicitly adopted by the authority.</x:v>
      </x:c>
      <x:c r="N345" s="34" t="str">
        <x:v>text</x:v>
      </x:c>
      <x:c r="O345" s="34" t="str"/>
      <x:c r="P345" s="38" t="str"/>
      <x:c r="Q345" s="38" t="str"/>
      <x:c r="R345" s="38" t="str"/>
      <x:c r="S345" s="38" t="str"/>
      <x:c r="T345" s="38" t="str"/>
      <x:c r="U345" s="38" t="str"/>
      <x:c r="V345" s="38" t="str"/>
      <x:c r="W345" s="38" t="str"/>
      <x:c r="X345" s="38" t="str"/>
      <x:c r="Y345" s="38" t="str"/>
      <x:c r="Z345" s="38" t="str"/>
      <x:c r="AA345" s="43" t="str">
        <x:f>IF('Instructions'!$B$3="","",'Instructions'!$B$3)</x:f>
      </x:c>
      <x:c r="AB345" s="43" t="str">
        <x:f>IF(P345="","PENDING",IF('Instructions'!$B$3="","SET_INITIALS",IF(P345="keep",IF(OR(Q345="",R345="",S345="",T345="",U345="",W345=""),"INCOMPLETE_KEEP","COMPLETE"),IF(P345="exclude",IF(OR(V345="",W345=""),"INCOMPLETE_EXCLUDE","COMPLETE"),"NEEDS_CONTEXT"))))</x:f>
        <x:v>PENDING</x:v>
      </x:c>
    </x:row>
    <x:row r="346" ht="62" customHeight="1">
      <x:c r="A346" s="34" t="str">
        <x:v>SV-0343</x:v>
      </x:c>
      <x:c r="B346" s="34" t="str">
        <x:v>We consider the risk of influencing inflation to be improbable, 
as the full -scale implementation of the domestic digital 
currency foresees no uncontrollable issuance of hryvnia.</x:v>
      </x:c>
      <x:c r="C346" s="34" t="str"/>
      <x:c r="D346" s="34" t="str"/>
      <x:c r="E346" s="34" t="str"/>
      <x:c r="F346" s="34" t="str">
        <x:v>… vnia 
in Circulation at the Electronic Hryvnia Platform 
 Guide to Generating Basic Key Data via the 
Electronic Hryvnia Platform. 
3.7. Monetary Policy Aspects of E-Hryvnia Implementation 
The Pilot Project had no macroeconomic impact, as the 
volume of e-hryvnia transactions was minor.  
The banking system as a financial intermediary may be 
completely altered only if the majority of population and 
businesses start using e -hryvnia instead of cash and bank 
accounts. For now, we cannot be certain about the future of 
a new ecosystem.  
We consider the risk of influencing inflation to be improbable, 
as the full -scale implementation of the domestic digital 
currency foresees no uncontrollable issuance of hryvnia. 
Over the long-term horizon, there is still a risk of the central 
bank losing its ability to effectively influence the 
macroeconomic, primarily inflation, processes if the role of 
banks as financial intermediaries changes, banks lose their 
money creation function, and thus efficiency of monetary 
transmission channels goes down. 
The NBU will store any liquidity transferred from the bankin g 
system. However, if such flows become significant, especially 
during crises, the transfer of funds into e -hryvnia from 
customer accounts with bank …</x:v>
      </x:c>
      <x:c r="G346" s="34" t="str">
        <x:v>PRD-0074-P0025-U01</x:v>
      </x:c>
      <x:c r="H346" s="34" t="str"/>
      <x:c r="I346" s="34" t="str">
        <x:v>UA_NBU_E-hryvnia_2019</x:v>
      </x:c>
      <x:c r="J346" s="34" t="n">
        <x:v>25</x:v>
      </x:c>
      <x:c r="K346" s="34" t="str">
        <x:v>en</x:v>
      </x:c>
      <x:c r="L346" s="34" t="str">
        <x:v>National Bank of Ukraine (e-hryvnia pilot)</x:v>
      </x:c>
      <x:c r="M346" s="34" t="str">
        <x:v>Retain NBU own-pilot findings and resulting decisions/requirements. Prefer a specific substantive code over PROC.pilot_learning.</x:v>
      </x:c>
      <x:c r="N346" s="34" t="str">
        <x:v>text</x:v>
      </x:c>
      <x:c r="O346" s="34" t="str"/>
      <x:c r="P346" s="38" t="str"/>
      <x:c r="Q346" s="38" t="str"/>
      <x:c r="R346" s="38" t="str"/>
      <x:c r="S346" s="38" t="str"/>
      <x:c r="T346" s="38" t="str"/>
      <x:c r="U346" s="38" t="str"/>
      <x:c r="V346" s="38" t="str"/>
      <x:c r="W346" s="38" t="str"/>
      <x:c r="X346" s="38" t="str"/>
      <x:c r="Y346" s="38" t="str"/>
      <x:c r="Z346" s="38" t="str"/>
      <x:c r="AA346" s="43" t="str">
        <x:f>IF('Instructions'!$B$3="","",'Instructions'!$B$3)</x:f>
      </x:c>
      <x:c r="AB346" s="43" t="str">
        <x:f>IF(P346="","PENDING",IF('Instructions'!$B$3="","SET_INITIALS",IF(P346="keep",IF(OR(Q346="",R346="",S346="",T346="",U346="",W346=""),"INCOMPLETE_KEEP","COMPLETE"),IF(P346="exclude",IF(OR(V346="",W346=""),"INCOMPLETE_EXCLUDE","COMPLETE"),"NEEDS_CONTEXT"))))</x:f>
        <x:v>PENDING</x:v>
      </x:c>
    </x:row>
    <x:row r="347" ht="62" customHeight="1">
      <x:c r="A347" s="34" t="str">
        <x:v>SV-0344</x:v>
      </x:c>
      <x:c r="B347" s="34" t="str">
        <x:v>The identity of end users was held by each industry participant, with no identity information stored 
on the pilot CBDC platform; identity management was not a research focus of the project.</x:v>
      </x:c>
      <x:c r="C347" s="34" t="str"/>
      <x:c r="D347" s="34" t="str"/>
      <x:c r="E347" s="34" t="str"/>
      <x:c r="F347" s="34" t="str">
        <x:v>… lic platforms. This was again to simplify implementation and to reduce risks.
• Network access to the pilot CBDC platform was limited to approved industry participants and their 
authorised end users to restrict usage and reduce risks. The pilot CBDC platform provided a 
pseudonymous level of privacy in respect of pilot CBDC balances and transactions, similar to many 
public DLT platforms. 10 This was considered adequate given that privacy arrangements were not a 
research focus of the project and given the restricted access to the platform.
• The identity of end users was held by each industry participant, with no identity information stored 
on the pilot CBDC platform; identity management was not a research focus of the project.
• The pilot CBDC platform provided a hash time locked contract (HTLC) mechanism to enable the 
exchange of assets for value across different networks via an escrow mechanism (see the Glossary).
FIGURE 1: Project Ecosystem
10. Individual holdings of pilot CBDC on the platform were only associated with a blockchain address, which is a random alphanumeric string that 
contains no personal information. The identity information linked to each blockchain address was held off-ledger by the relevant entity that 
verified the identity of the holder.
De …</x:v>
      </x:c>
      <x:c r="G347" s="34" t="str">
        <x:v>PRD-0005-P0013-U01</x:v>
      </x:c>
      <x:c r="H347" s="34" t="str"/>
      <x:c r="I347" s="34" t="str">
        <x:v>AU_RBA_001</x:v>
      </x:c>
      <x:c r="J347" s="34" t="n">
        <x:v>13</x:v>
      </x:c>
      <x:c r="K347" s="34" t="str">
        <x:v>en</x:v>
      </x:c>
      <x:c r="L347" s="34" t="str">
        <x:v>Reserve Bank of Australia and Digital Finance CRC (Australian CBDC pilot)</x:v>
      </x:c>
      <x:c r="M347" s="34" t="str">
        <x:v>Retain executed joint-pilot design choices and findings. Exclude participant proposals and general tokenisation claims unless adopted by the project.</x:v>
      </x:c>
      <x:c r="N347" s="34" t="str">
        <x:v>text</x:v>
      </x:c>
      <x:c r="O347" s="34" t="str"/>
      <x:c r="P347" s="38" t="str"/>
      <x:c r="Q347" s="38" t="str"/>
      <x:c r="R347" s="38" t="str"/>
      <x:c r="S347" s="38" t="str"/>
      <x:c r="T347" s="38" t="str"/>
      <x:c r="U347" s="38" t="str"/>
      <x:c r="V347" s="38" t="str"/>
      <x:c r="W347" s="38" t="str"/>
      <x:c r="X347" s="38" t="str"/>
      <x:c r="Y347" s="38" t="str"/>
      <x:c r="Z347" s="38" t="str"/>
      <x:c r="AA347" s="43" t="str">
        <x:f>IF('Instructions'!$B$3="","",'Instructions'!$B$3)</x:f>
      </x:c>
      <x:c r="AB347" s="43" t="str">
        <x:f>IF(P347="","PENDING",IF('Instructions'!$B$3="","SET_INITIALS",IF(P347="keep",IF(OR(Q347="",R347="",S347="",T347="",U347="",W347=""),"INCOMPLETE_KEEP","COMPLETE"),IF(P347="exclude",IF(OR(V347="",W347=""),"INCOMPLETE_EXCLUDE","COMPLETE"),"NEEDS_CONTEXT"))))</x:f>
        <x:v>PENDING</x:v>
      </x:c>
    </x:row>
    <x:row r="348" ht="62" customHeight="1">
      <x:c r="A348" s="34" t="str">
        <x:v>SV-0345</x:v>
      </x:c>
      <x:c r="B348" s="34" t="str">
        <x:v>I
n Phase 2, the prototype was built using the Corda 
platform. Corda was selected after a detailed  
review of the options.</x:v>
      </x:c>
      <x:c r="C348" s="34" t="str"/>
      <x:c r="D348" s="34" t="str"/>
      <x:c r="E348" s="34" t="str"/>
      <x:c r="F348" s="34" t="str">
        <x:v>46
PROJECT JASPER    //    A Canadian Experiment with Distributed Ledger Technology for Domestic Interbank Payments Settlement
Technical Overview of Jasper Phase 2
Appendix
2
I
n Phase 2, the prototype was built using the Corda 
platform. Corda was selected after a detailed  
review of the options. Unlike some other DLT  
platforms, Corda has been designed from the ground 
up by and for financial institutions and delivers a  
DLT solution engineered to meet the unique privacy  
requirements of regulated financial institutions. 
The capabilities of the Jasper platform were expanded 
in Phase 2 to include the capability to support multi-
ple settlement options. In addition to atomic settle -
ment, the platform included a liquidity-saving mech-
anism (LSM) that supported netting of payments.  
Phase 2 High-Level Corda Design
The Jasper prot …</x:v>
      </x:c>
      <x:c r="G348" s="34" t="str">
        <x:v>PRD-0015-P0048-U01</x:v>
      </x:c>
      <x:c r="H348" s="34" t="str"/>
      <x:c r="I348" s="34" t="str">
        <x:v>CA_Jasper_Phase12_2017</x:v>
      </x:c>
      <x:c r="J348" s="34" t="n">
        <x:v>48</x:v>
      </x:c>
      <x:c r="K348" s="34" t="str">
        <x:v>en</x:v>
      </x:c>
      <x:c r="L348" s="34" t="str">
        <x:v>Bank of Canada and Payments Canada (Project Jasper)</x:v>
      </x:c>
      <x:c r="M348" s="34" t="str">
        <x:v>Retain executed Project Jasper design choices and findings. Exclude general DLT literature and external examples.</x:v>
      </x:c>
      <x:c r="N348" s="34" t="str">
        <x:v>text</x:v>
      </x:c>
      <x:c r="O348" s="34" t="str"/>
      <x:c r="P348" s="38" t="str"/>
      <x:c r="Q348" s="38" t="str"/>
      <x:c r="R348" s="38" t="str"/>
      <x:c r="S348" s="38" t="str"/>
      <x:c r="T348" s="38" t="str"/>
      <x:c r="U348" s="38" t="str"/>
      <x:c r="V348" s="38" t="str"/>
      <x:c r="W348" s="38" t="str"/>
      <x:c r="X348" s="38" t="str"/>
      <x:c r="Y348" s="38" t="str"/>
      <x:c r="Z348" s="38" t="str"/>
      <x:c r="AA348" s="43" t="str">
        <x:f>IF('Instructions'!$B$3="","",'Instructions'!$B$3)</x:f>
      </x:c>
      <x:c r="AB348" s="43" t="str">
        <x:f>IF(P348="","PENDING",IF('Instructions'!$B$3="","SET_INITIALS",IF(P348="keep",IF(OR(Q348="",R348="",S348="",T348="",U348="",W348=""),"INCOMPLETE_KEEP","COMPLETE"),IF(P348="exclude",IF(OR(V348="",W348=""),"INCOMPLETE_EXCLUDE","COMPLETE"),"NEEDS_CONTEXT"))))</x:f>
        <x:v>PENDING</x:v>
      </x:c>
    </x:row>
    <x:row r="349" ht="62" customHeight="1">
      <x:c r="A349" s="34" t="str">
        <x:v>SV-0346</x:v>
      </x:c>
      <x:c r="B349" s="34" t="str">
        <x:v>Each bank was responsible for configuring  
its own node on the network, and the seven banks used  
a mixture of physical machines, on-premise virtual 
machines and cloud-based virtual machines.</x:v>
      </x:c>
      <x:c r="C349" s="34" t="str"/>
      <x:c r="D349" s="34" t="str"/>
      <x:c r="E349" s="34" t="str"/>
      <x:c r="F349" s="34" t="str">
        <x:v>… it investigates 
whether confidentiality could be achieved at scale, i.e.  
with production-level volumes, and whether multiple  
node types, each configured by a participating bank,  
could be accommodated.
The project was built on Quorum, using Istanbul Byzantine 
Fault Tolerance (IBFT), Pedersen commitments and 
range proofs to deliver on the combination of scalability, 
resilience, confidentiality and finality. This is thought  
to be the first time that a PoC has used Pedersen 
commitments and range proofs on a Quorum network 
using IBFT. Each bank was responsible for configuring  
its own node on the network, and the seven banks used  
a mixture of physical machines, on-premise virtual 
machines and cloud-based virtual machines.
The results show that the typical daily volume of the 
South African payments system could be processed  
in less than two hours with full confidentiality of 
transactions and settlement finality. This was done using 
ISO 20022 standard messages, propagated within two 
seconds, across a network of geographically distributed 
nodes, with distributed consensus providing the requisite 
resilience. The SARB was able to view the detail of all the 
transactions to allow for regulatory oversight.
This project has laid the foundations for future 
coll …</x:v>
      </x:c>
      <x:c r="G349" s="34" t="str">
        <x:v>PRD-0087-P0006-U01</x:v>
      </x:c>
      <x:c r="H349" s="34" t="str"/>
      <x:c r="I349" s="34" t="str">
        <x:v>ZA_SARB_SARB_ProjectKhokha-20180605</x:v>
      </x:c>
      <x:c r="J349" s="34" t="n">
        <x:v>6</x:v>
      </x:c>
      <x:c r="K349" s="34" t="str">
        <x:v>en</x:v>
      </x:c>
      <x:c r="L349" s="34" t="str">
        <x:v>South African Reserve Bank</x:v>
      </x:c>
      <x:c r="M349" s="34" t="str">
        <x:v>Retain the named authority's own CBDC decisions, explicit proposals, requirements, features, and executed findings. Exclude generic context, literature, foreign projects, and stakeholder views not explicitly adopted by the authority.</x:v>
      </x:c>
      <x:c r="N349" s="34" t="str">
        <x:v>text</x:v>
      </x:c>
      <x:c r="O349" s="34" t="str"/>
      <x:c r="P349" s="38" t="str"/>
      <x:c r="Q349" s="38" t="str"/>
      <x:c r="R349" s="38" t="str"/>
      <x:c r="S349" s="38" t="str"/>
      <x:c r="T349" s="38" t="str"/>
      <x:c r="U349" s="38" t="str"/>
      <x:c r="V349" s="38" t="str"/>
      <x:c r="W349" s="38" t="str"/>
      <x:c r="X349" s="38" t="str"/>
      <x:c r="Y349" s="38" t="str"/>
      <x:c r="Z349" s="38" t="str"/>
      <x:c r="AA349" s="43" t="str">
        <x:f>IF('Instructions'!$B$3="","",'Instructions'!$B$3)</x:f>
      </x:c>
      <x:c r="AB349" s="43" t="str">
        <x:f>IF(P349="","PENDING",IF('Instructions'!$B$3="","SET_INITIALS",IF(P349="keep",IF(OR(Q349="",R349="",S349="",T349="",U349="",W349=""),"INCOMPLETE_KEEP","COMPLETE"),IF(P349="exclude",IF(OR(V349="",W349=""),"INCOMPLETE_EXCLUDE","COMPLETE"),"NEEDS_CONTEXT"))))</x:f>
        <x:v>PENDING</x:v>
      </x:c>
    </x:row>
    <x:row r="350" ht="62" customHeight="1">
      <x:c r="A350" s="34" t="str">
        <x:v>SV-0347</x:v>
      </x:c>
      <x:c r="B350" s="34" t="str">
        <x:v>to limit CBDC to small amounts for each user is the 
strategy to fulfill cash use without harming other instruments.</x:v>
      </x:c>
      <x:c r="C350" s="34" t="str"/>
      <x:c r="D350" s="34" t="str"/>
      <x:c r="E350" s="34" t="str"/>
      <x:c r="F350" s="34" t="str">
        <x:v>… ruments to improve limited inclusion, see Arauz et. al. (2021) on Ecuador’s CBDC 
case. The promotion of electronic payments, automated teller machines (ATM)  and 
Points of Sale ( POS) terminals increased in Uruguay after the 201 4 Financial Inclusion 
Law was passed by  Congress. The consi deration of a digital currency  issued by the 
central bank was seen at first sight a s competition with private electronic means of 
payments. This was part of the motivation to research the use of cash. The use of cash for 
small payments is the rule and to limit CBDC to small amounts for each user is the 
strategy to fulfill cash use without harming other instruments. The e -peso pilot plan 
results sh ows this issue was completely fulfilled by the pilot, mainly small payments 
were issued during the six months and also peer to peer payments were released2.  
Departing from a totally different situation the aim the  Swedish Riksbank in the research 
of e-Krona is almost the same. Financial inclus ion is not a big problem for Sweden but 
the decline in the use of cash is the motivation to issue a digital currency. The elderly and 
other vulnerable groups who may have access only to cash may need an electroni …</x:v>
      </x:c>
      <x:c r="G350" s="34" t="str">
        <x:v>PRD-0083-P0006-U01</x:v>
      </x:c>
      <x:c r="H350" s="34" t="str"/>
      <x:c r="I350" s="34" t="str">
        <x:v>UY_BCU_Seven_Lessons_2022</x:v>
      </x:c>
      <x:c r="J350" s="34" t="n">
        <x:v>6</x:v>
      </x:c>
      <x:c r="K350" s="34" t="str">
        <x:v>en</x:v>
      </x:c>
      <x:c r="L350" s="34" t="str">
        <x:v>Banco Central del Uruguay (e-Peso pilot)</x:v>
      </x:c>
      <x:c r="M350" s="34" t="str">
        <x:v>Retain BCU own-pilot findings and resulting design lessons; exclude cited literature.</x:v>
      </x:c>
      <x:c r="N350" s="34" t="str">
        <x:v>text</x:v>
      </x:c>
      <x:c r="O350" s="34" t="str"/>
      <x:c r="P350" s="38" t="str"/>
      <x:c r="Q350" s="38" t="str"/>
      <x:c r="R350" s="38" t="str"/>
      <x:c r="S350" s="38" t="str"/>
      <x:c r="T350" s="38" t="str"/>
      <x:c r="U350" s="38" t="str"/>
      <x:c r="V350" s="38" t="str"/>
      <x:c r="W350" s="38" t="str"/>
      <x:c r="X350" s="38" t="str"/>
      <x:c r="Y350" s="38" t="str"/>
      <x:c r="Z350" s="38" t="str"/>
      <x:c r="AA350" s="43" t="str">
        <x:f>IF('Instructions'!$B$3="","",'Instructions'!$B$3)</x:f>
      </x:c>
      <x:c r="AB350" s="43" t="str">
        <x:f>IF(P350="","PENDING",IF('Instructions'!$B$3="","SET_INITIALS",IF(P350="keep",IF(OR(Q350="",R350="",S350="",T350="",U350="",W350=""),"INCOMPLETE_KEEP","COMPLETE"),IF(P350="exclude",IF(OR(V350="",W350=""),"INCOMPLETE_EXCLUDE","COMPLETE"),"NEEDS_CONTEXT"))))</x:f>
        <x:v>PENDING</x:v>
      </x:c>
    </x:row>
    <x:row r="351" ht="62" customHeight="1">
      <x:c r="A351" s="34" t="str">
        <x:v>SV-0348</x:v>
      </x:c>
      <x:c r="B351" s="34" t="str">
        <x:v>In iteration 3 the transactions are confidential and the 
SARB node approves all the transactions after checks.</x:v>
      </x:c>
      <x:c r="C351" s="34" t="str"/>
      <x:c r="D351" s="34" t="str"/>
      <x:c r="E351" s="34" t="str"/>
      <x:c r="F351" s="34" t="str">
        <x:v>42 Fintech Report  Project Khokha
CHAPTER 3 | RESULTS
Performance tests
The details of the performance tests for iterations 3 and 4 
are shown below. Note that the number of nodes shown 
is for the participant banks, and that it excludes the 
ConsenSys and SARB nodes shown above, which were 
on the network for all the transactions. The specifications 
above were upgraded for the second and third run  
in iteration 4.
ITERATION 3 RESULTS
In iteration 3 the transactions are confidential and the 
SARB node approves all the transactions after checks.
Table 4: Results for the testing of iteration 3
Iteration 3
Test run 1 Test run 2 Test run 3
Test type First benchmark test  
on iteration 3
Second benchmark test  
on iteration 3
Third benchmark test  
on iteration 3
Date 3 April 2018 6 April 2018 12 April 2018
Nodes (banks) 4 5 7
Total transactions 70 000 90 000 90 000
Duration 1h 14m 21s 1h 15m 51s 1h 16m 00s
Processing speed 15.69 tx/s 19.78 tx/s 19.74 tx/s
Node specifications Four cores, 16GB RAM Four cores, 16GB RAM Four cores, 16GB RAM</x:v>
      </x:c>
      <x:c r="G351" s="34" t="str">
        <x:v>PRD-0087-P0042-U01</x:v>
      </x:c>
      <x:c r="H351" s="34" t="str"/>
      <x:c r="I351" s="34" t="str">
        <x:v>ZA_SARB_SARB_ProjectKhokha-20180605</x:v>
      </x:c>
      <x:c r="J351" s="34" t="n">
        <x:v>42</x:v>
      </x:c>
      <x:c r="K351" s="34" t="str">
        <x:v>en</x:v>
      </x:c>
      <x:c r="L351" s="34" t="str">
        <x:v>South African Reserve Bank</x:v>
      </x:c>
      <x:c r="M351" s="34" t="str">
        <x:v>Retain the named authority's own CBDC decisions, explicit proposals, requirements, features, and executed findings. Exclude generic context, literature, foreign projects, and stakeholder views not explicitly adopted by the authority.</x:v>
      </x:c>
      <x:c r="N351" s="34" t="str">
        <x:v>text</x:v>
      </x:c>
      <x:c r="O351" s="34" t="str"/>
      <x:c r="P351" s="38" t="str"/>
      <x:c r="Q351" s="38" t="str"/>
      <x:c r="R351" s="38" t="str"/>
      <x:c r="S351" s="38" t="str"/>
      <x:c r="T351" s="38" t="str"/>
      <x:c r="U351" s="38" t="str"/>
      <x:c r="V351" s="38" t="str"/>
      <x:c r="W351" s="38" t="str"/>
      <x:c r="X351" s="38" t="str"/>
      <x:c r="Y351" s="38" t="str"/>
      <x:c r="Z351" s="38" t="str"/>
      <x:c r="AA351" s="43" t="str">
        <x:f>IF('Instructions'!$B$3="","",'Instructions'!$B$3)</x:f>
      </x:c>
      <x:c r="AB351" s="43" t="str">
        <x:f>IF(P351="","PENDING",IF('Instructions'!$B$3="","SET_INITIALS",IF(P351="keep",IF(OR(Q351="",R351="",S351="",T351="",U351="",W351=""),"INCOMPLETE_KEEP","COMPLETE"),IF(P351="exclude",IF(OR(V351="",W351=""),"INCOMPLETE_EXCLUDE","COMPLETE"),"NEEDS_CONTEXT"))))</x:f>
        <x:v>PENDING</x:v>
      </x:c>
    </x:row>
    <x:row r="352" ht="62" customHeight="1">
      <x:c r="A352" s="34" t="str">
        <x:v>SV-0349</x:v>
      </x:c>
      <x:c r="B352" s="34" t="str">
        <x:v>The performance of public DLTs in handling 
high-volume retail transactions is a major issue.</x:v>
      </x:c>
      <x:c r="C352" s="34" t="str"/>
      <x:c r="D352" s="34" t="str"/>
      <x:c r="E352" s="34" t="str"/>
      <x:c r="F352" s="34" t="str">
        <x:v>… HKD might not yet be universally accepted. 
By ensuring easy interchangeability, an e-HKD 
can integrate smoothly into Hong Kong’s broader 
financial system, encouraging adoption while 
minimising disruption.
Reliability and Performance
The increasing deployment of tokenised assets 
on public DLTs naturally prompts an investigation 
into the feasibility of issuing an e-HKD on public 
DLTs. The pilot outcomes highlight several 
key considerations which must be addressed 
before an e-HKD can be considered suitable for 
deployment on public DLTs.
The performance of public DLTs in handling 
high-volume retail transactions is a major issue. 
Not all public DLTs are designed to handle high 
frequency transactions. For instance, Ethereum, 
a Layer 1 network, can only process about 15-30 
transactions per second. However, the pilots have 
shown that certain public DLTs can process high-
frequency transactions more efficiently without 
encountering performance issues.
Gas fees are another challenge. They vary 
depending on computational demands and 
market conditions, creating uncertainty in costs 
and processing times. This unpredictability 
contrasts with user expectations shaped b …</x:v>
      </x:c>
      <x:c r="G352" s="34" t="str">
        <x:v>PRD-0093-P0036-U01</x:v>
      </x:c>
      <x:c r="H352" s="34" t="str"/>
      <x:c r="I352" s="34" t="str">
        <x:v>HK_HKMA_eHKD_Phase2_2025</x:v>
      </x:c>
      <x:c r="J352" s="34" t="n">
        <x:v>36</x:v>
      </x:c>
      <x:c r="K352" s="34" t="str">
        <x:v>en</x:v>
      </x:c>
      <x:c r="L352" s="34" t="str">
        <x:v>Hong Kong Monetary Authority (e-HKD Phase 2 pilots)</x:v>
      </x:c>
      <x:c r="M352" s="34" t="str">
        <x:v>Retain complete e-HKD pilot findings, conclusions, and HKMA requirements. Quote the complete claim before any trailing fragment.</x:v>
      </x:c>
      <x:c r="N352" s="34" t="str">
        <x:v>text</x:v>
      </x:c>
      <x:c r="O352" s="34" t="str"/>
      <x:c r="P352" s="38" t="str"/>
      <x:c r="Q352" s="38" t="str"/>
      <x:c r="R352" s="38" t="str"/>
      <x:c r="S352" s="38" t="str"/>
      <x:c r="T352" s="38" t="str"/>
      <x:c r="U352" s="38" t="str"/>
      <x:c r="V352" s="38" t="str"/>
      <x:c r="W352" s="38" t="str"/>
      <x:c r="X352" s="38" t="str"/>
      <x:c r="Y352" s="38" t="str"/>
      <x:c r="Z352" s="38" t="str"/>
      <x:c r="AA352" s="43" t="str">
        <x:f>IF('Instructions'!$B$3="","",'Instructions'!$B$3)</x:f>
      </x:c>
      <x:c r="AB352" s="43" t="str">
        <x:f>IF(P352="","PENDING",IF('Instructions'!$B$3="","SET_INITIALS",IF(P352="keep",IF(OR(Q352="",R352="",S352="",T352="",U352="",W352=""),"INCOMPLETE_KEEP","COMPLETE"),IF(P352="exclude",IF(OR(V352="",W352=""),"INCOMPLETE_EXCLUDE","COMPLETE"),"NEEDS_CONTEXT"))))</x:f>
        <x:v>PENDING</x:v>
      </x:c>
    </x:row>
    <x:row r="353" ht="62" customHeight="1">
      <x:c r="A353" s="34" t="str">
        <x:v>SV-0350</x:v>
      </x:c>
      <x:c r="B353" s="34" t="str">
        <x:v>The signature of the supervisory node is 
then sought, and upon obtaining this signature, the 
sender initiates the last leg of the transaction by sub-
mitting the DDR Object to the notary for its signature.</x:v>
      </x:c>
      <x:c r="C353" s="34" t="str"/>
      <x:c r="D353" s="34" t="str"/>
      <x:c r="E353" s="34" t="str"/>
      <x:c r="F353" s="34" t="str">
        <x:v>… a 
transaction using the atomic settlement option. Once 
this request has been made, a DDR Object is created 
with the data attributes identifying owner (sender), 
receiver , value, issuer31 (Bank of Canada), and date. 
The DDR Object is signed by the sender and sent to 
the recipient for inspection and agreement on the 
data attributes. If the recipient agrees with the con-
tents of the DDR Object, it counter-signs and returns 
the Object to the sender . Note that this counter-sig-
nature procedure is distinct from current payments 
practice. The signature of the supervisory node is 
then sought, and upon obtaining this signature, the 
sender initiates the last leg of the transaction by sub-
mitting the DDR Object to the notary for its signature. 
The notary performs its uniqueness checks on the 
DDR Object, including confirmation of the signatures 
of the sender and recipient, and inspection of the data 
attributes. If satisfied, the notary then adds its signa-
ture and records the DDR Object on its ledger . The 
proprietary ledger of the sender is updated with com-
mitment of the DDR Object, and this commitment is 
broadcast to the recipient, which records the DDR Ob-
ject on its proprietary ledger to complete the transaction.
LSM Exchange32
The LSM settlement option encompasses a ce …</x:v>
      </x:c>
      <x:c r="G353" s="34" t="str">
        <x:v>PRD-0015-P0026-U01</x:v>
      </x:c>
      <x:c r="H353" s="34" t="str"/>
      <x:c r="I353" s="34" t="str">
        <x:v>CA_Jasper_Phase12_2017</x:v>
      </x:c>
      <x:c r="J353" s="34" t="n">
        <x:v>26</x:v>
      </x:c>
      <x:c r="K353" s="34" t="str">
        <x:v>en</x:v>
      </x:c>
      <x:c r="L353" s="34" t="str">
        <x:v>Bank of Canada and Payments Canada (Project Jasper)</x:v>
      </x:c>
      <x:c r="M353" s="34" t="str">
        <x:v>Retain executed Project Jasper design choices and findings. Exclude general DLT literature and external examples.</x:v>
      </x:c>
      <x:c r="N353" s="34" t="str">
        <x:v>text</x:v>
      </x:c>
      <x:c r="O353" s="34" t="str"/>
      <x:c r="P353" s="38" t="str"/>
      <x:c r="Q353" s="38" t="str"/>
      <x:c r="R353" s="38" t="str"/>
      <x:c r="S353" s="38" t="str"/>
      <x:c r="T353" s="38" t="str"/>
      <x:c r="U353" s="38" t="str"/>
      <x:c r="V353" s="38" t="str"/>
      <x:c r="W353" s="38" t="str"/>
      <x:c r="X353" s="38" t="str"/>
      <x:c r="Y353" s="38" t="str"/>
      <x:c r="Z353" s="38" t="str"/>
      <x:c r="AA353" s="43" t="str">
        <x:f>IF('Instructions'!$B$3="","",'Instructions'!$B$3)</x:f>
      </x:c>
      <x:c r="AB353" s="43" t="str">
        <x:f>IF(P353="","PENDING",IF('Instructions'!$B$3="","SET_INITIALS",IF(P353="keep",IF(OR(Q353="",R353="",S353="",T353="",U353="",W353=""),"INCOMPLETE_KEEP","COMPLETE"),IF(P353="exclude",IF(OR(V353="",W353=""),"INCOMPLETE_EXCLUDE","COMPLETE"),"NEEDS_CONTEXT"))))</x:f>
        <x:v>PENDING</x:v>
      </x:c>
    </x:row>
    <x:row r="354" ht="62" customHeight="1">
      <x:c r="A354" s="34" t="str">
        <x:v>SV-0351</x:v>
      </x:c>
      <x:c r="B354" s="34" t="str">
        <x:v>Phase I of Project Cedar was 
designed around a multi-ledger construct in which each currency was 
maintained on a separate ledger, operated by its respective simulated central 
bank.</x:v>
      </x:c>
      <x:c r="C354" s="34" t="str"/>
      <x:c r="D354" s="34" t="str"/>
      <x:c r="E354" s="34" t="str"/>
      <x:c r="F354" s="34" t="str">
        <x:v>… ational 
objectives, several important research topics were designated as out of scope 
for Phase I, including scalability, privacy, and programmability. Additionally, 
non-settlement processes, such as market making and AML/OFAC, were 
assumed to take place off-ledger and were abstracted for the purposes of the 
prototype.
Solution Concept
Core to Project Cedar’s solution is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x:v>
      </x:c>
      <x:c r="G354" s="34" t="str">
        <x:v>PRD-0081-P0012-U01</x:v>
      </x:c>
      <x:c r="H354" s="34" t="str"/>
      <x:c r="I354" s="34" t="str">
        <x:v>US_NYFed_CedarPhaseOne_2022</x:v>
      </x:c>
      <x:c r="J354" s="34" t="n">
        <x:v>12</x:v>
      </x:c>
      <x:c r="K354" s="34" t="str">
        <x:v>en</x:v>
      </x:c>
      <x:c r="L354" s="34" t="str">
        <x:v>Federal Reserve Bank of New York (Project Cedar Phase I)</x:v>
      </x:c>
      <x:c r="M354" s="34" t="str">
        <x:v>Retain executed Project Cedar design choices and findings. Exclude general wholesale-CBDC or DLT background.</x:v>
      </x:c>
      <x:c r="N354" s="34" t="str">
        <x:v>text</x:v>
      </x:c>
      <x:c r="O354" s="34" t="str"/>
      <x:c r="P354" s="38" t="str"/>
      <x:c r="Q354" s="38" t="str"/>
      <x:c r="R354" s="38" t="str"/>
      <x:c r="S354" s="38" t="str"/>
      <x:c r="T354" s="38" t="str"/>
      <x:c r="U354" s="38" t="str"/>
      <x:c r="V354" s="38" t="str"/>
      <x:c r="W354" s="38" t="str"/>
      <x:c r="X354" s="38" t="str"/>
      <x:c r="Y354" s="38" t="str"/>
      <x:c r="Z354" s="38" t="str"/>
      <x:c r="AA354" s="43" t="str">
        <x:f>IF('Instructions'!$B$3="","",'Instructions'!$B$3)</x:f>
      </x:c>
      <x:c r="AB354" s="43" t="str">
        <x:f>IF(P354="","PENDING",IF('Instructions'!$B$3="","SET_INITIALS",IF(P354="keep",IF(OR(Q354="",R354="",S354="",T354="",U354="",W354=""),"INCOMPLETE_KEEP","COMPLETE"),IF(P354="exclude",IF(OR(V354="",W354=""),"INCOMPLETE_EXCLUDE","COMPLETE"),"NEEDS_CONTEXT"))))</x:f>
        <x:v>PENDING</x:v>
      </x:c>
    </x:row>
    <x:row r="355" ht="62" customHeight="1">
      <x:c r="A355" s="34" t="str">
        <x:v>SV-0352</x:v>
      </x:c>
      <x:c r="B355" s="34" t="str">
        <x:v>The distributed ledger technology (DLT, blockchain) can be used as a platform for e-hryvnia issuance and circulation. 
 However, main advantages of the technology, including the absence of a single center of trust and the capability of any 
person to check any transaction, cannot be used together with the centralized e -hryvnia issuance model. Thus, it is not 
critical whether this technology is used if the centralized model is chosen.</x:v>
      </x:c>
      <x:c r="C355" s="34" t="str"/>
      <x:c r="D355" s="34" t="str"/>
      <x:c r="E355" s="34" t="str"/>
      <x:c r="F355" s="34" t="str">
        <x:v>… astructure for this instrument. The reason is that Ukraine’s market of payment services is characterized by high 
competition and concentration as well as the established infrastructure. 
5. For e-hryvnia to become a truly mass product, it should b e promoted to the population bearing in mind the existing 
customer habits. 
6. Implementation of e -hryvnia in Ukraine’s payment market should be in line with the possible implementation of other 
innovative payment instruments, including instant payments and new Open Banking instruments. 
7. The distributed ledger technology (DLT, blockchain) can be used as a platform for e-hryvnia issuance and circulation. 
 However, main advantages of the technology, including the absence of a single center of trust and the capability of any 
person to check any transaction, cannot be used together with the centralized e -hryvnia issuance model. Thus, it is not 
critical whether this technology is used if the centralized model is chosen. 
 The mentioned advantages would be more e fficient for the decentralized model of e -hryvnia issuance versus the 
centralized one. 
8. The private version of the Stellar blockchain protocol, which has been tested under the Pilot Project, was functioning in 
the regular mode and may be used in local (ban k-level) electronic money systems after some finalization. We cannot 
use that version to build the national -scale system, as it is practically impossible to update it following the development 
of the basic Stellar blockchain protocol. Ins …</x:v>
      </x:c>
      <x:c r="G355" s="34" t="str">
        <x:v>PRD-0074-P0033-U01</x:v>
      </x:c>
      <x:c r="H355" s="34" t="str"/>
      <x:c r="I355" s="34" t="str">
        <x:v>UA_NBU_E-hryvnia_2019</x:v>
      </x:c>
      <x:c r="J355" s="34" t="n">
        <x:v>33</x:v>
      </x:c>
      <x:c r="K355" s="34" t="str">
        <x:v>en</x:v>
      </x:c>
      <x:c r="L355" s="34" t="str">
        <x:v>National Bank of Ukraine (e-hryvnia pilot)</x:v>
      </x:c>
      <x:c r="M355" s="34" t="str">
        <x:v>Retain NBU own-pilot findings and resulting decisions/requirements. Prefer a specific substantive code over PROC.pilot_learning.</x:v>
      </x:c>
      <x:c r="N355" s="34" t="str">
        <x:v>text</x:v>
      </x:c>
      <x:c r="O355" s="34" t="str"/>
      <x:c r="P355" s="38" t="str"/>
      <x:c r="Q355" s="38" t="str"/>
      <x:c r="R355" s="38" t="str"/>
      <x:c r="S355" s="38" t="str"/>
      <x:c r="T355" s="38" t="str"/>
      <x:c r="U355" s="38" t="str"/>
      <x:c r="V355" s="38" t="str"/>
      <x:c r="W355" s="38" t="str"/>
      <x:c r="X355" s="38" t="str"/>
      <x:c r="Y355" s="38" t="str"/>
      <x:c r="Z355" s="38" t="str"/>
      <x:c r="AA355" s="43" t="str">
        <x:f>IF('Instructions'!$B$3="","",'Instructions'!$B$3)</x:f>
      </x:c>
      <x:c r="AB355" s="43" t="str">
        <x:f>IF(P355="","PENDING",IF('Instructions'!$B$3="","SET_INITIALS",IF(P355="keep",IF(OR(Q355="",R355="",S355="",T355="",U355="",W355=""),"INCOMPLETE_KEEP","COMPLETE"),IF(P355="exclude",IF(OR(V355="",W355=""),"INCOMPLETE_EXCLUDE","COMPLETE"),"NEEDS_CONTEXT"))))</x:f>
        <x:v>PENDING</x:v>
      </x:c>
    </x:row>
    <x:row r="356" ht="62" customHeight="1">
      <x:c r="A356" s="34" t="str">
        <x:v>SV-0353</x:v>
      </x:c>
      <x:c r="B356" s="34" t="str">
        <x:v>With regard to a 
potential roll-out of CBDC in the Kingdom of Eswatini, the CBE will treat the topic 
of information security with the highest priority.</x:v>
      </x:c>
      <x:c r="C356" s="34" t="str"/>
      <x:c r="D356" s="34" t="str"/>
      <x:c r="E356" s="34" t="str"/>
      <x:c r="F356" s="34" t="str">
        <x:v>Digital Lilangeni Design Paper 
 37 
• Information Security: Security of such a digital currency remains priority of the CBE 
also for a potential Digital Lilangeni. The need to secure all processes along the 
CBDC token lifecycle derives from the responsibility that the Central Bank has 
towards the citizens of Eswatini to provide a secure fiat currency. With regard to a 
potential roll-out of CBDC in the Kingdom of Eswatini, the CBE will treat the topic 
of information security with the highest priority.  
Besides those learnings for the potential Digital Lilangeni ecosystem and architecture, the 
CBE also gained some more learnings with regard to such CBDC initiatives:  
• Timeline: A key learning from the FSP Pilot Project was the importance of time 
management. It turned out that the integration effort, which is required in such a 
two-tier hybrid CBDC infrastructure, cannot be estimated precisely in advance. It 
is important  to note that the actual time that is needed for executing the 
integration can also vary from stakeholder to stak …</x:v>
      </x:c>
      <x:c r="G356" s="34" t="str">
        <x:v>PRD-0069-P0038-U01</x:v>
      </x:c>
      <x:c r="H356" s="34" t="str"/>
      <x:c r="I356" s="34" t="str">
        <x:v>SZ_Eswatini_2024-Fintech-Digital-Lilangeni-Design-Paper</x:v>
      </x:c>
      <x:c r="J356" s="34" t="n">
        <x:v>38</x:v>
      </x:c>
      <x:c r="K356" s="34" t="str">
        <x:v>en</x:v>
      </x:c>
      <x:c r="L356" s="34" t="str">
        <x:v>Central Bank of Eswatini (Digital Lilangeni)</x:v>
      </x:c>
      <x:c r="M356" s="34" t="str">
        <x:v>Retain Central Bank of Eswatini design decisions, proposals, features, and requirements; use the supplied render when text is sparse.</x:v>
      </x:c>
      <x:c r="N356" s="34" t="str">
        <x:v>text</x:v>
      </x:c>
      <x:c r="O356" s="34" t="str"/>
      <x:c r="P356" s="38" t="str"/>
      <x:c r="Q356" s="38" t="str"/>
      <x:c r="R356" s="38" t="str"/>
      <x:c r="S356" s="38" t="str"/>
      <x:c r="T356" s="38" t="str"/>
      <x:c r="U356" s="38" t="str"/>
      <x:c r="V356" s="38" t="str"/>
      <x:c r="W356" s="38" t="str"/>
      <x:c r="X356" s="38" t="str"/>
      <x:c r="Y356" s="38" t="str"/>
      <x:c r="Z356" s="38" t="str"/>
      <x:c r="AA356" s="43" t="str">
        <x:f>IF('Instructions'!$B$3="","",'Instructions'!$B$3)</x:f>
      </x:c>
      <x:c r="AB356" s="43" t="str">
        <x:f>IF(P356="","PENDING",IF('Instructions'!$B$3="","SET_INITIALS",IF(P356="keep",IF(OR(Q356="",R356="",S356="",T356="",U356="",W356=""),"INCOMPLETE_KEEP","COMPLETE"),IF(P356="exclude",IF(OR(V356="",W356=""),"INCOMPLETE_EXCLUDE","COMPLETE"),"NEEDS_CONTEXT"))))</x:f>
        <x:v>PENDING</x:v>
      </x:c>
    </x:row>
    <x:row r="357" ht="62" customHeight="1">
      <x:c r="A357" s="34" t="str">
        <x:v>SV-0354</x:v>
      </x:c>
      <x:c r="B357" s="34" t="str">
        <x:v>In the case of P2P and P2M payments made at any CBDC QR, the transactions 
happen between two e₹ wallets, and are settled instantaneously without passing 
through user’s bank accounts.</x:v>
      </x:c>
      <x:c r="C357" s="34" t="str"/>
      <x:c r="D357" s="34" t="str"/>
      <x:c r="E357" s="34" t="str"/>
      <x:c r="F357" s="34" t="str">
        <x:v>… ank 
note shall be legal tender at any place in India in payment or on account for the 
amount expressed therein and is guaranteed by the Central Government. e₹, being 
a digital form of the ₹ bank note, is legal tender and is the liability of Reserve Bank 
of India. 
19. Is there any difference between e₹ and UPI? 
e₹ is a digital form of ₹ whereas UPI is a means of payment. In addition to being 
used for payments, e₹ also serves as a ‘store of value’ , i.e., e₹ can be withdrawn 
from one’s bank account and kept separately in the e₹ wallet.  
In the case of P2P and P2M payments made at any CBDC QR, the transactions 
happen between two e₹ wallets, and are settled instantaneously without passing 
through user’s bank accounts. 
For P2P and P2M payments, the functionality of scanning a UPI QR from an e₹ 
app has also been enabled. In such cases, the settlement will be based on the UPI 
settlement timelines.  
20. What is offline feature of e₹?  
The offline feature of e₹ enables the user to transact in locations with limited or no 
internet connectivity. It is expected to mirror the advantages of physical cash, 
making it a reliable solution for usage in remote areas.  Currently, different 
solutions are being explored. One solution facilitates transactions without i …</x:v>
      </x:c>
      <x:c r="G357" s="34" t="str">
        <x:v>PRD-0040-P0004-U01</x:v>
      </x:c>
      <x:c r="H357" s="34" t="str"/>
      <x:c r="I357" s="34" t="str">
        <x:v>IN_RBI_2025</x:v>
      </x:c>
      <x:c r="J357" s="34" t="n">
        <x:v>4</x:v>
      </x:c>
      <x:c r="K357" s="34" t="str">
        <x:v>en</x:v>
      </x:c>
      <x:c r="L357" s="34" t="str">
        <x:v>Reserve Bank of India (digital rupee)</x:v>
      </x:c>
      <x:c r="M357" s="34" t="str">
        <x:v>Retain the named authority's own CBDC decisions, explicit proposals, requirements, features, and executed findings. Exclude generic context, literature, foreign projects, and stakeholder views not explicitly adopted by the authority.</x:v>
      </x:c>
      <x:c r="N357" s="34" t="str">
        <x:v>text</x:v>
      </x:c>
      <x:c r="O357" s="34" t="str"/>
      <x:c r="P357" s="38" t="str"/>
      <x:c r="Q357" s="38" t="str"/>
      <x:c r="R357" s="38" t="str"/>
      <x:c r="S357" s="38" t="str"/>
      <x:c r="T357" s="38" t="str"/>
      <x:c r="U357" s="38" t="str"/>
      <x:c r="V357" s="38" t="str"/>
      <x:c r="W357" s="38" t="str"/>
      <x:c r="X357" s="38" t="str"/>
      <x:c r="Y357" s="38" t="str"/>
      <x:c r="Z357" s="38" t="str"/>
      <x:c r="AA357" s="43" t="str">
        <x:f>IF('Instructions'!$B$3="","",'Instructions'!$B$3)</x:f>
      </x:c>
      <x:c r="AB357" s="43" t="str">
        <x:f>IF(P357="","PENDING",IF('Instructions'!$B$3="","SET_INITIALS",IF(P357="keep",IF(OR(Q357="",R357="",S357="",T357="",U357="",W357=""),"INCOMPLETE_KEEP","COMPLETE"),IF(P357="exclude",IF(OR(V357="",W357=""),"INCOMPLETE_EXCLUDE","COMPLETE"),"NEEDS_CONTEXT"))))</x:f>
        <x:v>PENDING</x:v>
      </x:c>
    </x:row>
    <x:row r="358" ht="62" customHeight="1">
      <x:c r="A358" s="34" t="str">
        <x:v>SV-0355</x:v>
      </x:c>
      <x:c r="B358" s="34" t="str">
        <x:v>the Bank may also wish to collect 
aggregate data, which have been effectively anonymised, for the purposes of economic and 
policy analysis, in the course of its duties for monetary and financial stability.</x:v>
      </x:c>
      <x:c r="C358" s="34" t="str"/>
      <x:c r="D358" s="34" t="str"/>
      <x:c r="E358" s="34" t="str"/>
      <x:c r="F358" s="34" t="str">
        <x:v>… ne could collect the 
relevant data from both the core ledger and the API layer, transforming these data in flight, 
and persisting to a platform where analysis can be undertaken safely, away from the core 
systems. This data platform could be configured specifically for data analytics, reporting and 
modelling. It would also be used to pre-empt and alert system failures, bottlenecks and 
anomalous events that may negatively impact the performance and efficiency of the CBDC 
system.  
Much as it does today with existing payment infrastructure, the Bank may also wish to collect 
aggregate data, which have been effectively anonymised, for the purposes of economic and 
policy analysis, in the course of its duties for monetary and financial stability.  
Importantly, no CBDC user would be identifiable through the analysis of these data. The 
Bank will consult in due course on what aggregated data might be collected and for what 
purposes. 
Next steps 
The Bank will assess different options available for enabling appropriate data analytics 
and determine the analytical workloads necessary to support operation of the CBDC 
system.</x:v>
      </x:c>
      <x:c r="G358" s="34" t="str">
        <x:v>PRD-0076-P0054-U01</x:v>
      </x:c>
      <x:c r="H358" s="34" t="str"/>
      <x:c r="I358" s="34" t="str">
        <x:v>UK_BoE_2023_TechWP</x:v>
      </x:c>
      <x:c r="J358" s="34" t="n">
        <x:v>54</x:v>
      </x:c>
      <x:c r="K358" s="34" t="str">
        <x:v>en</x:v>
      </x:c>
      <x:c r="L358" s="34" t="str">
        <x:v>Bank of England and HM Treasury (digital pound)</x:v>
      </x:c>
      <x:c r="M358" s="34" t="str">
        <x:v>Retain the named authority's own CBDC decisions, explicit proposals, requirements, features, and executed findings. Exclude generic context, literature, foreign projects, and stakeholder views not explicitly adopted by the authority.</x:v>
      </x:c>
      <x:c r="N358" s="34" t="str">
        <x:v>text</x:v>
      </x:c>
      <x:c r="O358" s="34" t="str"/>
      <x:c r="P358" s="38" t="str"/>
      <x:c r="Q358" s="38" t="str"/>
      <x:c r="R358" s="38" t="str"/>
      <x:c r="S358" s="38" t="str"/>
      <x:c r="T358" s="38" t="str"/>
      <x:c r="U358" s="38" t="str"/>
      <x:c r="V358" s="38" t="str"/>
      <x:c r="W358" s="38" t="str"/>
      <x:c r="X358" s="38" t="str"/>
      <x:c r="Y358" s="38" t="str"/>
      <x:c r="Z358" s="38" t="str"/>
      <x:c r="AA358" s="43" t="str">
        <x:f>IF('Instructions'!$B$3="","",'Instructions'!$B$3)</x:f>
      </x:c>
      <x:c r="AB358" s="43" t="str">
        <x:f>IF(P358="","PENDING",IF('Instructions'!$B$3="","SET_INITIALS",IF(P358="keep",IF(OR(Q358="",R358="",S358="",T358="",U358="",W358=""),"INCOMPLETE_KEEP","COMPLETE"),IF(P358="exclude",IF(OR(V358="",W358=""),"INCOMPLETE_EXCLUDE","COMPLETE"),"NEEDS_CONTEXT"))))</x:f>
        <x:v>PENDING</x:v>
      </x:c>
    </x:row>
    <x:row r="359" ht="62" customHeight="1">
      <x:c r="A359" s="34" t="str">
        <x:v>SV-0356</x:v>
      </x:c>
      <x:c r="B359" s="34" t="str">
        <x:v>To increase the ability of PSPs to develop a sustainable business model, they will not be 
required to onboard every end user who approaches them but will be allowed to specialise 
in certain user segments.</x:v>
      </x:c>
      <x:c r="C359" s="34" t="str"/>
      <x:c r="D359" s="34" t="str"/>
      <x:c r="E359" s="34" t="str"/>
      <x:c r="F359" s="34" t="str">
        <x:v>The Bank of Israel Steering Com mittee 
for the Potential Issuance of a Digital Shekel 
42 
will transfer part of the merchant fee to the PSP of the payer, and the system will need to 
support this technologically as well.22 
To increase the ability of PSPs to develop a sustainable business model, they will not be 
required to onboard every end user who approaches them but will be allowed to specialise 
in certain user segments. Specialis ation will allow PSPs to focus on developing solutions 
suitable for th e sector in which they specialis e, establish a business model with cross -
subsidisation of act ivities from other areas they operate in, and reduce the cost and 
complexity of meeting "know your customer" obligations. Primarily, PSPs will be able to 
decide whether they choose to serve the private user sector, the business and organisational 
sector, or both. This choice will be recorded in the backend databases as it will be essential, 
for example, for the op …</x:v>
      </x:c>
      <x:c r="G359" s="34" t="str">
        <x:v>PRD-0038-P0042-U01</x:v>
      </x:c>
      <x:c r="H359" s="34" t="str"/>
      <x:c r="I359" s="34" t="str">
        <x:v>IL_BoI_2024</x:v>
      </x:c>
      <x:c r="J359" s="34" t="n">
        <x:v>42</x:v>
      </x:c>
      <x:c r="K359" s="34" t="str">
        <x:v>en</x:v>
      </x:c>
      <x:c r="L359" s="34" t="str">
        <x:v>Bank of Israel (digital shekel)</x:v>
      </x:c>
      <x:c r="M359" s="34" t="str">
        <x:v>Retain the named authority's own CBDC decisions, explicit proposals, requirements, features, and executed findings. Exclude generic context, literature, foreign projects, and stakeholder views not explicitly adopted by the authority.</x:v>
      </x:c>
      <x:c r="N359" s="34" t="str">
        <x:v>text</x:v>
      </x:c>
      <x:c r="O359" s="34" t="str"/>
      <x:c r="P359" s="38" t="str"/>
      <x:c r="Q359" s="38" t="str"/>
      <x:c r="R359" s="38" t="str"/>
      <x:c r="S359" s="38" t="str"/>
      <x:c r="T359" s="38" t="str"/>
      <x:c r="U359" s="38" t="str"/>
      <x:c r="V359" s="38" t="str"/>
      <x:c r="W359" s="38" t="str"/>
      <x:c r="X359" s="38" t="str"/>
      <x:c r="Y359" s="38" t="str"/>
      <x:c r="Z359" s="38" t="str"/>
      <x:c r="AA359" s="43" t="str">
        <x:f>IF('Instructions'!$B$3="","",'Instructions'!$B$3)</x:f>
      </x:c>
      <x:c r="AB359" s="43" t="str">
        <x:f>IF(P359="","PENDING",IF('Instructions'!$B$3="","SET_INITIALS",IF(P359="keep",IF(OR(Q359="",R359="",S359="",T359="",U359="",W359=""),"INCOMPLETE_KEEP","COMPLETE"),IF(P359="exclude",IF(OR(V359="",W359=""),"INCOMPLETE_EXCLUDE","COMPLETE"),"NEEDS_CONTEXT"))))</x:f>
        <x:v>PENDING</x:v>
      </x:c>
    </x:row>
    <x:row r="360" ht="62" customHeight="1">
      <x:c r="A360" s="34" t="str">
        <x:v>SV-0357</x:v>
      </x:c>
      <x:c r="B360" s="34" t="str">
        <x:v>Based on the prop osed design of 
the backend layer, an end user can 
open multiple wallets at the 
central database, with the PSP 
managing the hierarchy between 
the wallets.</x:v>
      </x:c>
      <x:c r="C360" s="34" t="str"/>
      <x:c r="D360" s="34" t="str"/>
      <x:c r="E360" s="34" t="str"/>
      <x:c r="F360" s="34" t="str">
        <x:v>The Bank of Israel Steering Com mittee 
for the Potential Issuance of a Digital Shekel 
93 
Table 4: Involvement of the Core System to Support Various Advanced Functionalities 
Topic Functionality 
Necessary 
Involvement of 
Core System? 
Explanation 
Secondary 
Wallet 
Linking a secondary 
wallet to the primary 
wallet 
No 
Based on the prop osed design of 
the backend layer, an end user can 
open multiple wallets at the 
central database, with the PSP 
managing the hierarchy between 
the wallets. 
Wallet Status 
Management 
Ability to freeze or 
temporarily disable a 
wallet 
Yes 
Given the approach whe re 
multiple PSPs can operate on a 
single wallet in the system, the 
wallet status needs to be managed 
centrally. 
Split Payment 
Split payment – a 
single payment 
transaction to 
multiple 
beneficiaries in one 
transaction 
Yes (partially) 
At a minimum, the system will 
need to support the PSPs ability to 
verify whether the payee are 
existing and valid, as if one 
payment cannot be completed the 
whole transaction needs to be 
ab …</x:v>
      </x:c>
      <x:c r="G360" s="34" t="str">
        <x:v>PRD-0038-P0093-U01</x:v>
      </x:c>
      <x:c r="H360" s="34" t="str"/>
      <x:c r="I360" s="34" t="str">
        <x:v>IL_BoI_2024</x:v>
      </x:c>
      <x:c r="J360" s="34" t="n">
        <x:v>93</x:v>
      </x:c>
      <x:c r="K360" s="34" t="str">
        <x:v>en</x:v>
      </x:c>
      <x:c r="L360" s="34" t="str">
        <x:v>Bank of Israel (digital shekel)</x:v>
      </x:c>
      <x:c r="M360" s="34" t="str">
        <x:v>Retain the named authority's own CBDC decisions, explicit proposals, requirements, features, and executed findings. Exclude generic context, literature, foreign projects, and stakeholder views not explicitly adopted by the authority.</x:v>
      </x:c>
      <x:c r="N360" s="34" t="str">
        <x:v>text</x:v>
      </x:c>
      <x:c r="O360" s="34" t="str"/>
      <x:c r="P360" s="38" t="str"/>
      <x:c r="Q360" s="38" t="str"/>
      <x:c r="R360" s="38" t="str"/>
      <x:c r="S360" s="38" t="str"/>
      <x:c r="T360" s="38" t="str"/>
      <x:c r="U360" s="38" t="str"/>
      <x:c r="V360" s="38" t="str"/>
      <x:c r="W360" s="38" t="str"/>
      <x:c r="X360" s="38" t="str"/>
      <x:c r="Y360" s="38" t="str"/>
      <x:c r="Z360" s="38" t="str"/>
      <x:c r="AA360" s="43" t="str">
        <x:f>IF('Instructions'!$B$3="","",'Instructions'!$B$3)</x:f>
      </x:c>
      <x:c r="AB360" s="43" t="str">
        <x:f>IF(P360="","PENDING",IF('Instructions'!$B$3="","SET_INITIALS",IF(P360="keep",IF(OR(Q360="",R360="",S360="",T360="",U360="",W360=""),"INCOMPLETE_KEEP","COMPLETE"),IF(P360="exclude",IF(OR(V360="",W360=""),"INCOMPLETE_EXCLUDE","COMPLETE"),"NEEDS_CONTEXT"))))</x:f>
        <x:v>PENDING</x:v>
      </x:c>
    </x:row>
    <x:row r="361" ht="62" customHeight="1">
      <x:c r="A361" s="34" t="str">
        <x:v>SV-0358</x:v>
      </x:c>
      <x:c r="B361" s="34" t="str">
        <x:v>A weekly batch upload and distribution of 100 PSC to each approved 
user account was scheduled and executed by the MOF.</x:v>
      </x:c>
      <x:c r="C361" s="34" t="str"/>
      <x:c r="D361" s="34" t="str"/>
      <x:c r="E361" s="34" t="str"/>
      <x:c r="F361" s="34" t="str">
        <x:v>… g 
vendors will have 
WI-FI service 
available; set 
sufficient 
transaction time 
limits and adjust 
as necessary 
Medium: WI-FI 
service will be 
available at 
participating 
vendors; quality of 
service depends  
on national 
infrastructure and 
subject to outages 
7. Project Execution &amp; Statistics 
The Palau Stablecoin Pilot Phase 1 officially launched March 1, 2023, with distribution of the stablecoin 
commencing June 30, 2023. Volunteers were gradually onboarded based on wallet account readiness and 
signing of the MOF legal agreement. A weekly batch upload and distribution of 100 PSC to each approved 
user account was scheduled and executed by the MOF. Once each volunteer received PSC, they could freely 
use the wallet and make purchases at the participating retailers. Those retailers were then free to request a 
redemption of the PSC received for Fiat USD disbursement from the MoF custody funds.  
Below a statistical overview of the pilot execution from 30th June 2023 to 29th September 2023 
● Number of end-user volunteers: 168 
● Total PSC minted: 20,000 
● Total amount PSC distributed (100 PSC per user wallets): 16,900 
● Total number of PSC transactions: 729 
➢ MOF Internal Payments: 17  …</x:v>
      </x:c>
      <x:c r="G361" s="34" t="str">
        <x:v>PRD-0061-P0010-U01</x:v>
      </x:c>
      <x:c r="H361" s="34" t="str"/>
      <x:c r="I361" s="34" t="str">
        <x:v>PW_Palau_Phase1_Report</x:v>
      </x:c>
      <x:c r="J361" s="34" t="n">
        <x:v>10</x:v>
      </x:c>
      <x:c r="K361" s="34" t="str">
        <x:v>en</x:v>
      </x:c>
      <x:c r="L361" s="34" t="str">
        <x:v>Republic of Palau (Palau Stablecoin programme)</x:v>
      </x:c>
      <x:c r="M361" s="34" t="str">
        <x:v>Retain executed programme design choices and Phase 1 findings. Preserve that this is a government stablecoin programme rather than central-bank-issued CBDC.</x:v>
      </x:c>
      <x:c r="N361" s="34" t="str">
        <x:v>text</x:v>
      </x:c>
      <x:c r="O361" s="34" t="str"/>
      <x:c r="P361" s="38" t="str"/>
      <x:c r="Q361" s="38" t="str"/>
      <x:c r="R361" s="38" t="str"/>
      <x:c r="S361" s="38" t="str"/>
      <x:c r="T361" s="38" t="str"/>
      <x:c r="U361" s="38" t="str"/>
      <x:c r="V361" s="38" t="str"/>
      <x:c r="W361" s="38" t="str"/>
      <x:c r="X361" s="38" t="str"/>
      <x:c r="Y361" s="38" t="str"/>
      <x:c r="Z361" s="38" t="str"/>
      <x:c r="AA361" s="43" t="str">
        <x:f>IF('Instructions'!$B$3="","",'Instructions'!$B$3)</x:f>
      </x:c>
      <x:c r="AB361" s="43" t="str">
        <x:f>IF(P361="","PENDING",IF('Instructions'!$B$3="","SET_INITIALS",IF(P361="keep",IF(OR(Q361="",R361="",S361="",T361="",U361="",W361=""),"INCOMPLETE_KEEP","COMPLETE"),IF(P361="exclude",IF(OR(V361="",W361=""),"INCOMPLETE_EXCLUDE","COMPLETE"),"NEEDS_CONTEXT"))))</x:f>
        <x:v>PENDING</x:v>
      </x:c>
    </x:row>
    <x:row r="362" ht="62" customHeight="1">
      <x:c r="A362" s="34" t="str">
        <x:v>SV-0359</x:v>
      </x:c>
      <x:c r="B362" s="34" t="str">
        <x:v>Under the decentralized model, e-hryvnia will no longer be classified as CBDC, since it will be issued not by the central 
bank but by payment market participants under the regulator’s control.</x:v>
      </x:c>
      <x:c r="C362" s="34" t="str"/>
      <x:c r="D362" s="34" t="str"/>
      <x:c r="E362" s="34" t="str"/>
      <x:c r="F362" s="34" t="str">
        <x:v>National Bank of Ukraine   
        General Conclusions 34 
14. E-hryvnia may be implemented in Ukraine’s payment market using one out of two alternative models of interaction: the 
centralized and the decentralized models. 
Under the decentralized model, e-hryvnia will no longer be classified as CBDC, since it will be issued not by the central 
bank but by payment market participants under the regulator’s control. 
For both models, the issue of choosing an optimal basic technology remains open. 
The main benefits of the distributed ledger technology (DLT) may be leveraged more effectively with the decentralized 
model versus the centralized one. 
15. If the centralized model is chosen, the NBU will perform non-typical duties of working with individuals (including the 
dispute resolution).</x:v>
      </x:c>
      <x:c r="G362" s="34" t="str">
        <x:v>PRD-0074-P0034-U01</x:v>
      </x:c>
      <x:c r="H362" s="34" t="str"/>
      <x:c r="I362" s="34" t="str">
        <x:v>UA_NBU_E-hryvnia_2019</x:v>
      </x:c>
      <x:c r="J362" s="34" t="n">
        <x:v>34</x:v>
      </x:c>
      <x:c r="K362" s="34" t="str">
        <x:v>en</x:v>
      </x:c>
      <x:c r="L362" s="34" t="str">
        <x:v>National Bank of Ukraine (e-hryvnia pilot)</x:v>
      </x:c>
      <x:c r="M362" s="34" t="str">
        <x:v>Retain NBU own-pilot findings and resulting decisions/requirements. Prefer a specific substantive code over PROC.pilot_learning.</x:v>
      </x:c>
      <x:c r="N362" s="34" t="str">
        <x:v>text</x:v>
      </x:c>
      <x:c r="O362" s="34" t="str"/>
      <x:c r="P362" s="38" t="str"/>
      <x:c r="Q362" s="38" t="str"/>
      <x:c r="R362" s="38" t="str"/>
      <x:c r="S362" s="38" t="str"/>
      <x:c r="T362" s="38" t="str"/>
      <x:c r="U362" s="38" t="str"/>
      <x:c r="V362" s="38" t="str"/>
      <x:c r="W362" s="38" t="str"/>
      <x:c r="X362" s="38" t="str"/>
      <x:c r="Y362" s="38" t="str"/>
      <x:c r="Z362" s="38" t="str"/>
      <x:c r="AA362" s="43" t="str">
        <x:f>IF('Instructions'!$B$3="","",'Instructions'!$B$3)</x:f>
      </x:c>
      <x:c r="AB362" s="43" t="str">
        <x:f>IF(P362="","PENDING",IF('Instructions'!$B$3="","SET_INITIALS",IF(P362="keep",IF(OR(Q362="",R362="",S362="",T362="",U362="",W362=""),"INCOMPLETE_KEEP","COMPLETE"),IF(P362="exclude",IF(OR(V362="",W362=""),"INCOMPLETE_EXCLUDE","COMPLETE"),"NEEDS_CONTEXT"))))</x:f>
        <x:v>PENDING</x:v>
      </x:c>
    </x:row>
    <x:row r="363" ht="62" customHeight="1">
      <x:c r="A363" s="34" t="str">
        <x:v>SV-0360</x:v>
      </x:c>
      <x:c r="B363" s="34" t="str">
        <x:v>account-based 
CBDC may be considered for CBDC-W.</x:v>
      </x:c>
      <x:c r="C363" s="34" t="str"/>
      <x:c r="D363" s="34" t="str"/>
      <x:c r="E363" s="34" t="str"/>
      <x:c r="F363" s="34" t="str">
        <x:v>…  account-based system would require maintenance of record of 
balances and transactions of all holders of the CBDC and indicate the ownership of the monetary 
balances. Also, in a token-based CBDC, the person receiving a token will verify that his ownership of 
the token is genuine, whereas in an account-based CBDC , an intermediary verifies the identity of an 
account holder.  Considering the features offered by both the forms of CBDCs, a token-based CBDC is 
viewed as a preferred mode for CBDC -R as it would be closer to physical cash, while account-based 
CBDC may be considered for CBDC-W.  
Technology choice 
CBDCs being digital in nature, technological consideration will always remain at its core. The 
infrastructure of CBDCs can be on a conventional centrally controlled database or on Distributed Ledger 
Technology. The two technologies differ in terms of efficiency and degree of protection from single point</x:v>
      </x:c>
      <x:c r="G363" s="34" t="str">
        <x:v>PRD-0088-P0008-U01</x:v>
      </x:c>
      <x:c r="H363" s="34" t="str"/>
      <x:c r="I363" s="34" t="str">
        <x:v>IN_RBI_ConceptNote_2022</x:v>
      </x:c>
      <x:c r="J363" s="34" t="n">
        <x:v>8</x:v>
      </x:c>
      <x:c r="K363" s="34" t="str">
        <x:v>en</x:v>
      </x:c>
      <x:c r="L363" s="34" t="str">
        <x:v>Reserve Bank of India (digital rupee)</x:v>
      </x:c>
      <x:c r="M363" s="34" t="str">
        <x:v>Retain RBI proposals, decisions, requirements, and operating-model claims for the digital rupee.</x:v>
      </x:c>
      <x:c r="N363" s="34" t="str">
        <x:v>text</x:v>
      </x:c>
      <x:c r="O363" s="34" t="str"/>
      <x:c r="P363" s="38" t="str"/>
      <x:c r="Q363" s="38" t="str"/>
      <x:c r="R363" s="38" t="str"/>
      <x:c r="S363" s="38" t="str"/>
      <x:c r="T363" s="38" t="str"/>
      <x:c r="U363" s="38" t="str"/>
      <x:c r="V363" s="38" t="str"/>
      <x:c r="W363" s="38" t="str"/>
      <x:c r="X363" s="38" t="str"/>
      <x:c r="Y363" s="38" t="str"/>
      <x:c r="Z363" s="38" t="str"/>
      <x:c r="AA363" s="43" t="str">
        <x:f>IF('Instructions'!$B$3="","",'Instructions'!$B$3)</x:f>
      </x:c>
      <x:c r="AB363" s="43" t="str">
        <x:f>IF(P363="","PENDING",IF('Instructions'!$B$3="","SET_INITIALS",IF(P363="keep",IF(OR(Q363="",R363="",S363="",T363="",U363="",W363=""),"INCOMPLETE_KEEP","COMPLETE"),IF(P363="exclude",IF(OR(V363="",W363=""),"INCOMPLETE_EXCLUDE","COMPLETE"),"NEEDS_CONTEXT"))))</x:f>
        <x:v>PENDING</x:v>
      </x:c>
    </x:row>
    <x:row r="364" ht="62" customHeight="1">
      <x:c r="A364" s="34" t="str">
        <x:v>SV-0361</x:v>
      </x:c>
      <x:c r="B364" s="34" t="str">
        <x:v>while the platform 
demonstrated the ability to process 14 transactions 
per second (similar to throughput levels observed in 
incumbent systems), this represented maximum  
capacity.</x:v>
      </x:c>
      <x:c r="C364" s="34" t="str"/>
      <x:c r="D364" s="34" t="str"/>
      <x:c r="E364" s="34" t="str"/>
      <x:c r="F364" s="34" t="str">
        <x:v>…  A Canadian Experiment with Distributed Ledger Technology for Domestic Interbank Payments Settlement
on the Jasper platform warrants further discussion 
with legal experts in the payments field. 
Operational Resilience 
Using a private-permissioned ledger involving a 
small group of regulated financial institutions,  
consensus can be reached more quickly and easily 
than with public ledgers. With the Ethereum plat -
form built in Phase 1, consensus was required only 
among R3 members, which supported timely  
transaction processing. However , while the platform 
demonstrated the ability to process 14 transactions 
per second (similar to throughput levels observed in 
incumbent systems), this represented maximum  
capacity.  While sufficient for current daily transac -
tion volumes, the Phase 1 platform could introduce 
constraints on future peak volumes. In contrast,  
increasing volumes are not expected to be a concern 
with the Phase 2 Corda platform, in part because it 
requires only the transacting parties, a supervisory 
node and the notary node to validate and record a 
transaction on the shared database. Importantly, the 
consensus protocol not only achieves more expedit-
ed transaction processing, it also supports privacy of 
information among participat …</x:v>
      </x:c>
      <x:c r="G364" s="34" t="str">
        <x:v>PRD-0015-P0032-U01</x:v>
      </x:c>
      <x:c r="H364" s="34" t="str"/>
      <x:c r="I364" s="34" t="str">
        <x:v>CA_Jasper_Phase12_2017</x:v>
      </x:c>
      <x:c r="J364" s="34" t="n">
        <x:v>32</x:v>
      </x:c>
      <x:c r="K364" s="34" t="str">
        <x:v>en</x:v>
      </x:c>
      <x:c r="L364" s="34" t="str">
        <x:v>Bank of Canada and Payments Canada (Project Jasper)</x:v>
      </x:c>
      <x:c r="M364" s="34" t="str">
        <x:v>Retain executed Project Jasper design choices and findings. Exclude general DLT literature and external examples.</x:v>
      </x:c>
      <x:c r="N364" s="34" t="str">
        <x:v>text</x:v>
      </x:c>
      <x:c r="O364" s="34" t="str"/>
      <x:c r="P364" s="38" t="str"/>
      <x:c r="Q364" s="38" t="str"/>
      <x:c r="R364" s="38" t="str"/>
      <x:c r="S364" s="38" t="str"/>
      <x:c r="T364" s="38" t="str"/>
      <x:c r="U364" s="38" t="str"/>
      <x:c r="V364" s="38" t="str"/>
      <x:c r="W364" s="38" t="str"/>
      <x:c r="X364" s="38" t="str"/>
      <x:c r="Y364" s="38" t="str"/>
      <x:c r="Z364" s="38" t="str"/>
      <x:c r="AA364" s="43" t="str">
        <x:f>IF('Instructions'!$B$3="","",'Instructions'!$B$3)</x:f>
      </x:c>
      <x:c r="AB364" s="43" t="str">
        <x:f>IF(P364="","PENDING",IF('Instructions'!$B$3="","SET_INITIALS",IF(P364="keep",IF(OR(Q364="",R364="",S364="",T364="",U364="",W364=""),"INCOMPLETE_KEEP","COMPLETE"),IF(P364="exclude",IF(OR(V364="",W364=""),"INCOMPLETE_EXCLUDE","COMPLETE"),"NEEDS_CONTEXT"))))</x:f>
        <x:v>PENDING</x:v>
      </x:c>
    </x:row>
    <x:row r="365" ht="62" customHeight="1">
      <x:c r="A365" s="34" t="str">
        <x:v>SV-0362</x:v>
      </x:c>
      <x:c r="B365" s="34" t="str">
        <x:v>If n &gt; l  we identify the single lowest payment from the party with the largest liquidity shortfall,  
 and ask if removing this payment would put any other bank into a liquidity shortfall. If not, we remove  
 the payment and start over . If it does, we leave that payment in the queue and remove the next smallest  
 payment from the party with the largest liquidity shortfall.</x:v>
      </x:c>
      <x:c r="C365" s="34" t="str"/>
      <x:c r="D365" s="34" t="str"/>
      <x:c r="E365" s="34" t="str"/>
      <x:c r="F365" s="34" t="str">
        <x:v>… yments Settlement
Process Steps
 1. Start with a matrix that represents all payments to be used in the matching cycle.
 2. Element ij represents a payment from i to j. 
 3. l represents a vector of limits, or users’ balances, whichever is lower .
 4. The amount each bank owes is the row sum ri and the amount each bank is owed is the column sum ci .
 5. Hence, the net obligation of each bank can be represented as ni = ri – ci . 
 6. Next, we check if n ≤ l, if all n ≤ l the netting was successful; otherwise we must proceed to the next step.
 7. If n &gt; l  we identify the single lowest payment from the party with the largest liquidity shortfall,  
 and ask if removing this payment would put any other bank into a liquidity shortfall. If not, we remove  
 the payment and start over . If it does, we leave that payment in the queue and remove the next smallest  
 payment from the party with the largest liquidity shortfall.
 8. We proceed through this process until we find a solution or have exhausted all possibilities. 
We finish up with another example, to illustrate the process just described. Let
We also have a vector of limits. These are either the user limits or DDR available, whichever is lower .  
Here, all three banks have limits equal to 2.
Once again, A and l are the inputs to the process.
Now the algorithm runs. The first thing it does is compute the aggregate amount each person owes and is owed. 
In the above example: 
Bank 1 owes 11
Bank 2 owes 11
B …</x:v>
      </x:c>
      <x:c r="G365" s="34" t="str">
        <x:v>PRD-0015-P0055-U01</x:v>
      </x:c>
      <x:c r="H365" s="34" t="str"/>
      <x:c r="I365" s="34" t="str">
        <x:v>CA_Jasper_Phase12_2017</x:v>
      </x:c>
      <x:c r="J365" s="34" t="n">
        <x:v>55</x:v>
      </x:c>
      <x:c r="K365" s="34" t="str">
        <x:v>en</x:v>
      </x:c>
      <x:c r="L365" s="34" t="str">
        <x:v>Bank of Canada and Payments Canada (Project Jasper)</x:v>
      </x:c>
      <x:c r="M365" s="34" t="str">
        <x:v>Retain executed Project Jasper design choices and findings. Exclude general DLT literature and external examples.</x:v>
      </x:c>
      <x:c r="N365" s="34" t="str">
        <x:v>text</x:v>
      </x:c>
      <x:c r="O365" s="34" t="str"/>
      <x:c r="P365" s="38" t="str"/>
      <x:c r="Q365" s="38" t="str"/>
      <x:c r="R365" s="38" t="str"/>
      <x:c r="S365" s="38" t="str"/>
      <x:c r="T365" s="38" t="str"/>
      <x:c r="U365" s="38" t="str"/>
      <x:c r="V365" s="38" t="str"/>
      <x:c r="W365" s="38" t="str"/>
      <x:c r="X365" s="38" t="str"/>
      <x:c r="Y365" s="38" t="str"/>
      <x:c r="Z365" s="38" t="str"/>
      <x:c r="AA365" s="43" t="str">
        <x:f>IF('Instructions'!$B$3="","",'Instructions'!$B$3)</x:f>
      </x:c>
      <x:c r="AB365" s="43" t="str">
        <x:f>IF(P365="","PENDING",IF('Instructions'!$B$3="","SET_INITIALS",IF(P365="keep",IF(OR(Q365="",R365="",S365="",T365="",U365="",W365=""),"INCOMPLETE_KEEP","COMPLETE"),IF(P365="exclude",IF(OR(V365="",W365=""),"INCOMPLETE_EXCLUDE","COMPLETE"),"NEEDS_CONTEXT"))))</x:f>
        <x:v>PENDING</x:v>
      </x:c>
    </x:row>
    <x:row r="366" ht="62" customHeight="1">
      <x:c r="A366" s="34" t="str">
        <x:v>SV-0363</x:v>
      </x:c>
      <x:c r="B366" s="34" t="str">
        <x:v>we find that
challenges persist regarding their performance, maturity, and security in the context of CBDCs.</x:v>
      </x:c>
      <x:c r="C366" s="34" t="str"/>
      <x:c r="D366" s="34" t="str"/>
      <x:c r="E366" s="34" t="str"/>
      <x:c r="F366" s="34" t="str">
        <x:v>… security can ensure that even if one barrier
is breached, additional safeguards are in place to protect sensitive information.
10 Conclusions
This paper tackles the critical challenge of enhancing privacy in CBDC systems by introducing a
comprehensive range of PETs and exploring their recent developments and potential applications. Through
a deep analysis of these techniques, we evaluate their feasibility and viability for mission-critical systems
such as CBDCs.
While significant progress has been made in the design and implementation of PETs, we find that
challenges persist regarding their performance, maturity, and security in the context of CBDCs. Despite
these challenges, we recognize the potential of PETs to revolutionize privacy in digital systems like CBDC. We
emphasize the importance of continuous monitoring of developments in these technologies by organizations
that collect and manage PII. As PETs mature and demonstrate viability in real-world applications, they
should be considered for integration into CBDC system design and development.
26</x:v>
      </x:c>
      <x:c r="G366" s="34" t="str">
        <x:v>PRD-0107-P0029-U01</x:v>
      </x:c>
      <x:c r="H366" s="34" t="str"/>
      <x:c r="I366" s="34" t="str">
        <x:v>CA_BoC_PETs_SDP2025_1</x:v>
      </x:c>
      <x:c r="J366" s="34" t="n">
        <x:v>29</x:v>
      </x:c>
      <x:c r="K366" s="34" t="str">
        <x:v>en</x:v>
      </x:c>
      <x:c r="L366" s="34" t="str">
        <x:v>Bank of Canada research on privacy-enhancing technologies for a potential CBDC</x:v>
      </x:c>
      <x:c r="M366" s="34" t="str">
        <x:v>Staff research is not an adopted design. Retain empirical findings or explicit Bank of Canada conclusions tied to its potential CBDC; exclude literature summaries.</x:v>
      </x:c>
      <x:c r="N366" s="34" t="str">
        <x:v>text</x:v>
      </x:c>
      <x:c r="O366" s="34" t="str"/>
      <x:c r="P366" s="38" t="str"/>
      <x:c r="Q366" s="38" t="str"/>
      <x:c r="R366" s="38" t="str"/>
      <x:c r="S366" s="38" t="str"/>
      <x:c r="T366" s="38" t="str"/>
      <x:c r="U366" s="38" t="str"/>
      <x:c r="V366" s="38" t="str"/>
      <x:c r="W366" s="38" t="str"/>
      <x:c r="X366" s="38" t="str"/>
      <x:c r="Y366" s="38" t="str"/>
      <x:c r="Z366" s="38" t="str"/>
      <x:c r="AA366" s="43" t="str">
        <x:f>IF('Instructions'!$B$3="","",'Instructions'!$B$3)</x:f>
      </x:c>
      <x:c r="AB366" s="43" t="str">
        <x:f>IF(P366="","PENDING",IF('Instructions'!$B$3="","SET_INITIALS",IF(P366="keep",IF(OR(Q366="",R366="",S366="",T366="",U366="",W366=""),"INCOMPLETE_KEEP","COMPLETE"),IF(P366="exclude",IF(OR(V366="",W366=""),"INCOMPLETE_EXCLUDE","COMPLETE"),"NEEDS_CONTEXT"))))</x:f>
        <x:v>PENDING</x:v>
      </x:c>
    </x:row>
    <x:row r="367" ht="62" customHeight="1">
      <x:c r="A367" s="34" t="str">
        <x:v>SV-0364</x:v>
      </x:c>
      <x:c r="B367" s="34" t="str">
        <x:v>• Slow mining and expensive network—R3N1 still 
uses Proof of Work and it isn’t that much faster 
than the public network.</x:v>
      </x:c>
      <x:c r="C367" s="34" t="str"/>
      <x:c r="D367" s="34" t="str"/>
      <x:c r="E367" s="34" t="str"/>
      <x:c r="F367" s="34" t="str">
        <x:v>… siderable centralization and organization were 
required. Given the early stage of the technology,  
capabilities were limited, and we were required to 
implement additional measures to enable DDR 
transactions.
• Account/Key management—Keys are often 
managed through a central service that is sepa-
rate from the Ethereum nodes.
• Node management—A separate node is  
required for every bank to separate the storage 
of accounts. If a participant has access to an  
account, it can potentially use “Ethereum.ac -
counts” and view all active users.
• Slow mining and expensive network—R3N1 still 
uses Proof of Work and it isn’t that much faster 
than the public network.
• Frequent errors—Geth often has issues with 
maintaining connectivity.
• Money held in escrow—For multi-signatures to 
occur , money for redemptions is held in escrow 
until redeemed. Pledging is easier because 
these balances are updated separately.
• Unreliable events in Ethereum—Certain events 
don’t execute consistently.
• No updates of contracts—The current solution 
does not yet have the capability to update/  
upgrade contracts that are already published.
• Local storage of addresses—The current solu -
tion has smart contracts publishe …</x:v>
      </x:c>
      <x:c r="G367" s="34" t="str">
        <x:v>PRD-0015-P0047-U01</x:v>
      </x:c>
      <x:c r="H367" s="34" t="str"/>
      <x:c r="I367" s="34" t="str">
        <x:v>CA_Jasper_Phase12_2017</x:v>
      </x:c>
      <x:c r="J367" s="34" t="n">
        <x:v>47</x:v>
      </x:c>
      <x:c r="K367" s="34" t="str">
        <x:v>en</x:v>
      </x:c>
      <x:c r="L367" s="34" t="str">
        <x:v>Bank of Canada and Payments Canada (Project Jasper)</x:v>
      </x:c>
      <x:c r="M367" s="34" t="str">
        <x:v>Retain executed Project Jasper design choices and findings. Exclude general DLT literature and external examples.</x:v>
      </x:c>
      <x:c r="N367" s="34" t="str">
        <x:v>text</x:v>
      </x:c>
      <x:c r="O367" s="34" t="str"/>
      <x:c r="P367" s="38" t="str"/>
      <x:c r="Q367" s="38" t="str"/>
      <x:c r="R367" s="38" t="str"/>
      <x:c r="S367" s="38" t="str"/>
      <x:c r="T367" s="38" t="str"/>
      <x:c r="U367" s="38" t="str"/>
      <x:c r="V367" s="38" t="str"/>
      <x:c r="W367" s="38" t="str"/>
      <x:c r="X367" s="38" t="str"/>
      <x:c r="Y367" s="38" t="str"/>
      <x:c r="Z367" s="38" t="str"/>
      <x:c r="AA367" s="43" t="str">
        <x:f>IF('Instructions'!$B$3="","",'Instructions'!$B$3)</x:f>
      </x:c>
      <x:c r="AB367" s="43" t="str">
        <x:f>IF(P367="","PENDING",IF('Instructions'!$B$3="","SET_INITIALS",IF(P367="keep",IF(OR(Q367="",R367="",S367="",T367="",U367="",W367=""),"INCOMPLETE_KEEP","COMPLETE"),IF(P367="exclude",IF(OR(V367="",W367=""),"INCOMPLETE_EXCLUDE","COMPLETE"),"NEEDS_CONTEXT"))))</x:f>
        <x:v>PENDING</x:v>
      </x:c>
    </x:row>
    <x:row r="368" ht="62" customHeight="1">
      <x:c r="A368" s="34" t="str">
        <x:v>SV-0365</x:v>
      </x:c>
      <x:c r="B368" s="34" t="str">
        <x:v>Arbeidsgruppen har heller ikke funnet grunnlag for å revurdere de to hovedgruppene av tekniske løsninger gitt i Norges Bank (2019).</x:v>
      </x:c>
      <x:c r="C368" s="34" t="str"/>
      <x:c r="D368" s="34" t="str"/>
      <x:c r="E368" s="34" t="str"/>
      <x:c r="F368" s="34" t="str"/>
      <x:c r="G368" s="34" t="str">
        <x:v>PRD-0054-P0010-U01</x:v>
      </x:c>
      <x:c r="H368" s="34" t="str"/>
      <x:c r="I368" s="34" t="str">
        <x:v>NO_Norway_norges-bank-memo-1-2021</x:v>
      </x:c>
      <x:c r="J368" s="34" t="n">
        <x:v>10</x:v>
      </x:c>
      <x:c r="K368" s="34" t="str">
        <x:v>en</x:v>
      </x:c>
      <x:c r="L368" s="34" t="str">
        <x:v>Norges Bank (Norwegian CBDC work)</x:v>
      </x:c>
      <x:c r="M368" s="34" t="str">
        <x:v>Retain Norges Bank CBDC positions and requirements; exclude generic or cited research.</x:v>
      </x:c>
      <x:c r="N368" s="34" t="str">
        <x:v>render</x:v>
      </x:c>
      <x:c r="O368" s="34" t="str">
        <x:v>renders/PRD-0054-P0010.jpg</x:v>
      </x:c>
      <x:c r="P368" s="38" t="str"/>
      <x:c r="Q368" s="38" t="str"/>
      <x:c r="R368" s="38" t="str"/>
      <x:c r="S368" s="38" t="str"/>
      <x:c r="T368" s="38" t="str"/>
      <x:c r="U368" s="38" t="str"/>
      <x:c r="V368" s="38" t="str"/>
      <x:c r="W368" s="38" t="str"/>
      <x:c r="X368" s="38" t="str"/>
      <x:c r="Y368" s="38" t="str"/>
      <x:c r="Z368" s="38" t="str"/>
      <x:c r="AA368" s="43" t="str">
        <x:f>IF('Instructions'!$B$3="","",'Instructions'!$B$3)</x:f>
      </x:c>
      <x:c r="AB368" s="43" t="str">
        <x:f>IF(P368="","PENDING",IF('Instructions'!$B$3="","SET_INITIALS",IF(P368="keep",IF(OR(Q368="",R368="",S368="",T368="",U368="",W368=""),"INCOMPLETE_KEEP","COMPLETE"),IF(P368="exclude",IF(OR(V368="",W368=""),"INCOMPLETE_EXCLUDE","COMPLETE"),"NEEDS_CONTEXT"))))</x:f>
        <x:v>PENDING</x:v>
      </x:c>
    </x:row>
  </x:sheetData>
  <x:mergeCells>
    <x:mergeCell ref="A1:AB1"/>
    <x:mergeCell ref="A2:AB2"/>
  </x:mergeCells>
  <x:conditionalFormatting sqref="AB4:AB368">
    <x:cfRule type="containsText" dxfId="0" priority="1" operator="containsText" text="COMPLETE"/>
    <x:cfRule type="containsText" dxfId="1" priority="2" operator="containsText" text="PENDING"/>
    <x:cfRule type="containsText" dxfId="2" priority="3" operator="containsText" text="INCOMPLETE"/>
    <x:cfRule type="containsText" dxfId="3" priority="4" operator="containsText" text="MISSING"/>
    <x:cfRule type="containsText" dxfId="4" priority="5" operator="containsText" text="SET_INITIALS"/>
    <x:cfRule type="containsText" dxfId="5" priority="6" operator="containsText" text="NEEDS_CONTEXT"/>
  </x:conditionalFormatting>
  <x:dataValidations count="8">
    <x:dataValidation type="list" sqref="P4:P368">
      <x:formula1>"keep,exclude,needs_context"</x:formula1>
    </x:dataValidation>
    <x:dataValidation type="list" sqref="Q4:Q368">
      <x:formula1>Codebook!$A$4:$A$38</x:formula1>
    </x:dataValidation>
    <x:dataValidation type="list" sqref="R4:R368">
      <x:formula1>"decision,proposal,finding"</x:formula1>
    </x:dataValidation>
    <x:dataValidation type="list" sqref="S4:S368">
      <x:formula1>"increases,decreases,conditional,neutral"</x:formula1>
    </x:dataValidation>
    <x:dataValidation type="list" sqref="T4:T368">
      <x:formula1>"from_state,from_intermediary,from_counterparty,not_applicable"</x:formula1>
    </x:dataValidation>
    <x:dataValidation type="list" sqref="U4:U368">
      <x:formula1>"1,2,3"</x:formula1>
    </x:dataValidation>
    <x:dataValidation type="list" sqref="V4:V368">
      <x:formula1>"foreign_or_cited_research,generic_context,future_research_or_open_question,stakeholder_or_consultant_not_adopted,glossary_heading_or_list,incomplete_fragment_or_ocr,non_cbdc_or_off_scope,duplicate_candidate,other"</x:formula1>
    </x:dataValidation>
    <x:dataValidation type="list" sqref="W4:W368">
      <x:formula1>"high,medium,low"</x:formula1>
    </x:dataValidation>
  </x:dataValidations>
  <x:pageMargins left="0.7" right="0.7" top="0.75" bottom="0.75" header="0.3" footer="0.3"/>
  <x:tableParts count="1">
    <x:tablePart xmlns:r="http://schemas.openxmlformats.org/officeDocument/2006/relationships" r:id="Rc69c0921c037490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5" hidden="0" customWidth="1"/>
    <x:col min="2" max="2" width="22" hidden="0" customWidth="1"/>
    <x:col min="3" max="3" width="27" hidden="0" customWidth="1"/>
    <x:col min="4" max="4" width="8" hidden="0" customWidth="1"/>
    <x:col min="5" max="5" width="10" hidden="0" customWidth="1"/>
    <x:col min="6" max="6" width="32" hidden="0" customWidth="1"/>
    <x:col min="7" max="7" width="50" hidden="0" customWidth="1"/>
    <x:col min="8" max="8" width="13" hidden="0" customWidth="1"/>
    <x:col min="9" max="9" width="30" hidden="0" customWidth="1"/>
    <x:col min="10" max="10" width="92" hidden="0" customWidth="1"/>
    <x:col min="11" max="11" width="16" hidden="0" customWidth="1"/>
    <x:col min="12" max="12" width="12" hidden="0" customWidth="1"/>
    <x:col min="13" max="13" width="38" hidden="0" customWidth="1"/>
    <x:col min="14" max="14" width="16" hidden="0" customWidth="1"/>
    <x:col min="15" max="15" width="22" hidden="0" customWidth="1"/>
  </x:cols>
  <x:sheetData>
    <x:row r="1" ht="30" customHeight="1">
      <x:c r="A1" s="3" t="str">
        <x:v>Dual Empty Audit — Martin</x:v>
      </x:c>
      <x:c r="B1" s="3"/>
      <x:c r="C1" s="3"/>
      <x:c r="D1" s="3"/>
      <x:c r="E1" s="3"/>
      <x:c r="F1" s="3"/>
      <x:c r="G1" s="3"/>
      <x:c r="H1" s="3"/>
      <x:c r="I1" s="3"/>
      <x:c r="J1" s="3"/>
      <x:c r="K1" s="3"/>
      <x:c r="L1" s="3"/>
      <x:c r="M1" s="3"/>
      <x:c r="N1" s="3"/>
      <x:c r="O1" s="3"/>
    </x:row>
    <x:row r="2" ht="34" customHeight="1">
      <x:c r="A2" s="7" t="str">
        <x:v>Nezávislý audit jednotek, v nichž oba modely nevrátily kandidáta. Pokud K=yes, založ alespoň jeden přesný span na listu Empty Supplements.</x:v>
      </x:c>
      <x:c r="B2" s="7"/>
      <x:c r="C2" s="7"/>
      <x:c r="D2" s="7"/>
      <x:c r="E2" s="7"/>
      <x:c r="F2" s="7"/>
      <x:c r="G2" s="7"/>
      <x:c r="H2" s="7"/>
      <x:c r="I2" s="7"/>
      <x:c r="J2" s="7"/>
      <x:c r="K2" s="7"/>
      <x:c r="L2" s="7"/>
      <x:c r="M2" s="7"/>
      <x:c r="N2" s="7"/>
      <x:c r="O2" s="7"/>
    </x:row>
    <x:row r="3" ht="42" customHeight="1">
      <x:c r="A3" s="13" t="str">
        <x:v>empty_case_id</x:v>
      </x:c>
      <x:c r="B3" s="13" t="str">
        <x:v>unit_id</x:v>
      </x:c>
      <x:c r="C3" s="13" t="str">
        <x:v>doc_id</x:v>
      </x:c>
      <x:c r="D3" s="13" t="str">
        <x:v>page</x:v>
      </x:c>
      <x:c r="E3" s="13" t="str">
        <x:v>language</x:v>
      </x:c>
      <x:c r="F3" s="13" t="str">
        <x:v>project_owner</x:v>
      </x:c>
      <x:c r="G3" s="13" t="str">
        <x:v>authority_note</x:v>
      </x:c>
      <x:c r="H3" s="13" t="str">
        <x:v>source_mode</x:v>
      </x:c>
      <x:c r="I3" s="13" t="str">
        <x:v>render_file</x:v>
      </x:c>
      <x:c r="J3" s="13" t="str">
        <x:v>source_text</x:v>
      </x:c>
      <x:c r="K3" s="13" t="str">
        <x:v>missed_claims</x:v>
      </x:c>
      <x:c r="L3" s="13" t="str">
        <x:v>confidence</x:v>
      </x:c>
      <x:c r="M3" s="13" t="str">
        <x:v>notes</x:v>
      </x:c>
      <x:c r="N3" s="13" t="str">
        <x:v>reviewer_initials</x:v>
      </x:c>
      <x:c r="O3" s="13" t="str">
        <x:v>qc_status</x:v>
      </x:c>
    </x:row>
    <x:row r="4" ht="92" customHeight="1">
      <x:c r="A4" s="46" t="str">
        <x:v>DE-0001</x:v>
      </x:c>
      <x:c r="B4" s="46" t="str">
        <x:v>PRD-0080-P0033-U01</x:v>
      </x:c>
      <x:c r="C4" s="46" t="str">
        <x:v>US_Fed_2022</x:v>
      </x:c>
      <x:c r="D4" s="46" t="n">
        <x:v>33</x:v>
      </x:c>
      <x:c r="E4" s="46" t="str">
        <x:v>en</x:v>
      </x:c>
      <x:c r="F4" s="46" t="str">
        <x:v>Board of Governors of the Federal Reserve System (potential US CBDC)</x:v>
      </x:c>
      <x:c r="G4" s="46" t="str">
        <x:v>Discussion paper, not an issuance decision. Retain explicit Federal Reserve positions, prerequisites, design preferences, or stated risks for a potential US CBDC. Exclude questions, option inventories, literature, and stakeholder views.</x:v>
      </x:c>
      <x:c r="H4" s="46" t="str">
        <x:v>text</x:v>
      </x:c>
      <x:c r="I4" s="46" t="str"/>
      <x:c r="J4" s="46" t="str">
        <x:v>Appendix C: Access to Money andPayment ServicesIn order to serve as a means of payment and a store of value, money must be accessible to thegeneral public. The means by which the general public accesses different types of money vary.Figure C.1. Overview of a typical payment
*Nonbank ﬁnancial service providers may be involved in various stages of both the front-end and the back-end of the payment chain. For example, there may 
  be multiple paths from a nonbank to the receiver. 
Sender’s bank 
Sender 
(e.g., consumer) 
Receiver 
(e.g., merchant) Payment transaction 
Funds are sent as credits (sender pushes funds) or debits (receiver pulls funds) 
Nonbank* Receiver’s bank 
1
1 2
3 1 22 3
2
Front 
end 
(consumer 
facing) 
Back 
end 
(payment 
processing) 
Payment infrastructure 
(e.g., Federal Reserve, 
private-sector providers) 
Payment clearing and settlement 12
In this example, the general public interacts with the “front end” of t he payment system by swiping their credit card at a checkout 
machine or using a mobile app to send money. These payments may     ﬂow solely through applications operated by and accounts 
maintained by banks,     originate in a nonbank ﬁnancial service and then ﬂow through the bankin g system, or     remain only in 
the records of the nonbank services (though customer nonbank account s may be funded/defunded by bank accounts).  
1
2 3
29</x:v>
      </x:c>
      <x:c r="K4" s="49" t="str"/>
      <x:c r="L4" s="49" t="str"/>
      <x:c r="M4" s="49" t="str"/>
      <x:c r="N4" s="52" t="str">
        <x:f>IF('Instructions'!$B$3="","",'Instructions'!$B$3)</x:f>
      </x:c>
      <x:c r="O4" s="52" t="str">
        <x:f>IF(K4="","PENDING",IF('Instructions'!$B$3="","SET_INITIALS",IF(K4="yes",IF(COUNTIFS('Empty Supplements'!$B$4:$B$183,B4,'Empty Supplements'!$D$4:$D$183,"&lt;&gt;")&gt;0,"COMPLETE","MISSING_SUPPLEMENT"),IF(K4="no","COMPLETE","NEEDS_CONTEXT"))))</x:f>
        <x:v>PENDING</x:v>
      </x:c>
    </x:row>
    <x:row r="5" ht="92" customHeight="1">
      <x:c r="A5" s="46" t="str">
        <x:v>DE-0002</x:v>
      </x:c>
      <x:c r="B5" s="46" t="str">
        <x:v>PRD-0042-P0063-U01</x:v>
      </x:c>
      <x:c r="C5" s="46" t="str">
        <x:v>IT_BdI_MISP_2021</x:v>
      </x:c>
      <x:c r="D5" s="46" t="n">
        <x:v>63</x:v>
      </x:c>
      <x:c r="E5" s="46" t="str">
        <x:v>en</x:v>
      </x:c>
      <x:c r="F5" s="46" t="str">
        <x:v>Banca d'Italia research context</x:v>
      </x:c>
      <x:c r="G5" s="46" t="str">
        <x:v>This research paper is not automatically an issuer commitment. Retain only Banca d'Italia own-project results or explicit institutional positions; exclude literature and model assumptions.</x:v>
      </x:c>
      <x:c r="H5" s="46" t="str">
        <x:v>text</x:v>
      </x:c>
      <x:c r="I5" s="46" t="str"/>
      <x:c r="J5" s="46" t="str">
        <x:v>61
An example of this kind is the Bitcoin DLT. 84 For each payment, a set of 
unspent tokens belonging to the payer is destroyed and (usually) two tokens 
with the same total value are created simultaneously: one going to the payee as 
payment and the other one being returned to the payer as exchange. 
In order to prevent double spending, in both the account-based and token-
based approaches, the accounts/tokens are stored on the ledger and updated 
by the ledger operator. In other words, neither tokens nor accounts are kept in 
the end user devices, which in general contains the cryptographic credentials 
that can be used to authorize transactions on the ledger. For this reason, 
neither the account-based nor the token-based approach refer to an offline and 
cash-like transfer, in which a payment is made without reference to any third 
party or intermediary.85 Unless other arrangements are in place, the end user is 
always required to have a connection to the ledger, in order to safely receive 
payments.
3. d istribution degrees of systems And infrAstructures
The modern applications’ architecture has led to a dualism between system 
and infrastructure architecture, where system depicts the business and 
organizational view, while infrastructure refers to the technological and 
architectural one. 
From a business and organizational point of view, three different system 
architectures exist: centralized, distributed and decentralized.
A centralized system is owned by a single entity or organization. In this case, 
users have to trust that the entity behaves correctly and in their interest. 
Currently, most of the internet applications are centralized (Amazon, Google, 
Facebook, etc.) and owned by a company or person that provides and 
maintains the source code to execute on a computer, server or even a cluster. 
As said, the centralized system concept regards a business view, irrespective 
of the actual technical infrastructure.
In the distributed systems, instead, the ownership is spread over some “well 
known” organizations. In this case, there are multiple central owners that have 
a part or a copy of the resources. With these systems the users don’t have to 
trust a single organization or entity, but have different choices. Domain Name 
System (DNS) is a great example of a distributed system. It maps hostname 
to IP addresses and is implemented as a distributed, hierarchical database. 
Focusing on the root server, one of the three classes of DNS servers, 13 root 
name servers are available worldwide, run by 12 organizations, which the user 
has to ultimately trust.
84 See Nakamoto (2008). 
85 See Bank of England (2020), Section 6.6.</x:v>
      </x:c>
      <x:c r="K5" s="49" t="str"/>
      <x:c r="L5" s="49" t="str"/>
      <x:c r="M5" s="49" t="str"/>
      <x:c r="N5" s="52" t="str">
        <x:f>IF('Instructions'!$B$3="","",'Instructions'!$B$3)</x:f>
      </x:c>
      <x:c r="O5" s="52" t="str">
        <x:f>IF(K5="","PENDING",IF('Instructions'!$B$3="","SET_INITIALS",IF(K5="yes",IF(COUNTIFS('Empty Supplements'!$B$4:$B$183,B5,'Empty Supplements'!$D$4:$D$183,"&lt;&gt;")&gt;0,"COMPLETE","MISSING_SUPPLEMENT"),IF(K5="no","COMPLETE","NEEDS_CONTEXT"))))</x:f>
        <x:v>PENDING</x:v>
      </x:c>
    </x:row>
    <x:row r="6" ht="92" customHeight="1">
      <x:c r="A6" s="46" t="str">
        <x:v>DE-0003</x:v>
      </x:c>
      <x:c r="B6" s="46" t="str">
        <x:v>PRD-0018-P0174-U01</x:v>
      </x:c>
      <x:c r="C6" s="46" t="str">
        <x:v>CN_China_BIS_2022</x:v>
      </x:c>
      <x:c r="D6" s="46" t="n">
        <x:v>174</x:v>
      </x:c>
      <x:c r="E6" s="46" t="str">
        <x:v>en</x:v>
      </x:c>
      <x:c r="F6" s="46" t="str">
        <x:v>People's Bank of China (e-CNY)</x:v>
      </x:c>
      <x:c r="G6" s="46" t="str">
        <x:v>This is a BIS research source, not automatically a PBOC position. Retain only concrete e-CNY features or decisions explicitly attributed to the PBOC; exclude modelling, literature, and foreign CBDCs.</x:v>
      </x:c>
      <x:c r="H6" s="46" t="str">
        <x:v>text</x:v>
      </x:c>
      <x:c r="I6" s="46" t="str"/>
      <x:c r="J6" s="46" t="str">
        <x:v>170 BIS Papers No 123 
After a liquidity deficit emerges, the central bank will move from absorbing 
liquidity through deposits and bond issuance to providing liquidity through repos. If 
required, the central bank can expand its marketable collateral list, which currently 
contains only top -quality securities and, if need be, it can also initiate auctions for 
loans secured by non -marketable collateral. According to the central bank’s 
estimates, the vo lume of potential collateral is sufficient to accommodate banks’ 
demand for liquidity arising from the introduction of a digital rouble.  
The switch to a liquidity deficit, in turn, will affect the position of the short -term 
money market interest rates in the central bank’s interest rates corridor. Currently, 
due to small market inefficiencies the short-term rates have a predominantly negative 
spread to the central bank’s main policy rate. The liquidity deficit means that the 
overnight money market rates will form in the upper end of the corridor. The factors 
behind the interest rates’ spread to the policy rate are well researched, and once t he 
liquidity situation is settled, the spread will stabilise at some level. Then, the central 
bank will be able to incorporate this spread into its policy rate decisions so as to set 
short-term rates on the desired trajectory.  
During the transition period  there might be some short -term interest rate 
volatility; however, this volatility is expected to be brief and its effect on the longer 
rates (and the economy in general) will be quite limited.  
The liquidity drain may disproportionally affect large banks that rely more than 
others on cheap or free funds in their clients’ current accounts, taking advantage, 
inter alia, of the network effect and their central role in payments. The profit margins 
of these banks will be compressed most prominently, which will even out the 
competition in the banking sector. Conversely, the banks offering their clients better 
conditions like remuneration of current accounts and other benefits will be able to 
attract clients more easily. Overall, since Russia is firmly in positive  rates territory, a 
digital rouble will not compete with banks’ liabilities as a means of saving, so the 
liquidity outflow from the banking sector will likely be moderate and will not result in 
any form of financial sector disintermediation.  
The digital r ouble will affect financial stability as well. On the one hand, the 
introduction of a new secure and sustainable means of payment will further promote 
financial stability as well as the emergence of new types of financial transactions such 
as transactions with automatic execution (smart contracts). On the other hand, the 
digital rouble could pose a threat to financial stability. In the event of an adverse 
external event a bank run could be facilitated by the existence of an extremely liquid 
(compared even t o cash) and secure form of money. However, in reality such 
developments are unlikely, for several reasons. First, the central bank will establish 
transaction caps to ensure that clients cannot convert large sums from bank deposits 
into digital roubles at once. Second, the Russian banking sector enjoys much higher 
trust from the public than 5 or 10 years ago. In the previous periods of financial 
turmoil, the banks witnessed deposit outflows but even they were short -lived and 
manageable. With time, as both financial inclusion and the resilience of the payment 
system increases, the risk of “flight to safety” will further decline.  . Finally, the central 
bank has a strong lender of last resort framework, under which the banks can quickly borrow 
liquidity from the central bank against a wide pool of collateral. So overall, the balance of 
risks and opportunities for financial stability is positive.  
Due to the already high level of financial inclusion in Russia, the introduction of 
a digital rouble will not substan tially affect monetary policy transmission. The 
efficiency of monetary policy may increase somewhat over the long term owing to</x:v>
      </x:c>
      <x:c r="K6" s="49" t="str"/>
      <x:c r="L6" s="49" t="str"/>
      <x:c r="M6" s="49" t="str"/>
      <x:c r="N6" s="52" t="str">
        <x:f>IF('Instructions'!$B$3="","",'Instructions'!$B$3)</x:f>
      </x:c>
      <x:c r="O6" s="52" t="str">
        <x:f>IF(K6="","PENDING",IF('Instructions'!$B$3="","SET_INITIALS",IF(K6="yes",IF(COUNTIFS('Empty Supplements'!$B$4:$B$183,B6,'Empty Supplements'!$D$4:$D$183,"&lt;&gt;")&gt;0,"COMPLETE","MISSING_SUPPLEMENT"),IF(K6="no","COMPLETE","NEEDS_CONTEXT"))))</x:f>
        <x:v>PENDING</x:v>
      </x:c>
    </x:row>
    <x:row r="7" ht="92" customHeight="1">
      <x:c r="A7" s="46" t="str">
        <x:v>DE-0004</x:v>
      </x:c>
      <x:c r="B7" s="46" t="str">
        <x:v>PRD-0018-P0100-U01</x:v>
      </x:c>
      <x:c r="C7" s="46" t="str">
        <x:v>CN_China_BIS_2022</x:v>
      </x:c>
      <x:c r="D7" s="46" t="n">
        <x:v>100</x:v>
      </x:c>
      <x:c r="E7" s="46" t="str">
        <x:v>en</x:v>
      </x:c>
      <x:c r="F7" s="46" t="str">
        <x:v>People's Bank of China (e-CNY)</x:v>
      </x:c>
      <x:c r="G7" s="46" t="str">
        <x:v>This is a BIS research source, not automatically a PBOC position. Retain only concrete e-CNY features or decisions explicitly attributed to the PBOC; exclude modelling, literature, and foreign CBDCs.</x:v>
      </x:c>
      <x:c r="H7" s="46" t="str">
        <x:v>text</x:v>
      </x:c>
      <x:c r="I7" s="46" t="str"/>
      <x:c r="J7" s="46" t="str">
        <x:v>96 BIS Papers No 123 
Standard (SNAP) and regulatory reform, as  well as the implementation plan for the 
Bank Indonesia Fast Payment (BI -FAST) system. Digital economic and financial 
transactions are proliferating  along with increasing acceptance  and people’s 
preferences for online shopping, expansion, and convenience o f digital payment 
systems, as well as digital banking acceleration. 
The rapid changes in the payment landscape, coupled with other digital 
disruptions such as the emergence of private digital currency, the internet of 
things (IoT), big data, blockchain, ar tificial intelligence (AI), decentralised 
finance (DeFi) and machine -to-machine (MtM) communication, have a 
significant impact on central banking practices . These have triggered central 
banks to adopt a more proactive stance to anticipate the uncertainty in the future, 
including the issuance of CBDC.  
Central banks consider issuing a CBDC for various reasons shaped by local 
circumstances and at a different pace across jurisdictions and types of economy. 
As such, the objectives of CBDC issuance in different countries converge into six 
main objectives: (i) to provide risk-free digital payment using central bank money  
compared to the services provided by private entities; (ii) to mitigate risk to currency 
sovereignty and monetary stability from non- sovereign digital currency ; (iii) to 
enhance payment system competition, efficiency and resilience, including for cross -
border payments; (iv) to provide a new instrument for monetary and financial stability 
policy; (v) to facilitate fiscal transfers/su bsidy distribution directly to the recipient ’s 
account/wallet; and (vi) to s upport financial inclusion with the digitalis ation of 
payment data, offline functionality, and cost-effective transactions.  
To ensure the smooth implementation of CBDC, the majori ty of central 
banks follow three common foundational principles.  First, the CBDC should be 
implemented based on a strong legal basis which serves as a consensus from several 
stakeholders. Second, CBDC should support the objectives of the central bank on 
monetary, payment system and financial system stability. Third, CBDC should 
promote financial inclusion, innovation , and efficiency of the financial system in the 
digital era.  
The use of CBDC as a form of central bank money that could act as both a 
liquid, safe settlement asset and an anchor for the payment system will improve 
the payment system’s efficiency by increasing competition in the domestic and 
global payment systems markets . The issuance of CBDC can provide benefits for 
the wholesale and retail pay ment rails. For wholesale payment system s, wholesale 
CBDC ( wCBDC) could increase settlement efficiency for transactions regarding 
securities, derivatives and cross -border payments. As a digital service, CBDC can be 
designed to support 24/7 operation and al low easier asset exchange. In addition, it  
could enable simplified payment data streams and better traceability of illicit 
transactions. Lastly, certain models of CBDC might increase trust between 
counterparties. Besides this, CBDC can also potentially benefit retail payment systems. 
A retail CBDC (rCBDC) could reduce the cost of managing cash for central banks as 
well as enabling fast, cost-effective and secure payments. This might result in a more 
efficient payment system. Moreover, CBDC could promote cen tral banks’ ability to 
monitor economic activities in real-time and support innovation by private entities, 
including enhancing financial inclusion. A domestic CBDC might also function as the 
requirement for better cross-border arrangements.  
Despite the p otential benefits of CBDC, there are several challenges that  
central banks should assess. Wholesale CBDC might disrupt the innovation already</x:v>
      </x:c>
      <x:c r="K7" s="49" t="str"/>
      <x:c r="L7" s="49" t="str"/>
      <x:c r="M7" s="49" t="str"/>
      <x:c r="N7" s="52" t="str">
        <x:f>IF('Instructions'!$B$3="","",'Instructions'!$B$3)</x:f>
      </x:c>
      <x:c r="O7" s="52" t="str">
        <x:f>IF(K7="","PENDING",IF('Instructions'!$B$3="","SET_INITIALS",IF(K7="yes",IF(COUNTIFS('Empty Supplements'!$B$4:$B$183,B7,'Empty Supplements'!$D$4:$D$183,"&lt;&gt;")&gt;0,"COMPLETE","MISSING_SUPPLEMENT"),IF(K7="no","COMPLETE","NEEDS_CONTEXT"))))</x:f>
        <x:v>PENDING</x:v>
      </x:c>
    </x:row>
    <x:row r="8" ht="92" customHeight="1">
      <x:c r="A8" s="46" t="str">
        <x:v>DE-0005</x:v>
      </x:c>
      <x:c r="B8" s="46" t="str">
        <x:v>PRD-0057-P0029-U01</x:v>
      </x:c>
      <x:c r="C8" s="46" t="str">
        <x:v>NZ_RBNZ_CBDCIssuesPaper_2021</x:v>
      </x:c>
      <x:c r="D8" s="46" t="n">
        <x:v>29</x:v>
      </x:c>
      <x:c r="E8" s="46" t="str">
        <x:v>en</x:v>
      </x:c>
      <x:c r="F8" s="46" t="str">
        <x:v>Reserve Bank of New Zealand</x:v>
      </x:c>
      <x:c r="G8" s="46" t="str">
        <x:v>Retain the named authority's own CBDC decisions, explicit proposals, requirements, features, and executed findings. Exclude generic context, literature, foreign projects, and stakeholder views not explicitly adopted by the authority.</x:v>
      </x:c>
      <x:c r="H8" s="46" t="str">
        <x:v>text</x:v>
      </x:c>
      <x:c r="I8" s="46" t="str"/>
      <x:c r="J8" s="46" t="str">
        <x:v>29  
29  Future of Money – Central Bank Digital Currency  
One important design and calibration issue for future consideration is whether and by how much 
the Reserve Bank may want to limit the volume of CBDC that can be issued to wholesale 
customers, to reduce the possibility of a wholesale run on banks to a CBDC. In crisis scenarios we 
would be able to quickly detect a run to a CBDC and halt these flows to provide stability to the 
banking system if needed.  
Alternatively, the Reserve Bank could impose negative interest rates on large holdings of CBDC. 
This might replicate the storage costs of cash and reduce the attractiveness of switching money 
from transaction accounts to a CBDC in large quantities. 
These are just some high-level examples of the types of mitigant that will need to be thought 
through in the next stage(s) of CBDC development. 
(b) Reserve Bank balance sheet 
In addition to giving proper attention and consideration to the impacts of a CBDC on private-
sector financial intermediaries, it is necessary to think through the impacts of the issuance of a 
CBDC on the Reserve Bank’s balance sheet. This includes impacts on the size of the balance sheet 
and on our monetary policy settings, which would depend on how great the demand for a CBDC 
was, where it came from (i.e. cash, transaction accounts or other assets), and whether we satisfied 
the demand for a CBDC (see Annex C).  
These considerations are not new; the Reserve Bank already makes decisions on the supply of 
money (in terms of cash in circulation and liquidity in the financial system), monetary policies and 
financial stability policies that all affect the value anchor and the financial system – it is just that the 
current calibration, relationships, processes and policies of existing roles are more established than 
those for a CBDC.  
5.3 Design complexities 
The development of a CBDC would require a significant investment in technology and systems to 
engage in experimentation and, if a CBDC were to be issued, support a new CBDC payments 
infrastructure.  
As stated, the consideration of the form a CBDC should take includes whether it is token or 
account based, whether it uses distributed ledger technology or conventional infrastructure, how it 
can safely support offline payments, who can access it and how much can be made available.  
Further consideration would also need to be given to its distribution. For example, there is a 
spectrum of distribution models to consider, ranging from a CBDC that could be distributed via a 
direct model, whereby the Reserve Bank would provide end-to-end infrastructure and services, to 
a CBDC distributed via an intermediated model, in which the Reserve Bank would provide only 
legal issuance and the private sector would provide all other services and infrastructure. There are 
many possible variants along the spectrum (e.g. the central bank may provide core back-end 
infrastructure and outsource the front-end services). The particular objectives of a CBDC and the 
design choices would all have a bearing on the array of distribution choices. Figure 11 illustrates 
three stylised operating models. Most central banks are considering a model where the central 
bank issues a CBDC and the private sector provides front-end and some back-end services.54  
____________ 
54  Auer, R and R Böhme (2020).</x:v>
      </x:c>
      <x:c r="K8" s="49" t="str"/>
      <x:c r="L8" s="49" t="str"/>
      <x:c r="M8" s="49" t="str"/>
      <x:c r="N8" s="52" t="str">
        <x:f>IF('Instructions'!$B$3="","",'Instructions'!$B$3)</x:f>
      </x:c>
      <x:c r="O8" s="52" t="str">
        <x:f>IF(K8="","PENDING",IF('Instructions'!$B$3="","SET_INITIALS",IF(K8="yes",IF(COUNTIFS('Empty Supplements'!$B$4:$B$183,B8,'Empty Supplements'!$D$4:$D$183,"&lt;&gt;")&gt;0,"COMPLETE","MISSING_SUPPLEMENT"),IF(K8="no","COMPLETE","NEEDS_CONTEXT"))))</x:f>
        <x:v>PENDING</x:v>
      </x:c>
    </x:row>
    <x:row r="9" ht="92" customHeight="1">
      <x:c r="A9" s="46" t="str">
        <x:v>DE-0006</x:v>
      </x:c>
      <x:c r="B9" s="46" t="str">
        <x:v>PRD-0018-P0189-U01</x:v>
      </x:c>
      <x:c r="C9" s="46" t="str">
        <x:v>CN_China_BIS_2022</x:v>
      </x:c>
      <x:c r="D9" s="46" t="n">
        <x:v>189</x:v>
      </x:c>
      <x:c r="E9" s="46" t="str">
        <x:v>en</x:v>
      </x:c>
      <x:c r="F9" s="46" t="str">
        <x:v>People's Bank of China (e-CNY)</x:v>
      </x:c>
      <x:c r="G9" s="46" t="str">
        <x:v>This is a BIS research source, not automatically a PBOC position. Retain only concrete e-CNY features or decisions explicitly attributed to the PBOC; exclude modelling, literature, and foreign CBDCs.</x:v>
      </x:c>
      <x:c r="H9" s="46" t="str">
        <x:v>text</x:v>
      </x:c>
      <x:c r="I9" s="46" t="str"/>
      <x:c r="J9" s="46" t="str">
        <x:v>BIS Papers No 123 185 
CBDCs in emerging market economies 
Background 
The request to the South African Reserve Bank (SARB) – and indeed all participating 
EME Deputy Governors –  was for a “short paper (5 –6 pages) on one or two aspects 
or questions listed in the draft agenda”. While there are multiple questions listed, the 
five main aspects are as follows: 
• Main objectives of introducing CBDCs  
• Guiding principles of CBDC design and data governance  
• Challenges of CBDCs for monetary policy, financial intermediation a nd financial 
stability  
• CBDCs and financial inclusion  
• Cross-border aspects of CBDCs  
Although the SARB’s note will touch on all five aspects listed above, particular 
attention will be paid to our reflections on the objectives of retail CBDCs and the 
cross-border aspects of CBDCs given the SARB’s ongoing feasibility study and its 
participation in Project Dunbar respectively. 
Overview of the SARB’s CBDC research and exploration  
The SARB has initiated projects in both the wholesale and retail CBDC space.  
From a retail or rCBDC perspective, the SARB is  continuing its research to 
practically investigate the feasibility, desirability and appropriateness of a CBDC as 
electronic legal tender, for general purpose retail use,  complementary to cash. The 
objective of the feasibility study is to consider how the issuance of a general purpose 
CBDC will feed into the SARB’s policy position and mandate. The SARB is working 
with two vendors to explore the different deployment solution s to unpack and 
understand the options and considerations for a retail CBDC in South Africa. 
On the wholesale  or wCBDC side, the SARB is  currently finalising the second 
phase of an initiative called Project Khokha, which explores the technical, policy and 
regulatory implications of distributed ledger technology (DLT )-driven innovation in 
South Africa’s financial markets. In our first iteration, Project Khokha 1 sought to trial 
interbank wholesale settlement using DLT, while Project Khokha 2 seeks to issue, clear 
and settle debentures on DLT usin g tokenised money. One of the key technical 
objectives of Project Khokha 2 is to explore interoperability in financial markets with 
multiple tokenised assets. We expect to publish our report on Project Khokha 2 during 
the second quarter of 2022. The report  will guide the next phase in our strategy and 
inform our strategic direction in the wCBDC area.   
From a regional payments perspective, the SARB currently operates the real-time 
gross settlement (RTGS) system for the Southern African Development Community 
(SADC), or SADC -RTGS, which was originally established in part to support and 
facilitate trade in the region among member countries. The SADC-RTGS is supported</x:v>
      </x:c>
      <x:c r="K9" s="49" t="str"/>
      <x:c r="L9" s="49" t="str"/>
      <x:c r="M9" s="49" t="str"/>
      <x:c r="N9" s="52" t="str">
        <x:f>IF('Instructions'!$B$3="","",'Instructions'!$B$3)</x:f>
      </x:c>
      <x:c r="O9" s="52" t="str">
        <x:f>IF(K9="","PENDING",IF('Instructions'!$B$3="","SET_INITIALS",IF(K9="yes",IF(COUNTIFS('Empty Supplements'!$B$4:$B$183,B9,'Empty Supplements'!$D$4:$D$183,"&lt;&gt;")&gt;0,"COMPLETE","MISSING_SUPPLEMENT"),IF(K9="no","COMPLETE","NEEDS_CONTEXT"))))</x:f>
        <x:v>PENDING</x:v>
      </x:c>
    </x:row>
    <x:row r="10" ht="92" customHeight="1">
      <x:c r="A10" s="46" t="str">
        <x:v>DE-0007</x:v>
      </x:c>
      <x:c r="B10" s="46" t="str">
        <x:v>PRD-0029-P0007-U01</x:v>
      </x:c>
      <x:c r="C10" s="46" t="str">
        <x:v>FR_BdF_2022</x:v>
      </x:c>
      <x:c r="D10" s="46" t="n">
        <x:v>7</x:v>
      </x:c>
      <x:c r="E10" s="46" t="str">
        <x:v>fr</x:v>
      </x:c>
      <x:c r="F10" s="46" t="str">
        <x:v>Banque de France (wholesale CBDC programme)</x:v>
      </x:c>
      <x:c r="G10" s="46" t="str">
        <x:v>Retain Banque de France own-programme decisions and executed findings. Exclude foreign experiments and general market regulation without a CBDC-specific conclusion.</x:v>
      </x:c>
      <x:c r="H10" s="46" t="str">
        <x:v>text</x:v>
      </x:c>
      <x:c r="I10" s="46" t="str"/>
      <x:c r="J10" s="46" t="str">
        <x:v>Payments and market infrastructures in the digital era – 5
CHAPTER 20  THE ROLE AND CONTRIBUTION OF INNOVATION  
FOR PAYMENT INSTRUMENTS AND MARKET INFRASTRUCTURES
“Explore a US CBDC by placing urgency on research and development of a potential US CBDC, should 
issuance be deemed in the national interest. The Order directs the US Government to assess the technological 
infrastructure and capacity needs for a potential US CBDC in a manner that protects Americans’ interests. 
The Order also encourages the Federal Reserve to continue its research, development, and assessment 
efforts for a US CBDC, including development of a plan for broader US Government action in support of their 
work. This effort prioritizes US participation in multi-country experimentation, and ensures US leadership 
internationally to promote CBDC development that is consistent with US priorities and democratic values. ”
In addition, at the multilateral level, in October 2021, the G7 adopted 13 principles applicable to retail 
CBDC worldwide with the aim of avoiding any risks to financial stability, monetary policy and spillovers, 
as well as ensuring data protection, cybersecurity, competition, AML/CTF , environmental protection and 
financial inclusion.
Other central banks, besides the Chinese Central Bank (see Box 4), that have also commenced retail 
CBDC projects include Russia and Ukraine:
•  The Bank of Russia published a report in October 2020 entitled A digital ruble which served as the 
basis for a public consultation, and for which the summary of responses was published in April 2021. 
In February 2022, it issued a press release indicating that the first phase of its pilot test programme 
was completed in 2021 and that the tests will continue in 2022.
•  The National Bank of Ukraine, which began CBDC projects in 2016, published a report at the start 
of 2019 entitled “ Analytical report on the e-hryvnia pilot project” . It then launched a public consultation, 
for which the summary of responses was published in July 2021.
Three central banks had an operational CBDC at the start of 2022:
•  The Central Bank of the Bahamas, which commenced its CBDC projects in 2016, followed by a pilot test 
phase beginning at the end of 2019, will go down in history as the first central bank to have launched 
its digital currency, the sand dollar, in October 2020.
•  The Central Bank of Nigeria launched its digital currency, the eNaira, in October 2021.
•  The Eastern Caribbean Central Bank (ECCB) launched its digital currency, DCash, at the start of 2022.
Box 4: The Chinese central bank digital currency project (e-CNY or e-yuan) 1
History
Originally called DC/EP (Digital Currency Electronic Payment) then renamed e-CNY (or e-yuan), the Chinese 
central bank digital currency (CBDC) project was launched in 2014 by the People’s Bank of China (PBOC). 
In 2017 , the PBOC formed a Digital Currency Institute in charge of leading the project. After an analysis 
and design phase, the project entered the pilot phase at the start of 2020 and the geographic perimeter 
has gradually extended to include the major Chinese metropolitan areas.
.../...
1  The Chinese project has prompted many publications, but until recently it was not possible to obtain them from primary sources (namely, from the PBOC), 
or at least not in English. This gap was filled with the publication of a white paper by the PBOC in July 2021 and with a series of talks by Changchun Mu, 
Director General of the Digital Currency Institute of the PBOC, at international conferences, as well as a speech by Governor Yi Gang on the e-yuan.</x:v>
      </x:c>
      <x:c r="K10" s="49" t="str"/>
      <x:c r="L10" s="49" t="str"/>
      <x:c r="M10" s="49" t="str"/>
      <x:c r="N10" s="52" t="str">
        <x:f>IF('Instructions'!$B$3="","",'Instructions'!$B$3)</x:f>
      </x:c>
      <x:c r="O10" s="52" t="str">
        <x:f>IF(K10="","PENDING",IF('Instructions'!$B$3="","SET_INITIALS",IF(K10="yes",IF(COUNTIFS('Empty Supplements'!$B$4:$B$183,B10,'Empty Supplements'!$D$4:$D$183,"&lt;&gt;")&gt;0,"COMPLETE","MISSING_SUPPLEMENT"),IF(K10="no","COMPLETE","NEEDS_CONTEXT"))))</x:f>
        <x:v>PENDING</x:v>
      </x:c>
    </x:row>
    <x:row r="11" ht="92" customHeight="1">
      <x:c r="A11" s="46" t="str">
        <x:v>DE-0008</x:v>
      </x:c>
      <x:c r="B11" s="46" t="str">
        <x:v>PRD-0018-P0186-U01</x:v>
      </x:c>
      <x:c r="C11" s="46" t="str">
        <x:v>CN_China_BIS_2022</x:v>
      </x:c>
      <x:c r="D11" s="46" t="n">
        <x:v>186</x:v>
      </x:c>
      <x:c r="E11" s="46" t="str">
        <x:v>en</x:v>
      </x:c>
      <x:c r="F11" s="46" t="str">
        <x:v>People's Bank of China (e-CNY)</x:v>
      </x:c>
      <x:c r="G11" s="46" t="str">
        <x:v>This is a BIS research source, not automatically a PBOC position. Retain only concrete e-CNY features or decisions explicitly attributed to the PBOC; exclude modelling, literature, and foreign CBDCs.</x:v>
      </x:c>
      <x:c r="H11" s="46" t="str">
        <x:v>text</x:v>
      </x:c>
      <x:c r="I11" s="46" t="str"/>
      <x:c r="J11" s="46" t="str">
        <x:v>182 BIS Papers No 123 
14 It is worth n oting that some of these risks to domestic credit creation and 
financial stability could also arise as major jurisdictions issue frictionless retail CBDCs 
or equivalent instruments, even if Singapore does not. This could occur, for instance, 
if there is su bstitution of domestic bank deposits to these digital monies in a crisis. 
Digital currencies issued by foreign central banks, or stablecoins fully backed by 
foreign safe assets (particularly central bank reserves), could be seen as substantively 
safer than bank money in Singapore during times of stress , while being potentially 
more easily available through digital channels than foreign bank accounts are today.  
15 With appropriate regulatory safeguards, the macro-financial risks posed by 
retail CBDCs can likely be made manageable. Possible measures include financial 
disincentives or hard limits to prevent excessive CBDC holdings, as well as restrictions 
on the use of CBDC by non- residents. These risks could further be tempered by 
innovative design and technological solutions built into a new digital currency. Such 
safeguards should ensure that retail CBDCs serve primarily as a medium of exchange 
and not a major store of value.  
16 Overall, MAS’ current view is that there is no pressing need for a retail CBDC 
in Singapore at this point in time. Demand for cash domestically remains some way 
from the “minimum threshold” where concerns regarding the negative implications 
from the lack of cash in circulation might arise. Retail electronic payments are 
generally competitive, efficient and cheap, and innovation continues to flourish. Even 
as pockets of frictions and high costs remain, there are other initiatives in the pipeline 
to address them. The fundamental soundness of the Singapore dollar and its 
dominance in the dom estic economy will also be a bulwark against any rapid move 
towards substitution with foreign currencies. 
17 Nevertheless, MAS recognises the possibility that retail CBDCs may offer 
innovative solutions in the future.  The gains from enabling greater innovation in 
payments and payment-adjacent digital services will grow as businesses continue to 
digitalise their operations. The case for a public payment alternative to protect end 
user welfare in digital payments will na turally strengthen as more payments move 
entirely online, and could be underscored if the market structure of electronic 
payments grows more concentrated and rent -seeking behaviour begins to emerge, 
as has already occurred in some jurisdictions.  
18 There is  thus value in  MAS embark ing on the upstream technical work 
pertinent to the issuance of a retail CBDC.  The development of a retail CBDC 
system and its ecosystem is likely to be an extended and complex undertaking. 
Structural trends reshaping domestic mone y and payments have long runways and 
could accelerate unexpectedly. MAS and the financial and technology industries 
should begin to build up the necessary expertise and capabilities to issue a CBDC if 
the need arises.  
19 MAS’ exploration of CBDC technology, in partnership with the industry, has 
the potential to generate transferable know -how that could benefit payment 
innovation more broadly.  Retail CBDCs have uniquely high requirements, of 
scalability, extensibility and reliability. They are thus a useful “ high-water mark” to 
spur innovations around this payment trilemma, which could have spillover benefits 
to payments even beyond CBDCs.</x:v>
      </x:c>
      <x:c r="K11" s="49" t="str"/>
      <x:c r="L11" s="49" t="str"/>
      <x:c r="M11" s="49" t="str"/>
      <x:c r="N11" s="52" t="str">
        <x:f>IF('Instructions'!$B$3="","",'Instructions'!$B$3)</x:f>
      </x:c>
      <x:c r="O11" s="52" t="str">
        <x:f>IF(K11="","PENDING",IF('Instructions'!$B$3="","SET_INITIALS",IF(K11="yes",IF(COUNTIFS('Empty Supplements'!$B$4:$B$183,B11,'Empty Supplements'!$D$4:$D$183,"&lt;&gt;")&gt;0,"COMPLETE","MISSING_SUPPLEMENT"),IF(K11="no","COMPLETE","NEEDS_CONTEXT"))))</x:f>
        <x:v>PENDING</x:v>
      </x:c>
    </x:row>
    <x:row r="12" ht="92" customHeight="1">
      <x:c r="A12" s="46" t="str">
        <x:v>DE-0009</x:v>
      </x:c>
      <x:c r="B12" s="46" t="str">
        <x:v>PRD-0013-P0022-U01</x:v>
      </x:c>
      <x:c r="C12" s="46" t="str">
        <x:v>CA_BoC_2017</x:v>
      </x:c>
      <x:c r="D12" s="46" t="n">
        <x:v>22</x:v>
      </x:c>
      <x:c r="E12" s="46" t="str">
        <x:v>en</x:v>
      </x:c>
      <x:c r="F12" s="46" t="str">
        <x:v>Bank of Canada</x:v>
      </x:c>
      <x:c r="G12" s="46" t="str">
        <x:v>Research or joint-project source: retain only executed own-project findings or concrete CBDC conclusions explicitly attributed to the named authority. Exclude author assumptions, literature, external examples, and unadopted proposals.</x:v>
      </x:c>
      <x:c r="H12" s="46" t="str">
        <x:v>text</x:v>
      </x:c>
      <x:c r="I12" s="46" t="str"/>
      <x:c r="J12" s="46" t="str">
        <x:v>18 
Canada) would be required to provide information about the identity of the recipient of interest 
income to tax authorities. The central bank would also be required to withhold tax on interest 
income credited to non-resident holders of I-CBDC.22 As a result, anonymity— one of the main 
attractions of bank notes—would not be fully possible with I -CBDC.23 It should be noted, 
however, that the identity of the I-CBDC owner and the parties involved in an I-CBDC 
transaction could still be anonymous to other parties, aside from the central bank.  
This erosion of anonymity would reduce the appeal of I-CBDC for those transactions where 
(complete) privacy was desired. On the other hand, this loss of anonymity would help address 
concerns about the use of CBDC for criminal activity. More generally, such a provision could 
constrain access to I-CBDC to those individuals and firms who have verifiable identification 
(e.g., a tax identification code, social insurance or a business registration number).24    
5.2  I-CBDC and central bank seigniorage  
Paying interest on I-CBDC would directly reduce seigniorage in proportion to the level of 
interest rates. At the same time, paying interest would increase the demand for CBDC, especially 
relative to bank notes, while the erosion of anonymity (discussed above) would tend to reduce 
demand for I-CBDC relative to bank notes. Whether a sustained shift from commercial bank 
deposits and other conventional claims to I-CBDC would occur—and so benefit seign iorage—
depends largely on how financial institutions respond to the existence of I-CBDC, which is 
considered in section 5.4.25  
5.3  I-CBDC and monetary policy  
As noted above, the central bank would remain the ultimate (monopoly) supplier of reserves, 
bank notes and CBDC (interest-bearing or not), so the central bank could set related terms and 
conditions, and therefore control monetary policy. So, again, paying interest on CBDC should 
not compromise or fundamentally affect a central bank’s ability to influence short-term interest 
rates to achieve price stability, although implementation tactics could change.  
In principle, one would expect that the interest rate paid by the central bank on reserves would be 
the same as the interest rate paid on I-CBDC, as each reflects the setting of monetary policy. 
These liabilities are also close substitutes in some contexts. Further, a spread between the interest 
22 In Canada, any entity that makes certain payments, including interest income, to a resident of Canada is required 
to report such income to the Canadian Revenue Agency and to prepare a corresponding record for the income 
recipient. These records identify the types of investment income that residents of Canada must report on their 
income tax returns. The tax authorities in Canada also require an individual or organization to withhold income tax 
of 25 per cent or the percentage established under a tax agreement on amounts paid or credited to non-residents.  
23 This argument may not apply in economies such as Hong Kong where interest income is not subject to income 
taxes. 
24 A central bank could consider issuing both an anonymous benchmark CBDC (with a cap on the maximum amount 
that could be held) along with an I-CBDC (with no cap on balances). Analysis of such an approach is for future 
research. 
25 Barrdear and Kumhof (2016) argue that interest-bearing CBDC would lead to a large increase in demand for 
central bank liabilities, which would lead to an increase in seigniorage, and, in turn, to larger residual transfers to the 
government. They also note that with such a large shift into CBDC, the central bank would need to hold more 
government bonds on its balance sheet. This increased demand for government bonds, other things being equal, 
would increase bond prices and lower associated bond interest rates, thus reducing government funding costs.</x:v>
      </x:c>
      <x:c r="K12" s="49" t="str"/>
      <x:c r="L12" s="49" t="str"/>
      <x:c r="M12" s="49" t="str"/>
      <x:c r="N12" s="52" t="str">
        <x:f>IF('Instructions'!$B$3="","",'Instructions'!$B$3)</x:f>
      </x:c>
      <x:c r="O12" s="52" t="str">
        <x:f>IF(K12="","PENDING",IF('Instructions'!$B$3="","SET_INITIALS",IF(K12="yes",IF(COUNTIFS('Empty Supplements'!$B$4:$B$183,B12,'Empty Supplements'!$D$4:$D$183,"&lt;&gt;")&gt;0,"COMPLETE","MISSING_SUPPLEMENT"),IF(K12="no","COMPLETE","NEEDS_CONTEXT"))))</x:f>
        <x:v>PENDING</x:v>
      </x:c>
    </x:row>
    <x:row r="13" ht="92" customHeight="1">
      <x:c r="A13" s="46" t="str">
        <x:v>DE-0010</x:v>
      </x:c>
      <x:c r="B13" s="46" t="str">
        <x:v>PRD-0088-P0016-U01</x:v>
      </x:c>
      <x:c r="C13" s="46" t="str">
        <x:v>IN_RBI_ConceptNote_2022</x:v>
      </x:c>
      <x:c r="D13" s="46" t="n">
        <x:v>16</x:v>
      </x:c>
      <x:c r="E13" s="46" t="str">
        <x:v>en</x:v>
      </x:c>
      <x:c r="F13" s="46" t="str">
        <x:v>Reserve Bank of India (digital rupee)</x:v>
      </x:c>
      <x:c r="G13" s="46" t="str">
        <x:v>Retain RBI proposals, decisions, requirements, and operating-model claims for the digital rupee.</x:v>
      </x:c>
      <x:c r="H13" s="46" t="str">
        <x:v>text</x:v>
      </x:c>
      <x:c r="I13" s="46" t="str"/>
      <x:c r="J13" s="46" t="str">
        <x:v>Concept Note on CBDC 
16 
Chapter 3 - Motivations for issuance of 
CBDCs 
3.1 Different jurisdictions have justified the 
adoption of CBDC for very diverse reasons. 
Some of them are enumerated below: 
i. Central Banks, faced with dwindling 
usage of paper currency, seek to 
popularise a more acceptable electronic 
form of currency (like Sweden); 
ii. Jurisdictions with significant physical 
cash usage seeking to make issuance 
more efficient (like Denmark, Germany, 
Japan or even the US); 
iii. Countries with geographical barriers 
restricting the physical movement of 
cash had motivation to go for CBDC 
(e.g. The Bahamas and the Caribbean 
with small and large numbers of islands 
spread out);  
iv. Central Banks seek to meet the public’s 
need for digital currencies, manifested in 
the increasing use of private virtual 
currencies, and thereby avoid the more 
damaging consequences of such private 
currencies. 
3.2 Further, CBDCs have some clear 
advantages over other digital payments 
systems, as it being a sovereign currency, 
ensures settlement finality and thus reduces  
settlement risk in the financial system. CBDCs 
could also potentially enable a more real-time, 
cost-effective seamless integration of cross 
border payment systems. India has made 
impressive progress in innovation in digital 
10 RBI Annual Report 2021-22 
payments. The payment systems are available 
24X7, 365 days a year to both retail and 
wholesale customers, they are largely real -
time, the cost of transaction is perhaps the 
lowest in the world, users have a wide array of 
options for doing transactions and digital 
payments have grown at an impressive CAGR 
of 55% over the last five years.  
3.3 Supported by the state-of-the-art 
payment systems of India that are affordable, 
accessible, convenient, efficient, safe and 
secure, the e₹ system will bolster India’s  digital 
economy, enhance financial inclusion, and 
make the monetary and payment systems more 
efficient. There are a large and diverse number 
of motivations for India to consider  CBDC. 
Some of the important motivations for India to 
consider issuing CBDC are given below.
3.3.1 Reduction in cost associated with physical 
cash management 
Cost of c ash management in India has 
continued to be significant. The total 
expenditure incurred on security printing during 
April 1, 2021 to March 31, 2022 was ₹ 4,984.80 
crore as against ₹4,012.10 crore in the previous 
year (July 1, 2020 to March 31, 2021) 10. This 
cost, which does not include the Environmental, 
Social, and Governance (ESG) cost of printing 
money, is predominantly borne by four 
stakeholders –general public , businesses, 
banks, and the Central Bank. CBDC affects the 
overall value of the money issuing function to 
the extent that it reduces operational costs e.g. 
costs related to printing, storage, transportation 
and replacement of banknotes, and cost s 
associated with delay in reconciliation and</x:v>
      </x:c>
      <x:c r="K13" s="49" t="str"/>
      <x:c r="L13" s="49" t="str"/>
      <x:c r="M13" s="49" t="str"/>
      <x:c r="N13" s="52" t="str">
        <x:f>IF('Instructions'!$B$3="","",'Instructions'!$B$3)</x:f>
      </x:c>
      <x:c r="O13" s="52" t="str">
        <x:f>IF(K13="","PENDING",IF('Instructions'!$B$3="","SET_INITIALS",IF(K13="yes",IF(COUNTIFS('Empty Supplements'!$B$4:$B$183,B13,'Empty Supplements'!$D$4:$D$183,"&lt;&gt;")&gt;0,"COMPLETE","MISSING_SUPPLEMENT"),IF(K13="no","COMPLETE","NEEDS_CONTEXT"))))</x:f>
        <x:v>PENDING</x:v>
      </x:c>
    </x:row>
    <x:row r="14" ht="92" customHeight="1">
      <x:c r="A14" s="46" t="str">
        <x:v>DE-0011</x:v>
      </x:c>
      <x:c r="B14" s="46" t="str">
        <x:v>PRD-0087-P0035-U01</x:v>
      </x:c>
      <x:c r="C14" s="46" t="str">
        <x:v>ZA_SARB_SARB_ProjectKhokha-20180605</x:v>
      </x:c>
      <x:c r="D14" s="46" t="n">
        <x:v>35</x:v>
      </x:c>
      <x:c r="E14" s="46" t="str">
        <x:v>en</x:v>
      </x:c>
      <x:c r="F14" s="46" t="str">
        <x:v>South African Reserve Bank</x:v>
      </x:c>
      <x:c r="G14" s="46" t="str">
        <x:v>Retain the named authority's own CBDC decisions, explicit proposals, requirements, features, and executed findings. Exclude generic context, literature, foreign projects, and stakeholder views not explicitly adopted by the authority.</x:v>
      </x:c>
      <x:c r="H14" s="46" t="str">
        <x:v>text</x:v>
      </x:c>
      <x:c r="I14" s="46" t="str"/>
      <x:c r="J14" s="46" t="str">
        <x:v>35Project Khokha Fintech Report  
 STRUCTURE OF THE PROJECT | CHAPTER 2
HYPOTHESES TESTED
The technical goals  
are expressed formally  
as hypotheses.
The project set out to test a number of key hypotheses 
which are depicted in figure 6:
Figure 6: The key hypotheses of Project Khokha
Real-time gross settlement transactions can be executed 
using standard payment message formats (leveraging the 
ISO 20022 format).
Messages can be processed at sufficient scale 
and in line with the current system processing times.
Blocks should be propagated within 1s to a 95% 
confidence level and within 2s to a 99% confidence level.
The confidentiality and privacy of transactions 
between commercial banks is maintained.
The visibility of the system for the SARB is sufficient 
for oversight and operational management.</x:v>
      </x:c>
      <x:c r="K14" s="49" t="str"/>
      <x:c r="L14" s="49" t="str"/>
      <x:c r="M14" s="49" t="str"/>
      <x:c r="N14" s="52" t="str">
        <x:f>IF('Instructions'!$B$3="","",'Instructions'!$B$3)</x:f>
      </x:c>
      <x:c r="O14" s="52" t="str">
        <x:f>IF(K14="","PENDING",IF('Instructions'!$B$3="","SET_INITIALS",IF(K14="yes",IF(COUNTIFS('Empty Supplements'!$B$4:$B$183,B14,'Empty Supplements'!$D$4:$D$183,"&lt;&gt;")&gt;0,"COMPLETE","MISSING_SUPPLEMENT"),IF(K14="no","COMPLETE","NEEDS_CONTEXT"))))</x:f>
        <x:v>PENDING</x:v>
      </x:c>
    </x:row>
    <x:row r="15" ht="92" customHeight="1">
      <x:c r="A15" s="46" t="str">
        <x:v>DE-0012</x:v>
      </x:c>
      <x:c r="B15" s="46" t="str">
        <x:v>PRD-0107-P0012-U01</x:v>
      </x:c>
      <x:c r="C15" s="46" t="str">
        <x:v>CA_BoC_PETs_SDP2025_1</x:v>
      </x:c>
      <x:c r="D15" s="46" t="n">
        <x:v>12</x:v>
      </x:c>
      <x:c r="E15" s="46" t="str">
        <x:v>en</x:v>
      </x:c>
      <x:c r="F15" s="46" t="str">
        <x:v>Bank of Canada research on privacy-enhancing technologies for a potential CBDC</x:v>
      </x:c>
      <x:c r="G15" s="46" t="str">
        <x:v>Staff research is not an adopted design. Retain empirical findings or explicit Bank of Canada conclusions tied to its potential CBDC; exclude literature summaries.</x:v>
      </x:c>
      <x:c r="H15" s="46" t="str">
        <x:v>text</x:v>
      </x:c>
      <x:c r="I15" s="46" t="str"/>
      <x:c r="J15" s="46" t="str">
        <x:v>2.3.3 Cryptographic commitment
A cryptographic commitment scheme allows us to commit to a chosen message while preserving its secrecy
(with the ability to reveal it later) by publishing its hash value. A binding factor can be used when data
size is small to prevent a brute-force attack. A commitment 𝐶𝑜𝑚(𝑚,𝑟)to message 𝑚 and a blinding factor
𝑟 has the following properties:
• Hiding: One party wants to commit the message 𝑚 without revealing the content of 𝑚 itself.
• Binding: If one party makes a commitment to 𝑚, they reveal a different message 𝑚′ instead.
Brassard, Chaum, and Cr´ epeau (1988) provide a formal definition of a commitment scheme, as follows:
A commitment scheme consists of three polynomial-time algorithms 𝐶 = (Gen,Commit,Open)satisfying
the following constraints.
• 𝑟 ←Gen(1𝜆): take a security parameter 1 𝜆 and output a random number 𝑟.
• 𝑐 ←Commit(𝑚,𝑟): given a message 𝑚 and randomness 𝑟, compute as output a value 𝑐 that hides
message 𝑚 and such that it is computationally impossible to compute any pair (𝑚′,𝑟′) such that
Commit(𝑚′,𝑟′)=Commit(𝑚,𝑟).
• 𝑏←Open(𝑐,𝑚,𝑟 ): given (𝑐,𝑚,𝑟 )with a commitment 𝑐, a message 𝑚 and randomness 𝑟, the algorithm
returns true if and only if 𝑐=commit(𝑚,𝑟).
Pedersen commitment The Pedersen commitment is a commitment scheme that is binding under a
discrete logarithm assumption (Pedersen 1992). Given an elliptic curve 𝐸 defined over a finite field 𝐺𝐹(𝑝),
assume that 𝐸 has a group of points of large order 𝑞in which the discrete logarithm is hard, and two random
public generators 𝑔 and ℎ. The commitment of a message 𝑚 is a point 𝑐 on the elliptic curve 𝐸 that binds
a message 𝑚 and a random 𝑟 to a point 𝑐 on 𝐸. The Pedersen commitment is defined as follows:
𝐶𝑜𝑚(𝑚,𝑟)=𝑔𝑚ℎ𝑟
It would be infeasible to calculate another pair 𝑚′, 𝑟′ that can produce the same commitment 𝐶𝑜𝑚(𝑚).
The Petersen commitment is used in cryptocurrencies such as Monero to keep the amount of transactions
confidential. Additionally, Pedersen commitments are additively homomorphic, meaning the sum of a set of
commitments equals a commitment to the sum of the data, with the binding factor set as the sum of the
individual binding factors.
2.3.4 Zero-knowledge proofs
Goldwasser, Micali, and Rackoff (1989) first put forward and analyzed the concept of interactive proof
systems. This led to the creation of an important branch of cryptography and computational complexity
theory: that is, ZKP. In a ZKP system, a prover convinces a verifier that some statement is true or some
computations were correctly executed while leaking nothing but the validity of the assertion. ZKP has a
broad application because of this nature. As a simple example, consider the case where the prover claims
to have a way of factorizing large numbers. The verifier will send the prover a large number and the prover
will send back the factors. Successful factorization of several large integers will decrease the verifier’s doubt
about the truth of the prover’s claim. In spite of this, the verifier will learn nothing about the factorization
method.
Formally, a ZKP model is defined as an interactive proof system (𝑃,𝑉), where 𝑃 is a prover and 𝑉 is a
verifier. Protocol (𝑃,𝑉)is for proving a language membership statement for a language over {0,1}. Let 𝐿
be a language over {0,1}∗, for a membership instance 𝑥 ∈𝐿, 𝑃 and 𝑉 must share the common input 𝑥. A
proof instance is denoted as (𝑃,𝑉)(𝑥). Upon completing the interaction between two parties, the output of
the protocol should be of form (𝑃,𝑉)(𝑥)∈{ Accept, Reject}, representing 𝑉’s acceptance or rejection of 𝑃’s
claim that 𝑥 ∈𝐿. Note that an interactive ZKP system can be converted to a non-interactive ZKP system
by using the Fiat-Shamir transformation (Fiat and Shamir 1987).
A ZKP must have the following properties:
• Completeness: If the statement is correct, then the verifier will “always” accept.
• Soundness: If the statement is incorrect, then the verifier will “always” reject.
9</x:v>
      </x:c>
      <x:c r="K15" s="49" t="str"/>
      <x:c r="L15" s="49" t="str"/>
      <x:c r="M15" s="49" t="str"/>
      <x:c r="N15" s="52" t="str">
        <x:f>IF('Instructions'!$B$3="","",'Instructions'!$B$3)</x:f>
      </x:c>
      <x:c r="O15" s="52" t="str">
        <x:f>IF(K15="","PENDING",IF('Instructions'!$B$3="","SET_INITIALS",IF(K15="yes",IF(COUNTIFS('Empty Supplements'!$B$4:$B$183,B15,'Empty Supplements'!$D$4:$D$183,"&lt;&gt;")&gt;0,"COMPLETE","MISSING_SUPPLEMENT"),IF(K15="no","COMPLETE","NEEDS_CONTEXT"))))</x:f>
        <x:v>PENDING</x:v>
      </x:c>
    </x:row>
    <x:row r="16" ht="92" customHeight="1">
      <x:c r="A16" s="46" t="str">
        <x:v>DE-0013</x:v>
      </x:c>
      <x:c r="B16" s="46" t="str">
        <x:v>PRD-0065-P0025-U01</x:v>
      </x:c>
      <x:c r="C16" s="46" t="str">
        <x:v>RU_Russia_digital_ruble_30062025</x:v>
      </x:c>
      <x:c r="D16" s="46" t="n">
        <x:v>25</x:v>
      </x:c>
      <x:c r="E16" s="46" t="str">
        <x:v>ru/uk</x:v>
      </x:c>
      <x:c r="F16" s="46" t="str">
        <x:v>Bank of Russia (digital ruble)</x:v>
      </x:c>
      <x:c r="G16" s="46" t="str">
        <x:v>Retain implemented digital-ruble features, requirements, and reported results.</x:v>
      </x:c>
      <x:c r="H16" s="46" t="str">
        <x:v>text</x:v>
      </x:c>
      <x:c r="I16" s="46" t="str"/>
      <x:c r="J16" s="46" t="str">
        <x:v>24
Цифровой рубль: 
текущий статус проекта
4.	 	ПЕРСПЕКТИВЫ 	И ДАЛЬНЕЙШИЕ 	ШАГИ
В настоящее время ключевым направлением развития цифрового рубля является 
масштабирование пилотного проекта – поэтапное увеличение числа участников и пользователей 
пилота, а также расширение перечня доступных сервисов.
В ходе пилотного проекта цифрового рубля продолжается изучение эффективности различных 
экономических моделей обращения цифрового рубля. В России в системе розничных платежей 
уже эффективно функционируют платежная система «Мир», Система быстрых платежей 
и другие инструменты, позволяющие удобно и оперативно осуществлять платежи гражданам 
и принимать оплату за товары бизнесу. В ходе пилота проводится дополнительное обсуждение 
экономической модели, в том числе оптовой составляющей цифрового рубля. Особое внимание 
уделяется определению приоритетных направлений развития сервисов на базе цифрового рубля.
Параллельно с этим ведется работа, направленная на взаимодействие с государственными 
структурами, банками и коммерческими компаниями: прорабатываются наиболее востребованные 
кейсы, исследуются сценарии использования цифрового рубля, которые позволят 
продемонстрировать наибольший потенциал для повышения экономической эффективности.
С запуском цифрового рубля Россия станет одной из первых стран, у которых есть весь комплекс 
компонентов платежной инфраструктуры: Национальная система платежных карт, Система 
быстрых платежей, Система передачи финансовых сообщений и цифровая национальная валюта.
В перспективе платформа цифрового рубля может стать не только централизованной 
платформой для платежей и переводов, но и основой для внедрения инноваций во многих 
отраслях экономики. Мы рассчитываем, что привычным способом расчетов, как и безналичные 
рубли, цифровой рубль станет на горизонте 5 – 7 лет. Это стратегический проект, способный 
трансформировать экономику России, усилив ее устойчивость к внешним шокам, успешное 
внедрение которого возможно только при взаимодействии Банка России с государством, 
бизнесом и обществом.</x:v>
      </x:c>
      <x:c r="K16" s="49" t="str"/>
      <x:c r="L16" s="49" t="str"/>
      <x:c r="M16" s="49" t="str"/>
      <x:c r="N16" s="52" t="str">
        <x:f>IF('Instructions'!$B$3="","",'Instructions'!$B$3)</x:f>
      </x:c>
      <x:c r="O16" s="52" t="str">
        <x:f>IF(K16="","PENDING",IF('Instructions'!$B$3="","SET_INITIALS",IF(K16="yes",IF(COUNTIFS('Empty Supplements'!$B$4:$B$183,B16,'Empty Supplements'!$D$4:$D$183,"&lt;&gt;")&gt;0,"COMPLETE","MISSING_SUPPLEMENT"),IF(K16="no","COMPLETE","NEEDS_CONTEXT"))))</x:f>
        <x:v>PENDING</x:v>
      </x:c>
    </x:row>
    <x:row r="17" ht="92" customHeight="1">
      <x:c r="A17" s="46" t="str">
        <x:v>DE-0014</x:v>
      </x:c>
      <x:c r="B17" s="46" t="str">
        <x:v>PRD-0018-P0136-U01</x:v>
      </x:c>
      <x:c r="C17" s="46" t="str">
        <x:v>CN_China_BIS_2022</x:v>
      </x:c>
      <x:c r="D17" s="46" t="n">
        <x:v>136</x:v>
      </x:c>
      <x:c r="E17" s="46" t="str">
        <x:v>en</x:v>
      </x:c>
      <x:c r="F17" s="46" t="str">
        <x:v>People's Bank of China (e-CNY)</x:v>
      </x:c>
      <x:c r="G17" s="46" t="str">
        <x:v>This is a BIS research source, not automatically a PBOC position. Retain only concrete e-CNY features or decisions explicitly attributed to the PBOC; exclude modelling, literature, and foreign CBDCs.</x:v>
      </x:c>
      <x:c r="H17" s="46" t="str">
        <x:v>text</x:v>
      </x:c>
      <x:c r="I17" s="46" t="str"/>
      <x:c r="J17" s="46" t="str">
        <x:v>132 BIS Papers No 123 
Assessing CBDC potential for developing payment systems 
and promoting financial inclusion in Peru 
1. Initial conditions 
The Central Reserve Bank of Peru (BCRP) is currently assessing the potential benefits 
and risks of issuing a domestic central bank digital currency (CBDC). In particular, we 
explore the potential role of CBDC implementation in promoting financial inclusion 
and improving the payment system in Peru. 
In recent decades, the Peruvian economy has faced two main challenges, namely 
a bi-monetary financial system and a sizeable unbanked population. As an outcome 
of the inflation targeting regime and other policies, dollarisation has diminished. For 
instance, dollarisation of credit to the private sector has fallen sharply from around 
80% in 2000 to 23% in 2021(Graph  1). In the same period, total credit to the private 
sector increased from around 28%  to 47% of GDP, and broad money from 25 % to 
51% of GDP
5.  
Aside from this progress in de -dollarisation, in Peru some transactions can still 
be invoiced in US dollars (USD). Additionally, residents can freely open bank accounts 
and make ATM withdrawals in either soles (PEN) or USD (although to a lesser extent 
in the latter case). Such practice aligns with the dual currency settlement system of 
the national real-time gross settlement (RTGS) system, which was created in 2000 and 
is managed by the BCRP. In brief, Peru is a dual currency economy that, in the last 
decades, has achieved a downtrend in financial dollarisation with low levels of 
inflation. 
Currency in circulation (CiC) also increased from a relatively low level of 2.5 % of 
GDP in 2000 to 9.5 % of GDP in 2021(with a print of 6.8 % of GDP in 2019 before the 
pandemic). While the de -dollarization process contributed to a higher CiC, a key 
structural factor is that, with more access to roads, the population of rural areas 
reduced significantly the share of production for self- consumption during this 
century.    
All in all, there is still an important gap in terms of financial inclusion, as it greatly 
depends on structural factors such as a preference for cash and a low penetration of 
financial services in remote rural areas. Based on the Global Findex statistics, the 
5  Correspond to the BCRP statistical series PN03500MQ and PN03497MQ, respectively. 
Evolution of financial dollarisation  Graph 1</x:v>
      </x:c>
      <x:c r="K17" s="49" t="str"/>
      <x:c r="L17" s="49" t="str"/>
      <x:c r="M17" s="49" t="str"/>
      <x:c r="N17" s="52" t="str">
        <x:f>IF('Instructions'!$B$3="","",'Instructions'!$B$3)</x:f>
      </x:c>
      <x:c r="O17" s="52" t="str">
        <x:f>IF(K17="","PENDING",IF('Instructions'!$B$3="","SET_INITIALS",IF(K17="yes",IF(COUNTIFS('Empty Supplements'!$B$4:$B$183,B17,'Empty Supplements'!$D$4:$D$183,"&lt;&gt;")&gt;0,"COMPLETE","MISSING_SUPPLEMENT"),IF(K17="no","COMPLETE","NEEDS_CONTEXT"))))</x:f>
        <x:v>PENDING</x:v>
      </x:c>
    </x:row>
    <x:row r="18" ht="92" customHeight="1">
      <x:c r="A18" s="46" t="str">
        <x:v>DE-0015</x:v>
      </x:c>
      <x:c r="B18" s="46" t="str">
        <x:v>PRD-0018-P0043-U01</x:v>
      </x:c>
      <x:c r="C18" s="46" t="str">
        <x:v>CN_China_BIS_2022</x:v>
      </x:c>
      <x:c r="D18" s="46" t="n">
        <x:v>43</x:v>
      </x:c>
      <x:c r="E18" s="46" t="str">
        <x:v>en</x:v>
      </x:c>
      <x:c r="F18" s="46" t="str">
        <x:v>People's Bank of China (e-CNY)</x:v>
      </x:c>
      <x:c r="G18" s="46" t="str">
        <x:v>This is a BIS research source, not automatically a PBOC position. Retain only concrete e-CNY features or decisions explicitly attributed to the PBOC; exclude modelling, literature, and foreign CBDCs.</x:v>
      </x:c>
      <x:c r="H18" s="46" t="str">
        <x:v>text</x:v>
      </x:c>
      <x:c r="I18" s="46" t="str"/>
      <x:c r="J18" s="46" t="str">
        <x:v>BIS Papers No 123 39 
The Central Bank of Chile´s approach to retail CBDC 
This document describes the current status of the analysis conducted  by the Central 
Bank of Chile (BCCh) on the eventual issuance of a retail central bank digital currency 
(CBDC). Since this process is at an  early stage, no formal policy decision  has been 
made yet. An internal Working Group (WG) on CBDC is preparing a white paper 
scheduled for release  in early 2022 which will assess and describe future steps on this 
matter. 
The BCCh established the WG with the objective of exploring and proposing a 
medium- to long-term strategy on digital payments in Chile. Currently, the WG has 
scoped the internal discussion on retail CBDC.  Its first duty is to understand whether 
there could be a compelling reason for a future issuance of CBDC in Chile. Thus, it has 
been relevant to assess the current situation of the Chilean retail payment system , 
looking for possible motivations for a retail CBDC and further designing principles for 
its eventual  implementation. 
1. Objectives and considerations for a retail CBDC issuance 
1.1 An overview of the Chilean retail payment system 
• The Chilean retail payment system is performing  adequately for the level of 
development of the economy. From the analysis performed, there are no relevant 
gaps that can be minimised with a CBDC solution. 
• A broad view of the local retail payment system can be captured  with the 
following figures:</x:v>
      </x:c>
      <x:c r="K18" s="49" t="str"/>
      <x:c r="L18" s="49" t="str"/>
      <x:c r="M18" s="49" t="str"/>
      <x:c r="N18" s="52" t="str">
        <x:f>IF('Instructions'!$B$3="","",'Instructions'!$B$3)</x:f>
      </x:c>
      <x:c r="O18" s="52" t="str">
        <x:f>IF(K18="","PENDING",IF('Instructions'!$B$3="","SET_INITIALS",IF(K18="yes",IF(COUNTIFS('Empty Supplements'!$B$4:$B$183,B18,'Empty Supplements'!$D$4:$D$183,"&lt;&gt;")&gt;0,"COMPLETE","MISSING_SUPPLEMENT"),IF(K18="no","COMPLETE","NEEDS_CONTEXT"))))</x:f>
        <x:v>PENDING</x:v>
      </x:c>
    </x:row>
    <x:row r="19" ht="92" customHeight="1">
      <x:c r="A19" s="46" t="str">
        <x:v>DE-0016</x:v>
      </x:c>
      <x:c r="B19" s="46" t="str">
        <x:v>PRD-0042-P0066-U01</x:v>
      </x:c>
      <x:c r="C19" s="46" t="str">
        <x:v>IT_BdI_MISP_2021</x:v>
      </x:c>
      <x:c r="D19" s="46" t="n">
        <x:v>66</x:v>
      </x:c>
      <x:c r="E19" s="46" t="str">
        <x:v>en</x:v>
      </x:c>
      <x:c r="F19" s="46" t="str">
        <x:v>Banca d'Italia research context</x:v>
      </x:c>
      <x:c r="G19" s="46" t="str">
        <x:v>This research paper is not automatically an issuer commitment. Retain only Banca d'Italia own-project results or explicit institutional positions; exclude literature and model assumptions.</x:v>
      </x:c>
      <x:c r="H19" s="46" t="str">
        <x:v>text</x:v>
      </x:c>
      <x:c r="I19" s="46" t="str"/>
      <x:c r="J19" s="46" t="str">
        <x:v>64
choices that could reduce outsourcing risks to the intermediaries and potentially 
increase the safety of the CBDC for end users.
In the settlement agent intermediation, intermediaries own the keys to access 
and authorize the payment in D€93 and they execute transactions on behalf of 
their customers. As a result, a failure of the intermediary that acts as settlement 
agent, could result not only in the users being unable to access their CBDC 
balance and spend units, but also, potentially, in unauthorized transactions 
being sent to the CDBC ledger.
Unlike settlement agents, the gatekeepers are in charge of authenticating 
end users and of complying with the Know Your Customer (KYC), AML/CFT 
requirements; they also provide the technical connectivity between users 
and the payment system infrastructure. In this scenario, the gatekeepers may 
be technically unable to authorize transactions without cooperating with the 
end users. 94 This system avoids the case of unauthorized transactions being 
sent to the CBDC ledger when an intermediary, acting as a gatekeeper, 
defaults. 
For both the above intermediation types, it is also important to guarantee that 
the information on the CBDC balance that is presented to the end user has not 
been compromised. If the end users need to trust an intermediary to report 
a correct balance, then a failure of the intermediary could result in the user 
believing more funds to be available than there actually are in the central bank 
account.
Finally, if end user access to the ledger is not intermediated, then safety derives 
from the fact that information written on the ledger can be directly accessed by 
the end users. Nevertheless, the absence of intermediation entails problems of a 
different nature, which can make intermediated access to the CBDC altogether 
preferable.
 Annex 2: itcoin discussion topics
1. About on-ledger trAnsActionAl cApAcity 
The computational capacity of any payment system is a scarce resource because 
technological limits prevent it from being scaled indefinitely. In blockchain 
platforms like itCoin, this limit is related to two parameters: the amount of 
space available to describe new transactions per cycle (block space), and the 
period of the cycle itself (block time). 
Knowing what this limit is and working with a pseudonymous ledger – where 
there is no possibility of distinguishing a priori well-intentioned transactions 
93 See European Central Bank (2019).
94 For example, in order to authorize a transfer of CBDC units, the ledger may require that the end user explicitly provide 
a signature.</x:v>
      </x:c>
      <x:c r="K19" s="49" t="str"/>
      <x:c r="L19" s="49" t="str"/>
      <x:c r="M19" s="49" t="str"/>
      <x:c r="N19" s="52" t="str">
        <x:f>IF('Instructions'!$B$3="","",'Instructions'!$B$3)</x:f>
      </x:c>
      <x:c r="O19" s="52" t="str">
        <x:f>IF(K19="","PENDING",IF('Instructions'!$B$3="","SET_INITIALS",IF(K19="yes",IF(COUNTIFS('Empty Supplements'!$B$4:$B$183,B19,'Empty Supplements'!$D$4:$D$183,"&lt;&gt;")&gt;0,"COMPLETE","MISSING_SUPPLEMENT"),IF(K19="no","COMPLETE","NEEDS_CONTEXT"))))</x:f>
        <x:v>PENDING</x:v>
      </x:c>
    </x:row>
    <x:row r="20" ht="92" customHeight="1">
      <x:c r="A20" s="46" t="str">
        <x:v>DE-0017</x:v>
      </x:c>
      <x:c r="B20" s="46" t="str">
        <x:v>PRD-0013-P0027-U01</x:v>
      </x:c>
      <x:c r="C20" s="46" t="str">
        <x:v>CA_BoC_2017</x:v>
      </x:c>
      <x:c r="D20" s="46" t="n">
        <x:v>27</x:v>
      </x:c>
      <x:c r="E20" s="46" t="str">
        <x:v>en</x:v>
      </x:c>
      <x:c r="F20" s="46" t="str">
        <x:v>Bank of Canada</x:v>
      </x:c>
      <x:c r="G20" s="46" t="str">
        <x:v>Research or joint-project source: retain only executed own-project findings or concrete CBDC conclusions explicitly attributed to the named authority. Exclude author assumptions, literature, external examples, and unadopted proposals.</x:v>
      </x:c>
      <x:c r="H20" s="46" t="str">
        <x:v>text</x:v>
      </x:c>
      <x:c r="I20" s="46" t="str"/>
      <x:c r="J20" s="46" t="str">
        <x:v>23 
countries, perhaps especially in emerging economies, but does not provide a motivation in the 
Canadian case.  
(ii) Increasing contestability in retail payments seems to be the most credible motivation to issue 
CBDC, and the overall impact depends importantly on the specific attributes of the CBDC.  
I-CBDC would provide for more contestability in payments than the benchmark CBDC, which 
does not pay interest. Banks (and other service providers), however, could respond to I-CBDC 
by increasing interest on payments balances or bundling services to maintain market share, 
which would provide incremental benefits to customers, other things being equal. And these 
developments could have wider implications for the financial system (see below). Further, to the 
extent that promoting contestability in retail payments was the primary motivation to issue 
CBDC, authorities should probably also consider whether there were other ways to achieve this 
goal, including through regulatory avenues or by acting as a catalyst, and assess which strategy 
would be most effective (Fung and Halaburda 2016). As for large-value payments, it seems 
unlikely that CBDC would lead to material benefits relative to an RTGS system.   
(iii) Some of the attributes of the benchmark CBDC discussed above are problematic—most 
notably anonymity, which would facilitate criminal activity. As a practical matter, complete 
anonymity seems to be undesirable for central bank digital currency.  
(iv) As noted, CBDC, especially if interest-bearing, would motivate endogenous responses by 
financial intermediaries to compete with CBDC to retain market share and funding. A plausible 
outcome is that banks would be able to compete effectively with CBDC so that households and 
firms would generally rely on bank deposits and related products in normal times. In stress 
periods, however, they could (more) easily shift to CBDC. As a result, compared with the status 
quo, CBDC (especially if interest-bearing) could lead to some redistribution of returns away 
from financial intermediaries, perhaps a (modest) contraction of intermediation, and increased 
volatility (other things being equal).     
(v) It follows that designing a CBDC with a focus on a particular attribute, in pursuit of a 
specific policy objective, is likely to have implications on other margins; indeed, 
interdependence of effects should be expected.  
(vi) The analysis in this paper is based on an assumption that the technological means to issue 
and transfer CBDC— e.g., a digital wallet and the distributed ledger technology—would be 
feasible and acceptable to the central bank. Similarly, this paper does not focus on the costs 
involved in issuing CBDC (including central bank reputation risk). From a benefit-cost 
perspective, including these considerations in the analysis would reduce the appeal of CBDC. 
(vii) Finally, given the complexity and uncertainty associated with introducing CBDC, central 
banks inclined to issue CBDC should proceed cautiously and incrementally, perhaps with a non-
anonymous CBDC that mimics bank notes—similar to the benchmark CBDC discussed above —
notwithstanding likely low adoption rates, and learn from experience.  
Looking ahead and with a view to future research, it could be useful to examine the implications 
of a CBDC with different attributes than the benchmark or I-CBDC considered in this paper. 
Ongoing monitoring and research regarding the adoption and possible implications of private 
cryptocurrencies also would be useful, as would further work on the interaction of CBDC, 
monetary policy and financial stability in various institutional settings. Further, to the extent that 
demand for bank notes decreases over time (contrary to the evidence in most countries, as shown</x:v>
      </x:c>
      <x:c r="K20" s="49" t="str"/>
      <x:c r="L20" s="49" t="str"/>
      <x:c r="M20" s="49" t="str"/>
      <x:c r="N20" s="52" t="str">
        <x:f>IF('Instructions'!$B$3="","",'Instructions'!$B$3)</x:f>
      </x:c>
      <x:c r="O20" s="52" t="str">
        <x:f>IF(K20="","PENDING",IF('Instructions'!$B$3="","SET_INITIALS",IF(K20="yes",IF(COUNTIFS('Empty Supplements'!$B$4:$B$183,B20,'Empty Supplements'!$D$4:$D$183,"&lt;&gt;")&gt;0,"COMPLETE","MISSING_SUPPLEMENT"),IF(K20="no","COMPLETE","NEEDS_CONTEXT"))))</x:f>
        <x:v>PENDING</x:v>
      </x:c>
    </x:row>
    <x:row r="21" ht="92" customHeight="1">
      <x:c r="A21" s="46" t="str">
        <x:v>DE-0018</x:v>
      </x:c>
      <x:c r="B21" s="46" t="str">
        <x:v>PRD-0021-P0025-U01</x:v>
      </x:c>
      <x:c r="C21" s="46" t="str">
        <x:v>DK_Denmark_2022</x:v>
      </x:c>
      <x:c r="D21" s="46" t="n">
        <x:v>25</x:v>
      </x:c>
      <x:c r="E21" s="46" t="str">
        <x:v>en</x:v>
      </x:c>
      <x:c r="F21" s="46" t="str">
        <x:v>Danmarks Nationalbank</x:v>
      </x:c>
      <x:c r="G21" s="46" t="str">
        <x:v>Retain the named authority's own CBDC decisions, explicit proposals, requirements, features, and executed findings. Exclude generic context, literature, foreign projects, and stakeholder views not explicitly adopted by the authority.</x:v>
      </x:c>
      <x:c r="H21" s="46" t="str">
        <x:v>text</x:v>
      </x:c>
      <x:c r="I21" s="46" t="str"/>
      <x:c r="J21" s="46" t="str">
        <x:v>ANALYSIS  — DANMARKS NATIONALBANK
NEW TYPES OF DIGITAL MONEY
25
Distribution 
Most pilot projects on retail CBDC involve some form 
of distribution via third parties. This means that even 
though any such CBDC is issued by the central bank, 
the acquisition and registration of holdings by citizens 
take place by means of, for example, banks, payment 
institutions or telecommunications operators.45 
Those third parties thus handle the administra-
tion of the account containing CBDC. At the same 
time, there is the possibility that the central bank 
can maintain an ongoing inventory of the citizens’ 
holdings with third parties. With such a model, the 
central bank will have the necessary information to 
ensure the citizens’ CBDC holdings if a third party 
enters into liquidation. In addition, the third parties 
are also responsible for handling of anti-money laun-
dering rules and know-your-customer checks. The 
central bank will thus not be the party responsible 
for the extensive administration in connection with 
the handling of customer relations, and the actors 
who already have retail solutions can service the 
citizens’ use of retail CBDC. 
Personal identification
A key question in retail CBDC is the consideration 
of user privacy, i.e. the degree to which data on the 
user and the individual transaction are collected and 
processed.46 Just as cash payments can be made 
anonymously, similar options are being investigated 
in the context of retail CBDC.
However, an account-based solution will require 
some form of personal identification and verification 
to access the account. This means that anonymous 
payments are generally not possible. This is also con-
nected with the anti-money laundering and know-your-
customer check requirements which obligate banks 
to be able to identify who is making a given payment. 
When some central banks explore the possibility of 
an anonymous retail CBDC, this typically concerns 
transactions involving minor amounts.47 In addition, 
45 See Bank for International Settlements, Annual Economic Report 2021: 
III. CBDCs: an opportunity for the monetary system, June 2021 (link ) 
and People’s Bank of China, Progress of Research &amp; Development of 
E-CNY in China, July 2021 (link ).
46 See The European Central Bank, A digital euro to meet the expectations 
of the Europeans, April 2021 (link ).
47 See, for example, Sveriges Riksbank, E-krona pilot Phase 1, April 2021 
(link ).
the degree of personal verification may depend on, for 
example, the size of the transaction or on whether the 
transaction is executed physically or in e-commerce. 
Restrictions on applications 
Central banks that are examining the use of a retail 
CBDC often stress that such use is expected to be 
subject to a number of restrictions. Such restrictions 
may, for example, be in the form of a cap on the 
amount that can be held in the account, or restric -
tions on the number and size of transactions that 
may be executed. In such case these restrictions will 
require an interaction between existing payment 
systems so that funds exceeding a given limit are 
automatically transferred to linked bank accounts. 
Alternatively, the applications offered by a retail 
CBDC can be restricted by introducing an interest 
rate on holdings above a certain amount that is less 
attractive than the interest rate offered by banks. 
This will reduce the holdings of retail CBDC.
The purpose of the restrictions is that a retail CBDC 
will be more suitable as a means of payment than as 
a storage of value. The cap and, in part, an unat-
tractive interest rate for holdings above a given level 
can ensure that there is no significant reduction in 
commercial bank deposits as a result of citizens con-
verting large amounts to retail CBDC. 
A retail CBDC may affect the banks’ business model, 
as they use bank deposits as a source of funding of 
their lending activities. For example, if the banks’ 
deposit base is reduced or becomes less stable as a 
result of a retail CBDC, the banks must either reduce 
their lending or find alternative sources of funding. 
In such a situation, the banks can seek to compen-
sate the loss of deposits by borrowing the money 
from the central bank. The increased lending to 
banks and deposits from citizens in the form of CBDC 
will, in practice, thus result in an increase in the  
central bank’s balance sheet.48
48 See Danmarks Nationalbank, Central bank digital currency in Den-
mark?, Danmarks Nationalbank Analysis, no. 28, December 2017 (link ).</x:v>
      </x:c>
      <x:c r="K21" s="49" t="str"/>
      <x:c r="L21" s="49" t="str"/>
      <x:c r="M21" s="49" t="str"/>
      <x:c r="N21" s="52" t="str">
        <x:f>IF('Instructions'!$B$3="","",'Instructions'!$B$3)</x:f>
      </x:c>
      <x:c r="O21" s="52" t="str">
        <x:f>IF(K21="","PENDING",IF('Instructions'!$B$3="","SET_INITIALS",IF(K21="yes",IF(COUNTIFS('Empty Supplements'!$B$4:$B$183,B21,'Empty Supplements'!$D$4:$D$183,"&lt;&gt;")&gt;0,"COMPLETE","MISSING_SUPPLEMENT"),IF(K21="no","COMPLETE","NEEDS_CONTEXT"))))</x:f>
        <x:v>PENDING</x:v>
      </x:c>
    </x:row>
    <x:row r="22" ht="92" customHeight="1">
      <x:c r="A22" s="46" t="str">
        <x:v>DE-0019</x:v>
      </x:c>
      <x:c r="B22" s="46" t="str">
        <x:v>PRD-0054-P0066-U01</x:v>
      </x:c>
      <x:c r="C22" s="46" t="str">
        <x:v>NO_Norway_norges-bank-memo-1-2021</x:v>
      </x:c>
      <x:c r="D22" s="46" t="n">
        <x:v>66</x:v>
      </x:c>
      <x:c r="E22" s="46" t="str">
        <x:v>en</x:v>
      </x:c>
      <x:c r="F22" s="46" t="str">
        <x:v>Norges Bank (Norwegian CBDC work)</x:v>
      </x:c>
      <x:c r="G22" s="46" t="str">
        <x:v>Retain Norges Bank CBDC positions and requirements; exclude generic or cited research.</x:v>
      </x:c>
      <x:c r="H22" s="46" t="str">
        <x:v>text</x:v>
      </x:c>
      <x:c r="I22" s="46" t="str"/>
      <x:c r="J22" s="46" t="str">
        <x:v>66 
NORGES BANK MEMO 
NR 1 | 2021 
DIGITALE 
SENTRALBANKPENGER 
3. RAPPORT FRA 
ARBEIDSGRUPPEN 
- Prototype  
- Pilot  
- Sandkasse/testnettverk  
- Simulering/modellering  
Proof-of-Concept (PoC) innebærer å teste ut om ulike løsninger konseptuelt 
kan oppfylle spesifikasjoner/egenskaper. Dette kan gjøres på mer abstrakt 
nivå, slik som det valideringsarbeidet som allerede er gjennomført, og kan 
suppleres med teknisk testing. Teknisk testing vil gi ytterligere innsikt i om 
tekniske løsninger kan oppfylle egenskapene.  
En prototype er en avgrenset teknisk løsning som kan brukes til å teste 
enkelte egenskaper eller enkelte moduler av et system. I motsetning til ved 
PoC, som gir informasjon om en egenskap kan oppfylles for en teknisk 
løsning, vil en prototype gi mer informasjon om hvordan egenskapen 
oppfylles. En kunne for eksempel tenke seg at en lagde prototyper for 
kjerneinfrastruktur for å teste sikkerhets- og kapasitetsegenskaper, uten at det 
samtidig ble testet konkrete brukerløsninger basert på disse infrastrukturene. 
På samme måte kan en lage en avgrenset løsning for brukergrensesnitt uten 
bakenforliggende infrastruktur, for å teste brukervennligheten til disse 
løsningene. Dette kan gi informasjon, men en vil ikke nødvendigvis teste om 
egenskapene oppfylles i en fullverdig løsning med samvirke mellom moduler. 
Det er derfor viktig å gjøre vurderinger av for hvilke egenskaper og moduler 
det er nødvendig å teste samvirke.   
I en pilot vil man typisk bygge en mer fullverdig løsning der alle eller de fleste 
egenskaper kan testes samtidig for den samme løsningen. Blant andre 
Riksbanken og den kinesiske sentralbanken utvikler piloter for DSP.  
Ofte benyttes sandkasser/testnettverk for å involvere et mangfold av aktører 
som tester ut nye innovative løsninger.  
For teknisk testing av DSP vil dette typisk innebære at sentralbanken setter 
noen grunnleggende forutsetninger for deltakelse. Dette kan være relevante 
test-caser som gir innsikt i løsninger som kan oppfylle egenskapene DSP må 
ha, og visse forutsetninger om teknologien som skal brukes, for eksempel at 
de skal baseres på åpen kildekode. I motsetning til en regulatorisk sandkasse, 
vil en slik sandkasse være en rent teknisk sandkasse som bare gjennomføres 
i et testmiljø. Det vil derfor ikke være «ekte DSP» som testes. For å gi 
insentiver til slik deltakelse kan det tilbys finansiering etter forhåndssatte 
kriterier og det kan arrangeres «hackatons», konkurranser eller liknende 
potensielt med pengepremier.  
Enkelte egenskaper vil være vanskelige å teste gjennom en prototype/pilot 
eller sandkasse, fordi de er knyttet til begivenheter som er vanskelige å 
gjenskape i et testmiljø, slik som hvordan friksjonene virker ved finansiell 
ustabilitet eller ved andre stressituasjoner. I slike situasjoner kan modellering 
og simulering supplere andre testmetoder. Matematiske representasjoner av 
de tekniske løsningene kan brukes til å analysere blant annet sikkerhet. Ved 
agentbasert simulering kan man knytte atferdsmodeller til de tekniske 
løsningene. Virtuell virkelighet eller augmentert virkelighet kan også tjene 
visse funksjoner. For eksempel kan man lage «spill» der brukere kan teste ut 
løsninger i et virtuelt miljø. Modellering og simulering vil antakeligvis være et 
supplement til andre metoder for teknisk testing.</x:v>
      </x:c>
      <x:c r="K22" s="49" t="str"/>
      <x:c r="L22" s="49" t="str"/>
      <x:c r="M22" s="49" t="str"/>
      <x:c r="N22" s="52" t="str">
        <x:f>IF('Instructions'!$B$3="","",'Instructions'!$B$3)</x:f>
      </x:c>
      <x:c r="O22" s="52" t="str">
        <x:f>IF(K22="","PENDING",IF('Instructions'!$B$3="","SET_INITIALS",IF(K22="yes",IF(COUNTIFS('Empty Supplements'!$B$4:$B$183,B22,'Empty Supplements'!$D$4:$D$183,"&lt;&gt;")&gt;0,"COMPLETE","MISSING_SUPPLEMENT"),IF(K22="no","COMPLETE","NEEDS_CONTEXT"))))</x:f>
        <x:v>PENDING</x:v>
      </x:c>
    </x:row>
    <x:row r="23" ht="92" customHeight="1">
      <x:c r="A23" s="46" t="str">
        <x:v>DE-0020</x:v>
      </x:c>
      <x:c r="B23" s="46" t="str">
        <x:v>PRD-0018-P0116-U01</x:v>
      </x:c>
      <x:c r="C23" s="46" t="str">
        <x:v>CN_China_BIS_2022</x:v>
      </x:c>
      <x:c r="D23" s="46" t="n">
        <x:v>116</x:v>
      </x:c>
      <x:c r="E23" s="46" t="str">
        <x:v>en</x:v>
      </x:c>
      <x:c r="F23" s="46" t="str">
        <x:v>People's Bank of China (e-CNY)</x:v>
      </x:c>
      <x:c r="G23" s="46" t="str">
        <x:v>This is a BIS research source, not automatically a PBOC position. Retain only concrete e-CNY features or decisions explicitly attributed to the PBOC; exclude modelling, literature, and foreign CBDCs.</x:v>
      </x:c>
      <x:c r="H23" s="46" t="str">
        <x:v>text</x:v>
      </x:c>
      <x:c r="I23" s="46" t="str"/>
      <x:c r="J23" s="46" t="str">
        <x:v>112 BIS Papers No 123 
For a CBDC to effectively respond to the threat of big tech, it should be designed 
and operated as an open public currency infrastructure. For this, participation of a 
broad range of stakeholders and interoperability will be important and an effective 
division of roles between the central bank and the private sector is requir ed. In this 
sense, a direct CBDC model may not be a good choice since the central bank will end 
up being solely responsible for CBDC operation. With the hybrid  or intermediated 
model, participating institutions, such as banks and fintechs, will have more r oom to 
creatively combine CBDC with their customer platforms and financial products to 
provide innovative services. 
The proliferation of global stablecoins 
Despite the growing global popularity of cryptocurrency trading ,10 stablecoins are 
not widely used in Korea . While the transaction volume of major cryptoasset 
exchanges in Korea has increased rapidly, 11 unlike in other countries , cryptoasset 
trades on Korean exchanges are settled by bank deposits rather than by stablecoins. 
However, considering the heigh tened interest in digital innovation s such as non -
fungible tokens (NFTs), decentralised finance (DeFi), and the metaverse, the demand 
for digital asset-related payment may further expand beyond cryptoasset trading in 
the future.12 In particular, if big tech firms issue a global stablecoin in the near future, 
it is highly likely to spread rapidly into financial sector and the real economy. 
In line with global discussions led by international organis ations such as the G7, 
Financial Stability Board (FSB ) and Committee on Payments and Market 
Infrastructures (CPMI), and among major countries including EU members, the United 
States and the United Kingdom, 13 discussions about a regulatory framework for 
stablecoins are beginning to take place in Korea as well. However, if stablecoins 
spread widely amid the current absence of a regulatory framework, they could not 
only cause problems in terms of consumer protection and financial stability but also, 
with deepening global economic integration , raise the risk of currency substitution 
similar to dollarisation in some emerging market economies. Nevertheless, in the case 
of Korea, it seems unlikely that global stablec oins or CBDCs issued by large foreign 
countries would cause currency substitution.14 
Other issues 
Some argue that a DLT -based CBDC may be more efficient at supporting  new 
payment and settlement demands such as DeFi, the proliferation of NFTs, and the 
internet of things (IoT). On the other hand, some take the view that it will be possible 
10  More than $150 billion of stablecoins such as Tether (USDT) and USD Coin (USDC) have been issued 
worldwide and used as payment instruments for cryptoasset trading and DeFi (IMF, 2021). 
11  Daily cryptoasset transaction volume at major domestic exchanges (Upbit, Bithumb, Korbit, Coinone, 
and Gopax) increased two-fold from KRW 2.7 trillion in January 2021 to KRW 5.4 trillion in October 
2021. 
12  Though in the early stages, Korea is seeing increased interest and investment in digital innovation, 
such as IoT supported  by the high penetration of 5G, NFTs, and DeFi utilising distributed ledger 
technology (DLT), and augmented reality. 
13  See, e.g., FSB (2020), G7 (2019), CPIM-IOSCO (2021), PWG (2021). 
14  Currency substitution usually occurs in a situation where high inflation continues thanks to large fiscal 
deficits, impaired central bank independence, and a lack of public trust in monetary and fiscal policy.</x:v>
      </x:c>
      <x:c r="K23" s="49" t="str"/>
      <x:c r="L23" s="49" t="str"/>
      <x:c r="M23" s="49" t="str"/>
      <x:c r="N23" s="52" t="str">
        <x:f>IF('Instructions'!$B$3="","",'Instructions'!$B$3)</x:f>
      </x:c>
      <x:c r="O23" s="52" t="str">
        <x:f>IF(K23="","PENDING",IF('Instructions'!$B$3="","SET_INITIALS",IF(K23="yes",IF(COUNTIFS('Empty Supplements'!$B$4:$B$183,B23,'Empty Supplements'!$D$4:$D$183,"&lt;&gt;")&gt;0,"COMPLETE","MISSING_SUPPLEMENT"),IF(K23="no","COMPLETE","NEEDS_CONTEXT"))))</x:f>
        <x:v>PENDING</x:v>
      </x:c>
    </x:row>
    <x:row r="24" ht="92" customHeight="1">
      <x:c r="A24" s="46" t="str">
        <x:v>DE-0021</x:v>
      </x:c>
      <x:c r="B24" s="46" t="str">
        <x:v>PRD-0059-P0016-U01</x:v>
      </x:c>
      <x:c r="C24" s="46" t="str">
        <x:v>PE_Peru_cbdc-presentation</x:v>
      </x:c>
      <x:c r="D24" s="46" t="n">
        <x:v>16</x:v>
      </x:c>
      <x:c r="E24" s="46" t="str">
        <x:v>en</x:v>
      </x:c>
      <x:c r="F24" s="46" t="str">
        <x:v>Banco Central de Reserva del Peru</x:v>
      </x:c>
      <x:c r="G24" s="46" t="str">
        <x:v>Retain the named authority's own CBDC decisions, explicit proposals, requirements, features, and executed findings. Exclude generic context, literature, foreign projects, and stakeholder views not explicitly adopted by the authority.</x:v>
      </x:c>
      <x:c r="H24" s="46" t="str">
        <x:v>text</x:v>
      </x:c>
      <x:c r="I24" s="46" t="str"/>
      <x:c r="J24" s="46" t="str">
        <x:v>16 CBDC: Promoting digital payments in Peru 
BOX 1 
SUMMARY OF “RETAIL PAYMENTS IN LATIN AMERICA AND THE CARIBBEAN: PRESENT 
AND FUTURE” (Alfonso et al., 2020) 
Retail payment services in LAC countries are characterized by high costs and insufficient access 
for large swathes of the population. To overcome these limitations, some of the major  LAC central 
banks have taken the lead in introducing fast retail payments and developing an open banking 
ecosystem. Several others have launched central bank digital currency pilots. This  shift towards  
digital payments is likely to receive further momentum from the Covid-19 pandemic. 
Relative to other regions, retail payment services in LAC continue to involve high costs for end-
users and be of subpar efficiency, partly reflecting low competition among financial institutions and 
limited compatibility among payment solutions. Along with low-income levels, high informality, and 
reduced financial literacy, high costs contribute to limiting access to electronic and digital payments 
for large swathes of the region’s population. 
However, central banks and other public authorities have recently launched important initiatives to 
improve national payment systems, which complement developments in the private sector. In 
recent years, the region has seen a sharp rise in the number of F intech firms offering more 
convenient ways to pay ; and Big Tech firms have begun to integrate payment services into their e-
commerce or social media platforms. However, private sector incentives are not always aligned 
with the need of expand payment services among all the segments of the population. 
Central banks are the ultimate source of trust in money and payments, and therefore play a key role 
in maintaining the safety and integrity of payment systems , as well as ensuring that private sector 
innovation is channeled towards improving competition, securing consumer protection, enhancing 
financial inclusion, and preserving financial stability.</x:v>
      </x:c>
      <x:c r="K24" s="49" t="str"/>
      <x:c r="L24" s="49" t="str"/>
      <x:c r="M24" s="49" t="str"/>
      <x:c r="N24" s="52" t="str">
        <x:f>IF('Instructions'!$B$3="","",'Instructions'!$B$3)</x:f>
      </x:c>
      <x:c r="O24" s="52" t="str">
        <x:f>IF(K24="","PENDING",IF('Instructions'!$B$3="","SET_INITIALS",IF(K24="yes",IF(COUNTIFS('Empty Supplements'!$B$4:$B$183,B24,'Empty Supplements'!$D$4:$D$183,"&lt;&gt;")&gt;0,"COMPLETE","MISSING_SUPPLEMENT"),IF(K24="no","COMPLETE","NEEDS_CONTEXT"))))</x:f>
        <x:v>PENDING</x:v>
      </x:c>
    </x:row>
    <x:row r="25" ht="92" customHeight="1">
      <x:c r="A25" s="46" t="str">
        <x:v>DE-0022</x:v>
      </x:c>
      <x:c r="B25" s="46" t="str">
        <x:v>PRD-0053-P0032-U01</x:v>
      </x:c>
      <x:c r="C25" s="46" t="str">
        <x:v>NO_Norway_nbmemo-1-2018</x:v>
      </x:c>
      <x:c r="D25" s="46" t="n">
        <x:v>32</x:v>
      </x:c>
      <x:c r="E25" s="46" t="str">
        <x:v>en</x:v>
      </x:c>
      <x:c r="F25" s="46" t="str">
        <x:v>Norges Bank</x:v>
      </x:c>
      <x:c r="G25" s="46" t="str">
        <x:v>Retain the named authority's own CBDC decisions, explicit proposals, requirements, features, and executed findings. Exclude generic context, literature, foreign projects, and stakeholder views not explicitly adopted by the authority.</x:v>
      </x:c>
      <x:c r="H25" s="46" t="str">
        <x:v>text</x:v>
      </x:c>
      <x:c r="I25" s="46" t="str"/>
      <x:c r="J25" s="46" t="str">
        <x:v>32 
NORGES BANK MEMO 
NR 1 | 2018 
DIGITALE 
SENTRALBANKPENGER 
DSP til verdioppbevaringsformål 
Dersom det viktigste formålet med å etterspørre DSP er verdioppbevaring, vil det 
være et annet sett med momenter som er sentrale for mengden som vil bli etterspurt: 
- Om det er begrensninger i mengden av midler det er mulig å plassere. 
- Relativ avkastning på plasseringene.  
- Sikkerheten ved plasseringen – kredittrisiko (hvor innskuddssikring spiller 
inn) og operasjonell risiko/tyverifare. 
- Hvor enkelt og billig det er å flytte midler til og fra bankinnskudd. 
- Hvilke aktører som gis tilgang.  
- Hvilke andre offentlig utstedte verdipapirer/aktiva som finnes, som er likvide 
og enkelt kan benyttes til verdioppbevaring.</x:v>
      </x:c>
      <x:c r="K25" s="49" t="str"/>
      <x:c r="L25" s="49" t="str"/>
      <x:c r="M25" s="49" t="str"/>
      <x:c r="N25" s="52" t="str">
        <x:f>IF('Instructions'!$B$3="","",'Instructions'!$B$3)</x:f>
      </x:c>
      <x:c r="O25" s="52" t="str">
        <x:f>IF(K25="","PENDING",IF('Instructions'!$B$3="","SET_INITIALS",IF(K25="yes",IF(COUNTIFS('Empty Supplements'!$B$4:$B$183,B25,'Empty Supplements'!$D$4:$D$183,"&lt;&gt;")&gt;0,"COMPLETE","MISSING_SUPPLEMENT"),IF(K25="no","COMPLETE","NEEDS_CONTEXT"))))</x:f>
        <x:v>PENDING</x:v>
      </x:c>
    </x:row>
    <x:row r="26" ht="92" customHeight="1">
      <x:c r="A26" s="46" t="str">
        <x:v>DE-0023</x:v>
      </x:c>
      <x:c r="B26" s="46" t="str">
        <x:v>PRD-0009-P0010-U01</x:v>
      </x:c>
      <x:c r="C26" s="46" t="str">
        <x:v>BIS_Pakistan_2022</x:v>
      </x:c>
      <x:c r="D26" s="46" t="n">
        <x:v>10</x:v>
      </x:c>
      <x:c r="E26" s="46" t="str">
        <x:v>en</x:v>
      </x:c>
      <x:c r="F26" s="46" t="str">
        <x:v>State Bank of Pakistan</x:v>
      </x:c>
      <x:c r="G26" s="46" t="str">
        <x:v>This BIS-hosted source is not automatically an issuer decision. Retain only concrete CBDC positions or plans explicitly attributed to the State Bank of Pakistan.</x:v>
      </x:c>
      <x:c r="H26" s="46" t="str">
        <x:v>text</x:v>
      </x:c>
      <x:c r="I26" s="46" t="str"/>
      <x:c r="J26" s="46" t="str">
        <x:v>Page 10 of 13 
This brings me to the third theme of my speech, the topic of central bank digital 
currencies or CBDCs as they are popularly known.   
In simpler terms, and as Bank of International Settlements (BIS) aptly described 
in one of its papers, CBDCs are simply digital banknotes. They are central bank 
liabilities in digital form issued either directly to the general public or via 
intermediaries.  
As we all are aware that these CBDCs can be c lassified into two categories, 
wholesale and retail. In wholesale, a number of experiments have been 
conducted in the form of pilot projects primarily to understand the efficiencies 
that wholesale CBDCs will bring over conventional RTGS based digital money . 
Experiments of project Jasper by Bank of Canada and Project Stella by Bank of 
England have demonstrated that wholesale CBDC may not have substantial 
benefits over conventional RTGS (except reconciliations). There is also a 
challenge of complying with int ernational principles like Principles of Financial 
Market Infrastructure especially with regards to settlement finality. Another 
challenge is the integration of block chain -based systems with core banking 
systems of other participating banks and a number o f experiments are being 
conducted to determine the issues. Project Helvetia of Bank of International 
Settlement (BIS) innovations hub and Swiss National Bank is aimed at finding 
answers to these questions.  
On the retail side, a lot of work is being done a nd a number of countries have 
initiated pilot projects. The primary objective of these experiments and pilots 
seem to be aimed at more of understanding the role of CBDCs and their benefits 
at retail level especially digitization and financial inclusion.</x:v>
      </x:c>
      <x:c r="K26" s="49" t="str"/>
      <x:c r="L26" s="49" t="str"/>
      <x:c r="M26" s="49" t="str"/>
      <x:c r="N26" s="52" t="str">
        <x:f>IF('Instructions'!$B$3="","",'Instructions'!$B$3)</x:f>
      </x:c>
      <x:c r="O26" s="52" t="str">
        <x:f>IF(K26="","PENDING",IF('Instructions'!$B$3="","SET_INITIALS",IF(K26="yes",IF(COUNTIFS('Empty Supplements'!$B$4:$B$183,B26,'Empty Supplements'!$D$4:$D$183,"&lt;&gt;")&gt;0,"COMPLETE","MISSING_SUPPLEMENT"),IF(K26="no","COMPLETE","NEEDS_CONTEXT"))))</x:f>
        <x:v>PENDING</x:v>
      </x:c>
    </x:row>
    <x:row r="27" ht="92" customHeight="1">
      <x:c r="A27" s="46" t="str">
        <x:v>DE-0024</x:v>
      </x:c>
      <x:c r="B27" s="46" t="str">
        <x:v>PRD-0018-P0179-U01</x:v>
      </x:c>
      <x:c r="C27" s="46" t="str">
        <x:v>CN_China_BIS_2022</x:v>
      </x:c>
      <x:c r="D27" s="46" t="n">
        <x:v>179</x:v>
      </x:c>
      <x:c r="E27" s="46" t="str">
        <x:v>en</x:v>
      </x:c>
      <x:c r="F27" s="46" t="str">
        <x:v>People's Bank of China (e-CNY)</x:v>
      </x:c>
      <x:c r="G27" s="46" t="str">
        <x:v>This is a BIS research source, not automatically a PBOC position. Retain only concrete e-CNY features or decisions explicitly attributed to the PBOC; exclude modelling, literature, and foreign CBDCs.</x:v>
      </x:c>
      <x:c r="H27" s="46" t="str">
        <x:v>text</x:v>
      </x:c>
      <x:c r="I27" s="46" t="str"/>
      <x:c r="J27" s="46" t="str">
        <x:v>BIS Papers No 123 175 
support a competitive and innovative payments landscape with digitalisation and a 
future-proof payments channel. 
Wholesale payments 
A wholesale CBDC can facilitat e access for multiple financial institutions to a large -
value payment system and support settlement for a digital financial market 
infrastructure. The potential benefits of this type of CBDC could include, but are not 
limited to: broader access to risk -free central bank money for large -value payments; 
supporting delivery-versus-payment and payment-versus-payment transactions; and 
enabling digitalisation of financial markets. 
Cross-border payments 
A cross-border CBDC could facilitate direct cross-border monetary relationships with 
other CBDC networks to be established under the supervision of central banks. The 
cross-border payments would aim to reduce risks and delays in cross -border 
transactions, disintermediate correspondent banking models, reduce costs an d 
enhance financial market integration. 
Motivations behind issuing CBDC 
There are many general driving factors that motivate central banks to issue a CBDC, 
including the following: 
Financial innovation: 
A CBDC is about financial innovation, with the introd uction of a new medium that 
serves as an enabler for a digital financial market. CBDC can be compared to the 
introduction of banknotes during the second half of the 19th century, aiming to bring 
new convenience to payments and responding to an evolving payments landscape to 
ensure central bank money will remain future-proof.
Access to central bank money:  
In some jurisdictions, a significant decrease in the use of cash can be observed amid 
an increasing digitalisation of payments, reducing households’ and businesses’ access 
to risk-free central bank money. By issuing a CBDC, the central bank is offering a 
medium, with direct claim on the central bank, that can be used in digital transactions, 
thereby enlarging the scope of a digital currency’s use. Additionally, a CBDC could be 
seen as a potential mechanism to provide an alternative and safe payment solution 
compared to the private money issued by non-bank issuers. 
Payment diversity:  
The diversification in payment methods implied by the adoption of a new me dium 
would enhance choice and competition in the payments sector. A ccess to CBDC for</x:v>
      </x:c>
      <x:c r="K27" s="49" t="str"/>
      <x:c r="L27" s="49" t="str"/>
      <x:c r="M27" s="49" t="str"/>
      <x:c r="N27" s="52" t="str">
        <x:f>IF('Instructions'!$B$3="","",'Instructions'!$B$3)</x:f>
      </x:c>
      <x:c r="O27" s="52" t="str">
        <x:f>IF(K27="","PENDING",IF('Instructions'!$B$3="","SET_INITIALS",IF(K27="yes",IF(COUNTIFS('Empty Supplements'!$B$4:$B$183,B27,'Empty Supplements'!$D$4:$D$183,"&lt;&gt;")&gt;0,"COMPLETE","MISSING_SUPPLEMENT"),IF(K27="no","COMPLETE","NEEDS_CONTEXT"))))</x:f>
        <x:v>PENDING</x:v>
      </x:c>
    </x:row>
    <x:row r="28" ht="92" customHeight="1">
      <x:c r="A28" s="46" t="str">
        <x:v>DE-0025</x:v>
      </x:c>
      <x:c r="B28" s="46" t="str">
        <x:v>PRD-0076-P0020-U01</x:v>
      </x:c>
      <x:c r="C28" s="46" t="str">
        <x:v>UK_BoE_2023_TechWP</x:v>
      </x:c>
      <x:c r="D28" s="46" t="n">
        <x:v>20</x:v>
      </x:c>
      <x:c r="E28" s="46" t="str">
        <x:v>en</x:v>
      </x:c>
      <x:c r="F28" s="46" t="str">
        <x:v>Bank of England and HM Treasury (digital pound)</x:v>
      </x:c>
      <x:c r="G28" s="46" t="str">
        <x:v>Retain the named authority's own CBDC decisions, explicit proposals, requirements, features, and executed findings. Exclude generic context, literature, foreign projects, and stakeholder views not explicitly adopted by the authority.</x:v>
      </x:c>
      <x:c r="H28" s="46" t="str">
        <x:v>text</x:v>
      </x:c>
      <x:c r="I28" s="46" t="str"/>
      <x:c r="J28" s="46" t="str">
        <x:v>Page 19 
3: Technology design considerations 
Figure 5: Overview of the TWP – Technology design considerations for a UK CBDC 
Technology design considerations are a useful way to organise and guide our work. 
In this section, we explore six technology design considerations which can help organise and 
guide our technology work. They will likely have significant impact on eventual CBDC design 
choices. While there are other technology considerations to be taken into account, the Bank 
considers that these six considerations are priorities and will provide a basis for testing 
architectures and solutions, and evaluating design trade-offs. These design considerations 
are: 
• Privacy 
• Security 
• Resilience 
• Performance 
• Extensibility  
• Energy usage</x:v>
      </x:c>
      <x:c r="K28" s="49" t="str"/>
      <x:c r="L28" s="49" t="str"/>
      <x:c r="M28" s="49" t="str"/>
      <x:c r="N28" s="52" t="str">
        <x:f>IF('Instructions'!$B$3="","",'Instructions'!$B$3)</x:f>
      </x:c>
      <x:c r="O28" s="52" t="str">
        <x:f>IF(K28="","PENDING",IF('Instructions'!$B$3="","SET_INITIALS",IF(K28="yes",IF(COUNTIFS('Empty Supplements'!$B$4:$B$183,B28,'Empty Supplements'!$D$4:$D$183,"&lt;&gt;")&gt;0,"COMPLETE","MISSING_SUPPLEMENT"),IF(K28="no","COMPLETE","NEEDS_CONTEXT"))))</x:f>
        <x:v>PENDING</x:v>
      </x:c>
    </x:row>
    <x:row r="29" ht="92" customHeight="1">
      <x:c r="A29" s="46" t="str">
        <x:v>DE-0026</x:v>
      </x:c>
      <x:c r="B29" s="46" t="str">
        <x:v>PRD-0018-P0102-U01</x:v>
      </x:c>
      <x:c r="C29" s="46" t="str">
        <x:v>CN_China_BIS_2022</x:v>
      </x:c>
      <x:c r="D29" s="46" t="n">
        <x:v>102</x:v>
      </x:c>
      <x:c r="E29" s="46" t="str">
        <x:v>en</x:v>
      </x:c>
      <x:c r="F29" s="46" t="str">
        <x:v>People's Bank of China (e-CNY)</x:v>
      </x:c>
      <x:c r="G29" s="46" t="str">
        <x:v>This is a BIS research source, not automatically a PBOC position. Retain only concrete e-CNY features or decisions explicitly attributed to the PBOC; exclude modelling, literature, and foreign CBDCs.</x:v>
      </x:c>
      <x:c r="H29" s="46" t="str">
        <x:v>text</x:v>
      </x:c>
      <x:c r="I29" s="46" t="str"/>
      <x:c r="J29" s="46" t="str">
        <x:v>98 BIS Papers No 123 
The third objective is to encourage inclusion, innovation, and efficiency on 
an end -to-end basis. Considering the rapid growth of financial and payment 
instruments in Indonesia, CBDC must deliver added value to  businesses and 
consumers with new innovative ways to pay, which contribute to the development of 
faster, cheaper, more inclusive, convenient, and efficient payment solutions in support 
of dynamic trends and innovations. CBDC ecosystems should avoid reinforcing 
barriers to financial access for those excluded from or underserved by the existing 
financial system while  at the same time harnessing innovation to deliver a resilient 
and efficient payment landscape.  
Design choices for CBDC in Indonesia 
To achieve the objectives mentioned above, Indonesia’s CBDC should support 
both retail and large -value and financial marke t transactions . Therefore, B ank 
Indonesia will develop wCBDC to support large -value and financial market 
transactions, including monetary operation s and government transaction s, and 
rCBDC to support retail transactions in the digital era. 
A proper CBDC des ign is fundamental to ensure its objective s are met. 
Currently, Bank Indonesia is still researching and assessing the potential design of a 
CBDC which will be able to support Indonesia’s economy while minimising risks. CBDC 
should provide more convenience in digital transaction s without further disrupting 
the current payment system , such as fiat money, money held in accounts, digital 
banking, electronic money , and electronic wallet s. This consideration will affect the 
technology and architecture used in Indonesian CBDC. 
In 2022, Bank Indonesia will continue its exploration on CBDC by publishing 
a conceptual design for the digital rupiah to support the digital payment system 
and accelerate international cooperation on CBDC in the G20 forum . The CBDC 
issuance plan is designed to be integrated with existing infrastructure developments 
based on Indonesia’s  payment and financial system blueprint, including the 
foundation of end-to-end integration that has been built between  the financial and 
payment infrastructures. This will add complexity to the design and require stronger 
governance to ensure all of the objectives are met.</x:v>
      </x:c>
      <x:c r="K29" s="49" t="str"/>
      <x:c r="L29" s="49" t="str"/>
      <x:c r="M29" s="49" t="str"/>
      <x:c r="N29" s="52" t="str">
        <x:f>IF('Instructions'!$B$3="","",'Instructions'!$B$3)</x:f>
      </x:c>
      <x:c r="O29" s="52" t="str">
        <x:f>IF(K29="","PENDING",IF('Instructions'!$B$3="","SET_INITIALS",IF(K29="yes",IF(COUNTIFS('Empty Supplements'!$B$4:$B$183,B29,'Empty Supplements'!$D$4:$D$183,"&lt;&gt;")&gt;0,"COMPLETE","MISSING_SUPPLEMENT"),IF(K29="no","COMPLETE","NEEDS_CONTEXT"))))</x:f>
        <x:v>PENDING</x:v>
      </x:c>
    </x:row>
    <x:row r="30" ht="92" customHeight="1">
      <x:c r="A30" s="46" t="str">
        <x:v>DE-0027</x:v>
      </x:c>
      <x:c r="B30" s="46" t="str">
        <x:v>PRD-0079-P0066-U01</x:v>
      </x:c>
      <x:c r="C30" s="46" t="str">
        <x:v>UN_ESCAP_ESCAP-2022-RP-National-study-central-bank-digital-currency-stablecoin-Maldives</x:v>
      </x:c>
      <x:c r="D30" s="46" t="n">
        <x:v>66</x:v>
      </x:c>
      <x:c r="E30" s="46" t="str">
        <x:v>en</x:v>
      </x:c>
      <x:c r="F30" s="46" t="str">
        <x:v>Maldives Monetary Authority / Maldives CBDC policy study</x:v>
      </x:c>
      <x:c r="G30" s="46" t="str">
        <x:v>UN ESCAP study: retain only concrete recommendations, findings, or positions explicitly tied to the Maldives Monetary Authority or Maldives CBDC project. Exclude literature and foreign examples.</x:v>
      </x:c>
      <x:c r="H30" s="46" t="str">
        <x:v>text</x:v>
      </x:c>
      <x:c r="I30" s="46" t="str"/>
      <x:c r="J30" s="46" t="str">
        <x:v>66 
• ECB (covering France, Germany and Italy as well as smaller members) 
conducting a 24-month project on retail CBDC, which has issued various 
working papers looking at privacy as a significant issue. The overall view is 
that citizens are not enthusiastic, and risks seem to outweigh benefits so a 
potential launch would not happen in the short term. 
• France - Banque de France has its own experimental project on wholesale 
CBDC for domestic and cross-border, focussed on interbank transactions and 
has experimented with MAS and with the Swiss National Bank in 2021; ready 
to launch by 2023 but no plan to do so. 
• Germany and Italy do not have current major projects separate from ECB 
initiatives 
• UK – Bank of England conducted major studies and distributed consultation 
documents but there is little enthusiasm among politicians or the public; 
there are concerns about financial stability and the risk of BoE getting 
involved in controversies regarding anonymity and privacy; risks seem 
currently to outweigh benefits, so any potential launch would not happen in 
the short term.  
• Japan – cancelled its CBDC project citing lack of interest from the public – 
digital payment is already widely used in Japan and a new method did not 
elicit enthusiasm in consultations. 
• Canada - Project Jasper – conclusion is that privacy, security and universal 
access are significant issues and the possibility of launching a CBDC would 
require significant political will and public enthusiasm, which is currently 
lacking. 
• The flavour is that the major developed economies are looking at CBDCs only 
as a contingency measure, should the public and the world economy demand 
it in due course. Bank of Canada sums it up: “We are building the capability 
so we can be ready should the need arise” – much like MAS. 
China and India – the giants 
• China has been running a Pilot program for the digital Yuan or eCNY for 
several years in selected cities and claims that more than 140 million people 
(around 10% of the population) have opened digital wallets 
• Experimental use at the winter Olympics in Beijing was deemed a great 
success.  
• The wallets seem to work much like AliPay or WeChat Pay wallets and are 
thus readily useable by the public who are used to those systems - hence the 
retail eCNY is not a blockchain system. 
• The Chinese government is further ahead in digital currency research than 
any other major economy, but sees economic and political challenges to 
conducting a national roll-out - hence, after nearly a decade of development</x:v>
      </x:c>
      <x:c r="K30" s="49" t="str"/>
      <x:c r="L30" s="49" t="str"/>
      <x:c r="M30" s="49" t="str"/>
      <x:c r="N30" s="52" t="str">
        <x:f>IF('Instructions'!$B$3="","",'Instructions'!$B$3)</x:f>
      </x:c>
      <x:c r="O30" s="52" t="str">
        <x:f>IF(K30="","PENDING",IF('Instructions'!$B$3="","SET_INITIALS",IF(K30="yes",IF(COUNTIFS('Empty Supplements'!$B$4:$B$183,B30,'Empty Supplements'!$D$4:$D$183,"&lt;&gt;")&gt;0,"COMPLETE","MISSING_SUPPLEMENT"),IF(K30="no","COMPLETE","NEEDS_CONTEXT"))))</x:f>
        <x:v>PENDING</x:v>
      </x:c>
    </x:row>
    <x:row r="31" ht="92" customHeight="1">
      <x:c r="A31" s="46" t="str">
        <x:v>DE-0028</x:v>
      </x:c>
      <x:c r="B31" s="46" t="str">
        <x:v>PRD-0013-P0019-U01</x:v>
      </x:c>
      <x:c r="C31" s="46" t="str">
        <x:v>CA_BoC_2017</x:v>
      </x:c>
      <x:c r="D31" s="46" t="n">
        <x:v>19</x:v>
      </x:c>
      <x:c r="E31" s="46" t="str">
        <x:v>en</x:v>
      </x:c>
      <x:c r="F31" s="46" t="str">
        <x:v>Bank of Canada</x:v>
      </x:c>
      <x:c r="G31" s="46" t="str">
        <x:v>Research or joint-project source: retain only executed own-project findings or concrete CBDC conclusions explicitly attributed to the named authority. Exclude author assumptions, literature, external examples, and unadopted proposals.</x:v>
      </x:c>
      <x:c r="H31" s="46" t="str">
        <x:v>text</x:v>
      </x:c>
      <x:c r="I31" s="46" t="str"/>
      <x:c r="J31" s="46" t="str">
        <x:v>15 
of helicopter money might be reduced if a significant fraction of CBDC were held by non-
residents. (The benchmark CBDC is anonymous and thus the central bank cannot target such 
actions toward residents only.) 
4.3  The banking system and financial stability 
It follows from the preceding discussion of the demand for CBDC that some displacement of 
bank deposits and other conventional savings instruments would be expected. However, since the 
benchmark CBDC does not pay interest, a significant shift to CBDC from conventional financial 
instruments seems unlikely. Also, like cash, the benchmark CBDC is subject to risk of theft and 
loss, which would also discourage significant holdings of CBDC, other things being equal.  
At the same time, if there were a material impact on deposits, for example, banks would respond 
by increasing interest rates on their liabilities or bundling superior services on such accounts 
relative to CBDC to maintain their funding. As a result, the steady-state impact of the benchmark 
CBDC on bank deposits and other claims would likely be small, but balances could shift (more 
readily) toward CBDC in stress periods, with attendant volatility and potentially significant 
disruptions of the financial system. This endogenous aspect is probably more important for 
interest-bearing CBDC, which is considered in section 5.4.  
4.4  Contestability and efficiency in payments 
Retail payments  
Fung and Halaburda (2016) argue that digital currency would benefit retail payment efficiency in 
two ways, which would also apply to the benchmark CBDC. First, CBDC would have lower user 
costs than cash, which could prompt substitution from cash to CBDC for retail and person-to-
person payments. However, relatively low-cost electronic person-to-person payment methods, 
such as Interac e-Transfer in Canada, already exist and consumers are increasingly making use of 
such payment methods.19  
Second, CBDC would facilitate transactions that are currently foregone because of frictions that 
inhibit some types of transactions. For example, some consumers avoid online purchases because 
of security and privacy concerns when providing their credit card information. The benchmark 
CBDC would facilitate such online transactions because it is anonymous, and because potential 
losses from fraud to the consumer would be limited to only the amount of the single, specific 
transaction. Also, smaller merchants often avoid selling online because of card fees, especially 
for small-value transactions; CBDC would facilitate small-value online transactions given a 
relatively low (or no) associated fees. (As noted in Table 1, the central bank charges no fees for 
CBDC.)   
As a result of these considerations, the benchmark CBDC would provide for some increased 
contestability with other electronic payment methods, possibly in terms of reduced costs, and, in 
particular, in terms of enhanced privacy. However, Fung and Halaburda (2016) also conclude 
19 Interac e-Transfer is a person-to-person payment scheme in Canada that allows a sender to initiate a funds transfer 
from the sender’s bank account to the receiver’s bank account by sending an email to the receiver. It is typically free 
to receive and increasingly becoming free to send. The use of e-Transfer has grown significantly in recent years: 
according to Interac, Canadians made 158 million e-Transfers worth $63 billion in 2016, an increase of over 40 per 
cent from 2015.</x:v>
      </x:c>
      <x:c r="K31" s="49" t="str"/>
      <x:c r="L31" s="49" t="str"/>
      <x:c r="M31" s="49" t="str"/>
      <x:c r="N31" s="52" t="str">
        <x:f>IF('Instructions'!$B$3="","",'Instructions'!$B$3)</x:f>
      </x:c>
      <x:c r="O31" s="52" t="str">
        <x:f>IF(K31="","PENDING",IF('Instructions'!$B$3="","SET_INITIALS",IF(K31="yes",IF(COUNTIFS('Empty Supplements'!$B$4:$B$183,B31,'Empty Supplements'!$D$4:$D$183,"&lt;&gt;")&gt;0,"COMPLETE","MISSING_SUPPLEMENT"),IF(K31="no","COMPLETE","NEEDS_CONTEXT"))))</x:f>
        <x:v>PENDING</x:v>
      </x:c>
    </x:row>
    <x:row r="32" ht="92" customHeight="1">
      <x:c r="A32" s="46" t="str">
        <x:v>DE-0029</x:v>
      </x:c>
      <x:c r="B32" s="46" t="str">
        <x:v>PRD-0102-P0039-U01</x:v>
      </x:c>
      <x:c r="C32" s="46" t="str">
        <x:v>SE_Riksbank_PaymentsReport_2025</x:v>
      </x:c>
      <x:c r="D32" s="46" t="n">
        <x:v>39</x:v>
      </x:c>
      <x:c r="E32" s="46" t="str">
        <x:v>en</x:v>
      </x:c>
      <x:c r="F32" s="46" t="str">
        <x:v>Sveriges Riksbank</x:v>
      </x:c>
      <x:c r="G32" s="46" t="str">
        <x:v>Retain the named authority's own CBDC decisions, explicit proposals, requirements, features, and executed findings. Exclude generic context, literature, foreign projects, and stakeholder views not explicitly adopted by the authority.</x:v>
      </x:c>
      <x:c r="H32" s="46" t="str">
        <x:v>text</x:v>
      </x:c>
      <x:c r="I32" s="46" t="str"/>
      <x:c r="J32" s="46" t="str">
        <x:v>Safety, efficiency and accessibility 
39 
Many firms have difficulty estimating the cost of receiving payments 
Understanding the cost of payments is important for firms so that they can use their 
resources efficiently, boost profitability and increase competitiveness, which ulti-
mately benefits society as a whole. The Riksbank's survey shows that companies' per-
ceptions of the costs for receiving payments vary, but in particular many find it diffi-
cult to make an approximate assessment of the cost. Almost one in three firms could 
not estimate the approximate cost of receiving payments as a proportion of annual 
turnover. The fact that so many were unable to answer this question indicates that 
greater clarity is needed regarding the pricing of payment services to enable competi-
tion. More on the Riksbank's view of payment pricing can be found in Chapter 3.3.  
More competition among in-store payment methods is a good thing 
In Sweden, cards (debit and credit cards) have long been the most common means of 
payment among consumers. The card networks Visa and Mastercard have a dominant 
position in physical trade due to strong two-sided network effects which limit compe-
tition. The networks’ large user base among both buyers and sellers, and the fact that 
the cards are accepted worldwide, make it convenient for consumers and firms. At 
the same time, it will be difficult for smaller actors to enter the market. In recent 
years, however, new payment methods have started to challenge the dominance of 
the card networks. 
Swish has grown rapidly and in recent years has also established itself in physical com-
merce as a competitor to traditional card networks. Swish has been integrated into 
many POS systems and the company behind the service, GetSwish, has also started of-
fering a self-scanning service using the Swish app and QR codes. This is to simplify the 
payment process and reduce queuing times for users.  
In addition to Swish, open banking solutions can also play an important role in in-
creasing competition in the payments market. By allowing direct access to bank ac-
counts, open banking can reduce the number of intermediaries, which can lead to 
lower transaction costs and increased efficiency. Open banking payments with linked 
bank accounts are mainly used in e-commerce and for digital services, but there is po-
tential for these solutions to move into physical stores as well. Such developments 
can foster a more diverse and innovative payments market with greater competition, 
where both consumers and merchants have more choice, more convenient payment 
solutions and better conditions.</x:v>
      </x:c>
      <x:c r="K32" s="49" t="str"/>
      <x:c r="L32" s="49" t="str"/>
      <x:c r="M32" s="49" t="str"/>
      <x:c r="N32" s="52" t="str">
        <x:f>IF('Instructions'!$B$3="","",'Instructions'!$B$3)</x:f>
      </x:c>
      <x:c r="O32" s="52" t="str">
        <x:f>IF(K32="","PENDING",IF('Instructions'!$B$3="","SET_INITIALS",IF(K32="yes",IF(COUNTIFS('Empty Supplements'!$B$4:$B$183,B32,'Empty Supplements'!$D$4:$D$183,"&lt;&gt;")&gt;0,"COMPLETE","MISSING_SUPPLEMENT"),IF(K32="no","COMPLETE","NEEDS_CONTEXT"))))</x:f>
        <x:v>PENDING</x:v>
      </x:c>
    </x:row>
    <x:row r="33" ht="92" customHeight="1">
      <x:c r="A33" s="46" t="str">
        <x:v>DE-0030</x:v>
      </x:c>
      <x:c r="B33" s="46" t="str">
        <x:v>PRD-0045-P0026-U01</x:v>
      </x:c>
      <x:c r="C33" s="46" t="str">
        <x:v>JP_BoJ_Pilot_JP</x:v>
      </x:c>
      <x:c r="D33" s="46" t="n">
        <x:v>26</x:v>
      </x:c>
      <x:c r="E33" s="46" t="str">
        <x:v>ja</x:v>
      </x:c>
      <x:c r="F33" s="46" t="str">
        <x:v>Bank of Japan (CBDC pilot)</x:v>
      </x:c>
      <x:c r="G33" s="46" t="str">
        <x:v>Japanese source. Retain Bank of Japan own-pilot decisions and executed results; exclude workgroup purposes without results.</x:v>
      </x:c>
      <x:c r="H33" s="46" t="str">
        <x:v>text</x:v>
      </x:c>
      <x:c r="I33" s="46" t="str"/>
      <x:c r="J33" s="46" t="str">
        <x:v>25 
4 おわりに 
パイロット実験では、「実験用システムの構築と検証」と「 CBDC フォーラム」を
両輪とした多角的な検証と議論を行っている。 
今後は、CBDC フォーラムでの議論等を踏まえながら、実験用システムの構築に向
けた作業をさらに進めていく。また、CBDC フォーラムでは、電子マネー等との交換
等について検討するWG（仮称：他の決済手段との水平的共存WG）、基本的な機能の
事務フローや現金との交換について検討する WG（仮称：基本機能の事務フローWG）
の設置を想定している（前掲図表 ６参照）。基本的な機能の事務フローWG について
は、WG１における検討との連続性を意識しながら設置・運営する予定である。 
わが国で CBDC を導入するかどうかは、現時点では決定しておらず、今後の国民的
議論のなかで決まっていくものだが、日本銀行としては、議論の前提となるように、
CBDC に関する検討を引き続きしっかりと進めてまいりたい。 
以   上</x:v>
      </x:c>
      <x:c r="K33" s="49" t="str"/>
      <x:c r="L33" s="49" t="str"/>
      <x:c r="M33" s="49" t="str"/>
      <x:c r="N33" s="52" t="str">
        <x:f>IF('Instructions'!$B$3="","",'Instructions'!$B$3)</x:f>
      </x:c>
      <x:c r="O33" s="52" t="str">
        <x:f>IF(K33="","PENDING",IF('Instructions'!$B$3="","SET_INITIALS",IF(K33="yes",IF(COUNTIFS('Empty Supplements'!$B$4:$B$183,B33,'Empty Supplements'!$D$4:$D$183,"&lt;&gt;")&gt;0,"COMPLETE","MISSING_SUPPLEMENT"),IF(K33="no","COMPLETE","NEEDS_CONTEXT"))))</x:f>
        <x:v>PENDING</x:v>
      </x:c>
    </x:row>
    <x:row r="34" ht="92" customHeight="1">
      <x:c r="A34" s="46" t="str">
        <x:v>DE-0031</x:v>
      </x:c>
      <x:c r="B34" s="46" t="str">
        <x:v>PRD-0010-P0057-U01</x:v>
      </x:c>
      <x:c r="C34" s="46" t="str">
        <x:v>BO_BCB_Boliviano_Digital_2025</x:v>
      </x:c>
      <x:c r="D34" s="46" t="n">
        <x:v>57</x:v>
      </x:c>
      <x:c r="E34" s="46" t="str">
        <x:v>es</x:v>
      </x:c>
      <x:c r="F34" s="46" t="str">
        <x:v>Banco Central de Bolivia (Boliviano Digital)</x:v>
      </x:c>
      <x:c r="G34" s="46" t="str">
        <x:v>Retain BCB project decisions, proposals, requirements, and findings; exclude headings and generic background.</x:v>
      </x:c>
      <x:c r="H34" s="46" t="str">
        <x:v>text</x:v>
      </x:c>
      <x:c r="I34" s="46" t="str"/>
      <x:c r="J34" s="46" t="str">
        <x:v>45
PRIMER INFORME DEL BOLIVIANO DIGITAL
De igual manera se prevé la difusión de los resultados obtenidos en el segundo informe, 
lo que permitirá compartir los principales hallazgos y recomendaciones del proceso 
de evaluación del Boliviano Digital. Con este propósito, se llevará a cabo una amplia 
socialización en universidades, escuelas, actores del sistema financiero y entidades del 
sector público, fomentando así el debate académico y técnico en torno al boliviano 
digital.
Superada esa etapa, se iniciará una fase exploratoria de desarrollo de prototipos 
funcionales en entornos controlados de prueba, que simulen operaciones de emisión, 
liquidación y compensación de activos digitales entre actores regulados. Esta etapa 
buscará evaluar la viabilidad técnica, la compatibilidad con infraestructuras existentes, 
la robustez del diseño, y la seguridad de las operaciones bajo condiciones específicas. 
No implicará circulación real de dinero, sino validación tecnológica y procedimental 
para identificar cuellos de botella o riesgos sistémicos.
Ruta Crítica de desarrollo investigativo del Boliviano Digital
•C on la información obtenida en las reuniones con 
los actores del sistema financiero y publico en 
general y los resultados de la encuesta se realizará 
un segundo documento de evaluación de una 
posible emisión del Boliviano Digital.
(Tercer trimestre 2026)
2. Reunión con actores 
relevantes para la 
implementación de una CBDC
•L anzamiento de la encuesta para los 
participantes de la CBDC.
•E sta encuesta permitirá ajustar el 
diseño del Boliviano Digital y mejorar 
los canales de educación financiera a 
implementar.
(Segundo trimestre 2026)
3. Realización de la encuesta 
nacional de percepción 
ciudadana a un grupo focal
5. Publicación y socialización 
del segundo documento del 
Boliviano Digital
•D ifusión de los resultados obtenidos en 
el segundo informe y socialización en: 
Universidades, Escuelas, Actores del 
Sistema Financiero y del sector público
(Cuarto trimestre 2026)
•R eunión con actores del sistema 
financiero y público en general, 
para identificar las necesidades 
que pueden ser satisfechas con 
el Boliviano Digital
(Primer trimestre 2026)
•S ocialización de la Moneda 
Digital de Banca Central: 
Universidades, Escuelas, 
Actores del Sistema Financiero 
y del sector público (Cuarto 
trimestre 2025)
1. Publicación y socialización 
del primer documento del 
Boliviano Digital
4. Elaboración del segundo 
documento y posible prueba 
piloto en base a resultados
2025
2026
Elaboración: BCB.</x:v>
      </x:c>
      <x:c r="K34" s="49" t="str"/>
      <x:c r="L34" s="49" t="str"/>
      <x:c r="M34" s="49" t="str"/>
      <x:c r="N34" s="52" t="str">
        <x:f>IF('Instructions'!$B$3="","",'Instructions'!$B$3)</x:f>
      </x:c>
      <x:c r="O34" s="52" t="str">
        <x:f>IF(K34="","PENDING",IF('Instructions'!$B$3="","SET_INITIALS",IF(K34="yes",IF(COUNTIFS('Empty Supplements'!$B$4:$B$183,B34,'Empty Supplements'!$D$4:$D$183,"&lt;&gt;")&gt;0,"COMPLETE","MISSING_SUPPLEMENT"),IF(K34="no","COMPLETE","NEEDS_CONTEXT"))))</x:f>
        <x:v>PENDING</x:v>
      </x:c>
    </x:row>
    <x:row r="35" ht="92" customHeight="1">
      <x:c r="A35" s="46" t="str">
        <x:v>DE-0032</x:v>
      </x:c>
      <x:c r="B35" s="46" t="str">
        <x:v>PRD-0090-P0007-U01</x:v>
      </x:c>
      <x:c r="C35" s="46" t="str">
        <x:v>HK_HKMA_eHKD_PolicyDesign</x:v>
      </x:c>
      <x:c r="D35" s="46" t="n">
        <x:v>7</x:v>
      </x:c>
      <x:c r="E35" s="46" t="str">
        <x:v>en</x:v>
      </x:c>
      <x:c r="F35" s="46" t="str">
        <x:v>Hong Kong Monetary Authority (e-HKD)</x:v>
      </x:c>
      <x:c r="G35" s="46" t="str">
        <x:v>Retain HKMA policy/design positions for e-HKD; exclude generic literature and open questions.</x:v>
      </x:c>
      <x:c r="H35" s="46" t="str">
        <x:v>text</x:v>
      </x:c>
      <x:c r="I35" s="46" t="str"/>
      <x:c r="J35" s="46" t="str">
        <x:v>6
e-HKD: A Policy and Design Perspective
2. Introduction
In 2017, the HKMA began researching CBDC (see Box 1 for details) under Project 
LionRock. Since then, it has been actively collaborating with the Bank of Thailand, the 
Digital Currency Institute of the People ’s Bank of China (PBoC), the Central Bank of 
the United Arab Emirates and the BIS Innovation Hub Hong Kong Centre to study the 
potential of wholesale CBDC for cross-border payments under Project Multiple CBDC 
Bridge (mBridge). The HKMA commenced Project e-HKD in June 2021 to study the 
feasibility of an rCBDC in Hong Kong, i.e. e-HKD (Figure 1). Subject to its functionalities 
and design features, e-HKD can pose both opportunities and challenges to the HKMA ’s 
main functions of maintaining currency stability, financial stability, and Hong Kong as an 
international financial centre (including the development of financial infrastructure). This 
paper discusses the abovementioned issues, noting that the HKMA has not yet made a 
decision on whether and when to introduce e-HKD.
2017
Project
LionRock
Project Aurum*
Project e-HKD
Aurum 
prototype*
&amp; initial policy 
stance
e-HKD 
technical 
whitepaper
Feedback 
received on 
technical 
whitepaper
e-HKD policy 
discussion 
paper
mid-2021 Oct 2021 Dec 2021
Apr 2022
later in 2022
Continuous wholesale CBDC efforts 
including Project Inthanon-LionRock 
and mBridge from 2017 to now *Together with BIS Innovation Hub Hong 
Kong Centre, the HKMA will share results with 
central banking community
Figure 1: The CBDC journey of the HKMA</x:v>
      </x:c>
      <x:c r="K35" s="49" t="str"/>
      <x:c r="L35" s="49" t="str"/>
      <x:c r="M35" s="49" t="str"/>
      <x:c r="N35" s="52" t="str">
        <x:f>IF('Instructions'!$B$3="","",'Instructions'!$B$3)</x:f>
      </x:c>
      <x:c r="O35" s="52" t="str">
        <x:f>IF(K35="","PENDING",IF('Instructions'!$B$3="","SET_INITIALS",IF(K35="yes",IF(COUNTIFS('Empty Supplements'!$B$4:$B$183,B35,'Empty Supplements'!$D$4:$D$183,"&lt;&gt;")&gt;0,"COMPLETE","MISSING_SUPPLEMENT"),IF(K35="no","COMPLETE","NEEDS_CONTEXT"))))</x:f>
        <x:v>PENDING</x:v>
      </x:c>
    </x:row>
    <x:row r="36" ht="92" customHeight="1">
      <x:c r="A36" s="46" t="str">
        <x:v>DE-0033</x:v>
      </x:c>
      <x:c r="B36" s="46" t="str">
        <x:v>PRD-0076-P0039-U01</x:v>
      </x:c>
      <x:c r="C36" s="46" t="str">
        <x:v>UK_BoE_2023_TechWP</x:v>
      </x:c>
      <x:c r="D36" s="46" t="n">
        <x:v>39</x:v>
      </x:c>
      <x:c r="E36" s="46" t="str">
        <x:v>en</x:v>
      </x:c>
      <x:c r="F36" s="46" t="str">
        <x:v>Bank of England and HM Treasury (digital pound)</x:v>
      </x:c>
      <x:c r="G36" s="46" t="str">
        <x:v>Retain the named authority's own CBDC decisions, explicit proposals, requirements, features, and executed findings. Exclude generic context, literature, foreign projects, and stakeholder views not explicitly adopted by the authority.</x:v>
      </x:c>
      <x:c r="H36" s="46" t="str">
        <x:v>text</x:v>
      </x:c>
      <x:c r="I36" s="46" t="str"/>
      <x:c r="J36" s="46" t="str">
        <x:v>Page 38 
Next steps  
During the design phase, the Bank will assess and then seek feedback on 
comprehensive resilience requirements for Bank-managed infrastructure. That will 
include analysis of the design prioritisation between system integrity and availability.  
The Bank plans to analyse the feasibility of, and the potential challenges in, attaining the 
potential resilience metrics for Bank-managed infrastructure. That will involve 
examination of ledger designs that support these resilience outcomes, as well as the 
optimisation of system availability in response to future user needs.  
Definition of resilience requirements for PIPs and ESIPs, and an evaluation of the 
associated impact on ecosystem business models is also likely to be required as part of 
the evaluations undertaken during the design phase. 
Considerations for how the Bank, PIPs, ESIPs and critical third parties in the CBDC 
ecosystem could minimise the likelihood of disruption, mitigate its impact and recover 
from a disruptive event will also be evaluated. This might include using a risk 
assessment framework to identify operational risks and disruption impacts, and the 
mitigants to protect against these.</x:v>
      </x:c>
      <x:c r="K36" s="49" t="str"/>
      <x:c r="L36" s="49" t="str"/>
      <x:c r="M36" s="49" t="str"/>
      <x:c r="N36" s="52" t="str">
        <x:f>IF('Instructions'!$B$3="","",'Instructions'!$B$3)</x:f>
      </x:c>
      <x:c r="O36" s="52" t="str">
        <x:f>IF(K36="","PENDING",IF('Instructions'!$B$3="","SET_INITIALS",IF(K36="yes",IF(COUNTIFS('Empty Supplements'!$B$4:$B$183,B36,'Empty Supplements'!$D$4:$D$183,"&lt;&gt;")&gt;0,"COMPLETE","MISSING_SUPPLEMENT"),IF(K36="no","COMPLETE","NEEDS_CONTEXT"))))</x:f>
        <x:v>PENDING</x:v>
      </x:c>
    </x:row>
    <x:row r="37" ht="92" customHeight="1">
      <x:c r="A37" s="46" t="str">
        <x:v>DE-0034</x:v>
      </x:c>
      <x:c r="B37" s="46" t="str">
        <x:v>PRD-0082-P0043-U01</x:v>
      </x:c>
      <x:c r="C37" s="46" t="str">
        <x:v>US_WhiteHouse_TechEval_2022</x:v>
      </x:c>
      <x:c r="D37" s="46" t="n">
        <x:v>43</x:v>
      </x:c>
      <x:c r="E37" s="46" t="str">
        <x:v>en</x:v>
      </x:c>
      <x:c r="F37" s="46" t="str">
        <x:v>United States federal interagency CBDC technical evaluation</x:v>
      </x:c>
      <x:c r="G37" s="46" t="str">
        <x:v>This is a technical evaluation, not an issuance decision. Retain explicit US design objectives, requirements, or conclusions; exclude option inventories without an institutional position.</x:v>
      </x:c>
      <x:c r="H37" s="46" t="str">
        <x:v>text</x:v>
      </x:c>
      <x:c r="I37" s="46" t="str"/>
      <x:c r="J37" s="46" t="str">
        <x:v>       
TECHNICAL  EVALUATION  FOR  A  U.S.  CBDC  SYSTEM  43 
The sets of design choices defined below provide examples of varying levels of complexity. 
They are meant to represent the potential challenges that delivering a CBDC MVP with a 
particular set of expectations could present.  
Example Set #1: Minimally Complex 
One set of design choices for a CBDC MVP is minimally complex, which should provide for a 
faster development speed. This set of design choices could provide early access for retail 
consumers and involves low interoperability with other payment systems. This approach de-
prioritizes concepts like offline payments and privacy-enhancing features. These choices also 
lend themselves to simplicity of development, administration, and delivery. 
The minimum set of participants in this set of design choices could be retail consumers and 
intermediaries facilitating CBDC accounts. Under this approach, there could exist intermediaries, 
public or private, for the online intermediation of all retail CBDC customers.  
If the set of intermediaries were limited to those in the United States, existing Know Your 
Customer (KYC) infrastructure might be applied in a similar manner to the current system,
56 
which would likely reduce the technical challenges that need to be addressed and make it easier 
to achieve higher adoption in less time. 
Access to the system could be controlled by well-known identity-based and role-based access 
controls. It would be permissioned, and there would be little or no access tiering. Remediation 
could be done very simply because there would be a centralized settlement and transaction layer. 
There would be no offline transactions. Adjustments or fees could be administered in a 
straightforward fashion by system administrators. Privacy and oversight controls would be 
governed by whomever is appointed to administrate the system. 
Developing and launching a CBDC MVP with requirements that look like this set of design 
choices has relatively low complexity, compared to other sets of design choices. The tools and 
systems that would underpin a secure and functional system of this nature are more well-known 
and pose less complexity than those in the other example sets of design choices. A CBDC MVP 
with these design choices could be tested in a bounded context within a relatively short time 
frame and with relatively few resources.  
Estimating specific build timelines, especially with limited information about the product and 
team, is largely a futile exercise, both for this example set and the two that follow below. In 
support of a relatively fast timeline is that a small set of skills and expertise should be required 
under these requirements as all of the components are well known. Much would depend on 
clearing various non-technical hurdles in a timely manner. As examples: intermediaries would 
effectiveness of a CBDC system toward achieving the policy priorities. Without a specific use case, it would be 
harder to demonstrate the potential benefits and risks of adopting any novel financial instrument relative to existing 
or planned payment rails. Additionally, along with use cases and primary objectives, a CBDC MVP should 
incorporate a well-defined scope so that it may be evaluated safely. Assessing the effectiveness of a CBDC MVP 
while bounding the risk amongst a well-defined set of participants will provide a baseline for distinguishing a CBDC 
MVP from existing forms of currency. An appropriate boundary could be either geographically, socially, or 
technologically defined.  
56 There are other factors that could make this more or less challenging; for example, the ease of implementing a 
KYC infrastructure would depend, in part, on the intermediary or intermediaries chosen and the legal and regulatory 
constraints.</x:v>
      </x:c>
      <x:c r="K37" s="49" t="str"/>
      <x:c r="L37" s="49" t="str"/>
      <x:c r="M37" s="49" t="str"/>
      <x:c r="N37" s="52" t="str">
        <x:f>IF('Instructions'!$B$3="","",'Instructions'!$B$3)</x:f>
      </x:c>
      <x:c r="O37" s="52" t="str">
        <x:f>IF(K37="","PENDING",IF('Instructions'!$B$3="","SET_INITIALS",IF(K37="yes",IF(COUNTIFS('Empty Supplements'!$B$4:$B$183,B37,'Empty Supplements'!$D$4:$D$183,"&lt;&gt;")&gt;0,"COMPLETE","MISSING_SUPPLEMENT"),IF(K37="no","COMPLETE","NEEDS_CONTEXT"))))</x:f>
        <x:v>PENDING</x:v>
      </x:c>
    </x:row>
    <x:row r="38" ht="92" customHeight="1">
      <x:c r="A38" s="46" t="str">
        <x:v>DE-0035</x:v>
      </x:c>
      <x:c r="B38" s="46" t="str">
        <x:v>PRD-0009-P0002-U01</x:v>
      </x:c>
      <x:c r="C38" s="46" t="str">
        <x:v>BIS_Pakistan_2022</x:v>
      </x:c>
      <x:c r="D38" s="46" t="n">
        <x:v>2</x:v>
      </x:c>
      <x:c r="E38" s="46" t="str">
        <x:v>en</x:v>
      </x:c>
      <x:c r="F38" s="46" t="str">
        <x:v>State Bank of Pakistan</x:v>
      </x:c>
      <x:c r="G38" s="46" t="str">
        <x:v>This BIS-hosted source is not automatically an issuer decision. Retain only concrete CBDC positions or plans explicitly attributed to the State Bank of Pakistan.</x:v>
      </x:c>
      <x:c r="H38" s="46" t="str">
        <x:v>text</x:v>
      </x:c>
      <x:c r="I38" s="46" t="str"/>
      <x:c r="J38" s="46" t="str">
        <x:v>Page 2 of 13 
special relationship are as follows: one of the first governors of the S audi 
Monetary Authority was Mr. Anwar Ali a Pakistani; the road that I take to work 
every day in Karachi is called Shahrah -e-Faisal. The largest mosque in Pakistan 
is the Faisal Mosque. And the list goes on. So today as a Pakistani I also bring to 
you the good wishes and prayers of the people of Pakistan.  
In my remarks I’ll cover three points:  
 First, I would like to dwell upon the rapid transformation we are witnessing 
today from cash to digital. The history of money is one where innovation 
has occurred in sudden bursts. We are in one such burst today. I will speak 
about how this transformation from cash to digital is manifesting itself in 
Pakistan. The State Bank of Pakistan in recent history has not witnessed the 
pace of work on digital payments in decad es as we are experiencing now.  
 My second main point will be that while promoting digital payments is a key 
goal of the State Bank this is not the same as promoting crypto currencies. 
Over the past months we have carefully looked at the private digital 
currencies and we have come to the view that, based on what is on offer 
now, such virtual currencies have more risks than benefits when evaluated 
against our objectives as a central bank and regulator of the payment and 
financial system. I will share how we have reached this stage in our thinking. 
 Finally, my third point will be that the work underway in many countries and 
international institutions on Central Bank Digital Currencies (CBDCs) is 
welcome. This work should not be driven just by the desire to offe r an 
alternative to private digital currencies or out of the fear of them. Instead, 
this work should be evaluated from the perspective of how CBDCs can 
contribute to each regulator’s agenda—in our case, it is to preserve stability</x:v>
      </x:c>
      <x:c r="K38" s="49" t="str"/>
      <x:c r="L38" s="49" t="str"/>
      <x:c r="M38" s="49" t="str"/>
      <x:c r="N38" s="52" t="str">
        <x:f>IF('Instructions'!$B$3="","",'Instructions'!$B$3)</x:f>
      </x:c>
      <x:c r="O38" s="52" t="str">
        <x:f>IF(K38="","PENDING",IF('Instructions'!$B$3="","SET_INITIALS",IF(K38="yes",IF(COUNTIFS('Empty Supplements'!$B$4:$B$183,B38,'Empty Supplements'!$D$4:$D$183,"&lt;&gt;")&gt;0,"COMPLETE","MISSING_SUPPLEMENT"),IF(K38="no","COMPLETE","NEEDS_CONTEXT"))))</x:f>
        <x:v>PENDING</x:v>
      </x:c>
    </x:row>
    <x:row r="39" ht="92" customHeight="1">
      <x:c r="A39" s="46" t="str">
        <x:v>DE-0036</x:v>
      </x:c>
      <x:c r="B39" s="46" t="str">
        <x:v>PRD-0080-P0030-U01</x:v>
      </x:c>
      <x:c r="C39" s="46" t="str">
        <x:v>US_Fed_2022</x:v>
      </x:c>
      <x:c r="D39" s="46" t="n">
        <x:v>30</x:v>
      </x:c>
      <x:c r="E39" s="46" t="str">
        <x:v>en</x:v>
      </x:c>
      <x:c r="F39" s="46" t="str">
        <x:v>Board of Governors of the Federal Reserve System (potential US CBDC)</x:v>
      </x:c>
      <x:c r="G39" s="46" t="str">
        <x:v>Discussion paper, not an issuance decision. Retain explicit Federal Reserve positions, prerequisites, design preferences, or stated risks for a potential US CBDC. Exclude questions, option inventories, literature, and stakeholder views.</x:v>
      </x:c>
      <x:c r="H39" s="46" t="str">
        <x:v>text</x:v>
      </x:c>
      <x:c r="I39" s="46" t="str"/>
      <x:c r="J39" s="46" t="str">
        <x:v>hold. As of December 2021, there was around $16.41 trillion in bank credit outstanding, reflectingloans and other credit provided to households, businesses, and governments.40Today, the safety of commercial bank money is supported by federal deposit insurance (subject tocertain limits), a system of prudential regulation and supervision, and access to liquidity from theFederal Reserve.41Under this regime, commercial bank money is sufficiently safe that the generalpublic can transact in commercial bank money with confidence that a dollar of bank deposits iseasily exchangeable for a dollar of physical currency or a dollar of deposits at another bank. Thishas not always been the case. In the early nineteenth century, the principal form of commercialbank money was the banknote—paper money issued by a particular bank rather than thegovernment—rather than deposit balances, and banknotes were often treated very differentlydepending on the issuing bank.42Nonbank MoneySome nonbank financial service providers also issue liabilities that can be considered money.43These providers often hold balances on behalf of consumers or businesses and effect transfers ofthose balances on their own books for users that have signed up for their services.44Money market mutual fund (MMF) shares can be viewed as another form of nonbank money.45MMF shares are issued by nonbanks, and some MMFs, particularly those offered to businessesand institutions, offer immediate liquidity through the sale of shares, fostering their use as money.MMF shares can also serve as a store of value, and frequently are designed to offer investors astable share price.46
40Seasonally adjusted amounts. This figure does not include credit unions or other thrifts. Board of Governors of the Fed-eral Reserve System, Assets and Liabilities of Commercial Banks in the United States—H.8,January 14, 2022, https://www.federalreserve.gov/releases/h8/current/.41The Federal Reserve shares supervisory and regulatory responsibility for domestic banks with the Office of the Comp-troller of the Currency and the Federal Deposit Insurance Corporation at the federal level, and with individual statebanking departments at the state level. Additionally, the National Credit Union Administration oversees federal creditunions, which provide similar if more limited services as banks. The FDIC insures deposits in federally insured banks upto $250,000 per depositor, per insured bank, for each account ownership category for every FDIC-insured bank.42See Gary Gorton, “Reputation Formation in Early Bank Note Markets,” Journal of Political Economy104.2: 346–97, 1996and Gary Gorton, “Pricing Free Bank Notes,” Journal of Monetary Economics44.1: 33–64, 1999.43Nonbank financial service providers are broadly defined as institutions other than banks that offer financial services.See Bank for International Settlements, Committee on Payments and Market Infrastructures, Non-Banks in Retail Pay-ments(Basel: BIS, September 2014), https://www.bis.org/cpmi/publ/d118.pdf for more information on nonbanks.44A variety of mechanisms are used by nonbanks to offer payment services, many of which do not involve issuing liabili-ties. Some nonbank service providers provide user interfaces as an overlay for the customer’s deposit relationship withthe bank. These types of arrangements would be considered “commercial bank money.” Such balances may vary interms, conditions, and protections.45An MMF is a kind of mutual fund that invests in highly liquid, near-term instruments. It is intended to offer investors highliquidity with low risk.46MMFs are registered with and regulated by the Securities and Exchange Commission under the Investment Company Actof 1940. For discussion of recent MMF market events and regulatory reforms, see President’s Working Group on Finan-cial Markets, “Overview of Recent Events and Potential Reform Options for Money Market Funds,” December 2020,https://home.treasury.gov/system/files/136/PWG-MMF-report-final-Dec-2020.pdf.
26Money and Payments: The U.S. Dollar in the Age of Digital Transformation</x:v>
      </x:c>
      <x:c r="K39" s="49" t="str"/>
      <x:c r="L39" s="49" t="str"/>
      <x:c r="M39" s="49" t="str"/>
      <x:c r="N39" s="52" t="str">
        <x:f>IF('Instructions'!$B$3="","",'Instructions'!$B$3)</x:f>
      </x:c>
      <x:c r="O39" s="52" t="str">
        <x:f>IF(K39="","PENDING",IF('Instructions'!$B$3="","SET_INITIALS",IF(K39="yes",IF(COUNTIFS('Empty Supplements'!$B$4:$B$183,B39,'Empty Supplements'!$D$4:$D$183,"&lt;&gt;")&gt;0,"COMPLETE","MISSING_SUPPLEMENT"),IF(K39="no","COMPLETE","NEEDS_CONTEXT"))))</x:f>
        <x:v>PENDING</x:v>
      </x:c>
    </x:row>
  </x:sheetData>
  <x:mergeCells>
    <x:mergeCell ref="A1:O1"/>
    <x:mergeCell ref="A2:O2"/>
  </x:mergeCells>
  <x:conditionalFormatting sqref="O4:O39">
    <x:cfRule type="containsText" dxfId="6" priority="1" operator="containsText" text="COMPLETE"/>
    <x:cfRule type="containsText" dxfId="7" priority="2" operator="containsText" text="PENDING"/>
    <x:cfRule type="containsText" dxfId="8" priority="3" operator="containsText" text="INCOMPLETE"/>
    <x:cfRule type="containsText" dxfId="9" priority="4" operator="containsText" text="MISSING"/>
    <x:cfRule type="containsText" dxfId="10" priority="5" operator="containsText" text="SET_INITIALS"/>
    <x:cfRule type="containsText" dxfId="11" priority="6" operator="containsText" text="NEEDS_CONTEXT"/>
  </x:conditionalFormatting>
  <x:dataValidations count="2">
    <x:dataValidation type="list" sqref="K4:K39">
      <x:formula1>"yes,no,unclear"</x:formula1>
    </x:dataValidation>
    <x:dataValidation type="list" sqref="L4:L39">
      <x:formula1>"high,medium,low"</x:formula1>
    </x:dataValidation>
  </x:dataValidations>
  <x:pageMargins left="0.7" right="0.7" top="0.75" bottom="0.75" header="0.3" footer="0.3"/>
  <x:tableParts count="1">
    <x:tablePart xmlns:r="http://schemas.openxmlformats.org/officeDocument/2006/relationships" r:id="R746cd0eeb86e414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5" hidden="0" customWidth="1"/>
    <x:col min="2" max="2" width="22" hidden="0" customWidth="1"/>
    <x:col min="3" max="3" width="7" hidden="0" customWidth="1"/>
    <x:col min="4" max="4" width="60" hidden="0" customWidth="1"/>
    <x:col min="5" max="5" width="44" hidden="0" customWidth="1"/>
    <x:col min="6" max="6" width="21" hidden="0" customWidth="1"/>
    <x:col min="7" max="7" width="13" hidden="0" customWidth="1"/>
    <x:col min="8" max="8" width="17" hidden="0" customWidth="1"/>
    <x:col min="9" max="9" width="19" hidden="0" customWidth="1"/>
    <x:col min="10" max="10" width="9" hidden="0" customWidth="1"/>
    <x:col min="11" max="11" width="38" hidden="0" customWidth="1"/>
    <x:col min="12" max="12" width="16" hidden="0" customWidth="1"/>
    <x:col min="13" max="13" width="18" hidden="0" customWidth="1"/>
  </x:cols>
  <x:sheetData>
    <x:row r="1" ht="30" customHeight="1">
      <x:c r="A1" s="3" t="str">
        <x:v>Empty Supplements — Martin</x:v>
      </x:c>
      <x:c r="B1" s="3"/>
      <x:c r="C1" s="3"/>
      <x:c r="D1" s="3"/>
      <x:c r="E1" s="3"/>
      <x:c r="F1" s="3"/>
      <x:c r="G1" s="3"/>
      <x:c r="H1" s="3"/>
      <x:c r="I1" s="3"/>
      <x:c r="J1" s="3"/>
      <x:c r="K1" s="3"/>
      <x:c r="L1" s="3"/>
      <x:c r="M1" s="3"/>
    </x:row>
    <x:row r="2" ht="34" customHeight="1">
      <x:c r="A2" s="7" t="str">
        <x:v>Používej jen pro jednotky označené missed_claims=yes. exact_span musí být přesný podřetězec source_text; každý samostatný claim patří do vlastního řádku.</x:v>
      </x:c>
      <x:c r="B2" s="7"/>
      <x:c r="C2" s="7"/>
      <x:c r="D2" s="7"/>
      <x:c r="E2" s="7"/>
      <x:c r="F2" s="7"/>
      <x:c r="G2" s="7"/>
      <x:c r="H2" s="7"/>
      <x:c r="I2" s="7"/>
      <x:c r="J2" s="7"/>
      <x:c r="K2" s="7"/>
      <x:c r="L2" s="7"/>
      <x:c r="M2" s="7"/>
    </x:row>
    <x:row r="3" ht="42" customHeight="1">
      <x:c r="A3" s="13" t="str">
        <x:v>empty_case_id</x:v>
      </x:c>
      <x:c r="B3" s="13" t="str">
        <x:v>unit_id</x:v>
      </x:c>
      <x:c r="C3" s="13" t="str">
        <x:v>slot</x:v>
      </x:c>
      <x:c r="D3" s="13" t="str">
        <x:v>exact_span</x:v>
      </x:c>
      <x:c r="E3" s="13" t="str">
        <x:v>quote_en</x:v>
      </x:c>
      <x:c r="F3" s="13" t="str">
        <x:v>final_code1</x:v>
      </x:c>
      <x:c r="G3" s="13" t="str">
        <x:v>final_odr</x:v>
      </x:c>
      <x:c r="H3" s="13" t="str">
        <x:v>privacy_direction</x:v>
      </x:c>
      <x:c r="I3" s="13" t="str">
        <x:v>privacy_relation</x:v>
      </x:c>
      <x:c r="J3" s="13" t="str">
        <x:v>strength</x:v>
      </x:c>
      <x:c r="K3" s="13" t="str">
        <x:v>notes</x:v>
      </x:c>
      <x:c r="L3" s="13" t="str">
        <x:v>reviewer_initials</x:v>
      </x:c>
      <x:c r="M3" s="13" t="str">
        <x:v>qc_status</x:v>
      </x:c>
    </x:row>
    <x:row r="4" ht="52" customHeight="1">
      <x:c r="A4" s="53" t="str">
        <x:v>DE-0001</x:v>
      </x:c>
      <x:c r="B4" s="53" t="str">
        <x:v>PRD-0080-P0033-U01</x:v>
      </x:c>
      <x:c r="C4" s="53" t="n">
        <x:v>1</x:v>
      </x:c>
      <x:c r="D4" s="49" t="str"/>
      <x:c r="E4" s="49" t="str"/>
      <x:c r="F4" s="49" t="str"/>
      <x:c r="G4" s="49" t="str"/>
      <x:c r="H4" s="49" t="str"/>
      <x:c r="I4" s="49" t="str"/>
      <x:c r="J4" s="49" t="str"/>
      <x:c r="K4" s="49" t="str"/>
      <x:c r="L4" s="52" t="str">
        <x:f>IF('Instructions'!$B$3="","",'Instructions'!$B$3)</x:f>
      </x:c>
      <x:c r="M4" s="52" t="str">
        <x:f>IF(D4="","UNUSED",IF('Instructions'!$B$3="","SET_INITIALS",IF(OR(F4="",G4="",H4="",I4="",J4=""),"INCOMPLETE","COMPLETE")))</x:f>
        <x:v>UNUSED</x:v>
      </x:c>
    </x:row>
    <x:row r="5" ht="52" customHeight="1">
      <x:c r="A5" s="53" t="str">
        <x:v>DE-0001</x:v>
      </x:c>
      <x:c r="B5" s="53" t="str">
        <x:v>PRD-0080-P0033-U01</x:v>
      </x:c>
      <x:c r="C5" s="53" t="n">
        <x:v>2</x:v>
      </x:c>
      <x:c r="D5" s="49" t="str"/>
      <x:c r="E5" s="49" t="str"/>
      <x:c r="F5" s="49" t="str"/>
      <x:c r="G5" s="49" t="str"/>
      <x:c r="H5" s="49" t="str"/>
      <x:c r="I5" s="49" t="str"/>
      <x:c r="J5" s="49" t="str"/>
      <x:c r="K5" s="49" t="str"/>
      <x:c r="L5" s="52" t="str">
        <x:f>IF('Instructions'!$B$3="","",'Instructions'!$B$3)</x:f>
      </x:c>
      <x:c r="M5" s="52" t="str">
        <x:f>IF(D5="","UNUSED",IF('Instructions'!$B$3="","SET_INITIALS",IF(OR(F5="",G5="",H5="",I5="",J5=""),"INCOMPLETE","COMPLETE")))</x:f>
        <x:v>UNUSED</x:v>
      </x:c>
    </x:row>
    <x:row r="6" ht="52" customHeight="1">
      <x:c r="A6" s="53" t="str">
        <x:v>DE-0001</x:v>
      </x:c>
      <x:c r="B6" s="53" t="str">
        <x:v>PRD-0080-P0033-U01</x:v>
      </x:c>
      <x:c r="C6" s="53" t="n">
        <x:v>3</x:v>
      </x:c>
      <x:c r="D6" s="49" t="str"/>
      <x:c r="E6" s="49" t="str"/>
      <x:c r="F6" s="49" t="str"/>
      <x:c r="G6" s="49" t="str"/>
      <x:c r="H6" s="49" t="str"/>
      <x:c r="I6" s="49" t="str"/>
      <x:c r="J6" s="49" t="str"/>
      <x:c r="K6" s="49" t="str"/>
      <x:c r="L6" s="52" t="str">
        <x:f>IF('Instructions'!$B$3="","",'Instructions'!$B$3)</x:f>
      </x:c>
      <x:c r="M6" s="52" t="str">
        <x:f>IF(D6="","UNUSED",IF('Instructions'!$B$3="","SET_INITIALS",IF(OR(F6="",G6="",H6="",I6="",J6=""),"INCOMPLETE","COMPLETE")))</x:f>
        <x:v>UNUSED</x:v>
      </x:c>
    </x:row>
    <x:row r="7" ht="52" customHeight="1">
      <x:c r="A7" s="53" t="str">
        <x:v>DE-0001</x:v>
      </x:c>
      <x:c r="B7" s="53" t="str">
        <x:v>PRD-0080-P0033-U01</x:v>
      </x:c>
      <x:c r="C7" s="53" t="n">
        <x:v>4</x:v>
      </x:c>
      <x:c r="D7" s="49" t="str"/>
      <x:c r="E7" s="49" t="str"/>
      <x:c r="F7" s="49" t="str"/>
      <x:c r="G7" s="49" t="str"/>
      <x:c r="H7" s="49" t="str"/>
      <x:c r="I7" s="49" t="str"/>
      <x:c r="J7" s="49" t="str"/>
      <x:c r="K7" s="49" t="str"/>
      <x:c r="L7" s="52" t="str">
        <x:f>IF('Instructions'!$B$3="","",'Instructions'!$B$3)</x:f>
      </x:c>
      <x:c r="M7" s="52" t="str">
        <x:f>IF(D7="","UNUSED",IF('Instructions'!$B$3="","SET_INITIALS",IF(OR(F7="",G7="",H7="",I7="",J7=""),"INCOMPLETE","COMPLETE")))</x:f>
        <x:v>UNUSED</x:v>
      </x:c>
    </x:row>
    <x:row r="8" ht="52" customHeight="1">
      <x:c r="A8" s="53" t="str">
        <x:v>DE-0001</x:v>
      </x:c>
      <x:c r="B8" s="53" t="str">
        <x:v>PRD-0080-P0033-U01</x:v>
      </x:c>
      <x:c r="C8" s="53" t="n">
        <x:v>5</x:v>
      </x:c>
      <x:c r="D8" s="49" t="str"/>
      <x:c r="E8" s="49" t="str"/>
      <x:c r="F8" s="49" t="str"/>
      <x:c r="G8" s="49" t="str"/>
      <x:c r="H8" s="49" t="str"/>
      <x:c r="I8" s="49" t="str"/>
      <x:c r="J8" s="49" t="str"/>
      <x:c r="K8" s="49" t="str"/>
      <x:c r="L8" s="52" t="str">
        <x:f>IF('Instructions'!$B$3="","",'Instructions'!$B$3)</x:f>
      </x:c>
      <x:c r="M8" s="52" t="str">
        <x:f>IF(D8="","UNUSED",IF('Instructions'!$B$3="","SET_INITIALS",IF(OR(F8="",G8="",H8="",I8="",J8=""),"INCOMPLETE","COMPLETE")))</x:f>
        <x:v>UNUSED</x:v>
      </x:c>
    </x:row>
    <x:row r="9" ht="52" customHeight="1">
      <x:c r="A9" s="53" t="str">
        <x:v>DE-0002</x:v>
      </x:c>
      <x:c r="B9" s="53" t="str">
        <x:v>PRD-0042-P0063-U01</x:v>
      </x:c>
      <x:c r="C9" s="53" t="n">
        <x:v>1</x:v>
      </x:c>
      <x:c r="D9" s="49" t="str"/>
      <x:c r="E9" s="49" t="str"/>
      <x:c r="F9" s="49" t="str"/>
      <x:c r="G9" s="49" t="str"/>
      <x:c r="H9" s="49" t="str"/>
      <x:c r="I9" s="49" t="str"/>
      <x:c r="J9" s="49" t="str"/>
      <x:c r="K9" s="49" t="str"/>
      <x:c r="L9" s="52" t="str">
        <x:f>IF('Instructions'!$B$3="","",'Instructions'!$B$3)</x:f>
      </x:c>
      <x:c r="M9" s="52" t="str">
        <x:f>IF(D9="","UNUSED",IF('Instructions'!$B$3="","SET_INITIALS",IF(OR(F9="",G9="",H9="",I9="",J9=""),"INCOMPLETE","COMPLETE")))</x:f>
        <x:v>UNUSED</x:v>
      </x:c>
    </x:row>
    <x:row r="10" ht="52" customHeight="1">
      <x:c r="A10" s="53" t="str">
        <x:v>DE-0002</x:v>
      </x:c>
      <x:c r="B10" s="53" t="str">
        <x:v>PRD-0042-P0063-U01</x:v>
      </x:c>
      <x:c r="C10" s="53" t="n">
        <x:v>2</x:v>
      </x:c>
      <x:c r="D10" s="49" t="str"/>
      <x:c r="E10" s="49" t="str"/>
      <x:c r="F10" s="49" t="str"/>
      <x:c r="G10" s="49" t="str"/>
      <x:c r="H10" s="49" t="str"/>
      <x:c r="I10" s="49" t="str"/>
      <x:c r="J10" s="49" t="str"/>
      <x:c r="K10" s="49" t="str"/>
      <x:c r="L10" s="52" t="str">
        <x:f>IF('Instructions'!$B$3="","",'Instructions'!$B$3)</x:f>
      </x:c>
      <x:c r="M10" s="52" t="str">
        <x:f>IF(D10="","UNUSED",IF('Instructions'!$B$3="","SET_INITIALS",IF(OR(F10="",G10="",H10="",I10="",J10=""),"INCOMPLETE","COMPLETE")))</x:f>
        <x:v>UNUSED</x:v>
      </x:c>
    </x:row>
    <x:row r="11" ht="52" customHeight="1">
      <x:c r="A11" s="53" t="str">
        <x:v>DE-0002</x:v>
      </x:c>
      <x:c r="B11" s="53" t="str">
        <x:v>PRD-0042-P0063-U01</x:v>
      </x:c>
      <x:c r="C11" s="53" t="n">
        <x:v>3</x:v>
      </x:c>
      <x:c r="D11" s="49" t="str"/>
      <x:c r="E11" s="49" t="str"/>
      <x:c r="F11" s="49" t="str"/>
      <x:c r="G11" s="49" t="str"/>
      <x:c r="H11" s="49" t="str"/>
      <x:c r="I11" s="49" t="str"/>
      <x:c r="J11" s="49" t="str"/>
      <x:c r="K11" s="49" t="str"/>
      <x:c r="L11" s="52" t="str">
        <x:f>IF('Instructions'!$B$3="","",'Instructions'!$B$3)</x:f>
      </x:c>
      <x:c r="M11" s="52" t="str">
        <x:f>IF(D11="","UNUSED",IF('Instructions'!$B$3="","SET_INITIALS",IF(OR(F11="",G11="",H11="",I11="",J11=""),"INCOMPLETE","COMPLETE")))</x:f>
        <x:v>UNUSED</x:v>
      </x:c>
    </x:row>
    <x:row r="12" ht="52" customHeight="1">
      <x:c r="A12" s="53" t="str">
        <x:v>DE-0002</x:v>
      </x:c>
      <x:c r="B12" s="53" t="str">
        <x:v>PRD-0042-P0063-U01</x:v>
      </x:c>
      <x:c r="C12" s="53" t="n">
        <x:v>4</x:v>
      </x:c>
      <x:c r="D12" s="49" t="str"/>
      <x:c r="E12" s="49" t="str"/>
      <x:c r="F12" s="49" t="str"/>
      <x:c r="G12" s="49" t="str"/>
      <x:c r="H12" s="49" t="str"/>
      <x:c r="I12" s="49" t="str"/>
      <x:c r="J12" s="49" t="str"/>
      <x:c r="K12" s="49" t="str"/>
      <x:c r="L12" s="52" t="str">
        <x:f>IF('Instructions'!$B$3="","",'Instructions'!$B$3)</x:f>
      </x:c>
      <x:c r="M12" s="52" t="str">
        <x:f>IF(D12="","UNUSED",IF('Instructions'!$B$3="","SET_INITIALS",IF(OR(F12="",G12="",H12="",I12="",J12=""),"INCOMPLETE","COMPLETE")))</x:f>
        <x:v>UNUSED</x:v>
      </x:c>
    </x:row>
    <x:row r="13" ht="52" customHeight="1">
      <x:c r="A13" s="53" t="str">
        <x:v>DE-0002</x:v>
      </x:c>
      <x:c r="B13" s="53" t="str">
        <x:v>PRD-0042-P0063-U01</x:v>
      </x:c>
      <x:c r="C13" s="53" t="n">
        <x:v>5</x:v>
      </x:c>
      <x:c r="D13" s="49" t="str"/>
      <x:c r="E13" s="49" t="str"/>
      <x:c r="F13" s="49" t="str"/>
      <x:c r="G13" s="49" t="str"/>
      <x:c r="H13" s="49" t="str"/>
      <x:c r="I13" s="49" t="str"/>
      <x:c r="J13" s="49" t="str"/>
      <x:c r="K13" s="49" t="str"/>
      <x:c r="L13" s="52" t="str">
        <x:f>IF('Instructions'!$B$3="","",'Instructions'!$B$3)</x:f>
      </x:c>
      <x:c r="M13" s="52" t="str">
        <x:f>IF(D13="","UNUSED",IF('Instructions'!$B$3="","SET_INITIALS",IF(OR(F13="",G13="",H13="",I13="",J13=""),"INCOMPLETE","COMPLETE")))</x:f>
        <x:v>UNUSED</x:v>
      </x:c>
    </x:row>
    <x:row r="14" ht="52" customHeight="1">
      <x:c r="A14" s="53" t="str">
        <x:v>DE-0003</x:v>
      </x:c>
      <x:c r="B14" s="53" t="str">
        <x:v>PRD-0018-P0174-U01</x:v>
      </x:c>
      <x:c r="C14" s="53" t="n">
        <x:v>1</x:v>
      </x:c>
      <x:c r="D14" s="49" t="str"/>
      <x:c r="E14" s="49" t="str"/>
      <x:c r="F14" s="49" t="str"/>
      <x:c r="G14" s="49" t="str"/>
      <x:c r="H14" s="49" t="str"/>
      <x:c r="I14" s="49" t="str"/>
      <x:c r="J14" s="49" t="str"/>
      <x:c r="K14" s="49" t="str"/>
      <x:c r="L14" s="52" t="str">
        <x:f>IF('Instructions'!$B$3="","",'Instructions'!$B$3)</x:f>
      </x:c>
      <x:c r="M14" s="52" t="str">
        <x:f>IF(D14="","UNUSED",IF('Instructions'!$B$3="","SET_INITIALS",IF(OR(F14="",G14="",H14="",I14="",J14=""),"INCOMPLETE","COMPLETE")))</x:f>
        <x:v>UNUSED</x:v>
      </x:c>
    </x:row>
    <x:row r="15" ht="52" customHeight="1">
      <x:c r="A15" s="53" t="str">
        <x:v>DE-0003</x:v>
      </x:c>
      <x:c r="B15" s="53" t="str">
        <x:v>PRD-0018-P0174-U01</x:v>
      </x:c>
      <x:c r="C15" s="53" t="n">
        <x:v>2</x:v>
      </x:c>
      <x:c r="D15" s="49" t="str"/>
      <x:c r="E15" s="49" t="str"/>
      <x:c r="F15" s="49" t="str"/>
      <x:c r="G15" s="49" t="str"/>
      <x:c r="H15" s="49" t="str"/>
      <x:c r="I15" s="49" t="str"/>
      <x:c r="J15" s="49" t="str"/>
      <x:c r="K15" s="49" t="str"/>
      <x:c r="L15" s="52" t="str">
        <x:f>IF('Instructions'!$B$3="","",'Instructions'!$B$3)</x:f>
      </x:c>
      <x:c r="M15" s="52" t="str">
        <x:f>IF(D15="","UNUSED",IF('Instructions'!$B$3="","SET_INITIALS",IF(OR(F15="",G15="",H15="",I15="",J15=""),"INCOMPLETE","COMPLETE")))</x:f>
        <x:v>UNUSED</x:v>
      </x:c>
    </x:row>
    <x:row r="16" ht="52" customHeight="1">
      <x:c r="A16" s="53" t="str">
        <x:v>DE-0003</x:v>
      </x:c>
      <x:c r="B16" s="53" t="str">
        <x:v>PRD-0018-P0174-U01</x:v>
      </x:c>
      <x:c r="C16" s="53" t="n">
        <x:v>3</x:v>
      </x:c>
      <x:c r="D16" s="49" t="str"/>
      <x:c r="E16" s="49" t="str"/>
      <x:c r="F16" s="49" t="str"/>
      <x:c r="G16" s="49" t="str"/>
      <x:c r="H16" s="49" t="str"/>
      <x:c r="I16" s="49" t="str"/>
      <x:c r="J16" s="49" t="str"/>
      <x:c r="K16" s="49" t="str"/>
      <x:c r="L16" s="52" t="str">
        <x:f>IF('Instructions'!$B$3="","",'Instructions'!$B$3)</x:f>
      </x:c>
      <x:c r="M16" s="52" t="str">
        <x:f>IF(D16="","UNUSED",IF('Instructions'!$B$3="","SET_INITIALS",IF(OR(F16="",G16="",H16="",I16="",J16=""),"INCOMPLETE","COMPLETE")))</x:f>
        <x:v>UNUSED</x:v>
      </x:c>
    </x:row>
    <x:row r="17" ht="52" customHeight="1">
      <x:c r="A17" s="53" t="str">
        <x:v>DE-0003</x:v>
      </x:c>
      <x:c r="B17" s="53" t="str">
        <x:v>PRD-0018-P0174-U01</x:v>
      </x:c>
      <x:c r="C17" s="53" t="n">
        <x:v>4</x:v>
      </x:c>
      <x:c r="D17" s="49" t="str"/>
      <x:c r="E17" s="49" t="str"/>
      <x:c r="F17" s="49" t="str"/>
      <x:c r="G17" s="49" t="str"/>
      <x:c r="H17" s="49" t="str"/>
      <x:c r="I17" s="49" t="str"/>
      <x:c r="J17" s="49" t="str"/>
      <x:c r="K17" s="49" t="str"/>
      <x:c r="L17" s="52" t="str">
        <x:f>IF('Instructions'!$B$3="","",'Instructions'!$B$3)</x:f>
      </x:c>
      <x:c r="M17" s="52" t="str">
        <x:f>IF(D17="","UNUSED",IF('Instructions'!$B$3="","SET_INITIALS",IF(OR(F17="",G17="",H17="",I17="",J17=""),"INCOMPLETE","COMPLETE")))</x:f>
        <x:v>UNUSED</x:v>
      </x:c>
    </x:row>
    <x:row r="18" ht="52" customHeight="1">
      <x:c r="A18" s="53" t="str">
        <x:v>DE-0003</x:v>
      </x:c>
      <x:c r="B18" s="53" t="str">
        <x:v>PRD-0018-P0174-U01</x:v>
      </x:c>
      <x:c r="C18" s="53" t="n">
        <x:v>5</x:v>
      </x:c>
      <x:c r="D18" s="49" t="str"/>
      <x:c r="E18" s="49" t="str"/>
      <x:c r="F18" s="49" t="str"/>
      <x:c r="G18" s="49" t="str"/>
      <x:c r="H18" s="49" t="str"/>
      <x:c r="I18" s="49" t="str"/>
      <x:c r="J18" s="49" t="str"/>
      <x:c r="K18" s="49" t="str"/>
      <x:c r="L18" s="52" t="str">
        <x:f>IF('Instructions'!$B$3="","",'Instructions'!$B$3)</x:f>
      </x:c>
      <x:c r="M18" s="52" t="str">
        <x:f>IF(D18="","UNUSED",IF('Instructions'!$B$3="","SET_INITIALS",IF(OR(F18="",G18="",H18="",I18="",J18=""),"INCOMPLETE","COMPLETE")))</x:f>
        <x:v>UNUSED</x:v>
      </x:c>
    </x:row>
    <x:row r="19" ht="52" customHeight="1">
      <x:c r="A19" s="53" t="str">
        <x:v>DE-0004</x:v>
      </x:c>
      <x:c r="B19" s="53" t="str">
        <x:v>PRD-0018-P0100-U01</x:v>
      </x:c>
      <x:c r="C19" s="53" t="n">
        <x:v>1</x:v>
      </x:c>
      <x:c r="D19" s="49" t="str"/>
      <x:c r="E19" s="49" t="str"/>
      <x:c r="F19" s="49" t="str"/>
      <x:c r="G19" s="49" t="str"/>
      <x:c r="H19" s="49" t="str"/>
      <x:c r="I19" s="49" t="str"/>
      <x:c r="J19" s="49" t="str"/>
      <x:c r="K19" s="49" t="str"/>
      <x:c r="L19" s="52" t="str">
        <x:f>IF('Instructions'!$B$3="","",'Instructions'!$B$3)</x:f>
      </x:c>
      <x:c r="M19" s="52" t="str">
        <x:f>IF(D19="","UNUSED",IF('Instructions'!$B$3="","SET_INITIALS",IF(OR(F19="",G19="",H19="",I19="",J19=""),"INCOMPLETE","COMPLETE")))</x:f>
        <x:v>UNUSED</x:v>
      </x:c>
    </x:row>
    <x:row r="20" ht="52" customHeight="1">
      <x:c r="A20" s="53" t="str">
        <x:v>DE-0004</x:v>
      </x:c>
      <x:c r="B20" s="53" t="str">
        <x:v>PRD-0018-P0100-U01</x:v>
      </x:c>
      <x:c r="C20" s="53" t="n">
        <x:v>2</x:v>
      </x:c>
      <x:c r="D20" s="49" t="str"/>
      <x:c r="E20" s="49" t="str"/>
      <x:c r="F20" s="49" t="str"/>
      <x:c r="G20" s="49" t="str"/>
      <x:c r="H20" s="49" t="str"/>
      <x:c r="I20" s="49" t="str"/>
      <x:c r="J20" s="49" t="str"/>
      <x:c r="K20" s="49" t="str"/>
      <x:c r="L20" s="52" t="str">
        <x:f>IF('Instructions'!$B$3="","",'Instructions'!$B$3)</x:f>
      </x:c>
      <x:c r="M20" s="52" t="str">
        <x:f>IF(D20="","UNUSED",IF('Instructions'!$B$3="","SET_INITIALS",IF(OR(F20="",G20="",H20="",I20="",J20=""),"INCOMPLETE","COMPLETE")))</x:f>
        <x:v>UNUSED</x:v>
      </x:c>
    </x:row>
    <x:row r="21" ht="52" customHeight="1">
      <x:c r="A21" s="53" t="str">
        <x:v>DE-0004</x:v>
      </x:c>
      <x:c r="B21" s="53" t="str">
        <x:v>PRD-0018-P0100-U01</x:v>
      </x:c>
      <x:c r="C21" s="53" t="n">
        <x:v>3</x:v>
      </x:c>
      <x:c r="D21" s="49" t="str"/>
      <x:c r="E21" s="49" t="str"/>
      <x:c r="F21" s="49" t="str"/>
      <x:c r="G21" s="49" t="str"/>
      <x:c r="H21" s="49" t="str"/>
      <x:c r="I21" s="49" t="str"/>
      <x:c r="J21" s="49" t="str"/>
      <x:c r="K21" s="49" t="str"/>
      <x:c r="L21" s="52" t="str">
        <x:f>IF('Instructions'!$B$3="","",'Instructions'!$B$3)</x:f>
      </x:c>
      <x:c r="M21" s="52" t="str">
        <x:f>IF(D21="","UNUSED",IF('Instructions'!$B$3="","SET_INITIALS",IF(OR(F21="",G21="",H21="",I21="",J21=""),"INCOMPLETE","COMPLETE")))</x:f>
        <x:v>UNUSED</x:v>
      </x:c>
    </x:row>
    <x:row r="22" ht="52" customHeight="1">
      <x:c r="A22" s="53" t="str">
        <x:v>DE-0004</x:v>
      </x:c>
      <x:c r="B22" s="53" t="str">
        <x:v>PRD-0018-P0100-U01</x:v>
      </x:c>
      <x:c r="C22" s="53" t="n">
        <x:v>4</x:v>
      </x:c>
      <x:c r="D22" s="49" t="str"/>
      <x:c r="E22" s="49" t="str"/>
      <x:c r="F22" s="49" t="str"/>
      <x:c r="G22" s="49" t="str"/>
      <x:c r="H22" s="49" t="str"/>
      <x:c r="I22" s="49" t="str"/>
      <x:c r="J22" s="49" t="str"/>
      <x:c r="K22" s="49" t="str"/>
      <x:c r="L22" s="52" t="str">
        <x:f>IF('Instructions'!$B$3="","",'Instructions'!$B$3)</x:f>
      </x:c>
      <x:c r="M22" s="52" t="str">
        <x:f>IF(D22="","UNUSED",IF('Instructions'!$B$3="","SET_INITIALS",IF(OR(F22="",G22="",H22="",I22="",J22=""),"INCOMPLETE","COMPLETE")))</x:f>
        <x:v>UNUSED</x:v>
      </x:c>
    </x:row>
    <x:row r="23" ht="52" customHeight="1">
      <x:c r="A23" s="53" t="str">
        <x:v>DE-0004</x:v>
      </x:c>
      <x:c r="B23" s="53" t="str">
        <x:v>PRD-0018-P0100-U01</x:v>
      </x:c>
      <x:c r="C23" s="53" t="n">
        <x:v>5</x:v>
      </x:c>
      <x:c r="D23" s="49" t="str"/>
      <x:c r="E23" s="49" t="str"/>
      <x:c r="F23" s="49" t="str"/>
      <x:c r="G23" s="49" t="str"/>
      <x:c r="H23" s="49" t="str"/>
      <x:c r="I23" s="49" t="str"/>
      <x:c r="J23" s="49" t="str"/>
      <x:c r="K23" s="49" t="str"/>
      <x:c r="L23" s="52" t="str">
        <x:f>IF('Instructions'!$B$3="","",'Instructions'!$B$3)</x:f>
      </x:c>
      <x:c r="M23" s="52" t="str">
        <x:f>IF(D23="","UNUSED",IF('Instructions'!$B$3="","SET_INITIALS",IF(OR(F23="",G23="",H23="",I23="",J23=""),"INCOMPLETE","COMPLETE")))</x:f>
        <x:v>UNUSED</x:v>
      </x:c>
    </x:row>
    <x:row r="24" ht="52" customHeight="1">
      <x:c r="A24" s="53" t="str">
        <x:v>DE-0005</x:v>
      </x:c>
      <x:c r="B24" s="53" t="str">
        <x:v>PRD-0057-P0029-U01</x:v>
      </x:c>
      <x:c r="C24" s="53" t="n">
        <x:v>1</x:v>
      </x:c>
      <x:c r="D24" s="49" t="str"/>
      <x:c r="E24" s="49" t="str"/>
      <x:c r="F24" s="49" t="str"/>
      <x:c r="G24" s="49" t="str"/>
      <x:c r="H24" s="49" t="str"/>
      <x:c r="I24" s="49" t="str"/>
      <x:c r="J24" s="49" t="str"/>
      <x:c r="K24" s="49" t="str"/>
      <x:c r="L24" s="52" t="str">
        <x:f>IF('Instructions'!$B$3="","",'Instructions'!$B$3)</x:f>
      </x:c>
      <x:c r="M24" s="52" t="str">
        <x:f>IF(D24="","UNUSED",IF('Instructions'!$B$3="","SET_INITIALS",IF(OR(F24="",G24="",H24="",I24="",J24=""),"INCOMPLETE","COMPLETE")))</x:f>
        <x:v>UNUSED</x:v>
      </x:c>
    </x:row>
    <x:row r="25" ht="52" customHeight="1">
      <x:c r="A25" s="53" t="str">
        <x:v>DE-0005</x:v>
      </x:c>
      <x:c r="B25" s="53" t="str">
        <x:v>PRD-0057-P0029-U01</x:v>
      </x:c>
      <x:c r="C25" s="53" t="n">
        <x:v>2</x:v>
      </x:c>
      <x:c r="D25" s="49" t="str"/>
      <x:c r="E25" s="49" t="str"/>
      <x:c r="F25" s="49" t="str"/>
      <x:c r="G25" s="49" t="str"/>
      <x:c r="H25" s="49" t="str"/>
      <x:c r="I25" s="49" t="str"/>
      <x:c r="J25" s="49" t="str"/>
      <x:c r="K25" s="49" t="str"/>
      <x:c r="L25" s="52" t="str">
        <x:f>IF('Instructions'!$B$3="","",'Instructions'!$B$3)</x:f>
      </x:c>
      <x:c r="M25" s="52" t="str">
        <x:f>IF(D25="","UNUSED",IF('Instructions'!$B$3="","SET_INITIALS",IF(OR(F25="",G25="",H25="",I25="",J25=""),"INCOMPLETE","COMPLETE")))</x:f>
        <x:v>UNUSED</x:v>
      </x:c>
    </x:row>
    <x:row r="26" ht="52" customHeight="1">
      <x:c r="A26" s="53" t="str">
        <x:v>DE-0005</x:v>
      </x:c>
      <x:c r="B26" s="53" t="str">
        <x:v>PRD-0057-P0029-U01</x:v>
      </x:c>
      <x:c r="C26" s="53" t="n">
        <x:v>3</x:v>
      </x:c>
      <x:c r="D26" s="49" t="str"/>
      <x:c r="E26" s="49" t="str"/>
      <x:c r="F26" s="49" t="str"/>
      <x:c r="G26" s="49" t="str"/>
      <x:c r="H26" s="49" t="str"/>
      <x:c r="I26" s="49" t="str"/>
      <x:c r="J26" s="49" t="str"/>
      <x:c r="K26" s="49" t="str"/>
      <x:c r="L26" s="52" t="str">
        <x:f>IF('Instructions'!$B$3="","",'Instructions'!$B$3)</x:f>
      </x:c>
      <x:c r="M26" s="52" t="str">
        <x:f>IF(D26="","UNUSED",IF('Instructions'!$B$3="","SET_INITIALS",IF(OR(F26="",G26="",H26="",I26="",J26=""),"INCOMPLETE","COMPLETE")))</x:f>
        <x:v>UNUSED</x:v>
      </x:c>
    </x:row>
    <x:row r="27" ht="52" customHeight="1">
      <x:c r="A27" s="53" t="str">
        <x:v>DE-0005</x:v>
      </x:c>
      <x:c r="B27" s="53" t="str">
        <x:v>PRD-0057-P0029-U01</x:v>
      </x:c>
      <x:c r="C27" s="53" t="n">
        <x:v>4</x:v>
      </x:c>
      <x:c r="D27" s="49" t="str"/>
      <x:c r="E27" s="49" t="str"/>
      <x:c r="F27" s="49" t="str"/>
      <x:c r="G27" s="49" t="str"/>
      <x:c r="H27" s="49" t="str"/>
      <x:c r="I27" s="49" t="str"/>
      <x:c r="J27" s="49" t="str"/>
      <x:c r="K27" s="49" t="str"/>
      <x:c r="L27" s="52" t="str">
        <x:f>IF('Instructions'!$B$3="","",'Instructions'!$B$3)</x:f>
      </x:c>
      <x:c r="M27" s="52" t="str">
        <x:f>IF(D27="","UNUSED",IF('Instructions'!$B$3="","SET_INITIALS",IF(OR(F27="",G27="",H27="",I27="",J27=""),"INCOMPLETE","COMPLETE")))</x:f>
        <x:v>UNUSED</x:v>
      </x:c>
    </x:row>
    <x:row r="28" ht="52" customHeight="1">
      <x:c r="A28" s="53" t="str">
        <x:v>DE-0005</x:v>
      </x:c>
      <x:c r="B28" s="53" t="str">
        <x:v>PRD-0057-P0029-U01</x:v>
      </x:c>
      <x:c r="C28" s="53" t="n">
        <x:v>5</x:v>
      </x:c>
      <x:c r="D28" s="49" t="str"/>
      <x:c r="E28" s="49" t="str"/>
      <x:c r="F28" s="49" t="str"/>
      <x:c r="G28" s="49" t="str"/>
      <x:c r="H28" s="49" t="str"/>
      <x:c r="I28" s="49" t="str"/>
      <x:c r="J28" s="49" t="str"/>
      <x:c r="K28" s="49" t="str"/>
      <x:c r="L28" s="52" t="str">
        <x:f>IF('Instructions'!$B$3="","",'Instructions'!$B$3)</x:f>
      </x:c>
      <x:c r="M28" s="52" t="str">
        <x:f>IF(D28="","UNUSED",IF('Instructions'!$B$3="","SET_INITIALS",IF(OR(F28="",G28="",H28="",I28="",J28=""),"INCOMPLETE","COMPLETE")))</x:f>
        <x:v>UNUSED</x:v>
      </x:c>
    </x:row>
    <x:row r="29" ht="52" customHeight="1">
      <x:c r="A29" s="53" t="str">
        <x:v>DE-0006</x:v>
      </x:c>
      <x:c r="B29" s="53" t="str">
        <x:v>PRD-0018-P0189-U01</x:v>
      </x:c>
      <x:c r="C29" s="53" t="n">
        <x:v>1</x:v>
      </x:c>
      <x:c r="D29" s="49" t="str"/>
      <x:c r="E29" s="49" t="str"/>
      <x:c r="F29" s="49" t="str"/>
      <x:c r="G29" s="49" t="str"/>
      <x:c r="H29" s="49" t="str"/>
      <x:c r="I29" s="49" t="str"/>
      <x:c r="J29" s="49" t="str"/>
      <x:c r="K29" s="49" t="str"/>
      <x:c r="L29" s="52" t="str">
        <x:f>IF('Instructions'!$B$3="","",'Instructions'!$B$3)</x:f>
      </x:c>
      <x:c r="M29" s="52" t="str">
        <x:f>IF(D29="","UNUSED",IF('Instructions'!$B$3="","SET_INITIALS",IF(OR(F29="",G29="",H29="",I29="",J29=""),"INCOMPLETE","COMPLETE")))</x:f>
        <x:v>UNUSED</x:v>
      </x:c>
    </x:row>
    <x:row r="30" ht="52" customHeight="1">
      <x:c r="A30" s="53" t="str">
        <x:v>DE-0006</x:v>
      </x:c>
      <x:c r="B30" s="53" t="str">
        <x:v>PRD-0018-P0189-U01</x:v>
      </x:c>
      <x:c r="C30" s="53" t="n">
        <x:v>2</x:v>
      </x:c>
      <x:c r="D30" s="49" t="str"/>
      <x:c r="E30" s="49" t="str"/>
      <x:c r="F30" s="49" t="str"/>
      <x:c r="G30" s="49" t="str"/>
      <x:c r="H30" s="49" t="str"/>
      <x:c r="I30" s="49" t="str"/>
      <x:c r="J30" s="49" t="str"/>
      <x:c r="K30" s="49" t="str"/>
      <x:c r="L30" s="52" t="str">
        <x:f>IF('Instructions'!$B$3="","",'Instructions'!$B$3)</x:f>
      </x:c>
      <x:c r="M30" s="52" t="str">
        <x:f>IF(D30="","UNUSED",IF('Instructions'!$B$3="","SET_INITIALS",IF(OR(F30="",G30="",H30="",I30="",J30=""),"INCOMPLETE","COMPLETE")))</x:f>
        <x:v>UNUSED</x:v>
      </x:c>
    </x:row>
    <x:row r="31" ht="52" customHeight="1">
      <x:c r="A31" s="53" t="str">
        <x:v>DE-0006</x:v>
      </x:c>
      <x:c r="B31" s="53" t="str">
        <x:v>PRD-0018-P0189-U01</x:v>
      </x:c>
      <x:c r="C31" s="53" t="n">
        <x:v>3</x:v>
      </x:c>
      <x:c r="D31" s="49" t="str"/>
      <x:c r="E31" s="49" t="str"/>
      <x:c r="F31" s="49" t="str"/>
      <x:c r="G31" s="49" t="str"/>
      <x:c r="H31" s="49" t="str"/>
      <x:c r="I31" s="49" t="str"/>
      <x:c r="J31" s="49" t="str"/>
      <x:c r="K31" s="49" t="str"/>
      <x:c r="L31" s="52" t="str">
        <x:f>IF('Instructions'!$B$3="","",'Instructions'!$B$3)</x:f>
      </x:c>
      <x:c r="M31" s="52" t="str">
        <x:f>IF(D31="","UNUSED",IF('Instructions'!$B$3="","SET_INITIALS",IF(OR(F31="",G31="",H31="",I31="",J31=""),"INCOMPLETE","COMPLETE")))</x:f>
        <x:v>UNUSED</x:v>
      </x:c>
    </x:row>
    <x:row r="32" ht="52" customHeight="1">
      <x:c r="A32" s="53" t="str">
        <x:v>DE-0006</x:v>
      </x:c>
      <x:c r="B32" s="53" t="str">
        <x:v>PRD-0018-P0189-U01</x:v>
      </x:c>
      <x:c r="C32" s="53" t="n">
        <x:v>4</x:v>
      </x:c>
      <x:c r="D32" s="49" t="str"/>
      <x:c r="E32" s="49" t="str"/>
      <x:c r="F32" s="49" t="str"/>
      <x:c r="G32" s="49" t="str"/>
      <x:c r="H32" s="49" t="str"/>
      <x:c r="I32" s="49" t="str"/>
      <x:c r="J32" s="49" t="str"/>
      <x:c r="K32" s="49" t="str"/>
      <x:c r="L32" s="52" t="str">
        <x:f>IF('Instructions'!$B$3="","",'Instructions'!$B$3)</x:f>
      </x:c>
      <x:c r="M32" s="52" t="str">
        <x:f>IF(D32="","UNUSED",IF('Instructions'!$B$3="","SET_INITIALS",IF(OR(F32="",G32="",H32="",I32="",J32=""),"INCOMPLETE","COMPLETE")))</x:f>
        <x:v>UNUSED</x:v>
      </x:c>
    </x:row>
    <x:row r="33" ht="52" customHeight="1">
      <x:c r="A33" s="53" t="str">
        <x:v>DE-0006</x:v>
      </x:c>
      <x:c r="B33" s="53" t="str">
        <x:v>PRD-0018-P0189-U01</x:v>
      </x:c>
      <x:c r="C33" s="53" t="n">
        <x:v>5</x:v>
      </x:c>
      <x:c r="D33" s="49" t="str"/>
      <x:c r="E33" s="49" t="str"/>
      <x:c r="F33" s="49" t="str"/>
      <x:c r="G33" s="49" t="str"/>
      <x:c r="H33" s="49" t="str"/>
      <x:c r="I33" s="49" t="str"/>
      <x:c r="J33" s="49" t="str"/>
      <x:c r="K33" s="49" t="str"/>
      <x:c r="L33" s="52" t="str">
        <x:f>IF('Instructions'!$B$3="","",'Instructions'!$B$3)</x:f>
      </x:c>
      <x:c r="M33" s="52" t="str">
        <x:f>IF(D33="","UNUSED",IF('Instructions'!$B$3="","SET_INITIALS",IF(OR(F33="",G33="",H33="",I33="",J33=""),"INCOMPLETE","COMPLETE")))</x:f>
        <x:v>UNUSED</x:v>
      </x:c>
    </x:row>
    <x:row r="34" ht="52" customHeight="1">
      <x:c r="A34" s="53" t="str">
        <x:v>DE-0007</x:v>
      </x:c>
      <x:c r="B34" s="53" t="str">
        <x:v>PRD-0029-P0007-U01</x:v>
      </x:c>
      <x:c r="C34" s="53" t="n">
        <x:v>1</x:v>
      </x:c>
      <x:c r="D34" s="49" t="str"/>
      <x:c r="E34" s="49" t="str"/>
      <x:c r="F34" s="49" t="str"/>
      <x:c r="G34" s="49" t="str"/>
      <x:c r="H34" s="49" t="str"/>
      <x:c r="I34" s="49" t="str"/>
      <x:c r="J34" s="49" t="str"/>
      <x:c r="K34" s="49" t="str"/>
      <x:c r="L34" s="52" t="str">
        <x:f>IF('Instructions'!$B$3="","",'Instructions'!$B$3)</x:f>
      </x:c>
      <x:c r="M34" s="52" t="str">
        <x:f>IF(D34="","UNUSED",IF('Instructions'!$B$3="","SET_INITIALS",IF(OR(F34="",G34="",H34="",I34="",J34=""),"INCOMPLETE","COMPLETE")))</x:f>
        <x:v>UNUSED</x:v>
      </x:c>
    </x:row>
    <x:row r="35" ht="52" customHeight="1">
      <x:c r="A35" s="53" t="str">
        <x:v>DE-0007</x:v>
      </x:c>
      <x:c r="B35" s="53" t="str">
        <x:v>PRD-0029-P0007-U01</x:v>
      </x:c>
      <x:c r="C35" s="53" t="n">
        <x:v>2</x:v>
      </x:c>
      <x:c r="D35" s="49" t="str"/>
      <x:c r="E35" s="49" t="str"/>
      <x:c r="F35" s="49" t="str"/>
      <x:c r="G35" s="49" t="str"/>
      <x:c r="H35" s="49" t="str"/>
      <x:c r="I35" s="49" t="str"/>
      <x:c r="J35" s="49" t="str"/>
      <x:c r="K35" s="49" t="str"/>
      <x:c r="L35" s="52" t="str">
        <x:f>IF('Instructions'!$B$3="","",'Instructions'!$B$3)</x:f>
      </x:c>
      <x:c r="M35" s="52" t="str">
        <x:f>IF(D35="","UNUSED",IF('Instructions'!$B$3="","SET_INITIALS",IF(OR(F35="",G35="",H35="",I35="",J35=""),"INCOMPLETE","COMPLETE")))</x:f>
        <x:v>UNUSED</x:v>
      </x:c>
    </x:row>
    <x:row r="36" ht="52" customHeight="1">
      <x:c r="A36" s="53" t="str">
        <x:v>DE-0007</x:v>
      </x:c>
      <x:c r="B36" s="53" t="str">
        <x:v>PRD-0029-P0007-U01</x:v>
      </x:c>
      <x:c r="C36" s="53" t="n">
        <x:v>3</x:v>
      </x:c>
      <x:c r="D36" s="49" t="str"/>
      <x:c r="E36" s="49" t="str"/>
      <x:c r="F36" s="49" t="str"/>
      <x:c r="G36" s="49" t="str"/>
      <x:c r="H36" s="49" t="str"/>
      <x:c r="I36" s="49" t="str"/>
      <x:c r="J36" s="49" t="str"/>
      <x:c r="K36" s="49" t="str"/>
      <x:c r="L36" s="52" t="str">
        <x:f>IF('Instructions'!$B$3="","",'Instructions'!$B$3)</x:f>
      </x:c>
      <x:c r="M36" s="52" t="str">
        <x:f>IF(D36="","UNUSED",IF('Instructions'!$B$3="","SET_INITIALS",IF(OR(F36="",G36="",H36="",I36="",J36=""),"INCOMPLETE","COMPLETE")))</x:f>
        <x:v>UNUSED</x:v>
      </x:c>
    </x:row>
    <x:row r="37" ht="52" customHeight="1">
      <x:c r="A37" s="53" t="str">
        <x:v>DE-0007</x:v>
      </x:c>
      <x:c r="B37" s="53" t="str">
        <x:v>PRD-0029-P0007-U01</x:v>
      </x:c>
      <x:c r="C37" s="53" t="n">
        <x:v>4</x:v>
      </x:c>
      <x:c r="D37" s="49" t="str"/>
      <x:c r="E37" s="49" t="str"/>
      <x:c r="F37" s="49" t="str"/>
      <x:c r="G37" s="49" t="str"/>
      <x:c r="H37" s="49" t="str"/>
      <x:c r="I37" s="49" t="str"/>
      <x:c r="J37" s="49" t="str"/>
      <x:c r="K37" s="49" t="str"/>
      <x:c r="L37" s="52" t="str">
        <x:f>IF('Instructions'!$B$3="","",'Instructions'!$B$3)</x:f>
      </x:c>
      <x:c r="M37" s="52" t="str">
        <x:f>IF(D37="","UNUSED",IF('Instructions'!$B$3="","SET_INITIALS",IF(OR(F37="",G37="",H37="",I37="",J37=""),"INCOMPLETE","COMPLETE")))</x:f>
        <x:v>UNUSED</x:v>
      </x:c>
    </x:row>
    <x:row r="38" ht="52" customHeight="1">
      <x:c r="A38" s="53" t="str">
        <x:v>DE-0007</x:v>
      </x:c>
      <x:c r="B38" s="53" t="str">
        <x:v>PRD-0029-P0007-U01</x:v>
      </x:c>
      <x:c r="C38" s="53" t="n">
        <x:v>5</x:v>
      </x:c>
      <x:c r="D38" s="49" t="str"/>
      <x:c r="E38" s="49" t="str"/>
      <x:c r="F38" s="49" t="str"/>
      <x:c r="G38" s="49" t="str"/>
      <x:c r="H38" s="49" t="str"/>
      <x:c r="I38" s="49" t="str"/>
      <x:c r="J38" s="49" t="str"/>
      <x:c r="K38" s="49" t="str"/>
      <x:c r="L38" s="52" t="str">
        <x:f>IF('Instructions'!$B$3="","",'Instructions'!$B$3)</x:f>
      </x:c>
      <x:c r="M38" s="52" t="str">
        <x:f>IF(D38="","UNUSED",IF('Instructions'!$B$3="","SET_INITIALS",IF(OR(F38="",G38="",H38="",I38="",J38=""),"INCOMPLETE","COMPLETE")))</x:f>
        <x:v>UNUSED</x:v>
      </x:c>
    </x:row>
    <x:row r="39" ht="52" customHeight="1">
      <x:c r="A39" s="53" t="str">
        <x:v>DE-0008</x:v>
      </x:c>
      <x:c r="B39" s="53" t="str">
        <x:v>PRD-0018-P0186-U01</x:v>
      </x:c>
      <x:c r="C39" s="53" t="n">
        <x:v>1</x:v>
      </x:c>
      <x:c r="D39" s="49" t="str"/>
      <x:c r="E39" s="49" t="str"/>
      <x:c r="F39" s="49" t="str"/>
      <x:c r="G39" s="49" t="str"/>
      <x:c r="H39" s="49" t="str"/>
      <x:c r="I39" s="49" t="str"/>
      <x:c r="J39" s="49" t="str"/>
      <x:c r="K39" s="49" t="str"/>
      <x:c r="L39" s="52" t="str">
        <x:f>IF('Instructions'!$B$3="","",'Instructions'!$B$3)</x:f>
      </x:c>
      <x:c r="M39" s="52" t="str">
        <x:f>IF(D39="","UNUSED",IF('Instructions'!$B$3="","SET_INITIALS",IF(OR(F39="",G39="",H39="",I39="",J39=""),"INCOMPLETE","COMPLETE")))</x:f>
        <x:v>UNUSED</x:v>
      </x:c>
    </x:row>
    <x:row r="40" ht="52" customHeight="1">
      <x:c r="A40" s="53" t="str">
        <x:v>DE-0008</x:v>
      </x:c>
      <x:c r="B40" s="53" t="str">
        <x:v>PRD-0018-P0186-U01</x:v>
      </x:c>
      <x:c r="C40" s="53" t="n">
        <x:v>2</x:v>
      </x:c>
      <x:c r="D40" s="49" t="str"/>
      <x:c r="E40" s="49" t="str"/>
      <x:c r="F40" s="49" t="str"/>
      <x:c r="G40" s="49" t="str"/>
      <x:c r="H40" s="49" t="str"/>
      <x:c r="I40" s="49" t="str"/>
      <x:c r="J40" s="49" t="str"/>
      <x:c r="K40" s="49" t="str"/>
      <x:c r="L40" s="52" t="str">
        <x:f>IF('Instructions'!$B$3="","",'Instructions'!$B$3)</x:f>
      </x:c>
      <x:c r="M40" s="52" t="str">
        <x:f>IF(D40="","UNUSED",IF('Instructions'!$B$3="","SET_INITIALS",IF(OR(F40="",G40="",H40="",I40="",J40=""),"INCOMPLETE","COMPLETE")))</x:f>
        <x:v>UNUSED</x:v>
      </x:c>
    </x:row>
    <x:row r="41" ht="52" customHeight="1">
      <x:c r="A41" s="53" t="str">
        <x:v>DE-0008</x:v>
      </x:c>
      <x:c r="B41" s="53" t="str">
        <x:v>PRD-0018-P0186-U01</x:v>
      </x:c>
      <x:c r="C41" s="53" t="n">
        <x:v>3</x:v>
      </x:c>
      <x:c r="D41" s="49" t="str"/>
      <x:c r="E41" s="49" t="str"/>
      <x:c r="F41" s="49" t="str"/>
      <x:c r="G41" s="49" t="str"/>
      <x:c r="H41" s="49" t="str"/>
      <x:c r="I41" s="49" t="str"/>
      <x:c r="J41" s="49" t="str"/>
      <x:c r="K41" s="49" t="str"/>
      <x:c r="L41" s="52" t="str">
        <x:f>IF('Instructions'!$B$3="","",'Instructions'!$B$3)</x:f>
      </x:c>
      <x:c r="M41" s="52" t="str">
        <x:f>IF(D41="","UNUSED",IF('Instructions'!$B$3="","SET_INITIALS",IF(OR(F41="",G41="",H41="",I41="",J41=""),"INCOMPLETE","COMPLETE")))</x:f>
        <x:v>UNUSED</x:v>
      </x:c>
    </x:row>
    <x:row r="42" ht="52" customHeight="1">
      <x:c r="A42" s="53" t="str">
        <x:v>DE-0008</x:v>
      </x:c>
      <x:c r="B42" s="53" t="str">
        <x:v>PRD-0018-P0186-U01</x:v>
      </x:c>
      <x:c r="C42" s="53" t="n">
        <x:v>4</x:v>
      </x:c>
      <x:c r="D42" s="49" t="str"/>
      <x:c r="E42" s="49" t="str"/>
      <x:c r="F42" s="49" t="str"/>
      <x:c r="G42" s="49" t="str"/>
      <x:c r="H42" s="49" t="str"/>
      <x:c r="I42" s="49" t="str"/>
      <x:c r="J42" s="49" t="str"/>
      <x:c r="K42" s="49" t="str"/>
      <x:c r="L42" s="52" t="str">
        <x:f>IF('Instructions'!$B$3="","",'Instructions'!$B$3)</x:f>
      </x:c>
      <x:c r="M42" s="52" t="str">
        <x:f>IF(D42="","UNUSED",IF('Instructions'!$B$3="","SET_INITIALS",IF(OR(F42="",G42="",H42="",I42="",J42=""),"INCOMPLETE","COMPLETE")))</x:f>
        <x:v>UNUSED</x:v>
      </x:c>
    </x:row>
    <x:row r="43" ht="52" customHeight="1">
      <x:c r="A43" s="53" t="str">
        <x:v>DE-0008</x:v>
      </x:c>
      <x:c r="B43" s="53" t="str">
        <x:v>PRD-0018-P0186-U01</x:v>
      </x:c>
      <x:c r="C43" s="53" t="n">
        <x:v>5</x:v>
      </x:c>
      <x:c r="D43" s="49" t="str"/>
      <x:c r="E43" s="49" t="str"/>
      <x:c r="F43" s="49" t="str"/>
      <x:c r="G43" s="49" t="str"/>
      <x:c r="H43" s="49" t="str"/>
      <x:c r="I43" s="49" t="str"/>
      <x:c r="J43" s="49" t="str"/>
      <x:c r="K43" s="49" t="str"/>
      <x:c r="L43" s="52" t="str">
        <x:f>IF('Instructions'!$B$3="","",'Instructions'!$B$3)</x:f>
      </x:c>
      <x:c r="M43" s="52" t="str">
        <x:f>IF(D43="","UNUSED",IF('Instructions'!$B$3="","SET_INITIALS",IF(OR(F43="",G43="",H43="",I43="",J43=""),"INCOMPLETE","COMPLETE")))</x:f>
        <x:v>UNUSED</x:v>
      </x:c>
    </x:row>
    <x:row r="44" ht="52" customHeight="1">
      <x:c r="A44" s="53" t="str">
        <x:v>DE-0009</x:v>
      </x:c>
      <x:c r="B44" s="53" t="str">
        <x:v>PRD-0013-P0022-U01</x:v>
      </x:c>
      <x:c r="C44" s="53" t="n">
        <x:v>1</x:v>
      </x:c>
      <x:c r="D44" s="49" t="str"/>
      <x:c r="E44" s="49" t="str"/>
      <x:c r="F44" s="49" t="str"/>
      <x:c r="G44" s="49" t="str"/>
      <x:c r="H44" s="49" t="str"/>
      <x:c r="I44" s="49" t="str"/>
      <x:c r="J44" s="49" t="str"/>
      <x:c r="K44" s="49" t="str"/>
      <x:c r="L44" s="52" t="str">
        <x:f>IF('Instructions'!$B$3="","",'Instructions'!$B$3)</x:f>
      </x:c>
      <x:c r="M44" s="52" t="str">
        <x:f>IF(D44="","UNUSED",IF('Instructions'!$B$3="","SET_INITIALS",IF(OR(F44="",G44="",H44="",I44="",J44=""),"INCOMPLETE","COMPLETE")))</x:f>
        <x:v>UNUSED</x:v>
      </x:c>
    </x:row>
    <x:row r="45" ht="52" customHeight="1">
      <x:c r="A45" s="53" t="str">
        <x:v>DE-0009</x:v>
      </x:c>
      <x:c r="B45" s="53" t="str">
        <x:v>PRD-0013-P0022-U01</x:v>
      </x:c>
      <x:c r="C45" s="53" t="n">
        <x:v>2</x:v>
      </x:c>
      <x:c r="D45" s="49" t="str"/>
      <x:c r="E45" s="49" t="str"/>
      <x:c r="F45" s="49" t="str"/>
      <x:c r="G45" s="49" t="str"/>
      <x:c r="H45" s="49" t="str"/>
      <x:c r="I45" s="49" t="str"/>
      <x:c r="J45" s="49" t="str"/>
      <x:c r="K45" s="49" t="str"/>
      <x:c r="L45" s="52" t="str">
        <x:f>IF('Instructions'!$B$3="","",'Instructions'!$B$3)</x:f>
      </x:c>
      <x:c r="M45" s="52" t="str">
        <x:f>IF(D45="","UNUSED",IF('Instructions'!$B$3="","SET_INITIALS",IF(OR(F45="",G45="",H45="",I45="",J45=""),"INCOMPLETE","COMPLETE")))</x:f>
        <x:v>UNUSED</x:v>
      </x:c>
    </x:row>
    <x:row r="46" ht="52" customHeight="1">
      <x:c r="A46" s="53" t="str">
        <x:v>DE-0009</x:v>
      </x:c>
      <x:c r="B46" s="53" t="str">
        <x:v>PRD-0013-P0022-U01</x:v>
      </x:c>
      <x:c r="C46" s="53" t="n">
        <x:v>3</x:v>
      </x:c>
      <x:c r="D46" s="49" t="str"/>
      <x:c r="E46" s="49" t="str"/>
      <x:c r="F46" s="49" t="str"/>
      <x:c r="G46" s="49" t="str"/>
      <x:c r="H46" s="49" t="str"/>
      <x:c r="I46" s="49" t="str"/>
      <x:c r="J46" s="49" t="str"/>
      <x:c r="K46" s="49" t="str"/>
      <x:c r="L46" s="52" t="str">
        <x:f>IF('Instructions'!$B$3="","",'Instructions'!$B$3)</x:f>
      </x:c>
      <x:c r="M46" s="52" t="str">
        <x:f>IF(D46="","UNUSED",IF('Instructions'!$B$3="","SET_INITIALS",IF(OR(F46="",G46="",H46="",I46="",J46=""),"INCOMPLETE","COMPLETE")))</x:f>
        <x:v>UNUSED</x:v>
      </x:c>
    </x:row>
    <x:row r="47" ht="52" customHeight="1">
      <x:c r="A47" s="53" t="str">
        <x:v>DE-0009</x:v>
      </x:c>
      <x:c r="B47" s="53" t="str">
        <x:v>PRD-0013-P0022-U01</x:v>
      </x:c>
      <x:c r="C47" s="53" t="n">
        <x:v>4</x:v>
      </x:c>
      <x:c r="D47" s="49" t="str"/>
      <x:c r="E47" s="49" t="str"/>
      <x:c r="F47" s="49" t="str"/>
      <x:c r="G47" s="49" t="str"/>
      <x:c r="H47" s="49" t="str"/>
      <x:c r="I47" s="49" t="str"/>
      <x:c r="J47" s="49" t="str"/>
      <x:c r="K47" s="49" t="str"/>
      <x:c r="L47" s="52" t="str">
        <x:f>IF('Instructions'!$B$3="","",'Instructions'!$B$3)</x:f>
      </x:c>
      <x:c r="M47" s="52" t="str">
        <x:f>IF(D47="","UNUSED",IF('Instructions'!$B$3="","SET_INITIALS",IF(OR(F47="",G47="",H47="",I47="",J47=""),"INCOMPLETE","COMPLETE")))</x:f>
        <x:v>UNUSED</x:v>
      </x:c>
    </x:row>
    <x:row r="48" ht="52" customHeight="1">
      <x:c r="A48" s="53" t="str">
        <x:v>DE-0009</x:v>
      </x:c>
      <x:c r="B48" s="53" t="str">
        <x:v>PRD-0013-P0022-U01</x:v>
      </x:c>
      <x:c r="C48" s="53" t="n">
        <x:v>5</x:v>
      </x:c>
      <x:c r="D48" s="49" t="str"/>
      <x:c r="E48" s="49" t="str"/>
      <x:c r="F48" s="49" t="str"/>
      <x:c r="G48" s="49" t="str"/>
      <x:c r="H48" s="49" t="str"/>
      <x:c r="I48" s="49" t="str"/>
      <x:c r="J48" s="49" t="str"/>
      <x:c r="K48" s="49" t="str"/>
      <x:c r="L48" s="52" t="str">
        <x:f>IF('Instructions'!$B$3="","",'Instructions'!$B$3)</x:f>
      </x:c>
      <x:c r="M48" s="52" t="str">
        <x:f>IF(D48="","UNUSED",IF('Instructions'!$B$3="","SET_INITIALS",IF(OR(F48="",G48="",H48="",I48="",J48=""),"INCOMPLETE","COMPLETE")))</x:f>
        <x:v>UNUSED</x:v>
      </x:c>
    </x:row>
    <x:row r="49" ht="52" customHeight="1">
      <x:c r="A49" s="53" t="str">
        <x:v>DE-0010</x:v>
      </x:c>
      <x:c r="B49" s="53" t="str">
        <x:v>PRD-0088-P0016-U01</x:v>
      </x:c>
      <x:c r="C49" s="53" t="n">
        <x:v>1</x:v>
      </x:c>
      <x:c r="D49" s="49" t="str"/>
      <x:c r="E49" s="49" t="str"/>
      <x:c r="F49" s="49" t="str"/>
      <x:c r="G49" s="49" t="str"/>
      <x:c r="H49" s="49" t="str"/>
      <x:c r="I49" s="49" t="str"/>
      <x:c r="J49" s="49" t="str"/>
      <x:c r="K49" s="49" t="str"/>
      <x:c r="L49" s="52" t="str">
        <x:f>IF('Instructions'!$B$3="","",'Instructions'!$B$3)</x:f>
      </x:c>
      <x:c r="M49" s="52" t="str">
        <x:f>IF(D49="","UNUSED",IF('Instructions'!$B$3="","SET_INITIALS",IF(OR(F49="",G49="",H49="",I49="",J49=""),"INCOMPLETE","COMPLETE")))</x:f>
        <x:v>UNUSED</x:v>
      </x:c>
    </x:row>
    <x:row r="50" ht="52" customHeight="1">
      <x:c r="A50" s="53" t="str">
        <x:v>DE-0010</x:v>
      </x:c>
      <x:c r="B50" s="53" t="str">
        <x:v>PRD-0088-P0016-U01</x:v>
      </x:c>
      <x:c r="C50" s="53" t="n">
        <x:v>2</x:v>
      </x:c>
      <x:c r="D50" s="49" t="str"/>
      <x:c r="E50" s="49" t="str"/>
      <x:c r="F50" s="49" t="str"/>
      <x:c r="G50" s="49" t="str"/>
      <x:c r="H50" s="49" t="str"/>
      <x:c r="I50" s="49" t="str"/>
      <x:c r="J50" s="49" t="str"/>
      <x:c r="K50" s="49" t="str"/>
      <x:c r="L50" s="52" t="str">
        <x:f>IF('Instructions'!$B$3="","",'Instructions'!$B$3)</x:f>
      </x:c>
      <x:c r="M50" s="52" t="str">
        <x:f>IF(D50="","UNUSED",IF('Instructions'!$B$3="","SET_INITIALS",IF(OR(F50="",G50="",H50="",I50="",J50=""),"INCOMPLETE","COMPLETE")))</x:f>
        <x:v>UNUSED</x:v>
      </x:c>
    </x:row>
    <x:row r="51" ht="52" customHeight="1">
      <x:c r="A51" s="53" t="str">
        <x:v>DE-0010</x:v>
      </x:c>
      <x:c r="B51" s="53" t="str">
        <x:v>PRD-0088-P0016-U01</x:v>
      </x:c>
      <x:c r="C51" s="53" t="n">
        <x:v>3</x:v>
      </x:c>
      <x:c r="D51" s="49" t="str"/>
      <x:c r="E51" s="49" t="str"/>
      <x:c r="F51" s="49" t="str"/>
      <x:c r="G51" s="49" t="str"/>
      <x:c r="H51" s="49" t="str"/>
      <x:c r="I51" s="49" t="str"/>
      <x:c r="J51" s="49" t="str"/>
      <x:c r="K51" s="49" t="str"/>
      <x:c r="L51" s="52" t="str">
        <x:f>IF('Instructions'!$B$3="","",'Instructions'!$B$3)</x:f>
      </x:c>
      <x:c r="M51" s="52" t="str">
        <x:f>IF(D51="","UNUSED",IF('Instructions'!$B$3="","SET_INITIALS",IF(OR(F51="",G51="",H51="",I51="",J51=""),"INCOMPLETE","COMPLETE")))</x:f>
        <x:v>UNUSED</x:v>
      </x:c>
    </x:row>
    <x:row r="52" ht="52" customHeight="1">
      <x:c r="A52" s="53" t="str">
        <x:v>DE-0010</x:v>
      </x:c>
      <x:c r="B52" s="53" t="str">
        <x:v>PRD-0088-P0016-U01</x:v>
      </x:c>
      <x:c r="C52" s="53" t="n">
        <x:v>4</x:v>
      </x:c>
      <x:c r="D52" s="49" t="str"/>
      <x:c r="E52" s="49" t="str"/>
      <x:c r="F52" s="49" t="str"/>
      <x:c r="G52" s="49" t="str"/>
      <x:c r="H52" s="49" t="str"/>
      <x:c r="I52" s="49" t="str"/>
      <x:c r="J52" s="49" t="str"/>
      <x:c r="K52" s="49" t="str"/>
      <x:c r="L52" s="52" t="str">
        <x:f>IF('Instructions'!$B$3="","",'Instructions'!$B$3)</x:f>
      </x:c>
      <x:c r="M52" s="52" t="str">
        <x:f>IF(D52="","UNUSED",IF('Instructions'!$B$3="","SET_INITIALS",IF(OR(F52="",G52="",H52="",I52="",J52=""),"INCOMPLETE","COMPLETE")))</x:f>
        <x:v>UNUSED</x:v>
      </x:c>
    </x:row>
    <x:row r="53" ht="52" customHeight="1">
      <x:c r="A53" s="53" t="str">
        <x:v>DE-0010</x:v>
      </x:c>
      <x:c r="B53" s="53" t="str">
        <x:v>PRD-0088-P0016-U01</x:v>
      </x:c>
      <x:c r="C53" s="53" t="n">
        <x:v>5</x:v>
      </x:c>
      <x:c r="D53" s="49" t="str"/>
      <x:c r="E53" s="49" t="str"/>
      <x:c r="F53" s="49" t="str"/>
      <x:c r="G53" s="49" t="str"/>
      <x:c r="H53" s="49" t="str"/>
      <x:c r="I53" s="49" t="str"/>
      <x:c r="J53" s="49" t="str"/>
      <x:c r="K53" s="49" t="str"/>
      <x:c r="L53" s="52" t="str">
        <x:f>IF('Instructions'!$B$3="","",'Instructions'!$B$3)</x:f>
      </x:c>
      <x:c r="M53" s="52" t="str">
        <x:f>IF(D53="","UNUSED",IF('Instructions'!$B$3="","SET_INITIALS",IF(OR(F53="",G53="",H53="",I53="",J53=""),"INCOMPLETE","COMPLETE")))</x:f>
        <x:v>UNUSED</x:v>
      </x:c>
    </x:row>
    <x:row r="54" ht="52" customHeight="1">
      <x:c r="A54" s="53" t="str">
        <x:v>DE-0011</x:v>
      </x:c>
      <x:c r="B54" s="53" t="str">
        <x:v>PRD-0087-P0035-U01</x:v>
      </x:c>
      <x:c r="C54" s="53" t="n">
        <x:v>1</x:v>
      </x:c>
      <x:c r="D54" s="49" t="str"/>
      <x:c r="E54" s="49" t="str"/>
      <x:c r="F54" s="49" t="str"/>
      <x:c r="G54" s="49" t="str"/>
      <x:c r="H54" s="49" t="str"/>
      <x:c r="I54" s="49" t="str"/>
      <x:c r="J54" s="49" t="str"/>
      <x:c r="K54" s="49" t="str"/>
      <x:c r="L54" s="52" t="str">
        <x:f>IF('Instructions'!$B$3="","",'Instructions'!$B$3)</x:f>
      </x:c>
      <x:c r="M54" s="52" t="str">
        <x:f>IF(D54="","UNUSED",IF('Instructions'!$B$3="","SET_INITIALS",IF(OR(F54="",G54="",H54="",I54="",J54=""),"INCOMPLETE","COMPLETE")))</x:f>
        <x:v>UNUSED</x:v>
      </x:c>
    </x:row>
    <x:row r="55" ht="52" customHeight="1">
      <x:c r="A55" s="53" t="str">
        <x:v>DE-0011</x:v>
      </x:c>
      <x:c r="B55" s="53" t="str">
        <x:v>PRD-0087-P0035-U01</x:v>
      </x:c>
      <x:c r="C55" s="53" t="n">
        <x:v>2</x:v>
      </x:c>
      <x:c r="D55" s="49" t="str"/>
      <x:c r="E55" s="49" t="str"/>
      <x:c r="F55" s="49" t="str"/>
      <x:c r="G55" s="49" t="str"/>
      <x:c r="H55" s="49" t="str"/>
      <x:c r="I55" s="49" t="str"/>
      <x:c r="J55" s="49" t="str"/>
      <x:c r="K55" s="49" t="str"/>
      <x:c r="L55" s="52" t="str">
        <x:f>IF('Instructions'!$B$3="","",'Instructions'!$B$3)</x:f>
      </x:c>
      <x:c r="M55" s="52" t="str">
        <x:f>IF(D55="","UNUSED",IF('Instructions'!$B$3="","SET_INITIALS",IF(OR(F55="",G55="",H55="",I55="",J55=""),"INCOMPLETE","COMPLETE")))</x:f>
        <x:v>UNUSED</x:v>
      </x:c>
    </x:row>
    <x:row r="56" ht="52" customHeight="1">
      <x:c r="A56" s="53" t="str">
        <x:v>DE-0011</x:v>
      </x:c>
      <x:c r="B56" s="53" t="str">
        <x:v>PRD-0087-P0035-U01</x:v>
      </x:c>
      <x:c r="C56" s="53" t="n">
        <x:v>3</x:v>
      </x:c>
      <x:c r="D56" s="49" t="str"/>
      <x:c r="E56" s="49" t="str"/>
      <x:c r="F56" s="49" t="str"/>
      <x:c r="G56" s="49" t="str"/>
      <x:c r="H56" s="49" t="str"/>
      <x:c r="I56" s="49" t="str"/>
      <x:c r="J56" s="49" t="str"/>
      <x:c r="K56" s="49" t="str"/>
      <x:c r="L56" s="52" t="str">
        <x:f>IF('Instructions'!$B$3="","",'Instructions'!$B$3)</x:f>
      </x:c>
      <x:c r="M56" s="52" t="str">
        <x:f>IF(D56="","UNUSED",IF('Instructions'!$B$3="","SET_INITIALS",IF(OR(F56="",G56="",H56="",I56="",J56=""),"INCOMPLETE","COMPLETE")))</x:f>
        <x:v>UNUSED</x:v>
      </x:c>
    </x:row>
    <x:row r="57" ht="52" customHeight="1">
      <x:c r="A57" s="53" t="str">
        <x:v>DE-0011</x:v>
      </x:c>
      <x:c r="B57" s="53" t="str">
        <x:v>PRD-0087-P0035-U01</x:v>
      </x:c>
      <x:c r="C57" s="53" t="n">
        <x:v>4</x:v>
      </x:c>
      <x:c r="D57" s="49" t="str"/>
      <x:c r="E57" s="49" t="str"/>
      <x:c r="F57" s="49" t="str"/>
      <x:c r="G57" s="49" t="str"/>
      <x:c r="H57" s="49" t="str"/>
      <x:c r="I57" s="49" t="str"/>
      <x:c r="J57" s="49" t="str"/>
      <x:c r="K57" s="49" t="str"/>
      <x:c r="L57" s="52" t="str">
        <x:f>IF('Instructions'!$B$3="","",'Instructions'!$B$3)</x:f>
      </x:c>
      <x:c r="M57" s="52" t="str">
        <x:f>IF(D57="","UNUSED",IF('Instructions'!$B$3="","SET_INITIALS",IF(OR(F57="",G57="",H57="",I57="",J57=""),"INCOMPLETE","COMPLETE")))</x:f>
        <x:v>UNUSED</x:v>
      </x:c>
    </x:row>
    <x:row r="58" ht="52" customHeight="1">
      <x:c r="A58" s="53" t="str">
        <x:v>DE-0011</x:v>
      </x:c>
      <x:c r="B58" s="53" t="str">
        <x:v>PRD-0087-P0035-U01</x:v>
      </x:c>
      <x:c r="C58" s="53" t="n">
        <x:v>5</x:v>
      </x:c>
      <x:c r="D58" s="49" t="str"/>
      <x:c r="E58" s="49" t="str"/>
      <x:c r="F58" s="49" t="str"/>
      <x:c r="G58" s="49" t="str"/>
      <x:c r="H58" s="49" t="str"/>
      <x:c r="I58" s="49" t="str"/>
      <x:c r="J58" s="49" t="str"/>
      <x:c r="K58" s="49" t="str"/>
      <x:c r="L58" s="52" t="str">
        <x:f>IF('Instructions'!$B$3="","",'Instructions'!$B$3)</x:f>
      </x:c>
      <x:c r="M58" s="52" t="str">
        <x:f>IF(D58="","UNUSED",IF('Instructions'!$B$3="","SET_INITIALS",IF(OR(F58="",G58="",H58="",I58="",J58=""),"INCOMPLETE","COMPLETE")))</x:f>
        <x:v>UNUSED</x:v>
      </x:c>
    </x:row>
    <x:row r="59" ht="52" customHeight="1">
      <x:c r="A59" s="53" t="str">
        <x:v>DE-0012</x:v>
      </x:c>
      <x:c r="B59" s="53" t="str">
        <x:v>PRD-0107-P0012-U01</x:v>
      </x:c>
      <x:c r="C59" s="53" t="n">
        <x:v>1</x:v>
      </x:c>
      <x:c r="D59" s="49" t="str"/>
      <x:c r="E59" s="49" t="str"/>
      <x:c r="F59" s="49" t="str"/>
      <x:c r="G59" s="49" t="str"/>
      <x:c r="H59" s="49" t="str"/>
      <x:c r="I59" s="49" t="str"/>
      <x:c r="J59" s="49" t="str"/>
      <x:c r="K59" s="49" t="str"/>
      <x:c r="L59" s="52" t="str">
        <x:f>IF('Instructions'!$B$3="","",'Instructions'!$B$3)</x:f>
      </x:c>
      <x:c r="M59" s="52" t="str">
        <x:f>IF(D59="","UNUSED",IF('Instructions'!$B$3="","SET_INITIALS",IF(OR(F59="",G59="",H59="",I59="",J59=""),"INCOMPLETE","COMPLETE")))</x:f>
        <x:v>UNUSED</x:v>
      </x:c>
    </x:row>
    <x:row r="60" ht="52" customHeight="1">
      <x:c r="A60" s="53" t="str">
        <x:v>DE-0012</x:v>
      </x:c>
      <x:c r="B60" s="53" t="str">
        <x:v>PRD-0107-P0012-U01</x:v>
      </x:c>
      <x:c r="C60" s="53" t="n">
        <x:v>2</x:v>
      </x:c>
      <x:c r="D60" s="49" t="str"/>
      <x:c r="E60" s="49" t="str"/>
      <x:c r="F60" s="49" t="str"/>
      <x:c r="G60" s="49" t="str"/>
      <x:c r="H60" s="49" t="str"/>
      <x:c r="I60" s="49" t="str"/>
      <x:c r="J60" s="49" t="str"/>
      <x:c r="K60" s="49" t="str"/>
      <x:c r="L60" s="52" t="str">
        <x:f>IF('Instructions'!$B$3="","",'Instructions'!$B$3)</x:f>
      </x:c>
      <x:c r="M60" s="52" t="str">
        <x:f>IF(D60="","UNUSED",IF('Instructions'!$B$3="","SET_INITIALS",IF(OR(F60="",G60="",H60="",I60="",J60=""),"INCOMPLETE","COMPLETE")))</x:f>
        <x:v>UNUSED</x:v>
      </x:c>
    </x:row>
    <x:row r="61" ht="52" customHeight="1">
      <x:c r="A61" s="53" t="str">
        <x:v>DE-0012</x:v>
      </x:c>
      <x:c r="B61" s="53" t="str">
        <x:v>PRD-0107-P0012-U01</x:v>
      </x:c>
      <x:c r="C61" s="53" t="n">
        <x:v>3</x:v>
      </x:c>
      <x:c r="D61" s="49" t="str"/>
      <x:c r="E61" s="49" t="str"/>
      <x:c r="F61" s="49" t="str"/>
      <x:c r="G61" s="49" t="str"/>
      <x:c r="H61" s="49" t="str"/>
      <x:c r="I61" s="49" t="str"/>
      <x:c r="J61" s="49" t="str"/>
      <x:c r="K61" s="49" t="str"/>
      <x:c r="L61" s="52" t="str">
        <x:f>IF('Instructions'!$B$3="","",'Instructions'!$B$3)</x:f>
      </x:c>
      <x:c r="M61" s="52" t="str">
        <x:f>IF(D61="","UNUSED",IF('Instructions'!$B$3="","SET_INITIALS",IF(OR(F61="",G61="",H61="",I61="",J61=""),"INCOMPLETE","COMPLETE")))</x:f>
        <x:v>UNUSED</x:v>
      </x:c>
    </x:row>
    <x:row r="62" ht="52" customHeight="1">
      <x:c r="A62" s="53" t="str">
        <x:v>DE-0012</x:v>
      </x:c>
      <x:c r="B62" s="53" t="str">
        <x:v>PRD-0107-P0012-U01</x:v>
      </x:c>
      <x:c r="C62" s="53" t="n">
        <x:v>4</x:v>
      </x:c>
      <x:c r="D62" s="49" t="str"/>
      <x:c r="E62" s="49" t="str"/>
      <x:c r="F62" s="49" t="str"/>
      <x:c r="G62" s="49" t="str"/>
      <x:c r="H62" s="49" t="str"/>
      <x:c r="I62" s="49" t="str"/>
      <x:c r="J62" s="49" t="str"/>
      <x:c r="K62" s="49" t="str"/>
      <x:c r="L62" s="52" t="str">
        <x:f>IF('Instructions'!$B$3="","",'Instructions'!$B$3)</x:f>
      </x:c>
      <x:c r="M62" s="52" t="str">
        <x:f>IF(D62="","UNUSED",IF('Instructions'!$B$3="","SET_INITIALS",IF(OR(F62="",G62="",H62="",I62="",J62=""),"INCOMPLETE","COMPLETE")))</x:f>
        <x:v>UNUSED</x:v>
      </x:c>
    </x:row>
    <x:row r="63" ht="52" customHeight="1">
      <x:c r="A63" s="53" t="str">
        <x:v>DE-0012</x:v>
      </x:c>
      <x:c r="B63" s="53" t="str">
        <x:v>PRD-0107-P0012-U01</x:v>
      </x:c>
      <x:c r="C63" s="53" t="n">
        <x:v>5</x:v>
      </x:c>
      <x:c r="D63" s="49" t="str"/>
      <x:c r="E63" s="49" t="str"/>
      <x:c r="F63" s="49" t="str"/>
      <x:c r="G63" s="49" t="str"/>
      <x:c r="H63" s="49" t="str"/>
      <x:c r="I63" s="49" t="str"/>
      <x:c r="J63" s="49" t="str"/>
      <x:c r="K63" s="49" t="str"/>
      <x:c r="L63" s="52" t="str">
        <x:f>IF('Instructions'!$B$3="","",'Instructions'!$B$3)</x:f>
      </x:c>
      <x:c r="M63" s="52" t="str">
        <x:f>IF(D63="","UNUSED",IF('Instructions'!$B$3="","SET_INITIALS",IF(OR(F63="",G63="",H63="",I63="",J63=""),"INCOMPLETE","COMPLETE")))</x:f>
        <x:v>UNUSED</x:v>
      </x:c>
    </x:row>
    <x:row r="64" ht="52" customHeight="1">
      <x:c r="A64" s="53" t="str">
        <x:v>DE-0013</x:v>
      </x:c>
      <x:c r="B64" s="53" t="str">
        <x:v>PRD-0065-P0025-U01</x:v>
      </x:c>
      <x:c r="C64" s="53" t="n">
        <x:v>1</x:v>
      </x:c>
      <x:c r="D64" s="49" t="str"/>
      <x:c r="E64" s="49" t="str"/>
      <x:c r="F64" s="49" t="str"/>
      <x:c r="G64" s="49" t="str"/>
      <x:c r="H64" s="49" t="str"/>
      <x:c r="I64" s="49" t="str"/>
      <x:c r="J64" s="49" t="str"/>
      <x:c r="K64" s="49" t="str"/>
      <x:c r="L64" s="52" t="str">
        <x:f>IF('Instructions'!$B$3="","",'Instructions'!$B$3)</x:f>
      </x:c>
      <x:c r="M64" s="52" t="str">
        <x:f>IF(D64="","UNUSED",IF('Instructions'!$B$3="","SET_INITIALS",IF(OR(F64="",G64="",H64="",I64="",J64=""),"INCOMPLETE","COMPLETE")))</x:f>
        <x:v>UNUSED</x:v>
      </x:c>
    </x:row>
    <x:row r="65" ht="52" customHeight="1">
      <x:c r="A65" s="53" t="str">
        <x:v>DE-0013</x:v>
      </x:c>
      <x:c r="B65" s="53" t="str">
        <x:v>PRD-0065-P0025-U01</x:v>
      </x:c>
      <x:c r="C65" s="53" t="n">
        <x:v>2</x:v>
      </x:c>
      <x:c r="D65" s="49" t="str"/>
      <x:c r="E65" s="49" t="str"/>
      <x:c r="F65" s="49" t="str"/>
      <x:c r="G65" s="49" t="str"/>
      <x:c r="H65" s="49" t="str"/>
      <x:c r="I65" s="49" t="str"/>
      <x:c r="J65" s="49" t="str"/>
      <x:c r="K65" s="49" t="str"/>
      <x:c r="L65" s="52" t="str">
        <x:f>IF('Instructions'!$B$3="","",'Instructions'!$B$3)</x:f>
      </x:c>
      <x:c r="M65" s="52" t="str">
        <x:f>IF(D65="","UNUSED",IF('Instructions'!$B$3="","SET_INITIALS",IF(OR(F65="",G65="",H65="",I65="",J65=""),"INCOMPLETE","COMPLETE")))</x:f>
        <x:v>UNUSED</x:v>
      </x:c>
    </x:row>
    <x:row r="66" ht="52" customHeight="1">
      <x:c r="A66" s="53" t="str">
        <x:v>DE-0013</x:v>
      </x:c>
      <x:c r="B66" s="53" t="str">
        <x:v>PRD-0065-P0025-U01</x:v>
      </x:c>
      <x:c r="C66" s="53" t="n">
        <x:v>3</x:v>
      </x:c>
      <x:c r="D66" s="49" t="str"/>
      <x:c r="E66" s="49" t="str"/>
      <x:c r="F66" s="49" t="str"/>
      <x:c r="G66" s="49" t="str"/>
      <x:c r="H66" s="49" t="str"/>
      <x:c r="I66" s="49" t="str"/>
      <x:c r="J66" s="49" t="str"/>
      <x:c r="K66" s="49" t="str"/>
      <x:c r="L66" s="52" t="str">
        <x:f>IF('Instructions'!$B$3="","",'Instructions'!$B$3)</x:f>
      </x:c>
      <x:c r="M66" s="52" t="str">
        <x:f>IF(D66="","UNUSED",IF('Instructions'!$B$3="","SET_INITIALS",IF(OR(F66="",G66="",H66="",I66="",J66=""),"INCOMPLETE","COMPLETE")))</x:f>
        <x:v>UNUSED</x:v>
      </x:c>
    </x:row>
    <x:row r="67" ht="52" customHeight="1">
      <x:c r="A67" s="53" t="str">
        <x:v>DE-0013</x:v>
      </x:c>
      <x:c r="B67" s="53" t="str">
        <x:v>PRD-0065-P0025-U01</x:v>
      </x:c>
      <x:c r="C67" s="53" t="n">
        <x:v>4</x:v>
      </x:c>
      <x:c r="D67" s="49" t="str"/>
      <x:c r="E67" s="49" t="str"/>
      <x:c r="F67" s="49" t="str"/>
      <x:c r="G67" s="49" t="str"/>
      <x:c r="H67" s="49" t="str"/>
      <x:c r="I67" s="49" t="str"/>
      <x:c r="J67" s="49" t="str"/>
      <x:c r="K67" s="49" t="str"/>
      <x:c r="L67" s="52" t="str">
        <x:f>IF('Instructions'!$B$3="","",'Instructions'!$B$3)</x:f>
      </x:c>
      <x:c r="M67" s="52" t="str">
        <x:f>IF(D67="","UNUSED",IF('Instructions'!$B$3="","SET_INITIALS",IF(OR(F67="",G67="",H67="",I67="",J67=""),"INCOMPLETE","COMPLETE")))</x:f>
        <x:v>UNUSED</x:v>
      </x:c>
    </x:row>
    <x:row r="68" ht="52" customHeight="1">
      <x:c r="A68" s="53" t="str">
        <x:v>DE-0013</x:v>
      </x:c>
      <x:c r="B68" s="53" t="str">
        <x:v>PRD-0065-P0025-U01</x:v>
      </x:c>
      <x:c r="C68" s="53" t="n">
        <x:v>5</x:v>
      </x:c>
      <x:c r="D68" s="49" t="str"/>
      <x:c r="E68" s="49" t="str"/>
      <x:c r="F68" s="49" t="str"/>
      <x:c r="G68" s="49" t="str"/>
      <x:c r="H68" s="49" t="str"/>
      <x:c r="I68" s="49" t="str"/>
      <x:c r="J68" s="49" t="str"/>
      <x:c r="K68" s="49" t="str"/>
      <x:c r="L68" s="52" t="str">
        <x:f>IF('Instructions'!$B$3="","",'Instructions'!$B$3)</x:f>
      </x:c>
      <x:c r="M68" s="52" t="str">
        <x:f>IF(D68="","UNUSED",IF('Instructions'!$B$3="","SET_INITIALS",IF(OR(F68="",G68="",H68="",I68="",J68=""),"INCOMPLETE","COMPLETE")))</x:f>
        <x:v>UNUSED</x:v>
      </x:c>
    </x:row>
    <x:row r="69" ht="52" customHeight="1">
      <x:c r="A69" s="53" t="str">
        <x:v>DE-0014</x:v>
      </x:c>
      <x:c r="B69" s="53" t="str">
        <x:v>PRD-0018-P0136-U01</x:v>
      </x:c>
      <x:c r="C69" s="53" t="n">
        <x:v>1</x:v>
      </x:c>
      <x:c r="D69" s="49" t="str"/>
      <x:c r="E69" s="49" t="str"/>
      <x:c r="F69" s="49" t="str"/>
      <x:c r="G69" s="49" t="str"/>
      <x:c r="H69" s="49" t="str"/>
      <x:c r="I69" s="49" t="str"/>
      <x:c r="J69" s="49" t="str"/>
      <x:c r="K69" s="49" t="str"/>
      <x:c r="L69" s="52" t="str">
        <x:f>IF('Instructions'!$B$3="","",'Instructions'!$B$3)</x:f>
      </x:c>
      <x:c r="M69" s="52" t="str">
        <x:f>IF(D69="","UNUSED",IF('Instructions'!$B$3="","SET_INITIALS",IF(OR(F69="",G69="",H69="",I69="",J69=""),"INCOMPLETE","COMPLETE")))</x:f>
        <x:v>UNUSED</x:v>
      </x:c>
    </x:row>
    <x:row r="70" ht="52" customHeight="1">
      <x:c r="A70" s="53" t="str">
        <x:v>DE-0014</x:v>
      </x:c>
      <x:c r="B70" s="53" t="str">
        <x:v>PRD-0018-P0136-U01</x:v>
      </x:c>
      <x:c r="C70" s="53" t="n">
        <x:v>2</x:v>
      </x:c>
      <x:c r="D70" s="49" t="str"/>
      <x:c r="E70" s="49" t="str"/>
      <x:c r="F70" s="49" t="str"/>
      <x:c r="G70" s="49" t="str"/>
      <x:c r="H70" s="49" t="str"/>
      <x:c r="I70" s="49" t="str"/>
      <x:c r="J70" s="49" t="str"/>
      <x:c r="K70" s="49" t="str"/>
      <x:c r="L70" s="52" t="str">
        <x:f>IF('Instructions'!$B$3="","",'Instructions'!$B$3)</x:f>
      </x:c>
      <x:c r="M70" s="52" t="str">
        <x:f>IF(D70="","UNUSED",IF('Instructions'!$B$3="","SET_INITIALS",IF(OR(F70="",G70="",H70="",I70="",J70=""),"INCOMPLETE","COMPLETE")))</x:f>
        <x:v>UNUSED</x:v>
      </x:c>
    </x:row>
    <x:row r="71" ht="52" customHeight="1">
      <x:c r="A71" s="53" t="str">
        <x:v>DE-0014</x:v>
      </x:c>
      <x:c r="B71" s="53" t="str">
        <x:v>PRD-0018-P0136-U01</x:v>
      </x:c>
      <x:c r="C71" s="53" t="n">
        <x:v>3</x:v>
      </x:c>
      <x:c r="D71" s="49" t="str"/>
      <x:c r="E71" s="49" t="str"/>
      <x:c r="F71" s="49" t="str"/>
      <x:c r="G71" s="49" t="str"/>
      <x:c r="H71" s="49" t="str"/>
      <x:c r="I71" s="49" t="str"/>
      <x:c r="J71" s="49" t="str"/>
      <x:c r="K71" s="49" t="str"/>
      <x:c r="L71" s="52" t="str">
        <x:f>IF('Instructions'!$B$3="","",'Instructions'!$B$3)</x:f>
      </x:c>
      <x:c r="M71" s="52" t="str">
        <x:f>IF(D71="","UNUSED",IF('Instructions'!$B$3="","SET_INITIALS",IF(OR(F71="",G71="",H71="",I71="",J71=""),"INCOMPLETE","COMPLETE")))</x:f>
        <x:v>UNUSED</x:v>
      </x:c>
    </x:row>
    <x:row r="72" ht="52" customHeight="1">
      <x:c r="A72" s="53" t="str">
        <x:v>DE-0014</x:v>
      </x:c>
      <x:c r="B72" s="53" t="str">
        <x:v>PRD-0018-P0136-U01</x:v>
      </x:c>
      <x:c r="C72" s="53" t="n">
        <x:v>4</x:v>
      </x:c>
      <x:c r="D72" s="49" t="str"/>
      <x:c r="E72" s="49" t="str"/>
      <x:c r="F72" s="49" t="str"/>
      <x:c r="G72" s="49" t="str"/>
      <x:c r="H72" s="49" t="str"/>
      <x:c r="I72" s="49" t="str"/>
      <x:c r="J72" s="49" t="str"/>
      <x:c r="K72" s="49" t="str"/>
      <x:c r="L72" s="52" t="str">
        <x:f>IF('Instructions'!$B$3="","",'Instructions'!$B$3)</x:f>
      </x:c>
      <x:c r="M72" s="52" t="str">
        <x:f>IF(D72="","UNUSED",IF('Instructions'!$B$3="","SET_INITIALS",IF(OR(F72="",G72="",H72="",I72="",J72=""),"INCOMPLETE","COMPLETE")))</x:f>
        <x:v>UNUSED</x:v>
      </x:c>
    </x:row>
    <x:row r="73" ht="52" customHeight="1">
      <x:c r="A73" s="53" t="str">
        <x:v>DE-0014</x:v>
      </x:c>
      <x:c r="B73" s="53" t="str">
        <x:v>PRD-0018-P0136-U01</x:v>
      </x:c>
      <x:c r="C73" s="53" t="n">
        <x:v>5</x:v>
      </x:c>
      <x:c r="D73" s="49" t="str"/>
      <x:c r="E73" s="49" t="str"/>
      <x:c r="F73" s="49" t="str"/>
      <x:c r="G73" s="49" t="str"/>
      <x:c r="H73" s="49" t="str"/>
      <x:c r="I73" s="49" t="str"/>
      <x:c r="J73" s="49" t="str"/>
      <x:c r="K73" s="49" t="str"/>
      <x:c r="L73" s="52" t="str">
        <x:f>IF('Instructions'!$B$3="","",'Instructions'!$B$3)</x:f>
      </x:c>
      <x:c r="M73" s="52" t="str">
        <x:f>IF(D73="","UNUSED",IF('Instructions'!$B$3="","SET_INITIALS",IF(OR(F73="",G73="",H73="",I73="",J73=""),"INCOMPLETE","COMPLETE")))</x:f>
        <x:v>UNUSED</x:v>
      </x:c>
    </x:row>
    <x:row r="74" ht="52" customHeight="1">
      <x:c r="A74" s="53" t="str">
        <x:v>DE-0015</x:v>
      </x:c>
      <x:c r="B74" s="53" t="str">
        <x:v>PRD-0018-P0043-U01</x:v>
      </x:c>
      <x:c r="C74" s="53" t="n">
        <x:v>1</x:v>
      </x:c>
      <x:c r="D74" s="49" t="str"/>
      <x:c r="E74" s="49" t="str"/>
      <x:c r="F74" s="49" t="str"/>
      <x:c r="G74" s="49" t="str"/>
      <x:c r="H74" s="49" t="str"/>
      <x:c r="I74" s="49" t="str"/>
      <x:c r="J74" s="49" t="str"/>
      <x:c r="K74" s="49" t="str"/>
      <x:c r="L74" s="52" t="str">
        <x:f>IF('Instructions'!$B$3="","",'Instructions'!$B$3)</x:f>
      </x:c>
      <x:c r="M74" s="52" t="str">
        <x:f>IF(D74="","UNUSED",IF('Instructions'!$B$3="","SET_INITIALS",IF(OR(F74="",G74="",H74="",I74="",J74=""),"INCOMPLETE","COMPLETE")))</x:f>
        <x:v>UNUSED</x:v>
      </x:c>
    </x:row>
    <x:row r="75" ht="52" customHeight="1">
      <x:c r="A75" s="53" t="str">
        <x:v>DE-0015</x:v>
      </x:c>
      <x:c r="B75" s="53" t="str">
        <x:v>PRD-0018-P0043-U01</x:v>
      </x:c>
      <x:c r="C75" s="53" t="n">
        <x:v>2</x:v>
      </x:c>
      <x:c r="D75" s="49" t="str"/>
      <x:c r="E75" s="49" t="str"/>
      <x:c r="F75" s="49" t="str"/>
      <x:c r="G75" s="49" t="str"/>
      <x:c r="H75" s="49" t="str"/>
      <x:c r="I75" s="49" t="str"/>
      <x:c r="J75" s="49" t="str"/>
      <x:c r="K75" s="49" t="str"/>
      <x:c r="L75" s="52" t="str">
        <x:f>IF('Instructions'!$B$3="","",'Instructions'!$B$3)</x:f>
      </x:c>
      <x:c r="M75" s="52" t="str">
        <x:f>IF(D75="","UNUSED",IF('Instructions'!$B$3="","SET_INITIALS",IF(OR(F75="",G75="",H75="",I75="",J75=""),"INCOMPLETE","COMPLETE")))</x:f>
        <x:v>UNUSED</x:v>
      </x:c>
    </x:row>
    <x:row r="76" ht="52" customHeight="1">
      <x:c r="A76" s="53" t="str">
        <x:v>DE-0015</x:v>
      </x:c>
      <x:c r="B76" s="53" t="str">
        <x:v>PRD-0018-P0043-U01</x:v>
      </x:c>
      <x:c r="C76" s="53" t="n">
        <x:v>3</x:v>
      </x:c>
      <x:c r="D76" s="49" t="str"/>
      <x:c r="E76" s="49" t="str"/>
      <x:c r="F76" s="49" t="str"/>
      <x:c r="G76" s="49" t="str"/>
      <x:c r="H76" s="49" t="str"/>
      <x:c r="I76" s="49" t="str"/>
      <x:c r="J76" s="49" t="str"/>
      <x:c r="K76" s="49" t="str"/>
      <x:c r="L76" s="52" t="str">
        <x:f>IF('Instructions'!$B$3="","",'Instructions'!$B$3)</x:f>
      </x:c>
      <x:c r="M76" s="52" t="str">
        <x:f>IF(D76="","UNUSED",IF('Instructions'!$B$3="","SET_INITIALS",IF(OR(F76="",G76="",H76="",I76="",J76=""),"INCOMPLETE","COMPLETE")))</x:f>
        <x:v>UNUSED</x:v>
      </x:c>
    </x:row>
    <x:row r="77" ht="52" customHeight="1">
      <x:c r="A77" s="53" t="str">
        <x:v>DE-0015</x:v>
      </x:c>
      <x:c r="B77" s="53" t="str">
        <x:v>PRD-0018-P0043-U01</x:v>
      </x:c>
      <x:c r="C77" s="53" t="n">
        <x:v>4</x:v>
      </x:c>
      <x:c r="D77" s="49" t="str"/>
      <x:c r="E77" s="49" t="str"/>
      <x:c r="F77" s="49" t="str"/>
      <x:c r="G77" s="49" t="str"/>
      <x:c r="H77" s="49" t="str"/>
      <x:c r="I77" s="49" t="str"/>
      <x:c r="J77" s="49" t="str"/>
      <x:c r="K77" s="49" t="str"/>
      <x:c r="L77" s="52" t="str">
        <x:f>IF('Instructions'!$B$3="","",'Instructions'!$B$3)</x:f>
      </x:c>
      <x:c r="M77" s="52" t="str">
        <x:f>IF(D77="","UNUSED",IF('Instructions'!$B$3="","SET_INITIALS",IF(OR(F77="",G77="",H77="",I77="",J77=""),"INCOMPLETE","COMPLETE")))</x:f>
        <x:v>UNUSED</x:v>
      </x:c>
    </x:row>
    <x:row r="78" ht="52" customHeight="1">
      <x:c r="A78" s="53" t="str">
        <x:v>DE-0015</x:v>
      </x:c>
      <x:c r="B78" s="53" t="str">
        <x:v>PRD-0018-P0043-U01</x:v>
      </x:c>
      <x:c r="C78" s="53" t="n">
        <x:v>5</x:v>
      </x:c>
      <x:c r="D78" s="49" t="str"/>
      <x:c r="E78" s="49" t="str"/>
      <x:c r="F78" s="49" t="str"/>
      <x:c r="G78" s="49" t="str"/>
      <x:c r="H78" s="49" t="str"/>
      <x:c r="I78" s="49" t="str"/>
      <x:c r="J78" s="49" t="str"/>
      <x:c r="K78" s="49" t="str"/>
      <x:c r="L78" s="52" t="str">
        <x:f>IF('Instructions'!$B$3="","",'Instructions'!$B$3)</x:f>
      </x:c>
      <x:c r="M78" s="52" t="str">
        <x:f>IF(D78="","UNUSED",IF('Instructions'!$B$3="","SET_INITIALS",IF(OR(F78="",G78="",H78="",I78="",J78=""),"INCOMPLETE","COMPLETE")))</x:f>
        <x:v>UNUSED</x:v>
      </x:c>
    </x:row>
    <x:row r="79" ht="52" customHeight="1">
      <x:c r="A79" s="53" t="str">
        <x:v>DE-0016</x:v>
      </x:c>
      <x:c r="B79" s="53" t="str">
        <x:v>PRD-0042-P0066-U01</x:v>
      </x:c>
      <x:c r="C79" s="53" t="n">
        <x:v>1</x:v>
      </x:c>
      <x:c r="D79" s="49" t="str"/>
      <x:c r="E79" s="49" t="str"/>
      <x:c r="F79" s="49" t="str"/>
      <x:c r="G79" s="49" t="str"/>
      <x:c r="H79" s="49" t="str"/>
      <x:c r="I79" s="49" t="str"/>
      <x:c r="J79" s="49" t="str"/>
      <x:c r="K79" s="49" t="str"/>
      <x:c r="L79" s="52" t="str">
        <x:f>IF('Instructions'!$B$3="","",'Instructions'!$B$3)</x:f>
      </x:c>
      <x:c r="M79" s="52" t="str">
        <x:f>IF(D79="","UNUSED",IF('Instructions'!$B$3="","SET_INITIALS",IF(OR(F79="",G79="",H79="",I79="",J79=""),"INCOMPLETE","COMPLETE")))</x:f>
        <x:v>UNUSED</x:v>
      </x:c>
    </x:row>
    <x:row r="80" ht="52" customHeight="1">
      <x:c r="A80" s="53" t="str">
        <x:v>DE-0016</x:v>
      </x:c>
      <x:c r="B80" s="53" t="str">
        <x:v>PRD-0042-P0066-U01</x:v>
      </x:c>
      <x:c r="C80" s="53" t="n">
        <x:v>2</x:v>
      </x:c>
      <x:c r="D80" s="49" t="str"/>
      <x:c r="E80" s="49" t="str"/>
      <x:c r="F80" s="49" t="str"/>
      <x:c r="G80" s="49" t="str"/>
      <x:c r="H80" s="49" t="str"/>
      <x:c r="I80" s="49" t="str"/>
      <x:c r="J80" s="49" t="str"/>
      <x:c r="K80" s="49" t="str"/>
      <x:c r="L80" s="52" t="str">
        <x:f>IF('Instructions'!$B$3="","",'Instructions'!$B$3)</x:f>
      </x:c>
      <x:c r="M80" s="52" t="str">
        <x:f>IF(D80="","UNUSED",IF('Instructions'!$B$3="","SET_INITIALS",IF(OR(F80="",G80="",H80="",I80="",J80=""),"INCOMPLETE","COMPLETE")))</x:f>
        <x:v>UNUSED</x:v>
      </x:c>
    </x:row>
    <x:row r="81" ht="52" customHeight="1">
      <x:c r="A81" s="53" t="str">
        <x:v>DE-0016</x:v>
      </x:c>
      <x:c r="B81" s="53" t="str">
        <x:v>PRD-0042-P0066-U01</x:v>
      </x:c>
      <x:c r="C81" s="53" t="n">
        <x:v>3</x:v>
      </x:c>
      <x:c r="D81" s="49" t="str"/>
      <x:c r="E81" s="49" t="str"/>
      <x:c r="F81" s="49" t="str"/>
      <x:c r="G81" s="49" t="str"/>
      <x:c r="H81" s="49" t="str"/>
      <x:c r="I81" s="49" t="str"/>
      <x:c r="J81" s="49" t="str"/>
      <x:c r="K81" s="49" t="str"/>
      <x:c r="L81" s="52" t="str">
        <x:f>IF('Instructions'!$B$3="","",'Instructions'!$B$3)</x:f>
      </x:c>
      <x:c r="M81" s="52" t="str">
        <x:f>IF(D81="","UNUSED",IF('Instructions'!$B$3="","SET_INITIALS",IF(OR(F81="",G81="",H81="",I81="",J81=""),"INCOMPLETE","COMPLETE")))</x:f>
        <x:v>UNUSED</x:v>
      </x:c>
    </x:row>
    <x:row r="82" ht="52" customHeight="1">
      <x:c r="A82" s="53" t="str">
        <x:v>DE-0016</x:v>
      </x:c>
      <x:c r="B82" s="53" t="str">
        <x:v>PRD-0042-P0066-U01</x:v>
      </x:c>
      <x:c r="C82" s="53" t="n">
        <x:v>4</x:v>
      </x:c>
      <x:c r="D82" s="49" t="str"/>
      <x:c r="E82" s="49" t="str"/>
      <x:c r="F82" s="49" t="str"/>
      <x:c r="G82" s="49" t="str"/>
      <x:c r="H82" s="49" t="str"/>
      <x:c r="I82" s="49" t="str"/>
      <x:c r="J82" s="49" t="str"/>
      <x:c r="K82" s="49" t="str"/>
      <x:c r="L82" s="52" t="str">
        <x:f>IF('Instructions'!$B$3="","",'Instructions'!$B$3)</x:f>
      </x:c>
      <x:c r="M82" s="52" t="str">
        <x:f>IF(D82="","UNUSED",IF('Instructions'!$B$3="","SET_INITIALS",IF(OR(F82="",G82="",H82="",I82="",J82=""),"INCOMPLETE","COMPLETE")))</x:f>
        <x:v>UNUSED</x:v>
      </x:c>
    </x:row>
    <x:row r="83" ht="52" customHeight="1">
      <x:c r="A83" s="53" t="str">
        <x:v>DE-0016</x:v>
      </x:c>
      <x:c r="B83" s="53" t="str">
        <x:v>PRD-0042-P0066-U01</x:v>
      </x:c>
      <x:c r="C83" s="53" t="n">
        <x:v>5</x:v>
      </x:c>
      <x:c r="D83" s="49" t="str"/>
      <x:c r="E83" s="49" t="str"/>
      <x:c r="F83" s="49" t="str"/>
      <x:c r="G83" s="49" t="str"/>
      <x:c r="H83" s="49" t="str"/>
      <x:c r="I83" s="49" t="str"/>
      <x:c r="J83" s="49" t="str"/>
      <x:c r="K83" s="49" t="str"/>
      <x:c r="L83" s="52" t="str">
        <x:f>IF('Instructions'!$B$3="","",'Instructions'!$B$3)</x:f>
      </x:c>
      <x:c r="M83" s="52" t="str">
        <x:f>IF(D83="","UNUSED",IF('Instructions'!$B$3="","SET_INITIALS",IF(OR(F83="",G83="",H83="",I83="",J83=""),"INCOMPLETE","COMPLETE")))</x:f>
        <x:v>UNUSED</x:v>
      </x:c>
    </x:row>
    <x:row r="84" ht="52" customHeight="1">
      <x:c r="A84" s="53" t="str">
        <x:v>DE-0017</x:v>
      </x:c>
      <x:c r="B84" s="53" t="str">
        <x:v>PRD-0013-P0027-U01</x:v>
      </x:c>
      <x:c r="C84" s="53" t="n">
        <x:v>1</x:v>
      </x:c>
      <x:c r="D84" s="49" t="str"/>
      <x:c r="E84" s="49" t="str"/>
      <x:c r="F84" s="49" t="str"/>
      <x:c r="G84" s="49" t="str"/>
      <x:c r="H84" s="49" t="str"/>
      <x:c r="I84" s="49" t="str"/>
      <x:c r="J84" s="49" t="str"/>
      <x:c r="K84" s="49" t="str"/>
      <x:c r="L84" s="52" t="str">
        <x:f>IF('Instructions'!$B$3="","",'Instructions'!$B$3)</x:f>
      </x:c>
      <x:c r="M84" s="52" t="str">
        <x:f>IF(D84="","UNUSED",IF('Instructions'!$B$3="","SET_INITIALS",IF(OR(F84="",G84="",H84="",I84="",J84=""),"INCOMPLETE","COMPLETE")))</x:f>
        <x:v>UNUSED</x:v>
      </x:c>
    </x:row>
    <x:row r="85" ht="52" customHeight="1">
      <x:c r="A85" s="53" t="str">
        <x:v>DE-0017</x:v>
      </x:c>
      <x:c r="B85" s="53" t="str">
        <x:v>PRD-0013-P0027-U01</x:v>
      </x:c>
      <x:c r="C85" s="53" t="n">
        <x:v>2</x:v>
      </x:c>
      <x:c r="D85" s="49" t="str"/>
      <x:c r="E85" s="49" t="str"/>
      <x:c r="F85" s="49" t="str"/>
      <x:c r="G85" s="49" t="str"/>
      <x:c r="H85" s="49" t="str"/>
      <x:c r="I85" s="49" t="str"/>
      <x:c r="J85" s="49" t="str"/>
      <x:c r="K85" s="49" t="str"/>
      <x:c r="L85" s="52" t="str">
        <x:f>IF('Instructions'!$B$3="","",'Instructions'!$B$3)</x:f>
      </x:c>
      <x:c r="M85" s="52" t="str">
        <x:f>IF(D85="","UNUSED",IF('Instructions'!$B$3="","SET_INITIALS",IF(OR(F85="",G85="",H85="",I85="",J85=""),"INCOMPLETE","COMPLETE")))</x:f>
        <x:v>UNUSED</x:v>
      </x:c>
    </x:row>
    <x:row r="86" ht="52" customHeight="1">
      <x:c r="A86" s="53" t="str">
        <x:v>DE-0017</x:v>
      </x:c>
      <x:c r="B86" s="53" t="str">
        <x:v>PRD-0013-P0027-U01</x:v>
      </x:c>
      <x:c r="C86" s="53" t="n">
        <x:v>3</x:v>
      </x:c>
      <x:c r="D86" s="49" t="str"/>
      <x:c r="E86" s="49" t="str"/>
      <x:c r="F86" s="49" t="str"/>
      <x:c r="G86" s="49" t="str"/>
      <x:c r="H86" s="49" t="str"/>
      <x:c r="I86" s="49" t="str"/>
      <x:c r="J86" s="49" t="str"/>
      <x:c r="K86" s="49" t="str"/>
      <x:c r="L86" s="52" t="str">
        <x:f>IF('Instructions'!$B$3="","",'Instructions'!$B$3)</x:f>
      </x:c>
      <x:c r="M86" s="52" t="str">
        <x:f>IF(D86="","UNUSED",IF('Instructions'!$B$3="","SET_INITIALS",IF(OR(F86="",G86="",H86="",I86="",J86=""),"INCOMPLETE","COMPLETE")))</x:f>
        <x:v>UNUSED</x:v>
      </x:c>
    </x:row>
    <x:row r="87" ht="52" customHeight="1">
      <x:c r="A87" s="53" t="str">
        <x:v>DE-0017</x:v>
      </x:c>
      <x:c r="B87" s="53" t="str">
        <x:v>PRD-0013-P0027-U01</x:v>
      </x:c>
      <x:c r="C87" s="53" t="n">
        <x:v>4</x:v>
      </x:c>
      <x:c r="D87" s="49" t="str"/>
      <x:c r="E87" s="49" t="str"/>
      <x:c r="F87" s="49" t="str"/>
      <x:c r="G87" s="49" t="str"/>
      <x:c r="H87" s="49" t="str"/>
      <x:c r="I87" s="49" t="str"/>
      <x:c r="J87" s="49" t="str"/>
      <x:c r="K87" s="49" t="str"/>
      <x:c r="L87" s="52" t="str">
        <x:f>IF('Instructions'!$B$3="","",'Instructions'!$B$3)</x:f>
      </x:c>
      <x:c r="M87" s="52" t="str">
        <x:f>IF(D87="","UNUSED",IF('Instructions'!$B$3="","SET_INITIALS",IF(OR(F87="",G87="",H87="",I87="",J87=""),"INCOMPLETE","COMPLETE")))</x:f>
        <x:v>UNUSED</x:v>
      </x:c>
    </x:row>
    <x:row r="88" ht="52" customHeight="1">
      <x:c r="A88" s="53" t="str">
        <x:v>DE-0017</x:v>
      </x:c>
      <x:c r="B88" s="53" t="str">
        <x:v>PRD-0013-P0027-U01</x:v>
      </x:c>
      <x:c r="C88" s="53" t="n">
        <x:v>5</x:v>
      </x:c>
      <x:c r="D88" s="49" t="str"/>
      <x:c r="E88" s="49" t="str"/>
      <x:c r="F88" s="49" t="str"/>
      <x:c r="G88" s="49" t="str"/>
      <x:c r="H88" s="49" t="str"/>
      <x:c r="I88" s="49" t="str"/>
      <x:c r="J88" s="49" t="str"/>
      <x:c r="K88" s="49" t="str"/>
      <x:c r="L88" s="52" t="str">
        <x:f>IF('Instructions'!$B$3="","",'Instructions'!$B$3)</x:f>
      </x:c>
      <x:c r="M88" s="52" t="str">
        <x:f>IF(D88="","UNUSED",IF('Instructions'!$B$3="","SET_INITIALS",IF(OR(F88="",G88="",H88="",I88="",J88=""),"INCOMPLETE","COMPLETE")))</x:f>
        <x:v>UNUSED</x:v>
      </x:c>
    </x:row>
    <x:row r="89" ht="52" customHeight="1">
      <x:c r="A89" s="53" t="str">
        <x:v>DE-0018</x:v>
      </x:c>
      <x:c r="B89" s="53" t="str">
        <x:v>PRD-0021-P0025-U01</x:v>
      </x:c>
      <x:c r="C89" s="53" t="n">
        <x:v>1</x:v>
      </x:c>
      <x:c r="D89" s="49" t="str"/>
      <x:c r="E89" s="49" t="str"/>
      <x:c r="F89" s="49" t="str"/>
      <x:c r="G89" s="49" t="str"/>
      <x:c r="H89" s="49" t="str"/>
      <x:c r="I89" s="49" t="str"/>
      <x:c r="J89" s="49" t="str"/>
      <x:c r="K89" s="49" t="str"/>
      <x:c r="L89" s="52" t="str">
        <x:f>IF('Instructions'!$B$3="","",'Instructions'!$B$3)</x:f>
      </x:c>
      <x:c r="M89" s="52" t="str">
        <x:f>IF(D89="","UNUSED",IF('Instructions'!$B$3="","SET_INITIALS",IF(OR(F89="",G89="",H89="",I89="",J89=""),"INCOMPLETE","COMPLETE")))</x:f>
        <x:v>UNUSED</x:v>
      </x:c>
    </x:row>
    <x:row r="90" ht="52" customHeight="1">
      <x:c r="A90" s="53" t="str">
        <x:v>DE-0018</x:v>
      </x:c>
      <x:c r="B90" s="53" t="str">
        <x:v>PRD-0021-P0025-U01</x:v>
      </x:c>
      <x:c r="C90" s="53" t="n">
        <x:v>2</x:v>
      </x:c>
      <x:c r="D90" s="49" t="str"/>
      <x:c r="E90" s="49" t="str"/>
      <x:c r="F90" s="49" t="str"/>
      <x:c r="G90" s="49" t="str"/>
      <x:c r="H90" s="49" t="str"/>
      <x:c r="I90" s="49" t="str"/>
      <x:c r="J90" s="49" t="str"/>
      <x:c r="K90" s="49" t="str"/>
      <x:c r="L90" s="52" t="str">
        <x:f>IF('Instructions'!$B$3="","",'Instructions'!$B$3)</x:f>
      </x:c>
      <x:c r="M90" s="52" t="str">
        <x:f>IF(D90="","UNUSED",IF('Instructions'!$B$3="","SET_INITIALS",IF(OR(F90="",G90="",H90="",I90="",J90=""),"INCOMPLETE","COMPLETE")))</x:f>
        <x:v>UNUSED</x:v>
      </x:c>
    </x:row>
    <x:row r="91" ht="52" customHeight="1">
      <x:c r="A91" s="53" t="str">
        <x:v>DE-0018</x:v>
      </x:c>
      <x:c r="B91" s="53" t="str">
        <x:v>PRD-0021-P0025-U01</x:v>
      </x:c>
      <x:c r="C91" s="53" t="n">
        <x:v>3</x:v>
      </x:c>
      <x:c r="D91" s="49" t="str"/>
      <x:c r="E91" s="49" t="str"/>
      <x:c r="F91" s="49" t="str"/>
      <x:c r="G91" s="49" t="str"/>
      <x:c r="H91" s="49" t="str"/>
      <x:c r="I91" s="49" t="str"/>
      <x:c r="J91" s="49" t="str"/>
      <x:c r="K91" s="49" t="str"/>
      <x:c r="L91" s="52" t="str">
        <x:f>IF('Instructions'!$B$3="","",'Instructions'!$B$3)</x:f>
      </x:c>
      <x:c r="M91" s="52" t="str">
        <x:f>IF(D91="","UNUSED",IF('Instructions'!$B$3="","SET_INITIALS",IF(OR(F91="",G91="",H91="",I91="",J91=""),"INCOMPLETE","COMPLETE")))</x:f>
        <x:v>UNUSED</x:v>
      </x:c>
    </x:row>
    <x:row r="92" ht="52" customHeight="1">
      <x:c r="A92" s="53" t="str">
        <x:v>DE-0018</x:v>
      </x:c>
      <x:c r="B92" s="53" t="str">
        <x:v>PRD-0021-P0025-U01</x:v>
      </x:c>
      <x:c r="C92" s="53" t="n">
        <x:v>4</x:v>
      </x:c>
      <x:c r="D92" s="49" t="str"/>
      <x:c r="E92" s="49" t="str"/>
      <x:c r="F92" s="49" t="str"/>
      <x:c r="G92" s="49" t="str"/>
      <x:c r="H92" s="49" t="str"/>
      <x:c r="I92" s="49" t="str"/>
      <x:c r="J92" s="49" t="str"/>
      <x:c r="K92" s="49" t="str"/>
      <x:c r="L92" s="52" t="str">
        <x:f>IF('Instructions'!$B$3="","",'Instructions'!$B$3)</x:f>
      </x:c>
      <x:c r="M92" s="52" t="str">
        <x:f>IF(D92="","UNUSED",IF('Instructions'!$B$3="","SET_INITIALS",IF(OR(F92="",G92="",H92="",I92="",J92=""),"INCOMPLETE","COMPLETE")))</x:f>
        <x:v>UNUSED</x:v>
      </x:c>
    </x:row>
    <x:row r="93" ht="52" customHeight="1">
      <x:c r="A93" s="53" t="str">
        <x:v>DE-0018</x:v>
      </x:c>
      <x:c r="B93" s="53" t="str">
        <x:v>PRD-0021-P0025-U01</x:v>
      </x:c>
      <x:c r="C93" s="53" t="n">
        <x:v>5</x:v>
      </x:c>
      <x:c r="D93" s="49" t="str"/>
      <x:c r="E93" s="49" t="str"/>
      <x:c r="F93" s="49" t="str"/>
      <x:c r="G93" s="49" t="str"/>
      <x:c r="H93" s="49" t="str"/>
      <x:c r="I93" s="49" t="str"/>
      <x:c r="J93" s="49" t="str"/>
      <x:c r="K93" s="49" t="str"/>
      <x:c r="L93" s="52" t="str">
        <x:f>IF('Instructions'!$B$3="","",'Instructions'!$B$3)</x:f>
      </x:c>
      <x:c r="M93" s="52" t="str">
        <x:f>IF(D93="","UNUSED",IF('Instructions'!$B$3="","SET_INITIALS",IF(OR(F93="",G93="",H93="",I93="",J93=""),"INCOMPLETE","COMPLETE")))</x:f>
        <x:v>UNUSED</x:v>
      </x:c>
    </x:row>
    <x:row r="94" ht="52" customHeight="1">
      <x:c r="A94" s="53" t="str">
        <x:v>DE-0019</x:v>
      </x:c>
      <x:c r="B94" s="53" t="str">
        <x:v>PRD-0054-P0066-U01</x:v>
      </x:c>
      <x:c r="C94" s="53" t="n">
        <x:v>1</x:v>
      </x:c>
      <x:c r="D94" s="49" t="str"/>
      <x:c r="E94" s="49" t="str"/>
      <x:c r="F94" s="49" t="str"/>
      <x:c r="G94" s="49" t="str"/>
      <x:c r="H94" s="49" t="str"/>
      <x:c r="I94" s="49" t="str"/>
      <x:c r="J94" s="49" t="str"/>
      <x:c r="K94" s="49" t="str"/>
      <x:c r="L94" s="52" t="str">
        <x:f>IF('Instructions'!$B$3="","",'Instructions'!$B$3)</x:f>
      </x:c>
      <x:c r="M94" s="52" t="str">
        <x:f>IF(D94="","UNUSED",IF('Instructions'!$B$3="","SET_INITIALS",IF(OR(F94="",G94="",H94="",I94="",J94=""),"INCOMPLETE","COMPLETE")))</x:f>
        <x:v>UNUSED</x:v>
      </x:c>
    </x:row>
    <x:row r="95" ht="52" customHeight="1">
      <x:c r="A95" s="53" t="str">
        <x:v>DE-0019</x:v>
      </x:c>
      <x:c r="B95" s="53" t="str">
        <x:v>PRD-0054-P0066-U01</x:v>
      </x:c>
      <x:c r="C95" s="53" t="n">
        <x:v>2</x:v>
      </x:c>
      <x:c r="D95" s="49" t="str"/>
      <x:c r="E95" s="49" t="str"/>
      <x:c r="F95" s="49" t="str"/>
      <x:c r="G95" s="49" t="str"/>
      <x:c r="H95" s="49" t="str"/>
      <x:c r="I95" s="49" t="str"/>
      <x:c r="J95" s="49" t="str"/>
      <x:c r="K95" s="49" t="str"/>
      <x:c r="L95" s="52" t="str">
        <x:f>IF('Instructions'!$B$3="","",'Instructions'!$B$3)</x:f>
      </x:c>
      <x:c r="M95" s="52" t="str">
        <x:f>IF(D95="","UNUSED",IF('Instructions'!$B$3="","SET_INITIALS",IF(OR(F95="",G95="",H95="",I95="",J95=""),"INCOMPLETE","COMPLETE")))</x:f>
        <x:v>UNUSED</x:v>
      </x:c>
    </x:row>
    <x:row r="96" ht="52" customHeight="1">
      <x:c r="A96" s="53" t="str">
        <x:v>DE-0019</x:v>
      </x:c>
      <x:c r="B96" s="53" t="str">
        <x:v>PRD-0054-P0066-U01</x:v>
      </x:c>
      <x:c r="C96" s="53" t="n">
        <x:v>3</x:v>
      </x:c>
      <x:c r="D96" s="49" t="str"/>
      <x:c r="E96" s="49" t="str"/>
      <x:c r="F96" s="49" t="str"/>
      <x:c r="G96" s="49" t="str"/>
      <x:c r="H96" s="49" t="str"/>
      <x:c r="I96" s="49" t="str"/>
      <x:c r="J96" s="49" t="str"/>
      <x:c r="K96" s="49" t="str"/>
      <x:c r="L96" s="52" t="str">
        <x:f>IF('Instructions'!$B$3="","",'Instructions'!$B$3)</x:f>
      </x:c>
      <x:c r="M96" s="52" t="str">
        <x:f>IF(D96="","UNUSED",IF('Instructions'!$B$3="","SET_INITIALS",IF(OR(F96="",G96="",H96="",I96="",J96=""),"INCOMPLETE","COMPLETE")))</x:f>
        <x:v>UNUSED</x:v>
      </x:c>
    </x:row>
    <x:row r="97" ht="52" customHeight="1">
      <x:c r="A97" s="53" t="str">
        <x:v>DE-0019</x:v>
      </x:c>
      <x:c r="B97" s="53" t="str">
        <x:v>PRD-0054-P0066-U01</x:v>
      </x:c>
      <x:c r="C97" s="53" t="n">
        <x:v>4</x:v>
      </x:c>
      <x:c r="D97" s="49" t="str"/>
      <x:c r="E97" s="49" t="str"/>
      <x:c r="F97" s="49" t="str"/>
      <x:c r="G97" s="49" t="str"/>
      <x:c r="H97" s="49" t="str"/>
      <x:c r="I97" s="49" t="str"/>
      <x:c r="J97" s="49" t="str"/>
      <x:c r="K97" s="49" t="str"/>
      <x:c r="L97" s="52" t="str">
        <x:f>IF('Instructions'!$B$3="","",'Instructions'!$B$3)</x:f>
      </x:c>
      <x:c r="M97" s="52" t="str">
        <x:f>IF(D97="","UNUSED",IF('Instructions'!$B$3="","SET_INITIALS",IF(OR(F97="",G97="",H97="",I97="",J97=""),"INCOMPLETE","COMPLETE")))</x:f>
        <x:v>UNUSED</x:v>
      </x:c>
    </x:row>
    <x:row r="98" ht="52" customHeight="1">
      <x:c r="A98" s="53" t="str">
        <x:v>DE-0019</x:v>
      </x:c>
      <x:c r="B98" s="53" t="str">
        <x:v>PRD-0054-P0066-U01</x:v>
      </x:c>
      <x:c r="C98" s="53" t="n">
        <x:v>5</x:v>
      </x:c>
      <x:c r="D98" s="49" t="str"/>
      <x:c r="E98" s="49" t="str"/>
      <x:c r="F98" s="49" t="str"/>
      <x:c r="G98" s="49" t="str"/>
      <x:c r="H98" s="49" t="str"/>
      <x:c r="I98" s="49" t="str"/>
      <x:c r="J98" s="49" t="str"/>
      <x:c r="K98" s="49" t="str"/>
      <x:c r="L98" s="52" t="str">
        <x:f>IF('Instructions'!$B$3="","",'Instructions'!$B$3)</x:f>
      </x:c>
      <x:c r="M98" s="52" t="str">
        <x:f>IF(D98="","UNUSED",IF('Instructions'!$B$3="","SET_INITIALS",IF(OR(F98="",G98="",H98="",I98="",J98=""),"INCOMPLETE","COMPLETE")))</x:f>
        <x:v>UNUSED</x:v>
      </x:c>
    </x:row>
    <x:row r="99" ht="52" customHeight="1">
      <x:c r="A99" s="53" t="str">
        <x:v>DE-0020</x:v>
      </x:c>
      <x:c r="B99" s="53" t="str">
        <x:v>PRD-0018-P0116-U01</x:v>
      </x:c>
      <x:c r="C99" s="53" t="n">
        <x:v>1</x:v>
      </x:c>
      <x:c r="D99" s="49" t="str"/>
      <x:c r="E99" s="49" t="str"/>
      <x:c r="F99" s="49" t="str"/>
      <x:c r="G99" s="49" t="str"/>
      <x:c r="H99" s="49" t="str"/>
      <x:c r="I99" s="49" t="str"/>
      <x:c r="J99" s="49" t="str"/>
      <x:c r="K99" s="49" t="str"/>
      <x:c r="L99" s="52" t="str">
        <x:f>IF('Instructions'!$B$3="","",'Instructions'!$B$3)</x:f>
      </x:c>
      <x:c r="M99" s="52" t="str">
        <x:f>IF(D99="","UNUSED",IF('Instructions'!$B$3="","SET_INITIALS",IF(OR(F99="",G99="",H99="",I99="",J99=""),"INCOMPLETE","COMPLETE")))</x:f>
        <x:v>UNUSED</x:v>
      </x:c>
    </x:row>
    <x:row r="100" ht="52" customHeight="1">
      <x:c r="A100" s="53" t="str">
        <x:v>DE-0020</x:v>
      </x:c>
      <x:c r="B100" s="53" t="str">
        <x:v>PRD-0018-P0116-U01</x:v>
      </x:c>
      <x:c r="C100" s="53" t="n">
        <x:v>2</x:v>
      </x:c>
      <x:c r="D100" s="49" t="str"/>
      <x:c r="E100" s="49" t="str"/>
      <x:c r="F100" s="49" t="str"/>
      <x:c r="G100" s="49" t="str"/>
      <x:c r="H100" s="49" t="str"/>
      <x:c r="I100" s="49" t="str"/>
      <x:c r="J100" s="49" t="str"/>
      <x:c r="K100" s="49" t="str"/>
      <x:c r="L100" s="52" t="str">
        <x:f>IF('Instructions'!$B$3="","",'Instructions'!$B$3)</x:f>
      </x:c>
      <x:c r="M100" s="52" t="str">
        <x:f>IF(D100="","UNUSED",IF('Instructions'!$B$3="","SET_INITIALS",IF(OR(F100="",G100="",H100="",I100="",J100=""),"INCOMPLETE","COMPLETE")))</x:f>
        <x:v>UNUSED</x:v>
      </x:c>
    </x:row>
    <x:row r="101" ht="52" customHeight="1">
      <x:c r="A101" s="53" t="str">
        <x:v>DE-0020</x:v>
      </x:c>
      <x:c r="B101" s="53" t="str">
        <x:v>PRD-0018-P0116-U01</x:v>
      </x:c>
      <x:c r="C101" s="53" t="n">
        <x:v>3</x:v>
      </x:c>
      <x:c r="D101" s="49" t="str"/>
      <x:c r="E101" s="49" t="str"/>
      <x:c r="F101" s="49" t="str"/>
      <x:c r="G101" s="49" t="str"/>
      <x:c r="H101" s="49" t="str"/>
      <x:c r="I101" s="49" t="str"/>
      <x:c r="J101" s="49" t="str"/>
      <x:c r="K101" s="49" t="str"/>
      <x:c r="L101" s="52" t="str">
        <x:f>IF('Instructions'!$B$3="","",'Instructions'!$B$3)</x:f>
      </x:c>
      <x:c r="M101" s="52" t="str">
        <x:f>IF(D101="","UNUSED",IF('Instructions'!$B$3="","SET_INITIALS",IF(OR(F101="",G101="",H101="",I101="",J101=""),"INCOMPLETE","COMPLETE")))</x:f>
        <x:v>UNUSED</x:v>
      </x:c>
    </x:row>
    <x:row r="102" ht="52" customHeight="1">
      <x:c r="A102" s="53" t="str">
        <x:v>DE-0020</x:v>
      </x:c>
      <x:c r="B102" s="53" t="str">
        <x:v>PRD-0018-P0116-U01</x:v>
      </x:c>
      <x:c r="C102" s="53" t="n">
        <x:v>4</x:v>
      </x:c>
      <x:c r="D102" s="49" t="str"/>
      <x:c r="E102" s="49" t="str"/>
      <x:c r="F102" s="49" t="str"/>
      <x:c r="G102" s="49" t="str"/>
      <x:c r="H102" s="49" t="str"/>
      <x:c r="I102" s="49" t="str"/>
      <x:c r="J102" s="49" t="str"/>
      <x:c r="K102" s="49" t="str"/>
      <x:c r="L102" s="52" t="str">
        <x:f>IF('Instructions'!$B$3="","",'Instructions'!$B$3)</x:f>
      </x:c>
      <x:c r="M102" s="52" t="str">
        <x:f>IF(D102="","UNUSED",IF('Instructions'!$B$3="","SET_INITIALS",IF(OR(F102="",G102="",H102="",I102="",J102=""),"INCOMPLETE","COMPLETE")))</x:f>
        <x:v>UNUSED</x:v>
      </x:c>
    </x:row>
    <x:row r="103" ht="52" customHeight="1">
      <x:c r="A103" s="53" t="str">
        <x:v>DE-0020</x:v>
      </x:c>
      <x:c r="B103" s="53" t="str">
        <x:v>PRD-0018-P0116-U01</x:v>
      </x:c>
      <x:c r="C103" s="53" t="n">
        <x:v>5</x:v>
      </x:c>
      <x:c r="D103" s="49" t="str"/>
      <x:c r="E103" s="49" t="str"/>
      <x:c r="F103" s="49" t="str"/>
      <x:c r="G103" s="49" t="str"/>
      <x:c r="H103" s="49" t="str"/>
      <x:c r="I103" s="49" t="str"/>
      <x:c r="J103" s="49" t="str"/>
      <x:c r="K103" s="49" t="str"/>
      <x:c r="L103" s="52" t="str">
        <x:f>IF('Instructions'!$B$3="","",'Instructions'!$B$3)</x:f>
      </x:c>
      <x:c r="M103" s="52" t="str">
        <x:f>IF(D103="","UNUSED",IF('Instructions'!$B$3="","SET_INITIALS",IF(OR(F103="",G103="",H103="",I103="",J103=""),"INCOMPLETE","COMPLETE")))</x:f>
        <x:v>UNUSED</x:v>
      </x:c>
    </x:row>
    <x:row r="104" ht="52" customHeight="1">
      <x:c r="A104" s="53" t="str">
        <x:v>DE-0021</x:v>
      </x:c>
      <x:c r="B104" s="53" t="str">
        <x:v>PRD-0059-P0016-U01</x:v>
      </x:c>
      <x:c r="C104" s="53" t="n">
        <x:v>1</x:v>
      </x:c>
      <x:c r="D104" s="49" t="str"/>
      <x:c r="E104" s="49" t="str"/>
      <x:c r="F104" s="49" t="str"/>
      <x:c r="G104" s="49" t="str"/>
      <x:c r="H104" s="49" t="str"/>
      <x:c r="I104" s="49" t="str"/>
      <x:c r="J104" s="49" t="str"/>
      <x:c r="K104" s="49" t="str"/>
      <x:c r="L104" s="52" t="str">
        <x:f>IF('Instructions'!$B$3="","",'Instructions'!$B$3)</x:f>
      </x:c>
      <x:c r="M104" s="52" t="str">
        <x:f>IF(D104="","UNUSED",IF('Instructions'!$B$3="","SET_INITIALS",IF(OR(F104="",G104="",H104="",I104="",J104=""),"INCOMPLETE","COMPLETE")))</x:f>
        <x:v>UNUSED</x:v>
      </x:c>
    </x:row>
    <x:row r="105" ht="52" customHeight="1">
      <x:c r="A105" s="53" t="str">
        <x:v>DE-0021</x:v>
      </x:c>
      <x:c r="B105" s="53" t="str">
        <x:v>PRD-0059-P0016-U01</x:v>
      </x:c>
      <x:c r="C105" s="53" t="n">
        <x:v>2</x:v>
      </x:c>
      <x:c r="D105" s="49" t="str"/>
      <x:c r="E105" s="49" t="str"/>
      <x:c r="F105" s="49" t="str"/>
      <x:c r="G105" s="49" t="str"/>
      <x:c r="H105" s="49" t="str"/>
      <x:c r="I105" s="49" t="str"/>
      <x:c r="J105" s="49" t="str"/>
      <x:c r="K105" s="49" t="str"/>
      <x:c r="L105" s="52" t="str">
        <x:f>IF('Instructions'!$B$3="","",'Instructions'!$B$3)</x:f>
      </x:c>
      <x:c r="M105" s="52" t="str">
        <x:f>IF(D105="","UNUSED",IF('Instructions'!$B$3="","SET_INITIALS",IF(OR(F105="",G105="",H105="",I105="",J105=""),"INCOMPLETE","COMPLETE")))</x:f>
        <x:v>UNUSED</x:v>
      </x:c>
    </x:row>
    <x:row r="106" ht="52" customHeight="1">
      <x:c r="A106" s="53" t="str">
        <x:v>DE-0021</x:v>
      </x:c>
      <x:c r="B106" s="53" t="str">
        <x:v>PRD-0059-P0016-U01</x:v>
      </x:c>
      <x:c r="C106" s="53" t="n">
        <x:v>3</x:v>
      </x:c>
      <x:c r="D106" s="49" t="str"/>
      <x:c r="E106" s="49" t="str"/>
      <x:c r="F106" s="49" t="str"/>
      <x:c r="G106" s="49" t="str"/>
      <x:c r="H106" s="49" t="str"/>
      <x:c r="I106" s="49" t="str"/>
      <x:c r="J106" s="49" t="str"/>
      <x:c r="K106" s="49" t="str"/>
      <x:c r="L106" s="52" t="str">
        <x:f>IF('Instructions'!$B$3="","",'Instructions'!$B$3)</x:f>
      </x:c>
      <x:c r="M106" s="52" t="str">
        <x:f>IF(D106="","UNUSED",IF('Instructions'!$B$3="","SET_INITIALS",IF(OR(F106="",G106="",H106="",I106="",J106=""),"INCOMPLETE","COMPLETE")))</x:f>
        <x:v>UNUSED</x:v>
      </x:c>
    </x:row>
    <x:row r="107" ht="52" customHeight="1">
      <x:c r="A107" s="53" t="str">
        <x:v>DE-0021</x:v>
      </x:c>
      <x:c r="B107" s="53" t="str">
        <x:v>PRD-0059-P0016-U01</x:v>
      </x:c>
      <x:c r="C107" s="53" t="n">
        <x:v>4</x:v>
      </x:c>
      <x:c r="D107" s="49" t="str"/>
      <x:c r="E107" s="49" t="str"/>
      <x:c r="F107" s="49" t="str"/>
      <x:c r="G107" s="49" t="str"/>
      <x:c r="H107" s="49" t="str"/>
      <x:c r="I107" s="49" t="str"/>
      <x:c r="J107" s="49" t="str"/>
      <x:c r="K107" s="49" t="str"/>
      <x:c r="L107" s="52" t="str">
        <x:f>IF('Instructions'!$B$3="","",'Instructions'!$B$3)</x:f>
      </x:c>
      <x:c r="M107" s="52" t="str">
        <x:f>IF(D107="","UNUSED",IF('Instructions'!$B$3="","SET_INITIALS",IF(OR(F107="",G107="",H107="",I107="",J107=""),"INCOMPLETE","COMPLETE")))</x:f>
        <x:v>UNUSED</x:v>
      </x:c>
    </x:row>
    <x:row r="108" ht="52" customHeight="1">
      <x:c r="A108" s="53" t="str">
        <x:v>DE-0021</x:v>
      </x:c>
      <x:c r="B108" s="53" t="str">
        <x:v>PRD-0059-P0016-U01</x:v>
      </x:c>
      <x:c r="C108" s="53" t="n">
        <x:v>5</x:v>
      </x:c>
      <x:c r="D108" s="49" t="str"/>
      <x:c r="E108" s="49" t="str"/>
      <x:c r="F108" s="49" t="str"/>
      <x:c r="G108" s="49" t="str"/>
      <x:c r="H108" s="49" t="str"/>
      <x:c r="I108" s="49" t="str"/>
      <x:c r="J108" s="49" t="str"/>
      <x:c r="K108" s="49" t="str"/>
      <x:c r="L108" s="52" t="str">
        <x:f>IF('Instructions'!$B$3="","",'Instructions'!$B$3)</x:f>
      </x:c>
      <x:c r="M108" s="52" t="str">
        <x:f>IF(D108="","UNUSED",IF('Instructions'!$B$3="","SET_INITIALS",IF(OR(F108="",G108="",H108="",I108="",J108=""),"INCOMPLETE","COMPLETE")))</x:f>
        <x:v>UNUSED</x:v>
      </x:c>
    </x:row>
    <x:row r="109" ht="52" customHeight="1">
      <x:c r="A109" s="53" t="str">
        <x:v>DE-0022</x:v>
      </x:c>
      <x:c r="B109" s="53" t="str">
        <x:v>PRD-0053-P0032-U01</x:v>
      </x:c>
      <x:c r="C109" s="53" t="n">
        <x:v>1</x:v>
      </x:c>
      <x:c r="D109" s="49" t="str"/>
      <x:c r="E109" s="49" t="str"/>
      <x:c r="F109" s="49" t="str"/>
      <x:c r="G109" s="49" t="str"/>
      <x:c r="H109" s="49" t="str"/>
      <x:c r="I109" s="49" t="str"/>
      <x:c r="J109" s="49" t="str"/>
      <x:c r="K109" s="49" t="str"/>
      <x:c r="L109" s="52" t="str">
        <x:f>IF('Instructions'!$B$3="","",'Instructions'!$B$3)</x:f>
      </x:c>
      <x:c r="M109" s="52" t="str">
        <x:f>IF(D109="","UNUSED",IF('Instructions'!$B$3="","SET_INITIALS",IF(OR(F109="",G109="",H109="",I109="",J109=""),"INCOMPLETE","COMPLETE")))</x:f>
        <x:v>UNUSED</x:v>
      </x:c>
    </x:row>
    <x:row r="110" ht="52" customHeight="1">
      <x:c r="A110" s="53" t="str">
        <x:v>DE-0022</x:v>
      </x:c>
      <x:c r="B110" s="53" t="str">
        <x:v>PRD-0053-P0032-U01</x:v>
      </x:c>
      <x:c r="C110" s="53" t="n">
        <x:v>2</x:v>
      </x:c>
      <x:c r="D110" s="49" t="str"/>
      <x:c r="E110" s="49" t="str"/>
      <x:c r="F110" s="49" t="str"/>
      <x:c r="G110" s="49" t="str"/>
      <x:c r="H110" s="49" t="str"/>
      <x:c r="I110" s="49" t="str"/>
      <x:c r="J110" s="49" t="str"/>
      <x:c r="K110" s="49" t="str"/>
      <x:c r="L110" s="52" t="str">
        <x:f>IF('Instructions'!$B$3="","",'Instructions'!$B$3)</x:f>
      </x:c>
      <x:c r="M110" s="52" t="str">
        <x:f>IF(D110="","UNUSED",IF('Instructions'!$B$3="","SET_INITIALS",IF(OR(F110="",G110="",H110="",I110="",J110=""),"INCOMPLETE","COMPLETE")))</x:f>
        <x:v>UNUSED</x:v>
      </x:c>
    </x:row>
    <x:row r="111" ht="52" customHeight="1">
      <x:c r="A111" s="53" t="str">
        <x:v>DE-0022</x:v>
      </x:c>
      <x:c r="B111" s="53" t="str">
        <x:v>PRD-0053-P0032-U01</x:v>
      </x:c>
      <x:c r="C111" s="53" t="n">
        <x:v>3</x:v>
      </x:c>
      <x:c r="D111" s="49" t="str"/>
      <x:c r="E111" s="49" t="str"/>
      <x:c r="F111" s="49" t="str"/>
      <x:c r="G111" s="49" t="str"/>
      <x:c r="H111" s="49" t="str"/>
      <x:c r="I111" s="49" t="str"/>
      <x:c r="J111" s="49" t="str"/>
      <x:c r="K111" s="49" t="str"/>
      <x:c r="L111" s="52" t="str">
        <x:f>IF('Instructions'!$B$3="","",'Instructions'!$B$3)</x:f>
      </x:c>
      <x:c r="M111" s="52" t="str">
        <x:f>IF(D111="","UNUSED",IF('Instructions'!$B$3="","SET_INITIALS",IF(OR(F111="",G111="",H111="",I111="",J111=""),"INCOMPLETE","COMPLETE")))</x:f>
        <x:v>UNUSED</x:v>
      </x:c>
    </x:row>
    <x:row r="112" ht="52" customHeight="1">
      <x:c r="A112" s="53" t="str">
        <x:v>DE-0022</x:v>
      </x:c>
      <x:c r="B112" s="53" t="str">
        <x:v>PRD-0053-P0032-U01</x:v>
      </x:c>
      <x:c r="C112" s="53" t="n">
        <x:v>4</x:v>
      </x:c>
      <x:c r="D112" s="49" t="str"/>
      <x:c r="E112" s="49" t="str"/>
      <x:c r="F112" s="49" t="str"/>
      <x:c r="G112" s="49" t="str"/>
      <x:c r="H112" s="49" t="str"/>
      <x:c r="I112" s="49" t="str"/>
      <x:c r="J112" s="49" t="str"/>
      <x:c r="K112" s="49" t="str"/>
      <x:c r="L112" s="52" t="str">
        <x:f>IF('Instructions'!$B$3="","",'Instructions'!$B$3)</x:f>
      </x:c>
      <x:c r="M112" s="52" t="str">
        <x:f>IF(D112="","UNUSED",IF('Instructions'!$B$3="","SET_INITIALS",IF(OR(F112="",G112="",H112="",I112="",J112=""),"INCOMPLETE","COMPLETE")))</x:f>
        <x:v>UNUSED</x:v>
      </x:c>
    </x:row>
    <x:row r="113" ht="52" customHeight="1">
      <x:c r="A113" s="53" t="str">
        <x:v>DE-0022</x:v>
      </x:c>
      <x:c r="B113" s="53" t="str">
        <x:v>PRD-0053-P0032-U01</x:v>
      </x:c>
      <x:c r="C113" s="53" t="n">
        <x:v>5</x:v>
      </x:c>
      <x:c r="D113" s="49" t="str"/>
      <x:c r="E113" s="49" t="str"/>
      <x:c r="F113" s="49" t="str"/>
      <x:c r="G113" s="49" t="str"/>
      <x:c r="H113" s="49" t="str"/>
      <x:c r="I113" s="49" t="str"/>
      <x:c r="J113" s="49" t="str"/>
      <x:c r="K113" s="49" t="str"/>
      <x:c r="L113" s="52" t="str">
        <x:f>IF('Instructions'!$B$3="","",'Instructions'!$B$3)</x:f>
      </x:c>
      <x:c r="M113" s="52" t="str">
        <x:f>IF(D113="","UNUSED",IF('Instructions'!$B$3="","SET_INITIALS",IF(OR(F113="",G113="",H113="",I113="",J113=""),"INCOMPLETE","COMPLETE")))</x:f>
        <x:v>UNUSED</x:v>
      </x:c>
    </x:row>
    <x:row r="114" ht="52" customHeight="1">
      <x:c r="A114" s="53" t="str">
        <x:v>DE-0023</x:v>
      </x:c>
      <x:c r="B114" s="53" t="str">
        <x:v>PRD-0009-P0010-U01</x:v>
      </x:c>
      <x:c r="C114" s="53" t="n">
        <x:v>1</x:v>
      </x:c>
      <x:c r="D114" s="49" t="str"/>
      <x:c r="E114" s="49" t="str"/>
      <x:c r="F114" s="49" t="str"/>
      <x:c r="G114" s="49" t="str"/>
      <x:c r="H114" s="49" t="str"/>
      <x:c r="I114" s="49" t="str"/>
      <x:c r="J114" s="49" t="str"/>
      <x:c r="K114" s="49" t="str"/>
      <x:c r="L114" s="52" t="str">
        <x:f>IF('Instructions'!$B$3="","",'Instructions'!$B$3)</x:f>
      </x:c>
      <x:c r="M114" s="52" t="str">
        <x:f>IF(D114="","UNUSED",IF('Instructions'!$B$3="","SET_INITIALS",IF(OR(F114="",G114="",H114="",I114="",J114=""),"INCOMPLETE","COMPLETE")))</x:f>
        <x:v>UNUSED</x:v>
      </x:c>
    </x:row>
    <x:row r="115" ht="52" customHeight="1">
      <x:c r="A115" s="53" t="str">
        <x:v>DE-0023</x:v>
      </x:c>
      <x:c r="B115" s="53" t="str">
        <x:v>PRD-0009-P0010-U01</x:v>
      </x:c>
      <x:c r="C115" s="53" t="n">
        <x:v>2</x:v>
      </x:c>
      <x:c r="D115" s="49" t="str"/>
      <x:c r="E115" s="49" t="str"/>
      <x:c r="F115" s="49" t="str"/>
      <x:c r="G115" s="49" t="str"/>
      <x:c r="H115" s="49" t="str"/>
      <x:c r="I115" s="49" t="str"/>
      <x:c r="J115" s="49" t="str"/>
      <x:c r="K115" s="49" t="str"/>
      <x:c r="L115" s="52" t="str">
        <x:f>IF('Instructions'!$B$3="","",'Instructions'!$B$3)</x:f>
      </x:c>
      <x:c r="M115" s="52" t="str">
        <x:f>IF(D115="","UNUSED",IF('Instructions'!$B$3="","SET_INITIALS",IF(OR(F115="",G115="",H115="",I115="",J115=""),"INCOMPLETE","COMPLETE")))</x:f>
        <x:v>UNUSED</x:v>
      </x:c>
    </x:row>
    <x:row r="116" ht="52" customHeight="1">
      <x:c r="A116" s="53" t="str">
        <x:v>DE-0023</x:v>
      </x:c>
      <x:c r="B116" s="53" t="str">
        <x:v>PRD-0009-P0010-U01</x:v>
      </x:c>
      <x:c r="C116" s="53" t="n">
        <x:v>3</x:v>
      </x:c>
      <x:c r="D116" s="49" t="str"/>
      <x:c r="E116" s="49" t="str"/>
      <x:c r="F116" s="49" t="str"/>
      <x:c r="G116" s="49" t="str"/>
      <x:c r="H116" s="49" t="str"/>
      <x:c r="I116" s="49" t="str"/>
      <x:c r="J116" s="49" t="str"/>
      <x:c r="K116" s="49" t="str"/>
      <x:c r="L116" s="52" t="str">
        <x:f>IF('Instructions'!$B$3="","",'Instructions'!$B$3)</x:f>
      </x:c>
      <x:c r="M116" s="52" t="str">
        <x:f>IF(D116="","UNUSED",IF('Instructions'!$B$3="","SET_INITIALS",IF(OR(F116="",G116="",H116="",I116="",J116=""),"INCOMPLETE","COMPLETE")))</x:f>
        <x:v>UNUSED</x:v>
      </x:c>
    </x:row>
    <x:row r="117" ht="52" customHeight="1">
      <x:c r="A117" s="53" t="str">
        <x:v>DE-0023</x:v>
      </x:c>
      <x:c r="B117" s="53" t="str">
        <x:v>PRD-0009-P0010-U01</x:v>
      </x:c>
      <x:c r="C117" s="53" t="n">
        <x:v>4</x:v>
      </x:c>
      <x:c r="D117" s="49" t="str"/>
      <x:c r="E117" s="49" t="str"/>
      <x:c r="F117" s="49" t="str"/>
      <x:c r="G117" s="49" t="str"/>
      <x:c r="H117" s="49" t="str"/>
      <x:c r="I117" s="49" t="str"/>
      <x:c r="J117" s="49" t="str"/>
      <x:c r="K117" s="49" t="str"/>
      <x:c r="L117" s="52" t="str">
        <x:f>IF('Instructions'!$B$3="","",'Instructions'!$B$3)</x:f>
      </x:c>
      <x:c r="M117" s="52" t="str">
        <x:f>IF(D117="","UNUSED",IF('Instructions'!$B$3="","SET_INITIALS",IF(OR(F117="",G117="",H117="",I117="",J117=""),"INCOMPLETE","COMPLETE")))</x:f>
        <x:v>UNUSED</x:v>
      </x:c>
    </x:row>
    <x:row r="118" ht="52" customHeight="1">
      <x:c r="A118" s="53" t="str">
        <x:v>DE-0023</x:v>
      </x:c>
      <x:c r="B118" s="53" t="str">
        <x:v>PRD-0009-P0010-U01</x:v>
      </x:c>
      <x:c r="C118" s="53" t="n">
        <x:v>5</x:v>
      </x:c>
      <x:c r="D118" s="49" t="str"/>
      <x:c r="E118" s="49" t="str"/>
      <x:c r="F118" s="49" t="str"/>
      <x:c r="G118" s="49" t="str"/>
      <x:c r="H118" s="49" t="str"/>
      <x:c r="I118" s="49" t="str"/>
      <x:c r="J118" s="49" t="str"/>
      <x:c r="K118" s="49" t="str"/>
      <x:c r="L118" s="52" t="str">
        <x:f>IF('Instructions'!$B$3="","",'Instructions'!$B$3)</x:f>
      </x:c>
      <x:c r="M118" s="52" t="str">
        <x:f>IF(D118="","UNUSED",IF('Instructions'!$B$3="","SET_INITIALS",IF(OR(F118="",G118="",H118="",I118="",J118=""),"INCOMPLETE","COMPLETE")))</x:f>
        <x:v>UNUSED</x:v>
      </x:c>
    </x:row>
    <x:row r="119" ht="52" customHeight="1">
      <x:c r="A119" s="53" t="str">
        <x:v>DE-0024</x:v>
      </x:c>
      <x:c r="B119" s="53" t="str">
        <x:v>PRD-0018-P0179-U01</x:v>
      </x:c>
      <x:c r="C119" s="53" t="n">
        <x:v>1</x:v>
      </x:c>
      <x:c r="D119" s="49" t="str"/>
      <x:c r="E119" s="49" t="str"/>
      <x:c r="F119" s="49" t="str"/>
      <x:c r="G119" s="49" t="str"/>
      <x:c r="H119" s="49" t="str"/>
      <x:c r="I119" s="49" t="str"/>
      <x:c r="J119" s="49" t="str"/>
      <x:c r="K119" s="49" t="str"/>
      <x:c r="L119" s="52" t="str">
        <x:f>IF('Instructions'!$B$3="","",'Instructions'!$B$3)</x:f>
      </x:c>
      <x:c r="M119" s="52" t="str">
        <x:f>IF(D119="","UNUSED",IF('Instructions'!$B$3="","SET_INITIALS",IF(OR(F119="",G119="",H119="",I119="",J119=""),"INCOMPLETE","COMPLETE")))</x:f>
        <x:v>UNUSED</x:v>
      </x:c>
    </x:row>
    <x:row r="120" ht="52" customHeight="1">
      <x:c r="A120" s="53" t="str">
        <x:v>DE-0024</x:v>
      </x:c>
      <x:c r="B120" s="53" t="str">
        <x:v>PRD-0018-P0179-U01</x:v>
      </x:c>
      <x:c r="C120" s="53" t="n">
        <x:v>2</x:v>
      </x:c>
      <x:c r="D120" s="49" t="str"/>
      <x:c r="E120" s="49" t="str"/>
      <x:c r="F120" s="49" t="str"/>
      <x:c r="G120" s="49" t="str"/>
      <x:c r="H120" s="49" t="str"/>
      <x:c r="I120" s="49" t="str"/>
      <x:c r="J120" s="49" t="str"/>
      <x:c r="K120" s="49" t="str"/>
      <x:c r="L120" s="52" t="str">
        <x:f>IF('Instructions'!$B$3="","",'Instructions'!$B$3)</x:f>
      </x:c>
      <x:c r="M120" s="52" t="str">
        <x:f>IF(D120="","UNUSED",IF('Instructions'!$B$3="","SET_INITIALS",IF(OR(F120="",G120="",H120="",I120="",J120=""),"INCOMPLETE","COMPLETE")))</x:f>
        <x:v>UNUSED</x:v>
      </x:c>
    </x:row>
    <x:row r="121" ht="52" customHeight="1">
      <x:c r="A121" s="53" t="str">
        <x:v>DE-0024</x:v>
      </x:c>
      <x:c r="B121" s="53" t="str">
        <x:v>PRD-0018-P0179-U01</x:v>
      </x:c>
      <x:c r="C121" s="53" t="n">
        <x:v>3</x:v>
      </x:c>
      <x:c r="D121" s="49" t="str"/>
      <x:c r="E121" s="49" t="str"/>
      <x:c r="F121" s="49" t="str"/>
      <x:c r="G121" s="49" t="str"/>
      <x:c r="H121" s="49" t="str"/>
      <x:c r="I121" s="49" t="str"/>
      <x:c r="J121" s="49" t="str"/>
      <x:c r="K121" s="49" t="str"/>
      <x:c r="L121" s="52" t="str">
        <x:f>IF('Instructions'!$B$3="","",'Instructions'!$B$3)</x:f>
      </x:c>
      <x:c r="M121" s="52" t="str">
        <x:f>IF(D121="","UNUSED",IF('Instructions'!$B$3="","SET_INITIALS",IF(OR(F121="",G121="",H121="",I121="",J121=""),"INCOMPLETE","COMPLETE")))</x:f>
        <x:v>UNUSED</x:v>
      </x:c>
    </x:row>
    <x:row r="122" ht="52" customHeight="1">
      <x:c r="A122" s="53" t="str">
        <x:v>DE-0024</x:v>
      </x:c>
      <x:c r="B122" s="53" t="str">
        <x:v>PRD-0018-P0179-U01</x:v>
      </x:c>
      <x:c r="C122" s="53" t="n">
        <x:v>4</x:v>
      </x:c>
      <x:c r="D122" s="49" t="str"/>
      <x:c r="E122" s="49" t="str"/>
      <x:c r="F122" s="49" t="str"/>
      <x:c r="G122" s="49" t="str"/>
      <x:c r="H122" s="49" t="str"/>
      <x:c r="I122" s="49" t="str"/>
      <x:c r="J122" s="49" t="str"/>
      <x:c r="K122" s="49" t="str"/>
      <x:c r="L122" s="52" t="str">
        <x:f>IF('Instructions'!$B$3="","",'Instructions'!$B$3)</x:f>
      </x:c>
      <x:c r="M122" s="52" t="str">
        <x:f>IF(D122="","UNUSED",IF('Instructions'!$B$3="","SET_INITIALS",IF(OR(F122="",G122="",H122="",I122="",J122=""),"INCOMPLETE","COMPLETE")))</x:f>
        <x:v>UNUSED</x:v>
      </x:c>
    </x:row>
    <x:row r="123" ht="52" customHeight="1">
      <x:c r="A123" s="53" t="str">
        <x:v>DE-0024</x:v>
      </x:c>
      <x:c r="B123" s="53" t="str">
        <x:v>PRD-0018-P0179-U01</x:v>
      </x:c>
      <x:c r="C123" s="53" t="n">
        <x:v>5</x:v>
      </x:c>
      <x:c r="D123" s="49" t="str"/>
      <x:c r="E123" s="49" t="str"/>
      <x:c r="F123" s="49" t="str"/>
      <x:c r="G123" s="49" t="str"/>
      <x:c r="H123" s="49" t="str"/>
      <x:c r="I123" s="49" t="str"/>
      <x:c r="J123" s="49" t="str"/>
      <x:c r="K123" s="49" t="str"/>
      <x:c r="L123" s="52" t="str">
        <x:f>IF('Instructions'!$B$3="","",'Instructions'!$B$3)</x:f>
      </x:c>
      <x:c r="M123" s="52" t="str">
        <x:f>IF(D123="","UNUSED",IF('Instructions'!$B$3="","SET_INITIALS",IF(OR(F123="",G123="",H123="",I123="",J123=""),"INCOMPLETE","COMPLETE")))</x:f>
        <x:v>UNUSED</x:v>
      </x:c>
    </x:row>
    <x:row r="124" ht="52" customHeight="1">
      <x:c r="A124" s="53" t="str">
        <x:v>DE-0025</x:v>
      </x:c>
      <x:c r="B124" s="53" t="str">
        <x:v>PRD-0076-P0020-U01</x:v>
      </x:c>
      <x:c r="C124" s="53" t="n">
        <x:v>1</x:v>
      </x:c>
      <x:c r="D124" s="49" t="str"/>
      <x:c r="E124" s="49" t="str"/>
      <x:c r="F124" s="49" t="str"/>
      <x:c r="G124" s="49" t="str"/>
      <x:c r="H124" s="49" t="str"/>
      <x:c r="I124" s="49" t="str"/>
      <x:c r="J124" s="49" t="str"/>
      <x:c r="K124" s="49" t="str"/>
      <x:c r="L124" s="52" t="str">
        <x:f>IF('Instructions'!$B$3="","",'Instructions'!$B$3)</x:f>
      </x:c>
      <x:c r="M124" s="52" t="str">
        <x:f>IF(D124="","UNUSED",IF('Instructions'!$B$3="","SET_INITIALS",IF(OR(F124="",G124="",H124="",I124="",J124=""),"INCOMPLETE","COMPLETE")))</x:f>
        <x:v>UNUSED</x:v>
      </x:c>
    </x:row>
    <x:row r="125" ht="52" customHeight="1">
      <x:c r="A125" s="53" t="str">
        <x:v>DE-0025</x:v>
      </x:c>
      <x:c r="B125" s="53" t="str">
        <x:v>PRD-0076-P0020-U01</x:v>
      </x:c>
      <x:c r="C125" s="53" t="n">
        <x:v>2</x:v>
      </x:c>
      <x:c r="D125" s="49" t="str"/>
      <x:c r="E125" s="49" t="str"/>
      <x:c r="F125" s="49" t="str"/>
      <x:c r="G125" s="49" t="str"/>
      <x:c r="H125" s="49" t="str"/>
      <x:c r="I125" s="49" t="str"/>
      <x:c r="J125" s="49" t="str"/>
      <x:c r="K125" s="49" t="str"/>
      <x:c r="L125" s="52" t="str">
        <x:f>IF('Instructions'!$B$3="","",'Instructions'!$B$3)</x:f>
      </x:c>
      <x:c r="M125" s="52" t="str">
        <x:f>IF(D125="","UNUSED",IF('Instructions'!$B$3="","SET_INITIALS",IF(OR(F125="",G125="",H125="",I125="",J125=""),"INCOMPLETE","COMPLETE")))</x:f>
        <x:v>UNUSED</x:v>
      </x:c>
    </x:row>
    <x:row r="126" ht="52" customHeight="1">
      <x:c r="A126" s="53" t="str">
        <x:v>DE-0025</x:v>
      </x:c>
      <x:c r="B126" s="53" t="str">
        <x:v>PRD-0076-P0020-U01</x:v>
      </x:c>
      <x:c r="C126" s="53" t="n">
        <x:v>3</x:v>
      </x:c>
      <x:c r="D126" s="49" t="str"/>
      <x:c r="E126" s="49" t="str"/>
      <x:c r="F126" s="49" t="str"/>
      <x:c r="G126" s="49" t="str"/>
      <x:c r="H126" s="49" t="str"/>
      <x:c r="I126" s="49" t="str"/>
      <x:c r="J126" s="49" t="str"/>
      <x:c r="K126" s="49" t="str"/>
      <x:c r="L126" s="52" t="str">
        <x:f>IF('Instructions'!$B$3="","",'Instructions'!$B$3)</x:f>
      </x:c>
      <x:c r="M126" s="52" t="str">
        <x:f>IF(D126="","UNUSED",IF('Instructions'!$B$3="","SET_INITIALS",IF(OR(F126="",G126="",H126="",I126="",J126=""),"INCOMPLETE","COMPLETE")))</x:f>
        <x:v>UNUSED</x:v>
      </x:c>
    </x:row>
    <x:row r="127" ht="52" customHeight="1">
      <x:c r="A127" s="53" t="str">
        <x:v>DE-0025</x:v>
      </x:c>
      <x:c r="B127" s="53" t="str">
        <x:v>PRD-0076-P0020-U01</x:v>
      </x:c>
      <x:c r="C127" s="53" t="n">
        <x:v>4</x:v>
      </x:c>
      <x:c r="D127" s="49" t="str"/>
      <x:c r="E127" s="49" t="str"/>
      <x:c r="F127" s="49" t="str"/>
      <x:c r="G127" s="49" t="str"/>
      <x:c r="H127" s="49" t="str"/>
      <x:c r="I127" s="49" t="str"/>
      <x:c r="J127" s="49" t="str"/>
      <x:c r="K127" s="49" t="str"/>
      <x:c r="L127" s="52" t="str">
        <x:f>IF('Instructions'!$B$3="","",'Instructions'!$B$3)</x:f>
      </x:c>
      <x:c r="M127" s="52" t="str">
        <x:f>IF(D127="","UNUSED",IF('Instructions'!$B$3="","SET_INITIALS",IF(OR(F127="",G127="",H127="",I127="",J127=""),"INCOMPLETE","COMPLETE")))</x:f>
        <x:v>UNUSED</x:v>
      </x:c>
    </x:row>
    <x:row r="128" ht="52" customHeight="1">
      <x:c r="A128" s="53" t="str">
        <x:v>DE-0025</x:v>
      </x:c>
      <x:c r="B128" s="53" t="str">
        <x:v>PRD-0076-P0020-U01</x:v>
      </x:c>
      <x:c r="C128" s="53" t="n">
        <x:v>5</x:v>
      </x:c>
      <x:c r="D128" s="49" t="str"/>
      <x:c r="E128" s="49" t="str"/>
      <x:c r="F128" s="49" t="str"/>
      <x:c r="G128" s="49" t="str"/>
      <x:c r="H128" s="49" t="str"/>
      <x:c r="I128" s="49" t="str"/>
      <x:c r="J128" s="49" t="str"/>
      <x:c r="K128" s="49" t="str"/>
      <x:c r="L128" s="52" t="str">
        <x:f>IF('Instructions'!$B$3="","",'Instructions'!$B$3)</x:f>
      </x:c>
      <x:c r="M128" s="52" t="str">
        <x:f>IF(D128="","UNUSED",IF('Instructions'!$B$3="","SET_INITIALS",IF(OR(F128="",G128="",H128="",I128="",J128=""),"INCOMPLETE","COMPLETE")))</x:f>
        <x:v>UNUSED</x:v>
      </x:c>
    </x:row>
    <x:row r="129" ht="52" customHeight="1">
      <x:c r="A129" s="53" t="str">
        <x:v>DE-0026</x:v>
      </x:c>
      <x:c r="B129" s="53" t="str">
        <x:v>PRD-0018-P0102-U01</x:v>
      </x:c>
      <x:c r="C129" s="53" t="n">
        <x:v>1</x:v>
      </x:c>
      <x:c r="D129" s="49" t="str"/>
      <x:c r="E129" s="49" t="str"/>
      <x:c r="F129" s="49" t="str"/>
      <x:c r="G129" s="49" t="str"/>
      <x:c r="H129" s="49" t="str"/>
      <x:c r="I129" s="49" t="str"/>
      <x:c r="J129" s="49" t="str"/>
      <x:c r="K129" s="49" t="str"/>
      <x:c r="L129" s="52" t="str">
        <x:f>IF('Instructions'!$B$3="","",'Instructions'!$B$3)</x:f>
      </x:c>
      <x:c r="M129" s="52" t="str">
        <x:f>IF(D129="","UNUSED",IF('Instructions'!$B$3="","SET_INITIALS",IF(OR(F129="",G129="",H129="",I129="",J129=""),"INCOMPLETE","COMPLETE")))</x:f>
        <x:v>UNUSED</x:v>
      </x:c>
    </x:row>
    <x:row r="130" ht="52" customHeight="1">
      <x:c r="A130" s="53" t="str">
        <x:v>DE-0026</x:v>
      </x:c>
      <x:c r="B130" s="53" t="str">
        <x:v>PRD-0018-P0102-U01</x:v>
      </x:c>
      <x:c r="C130" s="53" t="n">
        <x:v>2</x:v>
      </x:c>
      <x:c r="D130" s="49" t="str"/>
      <x:c r="E130" s="49" t="str"/>
      <x:c r="F130" s="49" t="str"/>
      <x:c r="G130" s="49" t="str"/>
      <x:c r="H130" s="49" t="str"/>
      <x:c r="I130" s="49" t="str"/>
      <x:c r="J130" s="49" t="str"/>
      <x:c r="K130" s="49" t="str"/>
      <x:c r="L130" s="52" t="str">
        <x:f>IF('Instructions'!$B$3="","",'Instructions'!$B$3)</x:f>
      </x:c>
      <x:c r="M130" s="52" t="str">
        <x:f>IF(D130="","UNUSED",IF('Instructions'!$B$3="","SET_INITIALS",IF(OR(F130="",G130="",H130="",I130="",J130=""),"INCOMPLETE","COMPLETE")))</x:f>
        <x:v>UNUSED</x:v>
      </x:c>
    </x:row>
    <x:row r="131" ht="52" customHeight="1">
      <x:c r="A131" s="53" t="str">
        <x:v>DE-0026</x:v>
      </x:c>
      <x:c r="B131" s="53" t="str">
        <x:v>PRD-0018-P0102-U01</x:v>
      </x:c>
      <x:c r="C131" s="53" t="n">
        <x:v>3</x:v>
      </x:c>
      <x:c r="D131" s="49" t="str"/>
      <x:c r="E131" s="49" t="str"/>
      <x:c r="F131" s="49" t="str"/>
      <x:c r="G131" s="49" t="str"/>
      <x:c r="H131" s="49" t="str"/>
      <x:c r="I131" s="49" t="str"/>
      <x:c r="J131" s="49" t="str"/>
      <x:c r="K131" s="49" t="str"/>
      <x:c r="L131" s="52" t="str">
        <x:f>IF('Instructions'!$B$3="","",'Instructions'!$B$3)</x:f>
      </x:c>
      <x:c r="M131" s="52" t="str">
        <x:f>IF(D131="","UNUSED",IF('Instructions'!$B$3="","SET_INITIALS",IF(OR(F131="",G131="",H131="",I131="",J131=""),"INCOMPLETE","COMPLETE")))</x:f>
        <x:v>UNUSED</x:v>
      </x:c>
    </x:row>
    <x:row r="132" ht="52" customHeight="1">
      <x:c r="A132" s="53" t="str">
        <x:v>DE-0026</x:v>
      </x:c>
      <x:c r="B132" s="53" t="str">
        <x:v>PRD-0018-P0102-U01</x:v>
      </x:c>
      <x:c r="C132" s="53" t="n">
        <x:v>4</x:v>
      </x:c>
      <x:c r="D132" s="49" t="str"/>
      <x:c r="E132" s="49" t="str"/>
      <x:c r="F132" s="49" t="str"/>
      <x:c r="G132" s="49" t="str"/>
      <x:c r="H132" s="49" t="str"/>
      <x:c r="I132" s="49" t="str"/>
      <x:c r="J132" s="49" t="str"/>
      <x:c r="K132" s="49" t="str"/>
      <x:c r="L132" s="52" t="str">
        <x:f>IF('Instructions'!$B$3="","",'Instructions'!$B$3)</x:f>
      </x:c>
      <x:c r="M132" s="52" t="str">
        <x:f>IF(D132="","UNUSED",IF('Instructions'!$B$3="","SET_INITIALS",IF(OR(F132="",G132="",H132="",I132="",J132=""),"INCOMPLETE","COMPLETE")))</x:f>
        <x:v>UNUSED</x:v>
      </x:c>
    </x:row>
    <x:row r="133" ht="52" customHeight="1">
      <x:c r="A133" s="53" t="str">
        <x:v>DE-0026</x:v>
      </x:c>
      <x:c r="B133" s="53" t="str">
        <x:v>PRD-0018-P0102-U01</x:v>
      </x:c>
      <x:c r="C133" s="53" t="n">
        <x:v>5</x:v>
      </x:c>
      <x:c r="D133" s="49" t="str"/>
      <x:c r="E133" s="49" t="str"/>
      <x:c r="F133" s="49" t="str"/>
      <x:c r="G133" s="49" t="str"/>
      <x:c r="H133" s="49" t="str"/>
      <x:c r="I133" s="49" t="str"/>
      <x:c r="J133" s="49" t="str"/>
      <x:c r="K133" s="49" t="str"/>
      <x:c r="L133" s="52" t="str">
        <x:f>IF('Instructions'!$B$3="","",'Instructions'!$B$3)</x:f>
      </x:c>
      <x:c r="M133" s="52" t="str">
        <x:f>IF(D133="","UNUSED",IF('Instructions'!$B$3="","SET_INITIALS",IF(OR(F133="",G133="",H133="",I133="",J133=""),"INCOMPLETE","COMPLETE")))</x:f>
        <x:v>UNUSED</x:v>
      </x:c>
    </x:row>
    <x:row r="134" ht="52" customHeight="1">
      <x:c r="A134" s="53" t="str">
        <x:v>DE-0027</x:v>
      </x:c>
      <x:c r="B134" s="53" t="str">
        <x:v>PRD-0079-P0066-U01</x:v>
      </x:c>
      <x:c r="C134" s="53" t="n">
        <x:v>1</x:v>
      </x:c>
      <x:c r="D134" s="49" t="str"/>
      <x:c r="E134" s="49" t="str"/>
      <x:c r="F134" s="49" t="str"/>
      <x:c r="G134" s="49" t="str"/>
      <x:c r="H134" s="49" t="str"/>
      <x:c r="I134" s="49" t="str"/>
      <x:c r="J134" s="49" t="str"/>
      <x:c r="K134" s="49" t="str"/>
      <x:c r="L134" s="52" t="str">
        <x:f>IF('Instructions'!$B$3="","",'Instructions'!$B$3)</x:f>
      </x:c>
      <x:c r="M134" s="52" t="str">
        <x:f>IF(D134="","UNUSED",IF('Instructions'!$B$3="","SET_INITIALS",IF(OR(F134="",G134="",H134="",I134="",J134=""),"INCOMPLETE","COMPLETE")))</x:f>
        <x:v>UNUSED</x:v>
      </x:c>
    </x:row>
    <x:row r="135" ht="52" customHeight="1">
      <x:c r="A135" s="53" t="str">
        <x:v>DE-0027</x:v>
      </x:c>
      <x:c r="B135" s="53" t="str">
        <x:v>PRD-0079-P0066-U01</x:v>
      </x:c>
      <x:c r="C135" s="53" t="n">
        <x:v>2</x:v>
      </x:c>
      <x:c r="D135" s="49" t="str"/>
      <x:c r="E135" s="49" t="str"/>
      <x:c r="F135" s="49" t="str"/>
      <x:c r="G135" s="49" t="str"/>
      <x:c r="H135" s="49" t="str"/>
      <x:c r="I135" s="49" t="str"/>
      <x:c r="J135" s="49" t="str"/>
      <x:c r="K135" s="49" t="str"/>
      <x:c r="L135" s="52" t="str">
        <x:f>IF('Instructions'!$B$3="","",'Instructions'!$B$3)</x:f>
      </x:c>
      <x:c r="M135" s="52" t="str">
        <x:f>IF(D135="","UNUSED",IF('Instructions'!$B$3="","SET_INITIALS",IF(OR(F135="",G135="",H135="",I135="",J135=""),"INCOMPLETE","COMPLETE")))</x:f>
        <x:v>UNUSED</x:v>
      </x:c>
    </x:row>
    <x:row r="136" ht="52" customHeight="1">
      <x:c r="A136" s="53" t="str">
        <x:v>DE-0027</x:v>
      </x:c>
      <x:c r="B136" s="53" t="str">
        <x:v>PRD-0079-P0066-U01</x:v>
      </x:c>
      <x:c r="C136" s="53" t="n">
        <x:v>3</x:v>
      </x:c>
      <x:c r="D136" s="49" t="str"/>
      <x:c r="E136" s="49" t="str"/>
      <x:c r="F136" s="49" t="str"/>
      <x:c r="G136" s="49" t="str"/>
      <x:c r="H136" s="49" t="str"/>
      <x:c r="I136" s="49" t="str"/>
      <x:c r="J136" s="49" t="str"/>
      <x:c r="K136" s="49" t="str"/>
      <x:c r="L136" s="52" t="str">
        <x:f>IF('Instructions'!$B$3="","",'Instructions'!$B$3)</x:f>
      </x:c>
      <x:c r="M136" s="52" t="str">
        <x:f>IF(D136="","UNUSED",IF('Instructions'!$B$3="","SET_INITIALS",IF(OR(F136="",G136="",H136="",I136="",J136=""),"INCOMPLETE","COMPLETE")))</x:f>
        <x:v>UNUSED</x:v>
      </x:c>
    </x:row>
    <x:row r="137" ht="52" customHeight="1">
      <x:c r="A137" s="53" t="str">
        <x:v>DE-0027</x:v>
      </x:c>
      <x:c r="B137" s="53" t="str">
        <x:v>PRD-0079-P0066-U01</x:v>
      </x:c>
      <x:c r="C137" s="53" t="n">
        <x:v>4</x:v>
      </x:c>
      <x:c r="D137" s="49" t="str"/>
      <x:c r="E137" s="49" t="str"/>
      <x:c r="F137" s="49" t="str"/>
      <x:c r="G137" s="49" t="str"/>
      <x:c r="H137" s="49" t="str"/>
      <x:c r="I137" s="49" t="str"/>
      <x:c r="J137" s="49" t="str"/>
      <x:c r="K137" s="49" t="str"/>
      <x:c r="L137" s="52" t="str">
        <x:f>IF('Instructions'!$B$3="","",'Instructions'!$B$3)</x:f>
      </x:c>
      <x:c r="M137" s="52" t="str">
        <x:f>IF(D137="","UNUSED",IF('Instructions'!$B$3="","SET_INITIALS",IF(OR(F137="",G137="",H137="",I137="",J137=""),"INCOMPLETE","COMPLETE")))</x:f>
        <x:v>UNUSED</x:v>
      </x:c>
    </x:row>
    <x:row r="138" ht="52" customHeight="1">
      <x:c r="A138" s="53" t="str">
        <x:v>DE-0027</x:v>
      </x:c>
      <x:c r="B138" s="53" t="str">
        <x:v>PRD-0079-P0066-U01</x:v>
      </x:c>
      <x:c r="C138" s="53" t="n">
        <x:v>5</x:v>
      </x:c>
      <x:c r="D138" s="49" t="str"/>
      <x:c r="E138" s="49" t="str"/>
      <x:c r="F138" s="49" t="str"/>
      <x:c r="G138" s="49" t="str"/>
      <x:c r="H138" s="49" t="str"/>
      <x:c r="I138" s="49" t="str"/>
      <x:c r="J138" s="49" t="str"/>
      <x:c r="K138" s="49" t="str"/>
      <x:c r="L138" s="52" t="str">
        <x:f>IF('Instructions'!$B$3="","",'Instructions'!$B$3)</x:f>
      </x:c>
      <x:c r="M138" s="52" t="str">
        <x:f>IF(D138="","UNUSED",IF('Instructions'!$B$3="","SET_INITIALS",IF(OR(F138="",G138="",H138="",I138="",J138=""),"INCOMPLETE","COMPLETE")))</x:f>
        <x:v>UNUSED</x:v>
      </x:c>
    </x:row>
    <x:row r="139" ht="52" customHeight="1">
      <x:c r="A139" s="53" t="str">
        <x:v>DE-0028</x:v>
      </x:c>
      <x:c r="B139" s="53" t="str">
        <x:v>PRD-0013-P0019-U01</x:v>
      </x:c>
      <x:c r="C139" s="53" t="n">
        <x:v>1</x:v>
      </x:c>
      <x:c r="D139" s="49" t="str"/>
      <x:c r="E139" s="49" t="str"/>
      <x:c r="F139" s="49" t="str"/>
      <x:c r="G139" s="49" t="str"/>
      <x:c r="H139" s="49" t="str"/>
      <x:c r="I139" s="49" t="str"/>
      <x:c r="J139" s="49" t="str"/>
      <x:c r="K139" s="49" t="str"/>
      <x:c r="L139" s="52" t="str">
        <x:f>IF('Instructions'!$B$3="","",'Instructions'!$B$3)</x:f>
      </x:c>
      <x:c r="M139" s="52" t="str">
        <x:f>IF(D139="","UNUSED",IF('Instructions'!$B$3="","SET_INITIALS",IF(OR(F139="",G139="",H139="",I139="",J139=""),"INCOMPLETE","COMPLETE")))</x:f>
        <x:v>UNUSED</x:v>
      </x:c>
    </x:row>
    <x:row r="140" ht="52" customHeight="1">
      <x:c r="A140" s="53" t="str">
        <x:v>DE-0028</x:v>
      </x:c>
      <x:c r="B140" s="53" t="str">
        <x:v>PRD-0013-P0019-U01</x:v>
      </x:c>
      <x:c r="C140" s="53" t="n">
        <x:v>2</x:v>
      </x:c>
      <x:c r="D140" s="49" t="str"/>
      <x:c r="E140" s="49" t="str"/>
      <x:c r="F140" s="49" t="str"/>
      <x:c r="G140" s="49" t="str"/>
      <x:c r="H140" s="49" t="str"/>
      <x:c r="I140" s="49" t="str"/>
      <x:c r="J140" s="49" t="str"/>
      <x:c r="K140" s="49" t="str"/>
      <x:c r="L140" s="52" t="str">
        <x:f>IF('Instructions'!$B$3="","",'Instructions'!$B$3)</x:f>
      </x:c>
      <x:c r="M140" s="52" t="str">
        <x:f>IF(D140="","UNUSED",IF('Instructions'!$B$3="","SET_INITIALS",IF(OR(F140="",G140="",H140="",I140="",J140=""),"INCOMPLETE","COMPLETE")))</x:f>
        <x:v>UNUSED</x:v>
      </x:c>
    </x:row>
    <x:row r="141" ht="52" customHeight="1">
      <x:c r="A141" s="53" t="str">
        <x:v>DE-0028</x:v>
      </x:c>
      <x:c r="B141" s="53" t="str">
        <x:v>PRD-0013-P0019-U01</x:v>
      </x:c>
      <x:c r="C141" s="53" t="n">
        <x:v>3</x:v>
      </x:c>
      <x:c r="D141" s="49" t="str"/>
      <x:c r="E141" s="49" t="str"/>
      <x:c r="F141" s="49" t="str"/>
      <x:c r="G141" s="49" t="str"/>
      <x:c r="H141" s="49" t="str"/>
      <x:c r="I141" s="49" t="str"/>
      <x:c r="J141" s="49" t="str"/>
      <x:c r="K141" s="49" t="str"/>
      <x:c r="L141" s="52" t="str">
        <x:f>IF('Instructions'!$B$3="","",'Instructions'!$B$3)</x:f>
      </x:c>
      <x:c r="M141" s="52" t="str">
        <x:f>IF(D141="","UNUSED",IF('Instructions'!$B$3="","SET_INITIALS",IF(OR(F141="",G141="",H141="",I141="",J141=""),"INCOMPLETE","COMPLETE")))</x:f>
        <x:v>UNUSED</x:v>
      </x:c>
    </x:row>
    <x:row r="142" ht="52" customHeight="1">
      <x:c r="A142" s="53" t="str">
        <x:v>DE-0028</x:v>
      </x:c>
      <x:c r="B142" s="53" t="str">
        <x:v>PRD-0013-P0019-U01</x:v>
      </x:c>
      <x:c r="C142" s="53" t="n">
        <x:v>4</x:v>
      </x:c>
      <x:c r="D142" s="49" t="str"/>
      <x:c r="E142" s="49" t="str"/>
      <x:c r="F142" s="49" t="str"/>
      <x:c r="G142" s="49" t="str"/>
      <x:c r="H142" s="49" t="str"/>
      <x:c r="I142" s="49" t="str"/>
      <x:c r="J142" s="49" t="str"/>
      <x:c r="K142" s="49" t="str"/>
      <x:c r="L142" s="52" t="str">
        <x:f>IF('Instructions'!$B$3="","",'Instructions'!$B$3)</x:f>
      </x:c>
      <x:c r="M142" s="52" t="str">
        <x:f>IF(D142="","UNUSED",IF('Instructions'!$B$3="","SET_INITIALS",IF(OR(F142="",G142="",H142="",I142="",J142=""),"INCOMPLETE","COMPLETE")))</x:f>
        <x:v>UNUSED</x:v>
      </x:c>
    </x:row>
    <x:row r="143" ht="52" customHeight="1">
      <x:c r="A143" s="53" t="str">
        <x:v>DE-0028</x:v>
      </x:c>
      <x:c r="B143" s="53" t="str">
        <x:v>PRD-0013-P0019-U01</x:v>
      </x:c>
      <x:c r="C143" s="53" t="n">
        <x:v>5</x:v>
      </x:c>
      <x:c r="D143" s="49" t="str"/>
      <x:c r="E143" s="49" t="str"/>
      <x:c r="F143" s="49" t="str"/>
      <x:c r="G143" s="49" t="str"/>
      <x:c r="H143" s="49" t="str"/>
      <x:c r="I143" s="49" t="str"/>
      <x:c r="J143" s="49" t="str"/>
      <x:c r="K143" s="49" t="str"/>
      <x:c r="L143" s="52" t="str">
        <x:f>IF('Instructions'!$B$3="","",'Instructions'!$B$3)</x:f>
      </x:c>
      <x:c r="M143" s="52" t="str">
        <x:f>IF(D143="","UNUSED",IF('Instructions'!$B$3="","SET_INITIALS",IF(OR(F143="",G143="",H143="",I143="",J143=""),"INCOMPLETE","COMPLETE")))</x:f>
        <x:v>UNUSED</x:v>
      </x:c>
    </x:row>
    <x:row r="144" ht="52" customHeight="1">
      <x:c r="A144" s="53" t="str">
        <x:v>DE-0029</x:v>
      </x:c>
      <x:c r="B144" s="53" t="str">
        <x:v>PRD-0102-P0039-U01</x:v>
      </x:c>
      <x:c r="C144" s="53" t="n">
        <x:v>1</x:v>
      </x:c>
      <x:c r="D144" s="49" t="str"/>
      <x:c r="E144" s="49" t="str"/>
      <x:c r="F144" s="49" t="str"/>
      <x:c r="G144" s="49" t="str"/>
      <x:c r="H144" s="49" t="str"/>
      <x:c r="I144" s="49" t="str"/>
      <x:c r="J144" s="49" t="str"/>
      <x:c r="K144" s="49" t="str"/>
      <x:c r="L144" s="52" t="str">
        <x:f>IF('Instructions'!$B$3="","",'Instructions'!$B$3)</x:f>
      </x:c>
      <x:c r="M144" s="52" t="str">
        <x:f>IF(D144="","UNUSED",IF('Instructions'!$B$3="","SET_INITIALS",IF(OR(F144="",G144="",H144="",I144="",J144=""),"INCOMPLETE","COMPLETE")))</x:f>
        <x:v>UNUSED</x:v>
      </x:c>
    </x:row>
    <x:row r="145" ht="52" customHeight="1">
      <x:c r="A145" s="53" t="str">
        <x:v>DE-0029</x:v>
      </x:c>
      <x:c r="B145" s="53" t="str">
        <x:v>PRD-0102-P0039-U01</x:v>
      </x:c>
      <x:c r="C145" s="53" t="n">
        <x:v>2</x:v>
      </x:c>
      <x:c r="D145" s="49" t="str"/>
      <x:c r="E145" s="49" t="str"/>
      <x:c r="F145" s="49" t="str"/>
      <x:c r="G145" s="49" t="str"/>
      <x:c r="H145" s="49" t="str"/>
      <x:c r="I145" s="49" t="str"/>
      <x:c r="J145" s="49" t="str"/>
      <x:c r="K145" s="49" t="str"/>
      <x:c r="L145" s="52" t="str">
        <x:f>IF('Instructions'!$B$3="","",'Instructions'!$B$3)</x:f>
      </x:c>
      <x:c r="M145" s="52" t="str">
        <x:f>IF(D145="","UNUSED",IF('Instructions'!$B$3="","SET_INITIALS",IF(OR(F145="",G145="",H145="",I145="",J145=""),"INCOMPLETE","COMPLETE")))</x:f>
        <x:v>UNUSED</x:v>
      </x:c>
    </x:row>
    <x:row r="146" ht="52" customHeight="1">
      <x:c r="A146" s="53" t="str">
        <x:v>DE-0029</x:v>
      </x:c>
      <x:c r="B146" s="53" t="str">
        <x:v>PRD-0102-P0039-U01</x:v>
      </x:c>
      <x:c r="C146" s="53" t="n">
        <x:v>3</x:v>
      </x:c>
      <x:c r="D146" s="49" t="str"/>
      <x:c r="E146" s="49" t="str"/>
      <x:c r="F146" s="49" t="str"/>
      <x:c r="G146" s="49" t="str"/>
      <x:c r="H146" s="49" t="str"/>
      <x:c r="I146" s="49" t="str"/>
      <x:c r="J146" s="49" t="str"/>
      <x:c r="K146" s="49" t="str"/>
      <x:c r="L146" s="52" t="str">
        <x:f>IF('Instructions'!$B$3="","",'Instructions'!$B$3)</x:f>
      </x:c>
      <x:c r="M146" s="52" t="str">
        <x:f>IF(D146="","UNUSED",IF('Instructions'!$B$3="","SET_INITIALS",IF(OR(F146="",G146="",H146="",I146="",J146=""),"INCOMPLETE","COMPLETE")))</x:f>
        <x:v>UNUSED</x:v>
      </x:c>
    </x:row>
    <x:row r="147" ht="52" customHeight="1">
      <x:c r="A147" s="53" t="str">
        <x:v>DE-0029</x:v>
      </x:c>
      <x:c r="B147" s="53" t="str">
        <x:v>PRD-0102-P0039-U01</x:v>
      </x:c>
      <x:c r="C147" s="53" t="n">
        <x:v>4</x:v>
      </x:c>
      <x:c r="D147" s="49" t="str"/>
      <x:c r="E147" s="49" t="str"/>
      <x:c r="F147" s="49" t="str"/>
      <x:c r="G147" s="49" t="str"/>
      <x:c r="H147" s="49" t="str"/>
      <x:c r="I147" s="49" t="str"/>
      <x:c r="J147" s="49" t="str"/>
      <x:c r="K147" s="49" t="str"/>
      <x:c r="L147" s="52" t="str">
        <x:f>IF('Instructions'!$B$3="","",'Instructions'!$B$3)</x:f>
      </x:c>
      <x:c r="M147" s="52" t="str">
        <x:f>IF(D147="","UNUSED",IF('Instructions'!$B$3="","SET_INITIALS",IF(OR(F147="",G147="",H147="",I147="",J147=""),"INCOMPLETE","COMPLETE")))</x:f>
        <x:v>UNUSED</x:v>
      </x:c>
    </x:row>
    <x:row r="148" ht="52" customHeight="1">
      <x:c r="A148" s="53" t="str">
        <x:v>DE-0029</x:v>
      </x:c>
      <x:c r="B148" s="53" t="str">
        <x:v>PRD-0102-P0039-U01</x:v>
      </x:c>
      <x:c r="C148" s="53" t="n">
        <x:v>5</x:v>
      </x:c>
      <x:c r="D148" s="49" t="str"/>
      <x:c r="E148" s="49" t="str"/>
      <x:c r="F148" s="49" t="str"/>
      <x:c r="G148" s="49" t="str"/>
      <x:c r="H148" s="49" t="str"/>
      <x:c r="I148" s="49" t="str"/>
      <x:c r="J148" s="49" t="str"/>
      <x:c r="K148" s="49" t="str"/>
      <x:c r="L148" s="52" t="str">
        <x:f>IF('Instructions'!$B$3="","",'Instructions'!$B$3)</x:f>
      </x:c>
      <x:c r="M148" s="52" t="str">
        <x:f>IF(D148="","UNUSED",IF('Instructions'!$B$3="","SET_INITIALS",IF(OR(F148="",G148="",H148="",I148="",J148=""),"INCOMPLETE","COMPLETE")))</x:f>
        <x:v>UNUSED</x:v>
      </x:c>
    </x:row>
    <x:row r="149" ht="52" customHeight="1">
      <x:c r="A149" s="53" t="str">
        <x:v>DE-0030</x:v>
      </x:c>
      <x:c r="B149" s="53" t="str">
        <x:v>PRD-0045-P0026-U01</x:v>
      </x:c>
      <x:c r="C149" s="53" t="n">
        <x:v>1</x:v>
      </x:c>
      <x:c r="D149" s="49" t="str"/>
      <x:c r="E149" s="49" t="str"/>
      <x:c r="F149" s="49" t="str"/>
      <x:c r="G149" s="49" t="str"/>
      <x:c r="H149" s="49" t="str"/>
      <x:c r="I149" s="49" t="str"/>
      <x:c r="J149" s="49" t="str"/>
      <x:c r="K149" s="49" t="str"/>
      <x:c r="L149" s="52" t="str">
        <x:f>IF('Instructions'!$B$3="","",'Instructions'!$B$3)</x:f>
      </x:c>
      <x:c r="M149" s="52" t="str">
        <x:f>IF(D149="","UNUSED",IF('Instructions'!$B$3="","SET_INITIALS",IF(OR(F149="",G149="",H149="",I149="",J149=""),"INCOMPLETE","COMPLETE")))</x:f>
        <x:v>UNUSED</x:v>
      </x:c>
    </x:row>
    <x:row r="150" ht="52" customHeight="1">
      <x:c r="A150" s="53" t="str">
        <x:v>DE-0030</x:v>
      </x:c>
      <x:c r="B150" s="53" t="str">
        <x:v>PRD-0045-P0026-U01</x:v>
      </x:c>
      <x:c r="C150" s="53" t="n">
        <x:v>2</x:v>
      </x:c>
      <x:c r="D150" s="49" t="str"/>
      <x:c r="E150" s="49" t="str"/>
      <x:c r="F150" s="49" t="str"/>
      <x:c r="G150" s="49" t="str"/>
      <x:c r="H150" s="49" t="str"/>
      <x:c r="I150" s="49" t="str"/>
      <x:c r="J150" s="49" t="str"/>
      <x:c r="K150" s="49" t="str"/>
      <x:c r="L150" s="52" t="str">
        <x:f>IF('Instructions'!$B$3="","",'Instructions'!$B$3)</x:f>
      </x:c>
      <x:c r="M150" s="52" t="str">
        <x:f>IF(D150="","UNUSED",IF('Instructions'!$B$3="","SET_INITIALS",IF(OR(F150="",G150="",H150="",I150="",J150=""),"INCOMPLETE","COMPLETE")))</x:f>
        <x:v>UNUSED</x:v>
      </x:c>
    </x:row>
    <x:row r="151" ht="52" customHeight="1">
      <x:c r="A151" s="53" t="str">
        <x:v>DE-0030</x:v>
      </x:c>
      <x:c r="B151" s="53" t="str">
        <x:v>PRD-0045-P0026-U01</x:v>
      </x:c>
      <x:c r="C151" s="53" t="n">
        <x:v>3</x:v>
      </x:c>
      <x:c r="D151" s="49" t="str"/>
      <x:c r="E151" s="49" t="str"/>
      <x:c r="F151" s="49" t="str"/>
      <x:c r="G151" s="49" t="str"/>
      <x:c r="H151" s="49" t="str"/>
      <x:c r="I151" s="49" t="str"/>
      <x:c r="J151" s="49" t="str"/>
      <x:c r="K151" s="49" t="str"/>
      <x:c r="L151" s="52" t="str">
        <x:f>IF('Instructions'!$B$3="","",'Instructions'!$B$3)</x:f>
      </x:c>
      <x:c r="M151" s="52" t="str">
        <x:f>IF(D151="","UNUSED",IF('Instructions'!$B$3="","SET_INITIALS",IF(OR(F151="",G151="",H151="",I151="",J151=""),"INCOMPLETE","COMPLETE")))</x:f>
        <x:v>UNUSED</x:v>
      </x:c>
    </x:row>
    <x:row r="152" ht="52" customHeight="1">
      <x:c r="A152" s="53" t="str">
        <x:v>DE-0030</x:v>
      </x:c>
      <x:c r="B152" s="53" t="str">
        <x:v>PRD-0045-P0026-U01</x:v>
      </x:c>
      <x:c r="C152" s="53" t="n">
        <x:v>4</x:v>
      </x:c>
      <x:c r="D152" s="49" t="str"/>
      <x:c r="E152" s="49" t="str"/>
      <x:c r="F152" s="49" t="str"/>
      <x:c r="G152" s="49" t="str"/>
      <x:c r="H152" s="49" t="str"/>
      <x:c r="I152" s="49" t="str"/>
      <x:c r="J152" s="49" t="str"/>
      <x:c r="K152" s="49" t="str"/>
      <x:c r="L152" s="52" t="str">
        <x:f>IF('Instructions'!$B$3="","",'Instructions'!$B$3)</x:f>
      </x:c>
      <x:c r="M152" s="52" t="str">
        <x:f>IF(D152="","UNUSED",IF('Instructions'!$B$3="","SET_INITIALS",IF(OR(F152="",G152="",H152="",I152="",J152=""),"INCOMPLETE","COMPLETE")))</x:f>
        <x:v>UNUSED</x:v>
      </x:c>
    </x:row>
    <x:row r="153" ht="52" customHeight="1">
      <x:c r="A153" s="53" t="str">
        <x:v>DE-0030</x:v>
      </x:c>
      <x:c r="B153" s="53" t="str">
        <x:v>PRD-0045-P0026-U01</x:v>
      </x:c>
      <x:c r="C153" s="53" t="n">
        <x:v>5</x:v>
      </x:c>
      <x:c r="D153" s="49" t="str"/>
      <x:c r="E153" s="49" t="str"/>
      <x:c r="F153" s="49" t="str"/>
      <x:c r="G153" s="49" t="str"/>
      <x:c r="H153" s="49" t="str"/>
      <x:c r="I153" s="49" t="str"/>
      <x:c r="J153" s="49" t="str"/>
      <x:c r="K153" s="49" t="str"/>
      <x:c r="L153" s="52" t="str">
        <x:f>IF('Instructions'!$B$3="","",'Instructions'!$B$3)</x:f>
      </x:c>
      <x:c r="M153" s="52" t="str">
        <x:f>IF(D153="","UNUSED",IF('Instructions'!$B$3="","SET_INITIALS",IF(OR(F153="",G153="",H153="",I153="",J153=""),"INCOMPLETE","COMPLETE")))</x:f>
        <x:v>UNUSED</x:v>
      </x:c>
    </x:row>
    <x:row r="154" ht="52" customHeight="1">
      <x:c r="A154" s="53" t="str">
        <x:v>DE-0031</x:v>
      </x:c>
      <x:c r="B154" s="53" t="str">
        <x:v>PRD-0010-P0057-U01</x:v>
      </x:c>
      <x:c r="C154" s="53" t="n">
        <x:v>1</x:v>
      </x:c>
      <x:c r="D154" s="49" t="str"/>
      <x:c r="E154" s="49" t="str"/>
      <x:c r="F154" s="49" t="str"/>
      <x:c r="G154" s="49" t="str"/>
      <x:c r="H154" s="49" t="str"/>
      <x:c r="I154" s="49" t="str"/>
      <x:c r="J154" s="49" t="str"/>
      <x:c r="K154" s="49" t="str"/>
      <x:c r="L154" s="52" t="str">
        <x:f>IF('Instructions'!$B$3="","",'Instructions'!$B$3)</x:f>
      </x:c>
      <x:c r="M154" s="52" t="str">
        <x:f>IF(D154="","UNUSED",IF('Instructions'!$B$3="","SET_INITIALS",IF(OR(F154="",G154="",H154="",I154="",J154=""),"INCOMPLETE","COMPLETE")))</x:f>
        <x:v>UNUSED</x:v>
      </x:c>
    </x:row>
    <x:row r="155" ht="52" customHeight="1">
      <x:c r="A155" s="53" t="str">
        <x:v>DE-0031</x:v>
      </x:c>
      <x:c r="B155" s="53" t="str">
        <x:v>PRD-0010-P0057-U01</x:v>
      </x:c>
      <x:c r="C155" s="53" t="n">
        <x:v>2</x:v>
      </x:c>
      <x:c r="D155" s="49" t="str"/>
      <x:c r="E155" s="49" t="str"/>
      <x:c r="F155" s="49" t="str"/>
      <x:c r="G155" s="49" t="str"/>
      <x:c r="H155" s="49" t="str"/>
      <x:c r="I155" s="49" t="str"/>
      <x:c r="J155" s="49" t="str"/>
      <x:c r="K155" s="49" t="str"/>
      <x:c r="L155" s="52" t="str">
        <x:f>IF('Instructions'!$B$3="","",'Instructions'!$B$3)</x:f>
      </x:c>
      <x:c r="M155" s="52" t="str">
        <x:f>IF(D155="","UNUSED",IF('Instructions'!$B$3="","SET_INITIALS",IF(OR(F155="",G155="",H155="",I155="",J155=""),"INCOMPLETE","COMPLETE")))</x:f>
        <x:v>UNUSED</x:v>
      </x:c>
    </x:row>
    <x:row r="156" ht="52" customHeight="1">
      <x:c r="A156" s="53" t="str">
        <x:v>DE-0031</x:v>
      </x:c>
      <x:c r="B156" s="53" t="str">
        <x:v>PRD-0010-P0057-U01</x:v>
      </x:c>
      <x:c r="C156" s="53" t="n">
        <x:v>3</x:v>
      </x:c>
      <x:c r="D156" s="49" t="str"/>
      <x:c r="E156" s="49" t="str"/>
      <x:c r="F156" s="49" t="str"/>
      <x:c r="G156" s="49" t="str"/>
      <x:c r="H156" s="49" t="str"/>
      <x:c r="I156" s="49" t="str"/>
      <x:c r="J156" s="49" t="str"/>
      <x:c r="K156" s="49" t="str"/>
      <x:c r="L156" s="52" t="str">
        <x:f>IF('Instructions'!$B$3="","",'Instructions'!$B$3)</x:f>
      </x:c>
      <x:c r="M156" s="52" t="str">
        <x:f>IF(D156="","UNUSED",IF('Instructions'!$B$3="","SET_INITIALS",IF(OR(F156="",G156="",H156="",I156="",J156=""),"INCOMPLETE","COMPLETE")))</x:f>
        <x:v>UNUSED</x:v>
      </x:c>
    </x:row>
    <x:row r="157" ht="52" customHeight="1">
      <x:c r="A157" s="53" t="str">
        <x:v>DE-0031</x:v>
      </x:c>
      <x:c r="B157" s="53" t="str">
        <x:v>PRD-0010-P0057-U01</x:v>
      </x:c>
      <x:c r="C157" s="53" t="n">
        <x:v>4</x:v>
      </x:c>
      <x:c r="D157" s="49" t="str"/>
      <x:c r="E157" s="49" t="str"/>
      <x:c r="F157" s="49" t="str"/>
      <x:c r="G157" s="49" t="str"/>
      <x:c r="H157" s="49" t="str"/>
      <x:c r="I157" s="49" t="str"/>
      <x:c r="J157" s="49" t="str"/>
      <x:c r="K157" s="49" t="str"/>
      <x:c r="L157" s="52" t="str">
        <x:f>IF('Instructions'!$B$3="","",'Instructions'!$B$3)</x:f>
      </x:c>
      <x:c r="M157" s="52" t="str">
        <x:f>IF(D157="","UNUSED",IF('Instructions'!$B$3="","SET_INITIALS",IF(OR(F157="",G157="",H157="",I157="",J157=""),"INCOMPLETE","COMPLETE")))</x:f>
        <x:v>UNUSED</x:v>
      </x:c>
    </x:row>
    <x:row r="158" ht="52" customHeight="1">
      <x:c r="A158" s="53" t="str">
        <x:v>DE-0031</x:v>
      </x:c>
      <x:c r="B158" s="53" t="str">
        <x:v>PRD-0010-P0057-U01</x:v>
      </x:c>
      <x:c r="C158" s="53" t="n">
        <x:v>5</x:v>
      </x:c>
      <x:c r="D158" s="49" t="str"/>
      <x:c r="E158" s="49" t="str"/>
      <x:c r="F158" s="49" t="str"/>
      <x:c r="G158" s="49" t="str"/>
      <x:c r="H158" s="49" t="str"/>
      <x:c r="I158" s="49" t="str"/>
      <x:c r="J158" s="49" t="str"/>
      <x:c r="K158" s="49" t="str"/>
      <x:c r="L158" s="52" t="str">
        <x:f>IF('Instructions'!$B$3="","",'Instructions'!$B$3)</x:f>
      </x:c>
      <x:c r="M158" s="52" t="str">
        <x:f>IF(D158="","UNUSED",IF('Instructions'!$B$3="","SET_INITIALS",IF(OR(F158="",G158="",H158="",I158="",J158=""),"INCOMPLETE","COMPLETE")))</x:f>
        <x:v>UNUSED</x:v>
      </x:c>
    </x:row>
    <x:row r="159" ht="52" customHeight="1">
      <x:c r="A159" s="53" t="str">
        <x:v>DE-0032</x:v>
      </x:c>
      <x:c r="B159" s="53" t="str">
        <x:v>PRD-0090-P0007-U01</x:v>
      </x:c>
      <x:c r="C159" s="53" t="n">
        <x:v>1</x:v>
      </x:c>
      <x:c r="D159" s="49" t="str"/>
      <x:c r="E159" s="49" t="str"/>
      <x:c r="F159" s="49" t="str"/>
      <x:c r="G159" s="49" t="str"/>
      <x:c r="H159" s="49" t="str"/>
      <x:c r="I159" s="49" t="str"/>
      <x:c r="J159" s="49" t="str"/>
      <x:c r="K159" s="49" t="str"/>
      <x:c r="L159" s="52" t="str">
        <x:f>IF('Instructions'!$B$3="","",'Instructions'!$B$3)</x:f>
      </x:c>
      <x:c r="M159" s="52" t="str">
        <x:f>IF(D159="","UNUSED",IF('Instructions'!$B$3="","SET_INITIALS",IF(OR(F159="",G159="",H159="",I159="",J159=""),"INCOMPLETE","COMPLETE")))</x:f>
        <x:v>UNUSED</x:v>
      </x:c>
    </x:row>
    <x:row r="160" ht="52" customHeight="1">
      <x:c r="A160" s="53" t="str">
        <x:v>DE-0032</x:v>
      </x:c>
      <x:c r="B160" s="53" t="str">
        <x:v>PRD-0090-P0007-U01</x:v>
      </x:c>
      <x:c r="C160" s="53" t="n">
        <x:v>2</x:v>
      </x:c>
      <x:c r="D160" s="49" t="str"/>
      <x:c r="E160" s="49" t="str"/>
      <x:c r="F160" s="49" t="str"/>
      <x:c r="G160" s="49" t="str"/>
      <x:c r="H160" s="49" t="str"/>
      <x:c r="I160" s="49" t="str"/>
      <x:c r="J160" s="49" t="str"/>
      <x:c r="K160" s="49" t="str"/>
      <x:c r="L160" s="52" t="str">
        <x:f>IF('Instructions'!$B$3="","",'Instructions'!$B$3)</x:f>
      </x:c>
      <x:c r="M160" s="52" t="str">
        <x:f>IF(D160="","UNUSED",IF('Instructions'!$B$3="","SET_INITIALS",IF(OR(F160="",G160="",H160="",I160="",J160=""),"INCOMPLETE","COMPLETE")))</x:f>
        <x:v>UNUSED</x:v>
      </x:c>
    </x:row>
    <x:row r="161" ht="52" customHeight="1">
      <x:c r="A161" s="53" t="str">
        <x:v>DE-0032</x:v>
      </x:c>
      <x:c r="B161" s="53" t="str">
        <x:v>PRD-0090-P0007-U01</x:v>
      </x:c>
      <x:c r="C161" s="53" t="n">
        <x:v>3</x:v>
      </x:c>
      <x:c r="D161" s="49" t="str"/>
      <x:c r="E161" s="49" t="str"/>
      <x:c r="F161" s="49" t="str"/>
      <x:c r="G161" s="49" t="str"/>
      <x:c r="H161" s="49" t="str"/>
      <x:c r="I161" s="49" t="str"/>
      <x:c r="J161" s="49" t="str"/>
      <x:c r="K161" s="49" t="str"/>
      <x:c r="L161" s="52" t="str">
        <x:f>IF('Instructions'!$B$3="","",'Instructions'!$B$3)</x:f>
      </x:c>
      <x:c r="M161" s="52" t="str">
        <x:f>IF(D161="","UNUSED",IF('Instructions'!$B$3="","SET_INITIALS",IF(OR(F161="",G161="",H161="",I161="",J161=""),"INCOMPLETE","COMPLETE")))</x:f>
        <x:v>UNUSED</x:v>
      </x:c>
    </x:row>
    <x:row r="162" ht="52" customHeight="1">
      <x:c r="A162" s="53" t="str">
        <x:v>DE-0032</x:v>
      </x:c>
      <x:c r="B162" s="53" t="str">
        <x:v>PRD-0090-P0007-U01</x:v>
      </x:c>
      <x:c r="C162" s="53" t="n">
        <x:v>4</x:v>
      </x:c>
      <x:c r="D162" s="49" t="str"/>
      <x:c r="E162" s="49" t="str"/>
      <x:c r="F162" s="49" t="str"/>
      <x:c r="G162" s="49" t="str"/>
      <x:c r="H162" s="49" t="str"/>
      <x:c r="I162" s="49" t="str"/>
      <x:c r="J162" s="49" t="str"/>
      <x:c r="K162" s="49" t="str"/>
      <x:c r="L162" s="52" t="str">
        <x:f>IF('Instructions'!$B$3="","",'Instructions'!$B$3)</x:f>
      </x:c>
      <x:c r="M162" s="52" t="str">
        <x:f>IF(D162="","UNUSED",IF('Instructions'!$B$3="","SET_INITIALS",IF(OR(F162="",G162="",H162="",I162="",J162=""),"INCOMPLETE","COMPLETE")))</x:f>
        <x:v>UNUSED</x:v>
      </x:c>
    </x:row>
    <x:row r="163" ht="52" customHeight="1">
      <x:c r="A163" s="53" t="str">
        <x:v>DE-0032</x:v>
      </x:c>
      <x:c r="B163" s="53" t="str">
        <x:v>PRD-0090-P0007-U01</x:v>
      </x:c>
      <x:c r="C163" s="53" t="n">
        <x:v>5</x:v>
      </x:c>
      <x:c r="D163" s="49" t="str"/>
      <x:c r="E163" s="49" t="str"/>
      <x:c r="F163" s="49" t="str"/>
      <x:c r="G163" s="49" t="str"/>
      <x:c r="H163" s="49" t="str"/>
      <x:c r="I163" s="49" t="str"/>
      <x:c r="J163" s="49" t="str"/>
      <x:c r="K163" s="49" t="str"/>
      <x:c r="L163" s="52" t="str">
        <x:f>IF('Instructions'!$B$3="","",'Instructions'!$B$3)</x:f>
      </x:c>
      <x:c r="M163" s="52" t="str">
        <x:f>IF(D163="","UNUSED",IF('Instructions'!$B$3="","SET_INITIALS",IF(OR(F163="",G163="",H163="",I163="",J163=""),"INCOMPLETE","COMPLETE")))</x:f>
        <x:v>UNUSED</x:v>
      </x:c>
    </x:row>
    <x:row r="164" ht="52" customHeight="1">
      <x:c r="A164" s="53" t="str">
        <x:v>DE-0033</x:v>
      </x:c>
      <x:c r="B164" s="53" t="str">
        <x:v>PRD-0076-P0039-U01</x:v>
      </x:c>
      <x:c r="C164" s="53" t="n">
        <x:v>1</x:v>
      </x:c>
      <x:c r="D164" s="49" t="str"/>
      <x:c r="E164" s="49" t="str"/>
      <x:c r="F164" s="49" t="str"/>
      <x:c r="G164" s="49" t="str"/>
      <x:c r="H164" s="49" t="str"/>
      <x:c r="I164" s="49" t="str"/>
      <x:c r="J164" s="49" t="str"/>
      <x:c r="K164" s="49" t="str"/>
      <x:c r="L164" s="52" t="str">
        <x:f>IF('Instructions'!$B$3="","",'Instructions'!$B$3)</x:f>
      </x:c>
      <x:c r="M164" s="52" t="str">
        <x:f>IF(D164="","UNUSED",IF('Instructions'!$B$3="","SET_INITIALS",IF(OR(F164="",G164="",H164="",I164="",J164=""),"INCOMPLETE","COMPLETE")))</x:f>
        <x:v>UNUSED</x:v>
      </x:c>
    </x:row>
    <x:row r="165" ht="52" customHeight="1">
      <x:c r="A165" s="53" t="str">
        <x:v>DE-0033</x:v>
      </x:c>
      <x:c r="B165" s="53" t="str">
        <x:v>PRD-0076-P0039-U01</x:v>
      </x:c>
      <x:c r="C165" s="53" t="n">
        <x:v>2</x:v>
      </x:c>
      <x:c r="D165" s="49" t="str"/>
      <x:c r="E165" s="49" t="str"/>
      <x:c r="F165" s="49" t="str"/>
      <x:c r="G165" s="49" t="str"/>
      <x:c r="H165" s="49" t="str"/>
      <x:c r="I165" s="49" t="str"/>
      <x:c r="J165" s="49" t="str"/>
      <x:c r="K165" s="49" t="str"/>
      <x:c r="L165" s="52" t="str">
        <x:f>IF('Instructions'!$B$3="","",'Instructions'!$B$3)</x:f>
      </x:c>
      <x:c r="M165" s="52" t="str">
        <x:f>IF(D165="","UNUSED",IF('Instructions'!$B$3="","SET_INITIALS",IF(OR(F165="",G165="",H165="",I165="",J165=""),"INCOMPLETE","COMPLETE")))</x:f>
        <x:v>UNUSED</x:v>
      </x:c>
    </x:row>
    <x:row r="166" ht="52" customHeight="1">
      <x:c r="A166" s="53" t="str">
        <x:v>DE-0033</x:v>
      </x:c>
      <x:c r="B166" s="53" t="str">
        <x:v>PRD-0076-P0039-U01</x:v>
      </x:c>
      <x:c r="C166" s="53" t="n">
        <x:v>3</x:v>
      </x:c>
      <x:c r="D166" s="49" t="str"/>
      <x:c r="E166" s="49" t="str"/>
      <x:c r="F166" s="49" t="str"/>
      <x:c r="G166" s="49" t="str"/>
      <x:c r="H166" s="49" t="str"/>
      <x:c r="I166" s="49" t="str"/>
      <x:c r="J166" s="49" t="str"/>
      <x:c r="K166" s="49" t="str"/>
      <x:c r="L166" s="52" t="str">
        <x:f>IF('Instructions'!$B$3="","",'Instructions'!$B$3)</x:f>
      </x:c>
      <x:c r="M166" s="52" t="str">
        <x:f>IF(D166="","UNUSED",IF('Instructions'!$B$3="","SET_INITIALS",IF(OR(F166="",G166="",H166="",I166="",J166=""),"INCOMPLETE","COMPLETE")))</x:f>
        <x:v>UNUSED</x:v>
      </x:c>
    </x:row>
    <x:row r="167" ht="52" customHeight="1">
      <x:c r="A167" s="53" t="str">
        <x:v>DE-0033</x:v>
      </x:c>
      <x:c r="B167" s="53" t="str">
        <x:v>PRD-0076-P0039-U01</x:v>
      </x:c>
      <x:c r="C167" s="53" t="n">
        <x:v>4</x:v>
      </x:c>
      <x:c r="D167" s="49" t="str"/>
      <x:c r="E167" s="49" t="str"/>
      <x:c r="F167" s="49" t="str"/>
      <x:c r="G167" s="49" t="str"/>
      <x:c r="H167" s="49" t="str"/>
      <x:c r="I167" s="49" t="str"/>
      <x:c r="J167" s="49" t="str"/>
      <x:c r="K167" s="49" t="str"/>
      <x:c r="L167" s="52" t="str">
        <x:f>IF('Instructions'!$B$3="","",'Instructions'!$B$3)</x:f>
      </x:c>
      <x:c r="M167" s="52" t="str">
        <x:f>IF(D167="","UNUSED",IF('Instructions'!$B$3="","SET_INITIALS",IF(OR(F167="",G167="",H167="",I167="",J167=""),"INCOMPLETE","COMPLETE")))</x:f>
        <x:v>UNUSED</x:v>
      </x:c>
    </x:row>
    <x:row r="168" ht="52" customHeight="1">
      <x:c r="A168" s="53" t="str">
        <x:v>DE-0033</x:v>
      </x:c>
      <x:c r="B168" s="53" t="str">
        <x:v>PRD-0076-P0039-U01</x:v>
      </x:c>
      <x:c r="C168" s="53" t="n">
        <x:v>5</x:v>
      </x:c>
      <x:c r="D168" s="49" t="str"/>
      <x:c r="E168" s="49" t="str"/>
      <x:c r="F168" s="49" t="str"/>
      <x:c r="G168" s="49" t="str"/>
      <x:c r="H168" s="49" t="str"/>
      <x:c r="I168" s="49" t="str"/>
      <x:c r="J168" s="49" t="str"/>
      <x:c r="K168" s="49" t="str"/>
      <x:c r="L168" s="52" t="str">
        <x:f>IF('Instructions'!$B$3="","",'Instructions'!$B$3)</x:f>
      </x:c>
      <x:c r="M168" s="52" t="str">
        <x:f>IF(D168="","UNUSED",IF('Instructions'!$B$3="","SET_INITIALS",IF(OR(F168="",G168="",H168="",I168="",J168=""),"INCOMPLETE","COMPLETE")))</x:f>
        <x:v>UNUSED</x:v>
      </x:c>
    </x:row>
    <x:row r="169" ht="52" customHeight="1">
      <x:c r="A169" s="53" t="str">
        <x:v>DE-0034</x:v>
      </x:c>
      <x:c r="B169" s="53" t="str">
        <x:v>PRD-0082-P0043-U01</x:v>
      </x:c>
      <x:c r="C169" s="53" t="n">
        <x:v>1</x:v>
      </x:c>
      <x:c r="D169" s="49" t="str"/>
      <x:c r="E169" s="49" t="str"/>
      <x:c r="F169" s="49" t="str"/>
      <x:c r="G169" s="49" t="str"/>
      <x:c r="H169" s="49" t="str"/>
      <x:c r="I169" s="49" t="str"/>
      <x:c r="J169" s="49" t="str"/>
      <x:c r="K169" s="49" t="str"/>
      <x:c r="L169" s="52" t="str">
        <x:f>IF('Instructions'!$B$3="","",'Instructions'!$B$3)</x:f>
      </x:c>
      <x:c r="M169" s="52" t="str">
        <x:f>IF(D169="","UNUSED",IF('Instructions'!$B$3="","SET_INITIALS",IF(OR(F169="",G169="",H169="",I169="",J169=""),"INCOMPLETE","COMPLETE")))</x:f>
        <x:v>UNUSED</x:v>
      </x:c>
    </x:row>
    <x:row r="170" ht="52" customHeight="1">
      <x:c r="A170" s="53" t="str">
        <x:v>DE-0034</x:v>
      </x:c>
      <x:c r="B170" s="53" t="str">
        <x:v>PRD-0082-P0043-U01</x:v>
      </x:c>
      <x:c r="C170" s="53" t="n">
        <x:v>2</x:v>
      </x:c>
      <x:c r="D170" s="49" t="str"/>
      <x:c r="E170" s="49" t="str"/>
      <x:c r="F170" s="49" t="str"/>
      <x:c r="G170" s="49" t="str"/>
      <x:c r="H170" s="49" t="str"/>
      <x:c r="I170" s="49" t="str"/>
      <x:c r="J170" s="49" t="str"/>
      <x:c r="K170" s="49" t="str"/>
      <x:c r="L170" s="52" t="str">
        <x:f>IF('Instructions'!$B$3="","",'Instructions'!$B$3)</x:f>
      </x:c>
      <x:c r="M170" s="52" t="str">
        <x:f>IF(D170="","UNUSED",IF('Instructions'!$B$3="","SET_INITIALS",IF(OR(F170="",G170="",H170="",I170="",J170=""),"INCOMPLETE","COMPLETE")))</x:f>
        <x:v>UNUSED</x:v>
      </x:c>
    </x:row>
    <x:row r="171" ht="52" customHeight="1">
      <x:c r="A171" s="53" t="str">
        <x:v>DE-0034</x:v>
      </x:c>
      <x:c r="B171" s="53" t="str">
        <x:v>PRD-0082-P0043-U01</x:v>
      </x:c>
      <x:c r="C171" s="53" t="n">
        <x:v>3</x:v>
      </x:c>
      <x:c r="D171" s="49" t="str"/>
      <x:c r="E171" s="49" t="str"/>
      <x:c r="F171" s="49" t="str"/>
      <x:c r="G171" s="49" t="str"/>
      <x:c r="H171" s="49" t="str"/>
      <x:c r="I171" s="49" t="str"/>
      <x:c r="J171" s="49" t="str"/>
      <x:c r="K171" s="49" t="str"/>
      <x:c r="L171" s="52" t="str">
        <x:f>IF('Instructions'!$B$3="","",'Instructions'!$B$3)</x:f>
      </x:c>
      <x:c r="M171" s="52" t="str">
        <x:f>IF(D171="","UNUSED",IF('Instructions'!$B$3="","SET_INITIALS",IF(OR(F171="",G171="",H171="",I171="",J171=""),"INCOMPLETE","COMPLETE")))</x:f>
        <x:v>UNUSED</x:v>
      </x:c>
    </x:row>
    <x:row r="172" ht="52" customHeight="1">
      <x:c r="A172" s="53" t="str">
        <x:v>DE-0034</x:v>
      </x:c>
      <x:c r="B172" s="53" t="str">
        <x:v>PRD-0082-P0043-U01</x:v>
      </x:c>
      <x:c r="C172" s="53" t="n">
        <x:v>4</x:v>
      </x:c>
      <x:c r="D172" s="49" t="str"/>
      <x:c r="E172" s="49" t="str"/>
      <x:c r="F172" s="49" t="str"/>
      <x:c r="G172" s="49" t="str"/>
      <x:c r="H172" s="49" t="str"/>
      <x:c r="I172" s="49" t="str"/>
      <x:c r="J172" s="49" t="str"/>
      <x:c r="K172" s="49" t="str"/>
      <x:c r="L172" s="52" t="str">
        <x:f>IF('Instructions'!$B$3="","",'Instructions'!$B$3)</x:f>
      </x:c>
      <x:c r="M172" s="52" t="str">
        <x:f>IF(D172="","UNUSED",IF('Instructions'!$B$3="","SET_INITIALS",IF(OR(F172="",G172="",H172="",I172="",J172=""),"INCOMPLETE","COMPLETE")))</x:f>
        <x:v>UNUSED</x:v>
      </x:c>
    </x:row>
    <x:row r="173" ht="52" customHeight="1">
      <x:c r="A173" s="53" t="str">
        <x:v>DE-0034</x:v>
      </x:c>
      <x:c r="B173" s="53" t="str">
        <x:v>PRD-0082-P0043-U01</x:v>
      </x:c>
      <x:c r="C173" s="53" t="n">
        <x:v>5</x:v>
      </x:c>
      <x:c r="D173" s="49" t="str"/>
      <x:c r="E173" s="49" t="str"/>
      <x:c r="F173" s="49" t="str"/>
      <x:c r="G173" s="49" t="str"/>
      <x:c r="H173" s="49" t="str"/>
      <x:c r="I173" s="49" t="str"/>
      <x:c r="J173" s="49" t="str"/>
      <x:c r="K173" s="49" t="str"/>
      <x:c r="L173" s="52" t="str">
        <x:f>IF('Instructions'!$B$3="","",'Instructions'!$B$3)</x:f>
      </x:c>
      <x:c r="M173" s="52" t="str">
        <x:f>IF(D173="","UNUSED",IF('Instructions'!$B$3="","SET_INITIALS",IF(OR(F173="",G173="",H173="",I173="",J173=""),"INCOMPLETE","COMPLETE")))</x:f>
        <x:v>UNUSED</x:v>
      </x:c>
    </x:row>
    <x:row r="174" ht="52" customHeight="1">
      <x:c r="A174" s="53" t="str">
        <x:v>DE-0035</x:v>
      </x:c>
      <x:c r="B174" s="53" t="str">
        <x:v>PRD-0009-P0002-U01</x:v>
      </x:c>
      <x:c r="C174" s="53" t="n">
        <x:v>1</x:v>
      </x:c>
      <x:c r="D174" s="49" t="str"/>
      <x:c r="E174" s="49" t="str"/>
      <x:c r="F174" s="49" t="str"/>
      <x:c r="G174" s="49" t="str"/>
      <x:c r="H174" s="49" t="str"/>
      <x:c r="I174" s="49" t="str"/>
      <x:c r="J174" s="49" t="str"/>
      <x:c r="K174" s="49" t="str"/>
      <x:c r="L174" s="52" t="str">
        <x:f>IF('Instructions'!$B$3="","",'Instructions'!$B$3)</x:f>
      </x:c>
      <x:c r="M174" s="52" t="str">
        <x:f>IF(D174="","UNUSED",IF('Instructions'!$B$3="","SET_INITIALS",IF(OR(F174="",G174="",H174="",I174="",J174=""),"INCOMPLETE","COMPLETE")))</x:f>
        <x:v>UNUSED</x:v>
      </x:c>
    </x:row>
    <x:row r="175" ht="52" customHeight="1">
      <x:c r="A175" s="53" t="str">
        <x:v>DE-0035</x:v>
      </x:c>
      <x:c r="B175" s="53" t="str">
        <x:v>PRD-0009-P0002-U01</x:v>
      </x:c>
      <x:c r="C175" s="53" t="n">
        <x:v>2</x:v>
      </x:c>
      <x:c r="D175" s="49" t="str"/>
      <x:c r="E175" s="49" t="str"/>
      <x:c r="F175" s="49" t="str"/>
      <x:c r="G175" s="49" t="str"/>
      <x:c r="H175" s="49" t="str"/>
      <x:c r="I175" s="49" t="str"/>
      <x:c r="J175" s="49" t="str"/>
      <x:c r="K175" s="49" t="str"/>
      <x:c r="L175" s="52" t="str">
        <x:f>IF('Instructions'!$B$3="","",'Instructions'!$B$3)</x:f>
      </x:c>
      <x:c r="M175" s="52" t="str">
        <x:f>IF(D175="","UNUSED",IF('Instructions'!$B$3="","SET_INITIALS",IF(OR(F175="",G175="",H175="",I175="",J175=""),"INCOMPLETE","COMPLETE")))</x:f>
        <x:v>UNUSED</x:v>
      </x:c>
    </x:row>
    <x:row r="176" ht="52" customHeight="1">
      <x:c r="A176" s="53" t="str">
        <x:v>DE-0035</x:v>
      </x:c>
      <x:c r="B176" s="53" t="str">
        <x:v>PRD-0009-P0002-U01</x:v>
      </x:c>
      <x:c r="C176" s="53" t="n">
        <x:v>3</x:v>
      </x:c>
      <x:c r="D176" s="49" t="str"/>
      <x:c r="E176" s="49" t="str"/>
      <x:c r="F176" s="49" t="str"/>
      <x:c r="G176" s="49" t="str"/>
      <x:c r="H176" s="49" t="str"/>
      <x:c r="I176" s="49" t="str"/>
      <x:c r="J176" s="49" t="str"/>
      <x:c r="K176" s="49" t="str"/>
      <x:c r="L176" s="52" t="str">
        <x:f>IF('Instructions'!$B$3="","",'Instructions'!$B$3)</x:f>
      </x:c>
      <x:c r="M176" s="52" t="str">
        <x:f>IF(D176="","UNUSED",IF('Instructions'!$B$3="","SET_INITIALS",IF(OR(F176="",G176="",H176="",I176="",J176=""),"INCOMPLETE","COMPLETE")))</x:f>
        <x:v>UNUSED</x:v>
      </x:c>
    </x:row>
    <x:row r="177" ht="52" customHeight="1">
      <x:c r="A177" s="53" t="str">
        <x:v>DE-0035</x:v>
      </x:c>
      <x:c r="B177" s="53" t="str">
        <x:v>PRD-0009-P0002-U01</x:v>
      </x:c>
      <x:c r="C177" s="53" t="n">
        <x:v>4</x:v>
      </x:c>
      <x:c r="D177" s="49" t="str"/>
      <x:c r="E177" s="49" t="str"/>
      <x:c r="F177" s="49" t="str"/>
      <x:c r="G177" s="49" t="str"/>
      <x:c r="H177" s="49" t="str"/>
      <x:c r="I177" s="49" t="str"/>
      <x:c r="J177" s="49" t="str"/>
      <x:c r="K177" s="49" t="str"/>
      <x:c r="L177" s="52" t="str">
        <x:f>IF('Instructions'!$B$3="","",'Instructions'!$B$3)</x:f>
      </x:c>
      <x:c r="M177" s="52" t="str">
        <x:f>IF(D177="","UNUSED",IF('Instructions'!$B$3="","SET_INITIALS",IF(OR(F177="",G177="",H177="",I177="",J177=""),"INCOMPLETE","COMPLETE")))</x:f>
        <x:v>UNUSED</x:v>
      </x:c>
    </x:row>
    <x:row r="178" ht="52" customHeight="1">
      <x:c r="A178" s="53" t="str">
        <x:v>DE-0035</x:v>
      </x:c>
      <x:c r="B178" s="53" t="str">
        <x:v>PRD-0009-P0002-U01</x:v>
      </x:c>
      <x:c r="C178" s="53" t="n">
        <x:v>5</x:v>
      </x:c>
      <x:c r="D178" s="49" t="str"/>
      <x:c r="E178" s="49" t="str"/>
      <x:c r="F178" s="49" t="str"/>
      <x:c r="G178" s="49" t="str"/>
      <x:c r="H178" s="49" t="str"/>
      <x:c r="I178" s="49" t="str"/>
      <x:c r="J178" s="49" t="str"/>
      <x:c r="K178" s="49" t="str"/>
      <x:c r="L178" s="52" t="str">
        <x:f>IF('Instructions'!$B$3="","",'Instructions'!$B$3)</x:f>
      </x:c>
      <x:c r="M178" s="52" t="str">
        <x:f>IF(D178="","UNUSED",IF('Instructions'!$B$3="","SET_INITIALS",IF(OR(F178="",G178="",H178="",I178="",J178=""),"INCOMPLETE","COMPLETE")))</x:f>
        <x:v>UNUSED</x:v>
      </x:c>
    </x:row>
    <x:row r="179" ht="52" customHeight="1">
      <x:c r="A179" s="53" t="str">
        <x:v>DE-0036</x:v>
      </x:c>
      <x:c r="B179" s="53" t="str">
        <x:v>PRD-0080-P0030-U01</x:v>
      </x:c>
      <x:c r="C179" s="53" t="n">
        <x:v>1</x:v>
      </x:c>
      <x:c r="D179" s="49" t="str"/>
      <x:c r="E179" s="49" t="str"/>
      <x:c r="F179" s="49" t="str"/>
      <x:c r="G179" s="49" t="str"/>
      <x:c r="H179" s="49" t="str"/>
      <x:c r="I179" s="49" t="str"/>
      <x:c r="J179" s="49" t="str"/>
      <x:c r="K179" s="49" t="str"/>
      <x:c r="L179" s="52" t="str">
        <x:f>IF('Instructions'!$B$3="","",'Instructions'!$B$3)</x:f>
      </x:c>
      <x:c r="M179" s="52" t="str">
        <x:f>IF(D179="","UNUSED",IF('Instructions'!$B$3="","SET_INITIALS",IF(OR(F179="",G179="",H179="",I179="",J179=""),"INCOMPLETE","COMPLETE")))</x:f>
        <x:v>UNUSED</x:v>
      </x:c>
    </x:row>
    <x:row r="180" ht="52" customHeight="1">
      <x:c r="A180" s="53" t="str">
        <x:v>DE-0036</x:v>
      </x:c>
      <x:c r="B180" s="53" t="str">
        <x:v>PRD-0080-P0030-U01</x:v>
      </x:c>
      <x:c r="C180" s="53" t="n">
        <x:v>2</x:v>
      </x:c>
      <x:c r="D180" s="49" t="str"/>
      <x:c r="E180" s="49" t="str"/>
      <x:c r="F180" s="49" t="str"/>
      <x:c r="G180" s="49" t="str"/>
      <x:c r="H180" s="49" t="str"/>
      <x:c r="I180" s="49" t="str"/>
      <x:c r="J180" s="49" t="str"/>
      <x:c r="K180" s="49" t="str"/>
      <x:c r="L180" s="52" t="str">
        <x:f>IF('Instructions'!$B$3="","",'Instructions'!$B$3)</x:f>
      </x:c>
      <x:c r="M180" s="52" t="str">
        <x:f>IF(D180="","UNUSED",IF('Instructions'!$B$3="","SET_INITIALS",IF(OR(F180="",G180="",H180="",I180="",J180=""),"INCOMPLETE","COMPLETE")))</x:f>
        <x:v>UNUSED</x:v>
      </x:c>
    </x:row>
    <x:row r="181" ht="52" customHeight="1">
      <x:c r="A181" s="53" t="str">
        <x:v>DE-0036</x:v>
      </x:c>
      <x:c r="B181" s="53" t="str">
        <x:v>PRD-0080-P0030-U01</x:v>
      </x:c>
      <x:c r="C181" s="53" t="n">
        <x:v>3</x:v>
      </x:c>
      <x:c r="D181" s="49" t="str"/>
      <x:c r="E181" s="49" t="str"/>
      <x:c r="F181" s="49" t="str"/>
      <x:c r="G181" s="49" t="str"/>
      <x:c r="H181" s="49" t="str"/>
      <x:c r="I181" s="49" t="str"/>
      <x:c r="J181" s="49" t="str"/>
      <x:c r="K181" s="49" t="str"/>
      <x:c r="L181" s="52" t="str">
        <x:f>IF('Instructions'!$B$3="","",'Instructions'!$B$3)</x:f>
      </x:c>
      <x:c r="M181" s="52" t="str">
        <x:f>IF(D181="","UNUSED",IF('Instructions'!$B$3="","SET_INITIALS",IF(OR(F181="",G181="",H181="",I181="",J181=""),"INCOMPLETE","COMPLETE")))</x:f>
        <x:v>UNUSED</x:v>
      </x:c>
    </x:row>
    <x:row r="182" ht="52" customHeight="1">
      <x:c r="A182" s="53" t="str">
        <x:v>DE-0036</x:v>
      </x:c>
      <x:c r="B182" s="53" t="str">
        <x:v>PRD-0080-P0030-U01</x:v>
      </x:c>
      <x:c r="C182" s="53" t="n">
        <x:v>4</x:v>
      </x:c>
      <x:c r="D182" s="49" t="str"/>
      <x:c r="E182" s="49" t="str"/>
      <x:c r="F182" s="49" t="str"/>
      <x:c r="G182" s="49" t="str"/>
      <x:c r="H182" s="49" t="str"/>
      <x:c r="I182" s="49" t="str"/>
      <x:c r="J182" s="49" t="str"/>
      <x:c r="K182" s="49" t="str"/>
      <x:c r="L182" s="52" t="str">
        <x:f>IF('Instructions'!$B$3="","",'Instructions'!$B$3)</x:f>
      </x:c>
      <x:c r="M182" s="52" t="str">
        <x:f>IF(D182="","UNUSED",IF('Instructions'!$B$3="","SET_INITIALS",IF(OR(F182="",G182="",H182="",I182="",J182=""),"INCOMPLETE","COMPLETE")))</x:f>
        <x:v>UNUSED</x:v>
      </x:c>
    </x:row>
    <x:row r="183" ht="52" customHeight="1">
      <x:c r="A183" s="53" t="str">
        <x:v>DE-0036</x:v>
      </x:c>
      <x:c r="B183" s="53" t="str">
        <x:v>PRD-0080-P0030-U01</x:v>
      </x:c>
      <x:c r="C183" s="53" t="n">
        <x:v>5</x:v>
      </x:c>
      <x:c r="D183" s="49" t="str"/>
      <x:c r="E183" s="49" t="str"/>
      <x:c r="F183" s="49" t="str"/>
      <x:c r="G183" s="49" t="str"/>
      <x:c r="H183" s="49" t="str"/>
      <x:c r="I183" s="49" t="str"/>
      <x:c r="J183" s="49" t="str"/>
      <x:c r="K183" s="49" t="str"/>
      <x:c r="L183" s="52" t="str">
        <x:f>IF('Instructions'!$B$3="","",'Instructions'!$B$3)</x:f>
      </x:c>
      <x:c r="M183" s="52" t="str">
        <x:f>IF(D183="","UNUSED",IF('Instructions'!$B$3="","SET_INITIALS",IF(OR(F183="",G183="",H183="",I183="",J183=""),"INCOMPLETE","COMPLETE")))</x:f>
        <x:v>UNUSED</x:v>
      </x:c>
    </x:row>
  </x:sheetData>
  <x:mergeCells>
    <x:mergeCell ref="A1:M1"/>
    <x:mergeCell ref="A2:M2"/>
  </x:mergeCells>
  <x:conditionalFormatting sqref="M4:M183">
    <x:cfRule type="containsText" dxfId="12" priority="1" operator="containsText" text="COMPLETE"/>
    <x:cfRule type="containsText" dxfId="13" priority="2" operator="containsText" text="PENDING"/>
    <x:cfRule type="containsText" dxfId="14" priority="3" operator="containsText" text="INCOMPLETE"/>
    <x:cfRule type="containsText" dxfId="15" priority="4" operator="containsText" text="MISSING"/>
    <x:cfRule type="containsText" dxfId="16" priority="5" operator="containsText" text="SET_INITIALS"/>
    <x:cfRule type="containsText" dxfId="17" priority="6" operator="containsText" text="NEEDS_CONTEXT"/>
  </x:conditionalFormatting>
  <x:dataValidations count="5">
    <x:dataValidation type="list" sqref="F4:F183">
      <x:formula1>Codebook!$A$4:$A$38</x:formula1>
    </x:dataValidation>
    <x:dataValidation type="list" sqref="G4:G183">
      <x:formula1>"decision,proposal,finding"</x:formula1>
    </x:dataValidation>
    <x:dataValidation type="list" sqref="H4:H183">
      <x:formula1>"increases,decreases,conditional,neutral"</x:formula1>
    </x:dataValidation>
    <x:dataValidation type="list" sqref="I4:I183">
      <x:formula1>"from_state,from_intermediary,from_counterparty,not_applicable"</x:formula1>
    </x:dataValidation>
    <x:dataValidation type="list" sqref="J4:J183">
      <x:formula1>"1,2,3"</x:formula1>
    </x:dataValidation>
  </x:dataValidations>
  <x:pageMargins left="0.7" right="0.7" top="0.75" bottom="0.75" header="0.3" footer="0.3"/>
  <x:tableParts count="1">
    <x:tablePart xmlns:r="http://schemas.openxmlformats.org/officeDocument/2006/relationships" r:id="R1bef513f9b1c42c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2" hidden="0" customWidth="1"/>
    <x:col min="2" max="2" width="28" hidden="0" customWidth="1"/>
    <x:col min="3" max="3" width="8" hidden="0" customWidth="1"/>
    <x:col min="4" max="4" width="10" hidden="0" customWidth="1"/>
    <x:col min="5" max="5" width="13" hidden="0" customWidth="1"/>
    <x:col min="6" max="6" width="30" hidden="0" customWidth="1"/>
    <x:col min="7" max="7" width="110" hidden="0" customWidth="1"/>
  </x:cols>
  <x:sheetData>
    <x:row r="1" ht="30" customHeight="1">
      <x:c r="A1" s="3" t="str">
        <x:v>Full source contexts — Martin</x:v>
      </x:c>
      <x:c r="B1" s="3"/>
      <x:c r="C1" s="3"/>
      <x:c r="D1" s="3"/>
      <x:c r="E1" s="3"/>
      <x:c r="F1" s="3"/>
      <x:c r="G1" s="3"/>
    </x:row>
    <x:row r="2" ht="34" customHeight="1">
      <x:c r="A2" s="7" t="str">
        <x:v>Vyhledej context_unit_id z Candidate Review. Tento list je pouze referenční; nic zde neměň.</x:v>
      </x:c>
      <x:c r="B2" s="7"/>
      <x:c r="C2" s="7"/>
      <x:c r="D2" s="7"/>
      <x:c r="E2" s="7"/>
      <x:c r="F2" s="7"/>
      <x:c r="G2" s="7"/>
    </x:row>
    <x:row r="3">
      <x:c r="A3" s="13" t="str">
        <x:v>context_unit_id</x:v>
      </x:c>
      <x:c r="B3" s="13" t="str">
        <x:v>doc_id</x:v>
      </x:c>
      <x:c r="C3" s="13" t="str">
        <x:v>page</x:v>
      </x:c>
      <x:c r="D3" s="13" t="str">
        <x:v>language</x:v>
      </x:c>
      <x:c r="E3" s="13" t="str">
        <x:v>source_mode</x:v>
      </x:c>
      <x:c r="F3" s="13" t="str">
        <x:v>render_file</x:v>
      </x:c>
      <x:c r="G3" s="13" t="str">
        <x:v>source_text</x:v>
      </x:c>
    </x:row>
    <x:row r="4" ht="110" customHeight="1">
      <x:c r="A4" s="46" t="str">
        <x:v>PRD-0001-P0004-U01</x:v>
      </x:c>
      <x:c r="B4" s="46" t="str">
        <x:v>AE_UAE_001</x:v>
      </x:c>
      <x:c r="C4" s="46" t="n">
        <x:v>4</x:v>
      </x:c>
      <x:c r="D4" s="46" t="str">
        <x:v>en</x:v>
      </x:c>
      <x:c r="E4" s="46" t="str">
        <x:v>text</x:v>
      </x:c>
      <x:c r="F4" s="46" t="str"/>
      <x:c r="G4" s="46" t="str">
        <x:v>اﻟﺪرﻫﻢ اﻟﺮﻗﻤﻲ: ﺗﻤﻬﻴﺪ ﺣﻮل اﻟﻌﻤﻠﺔ اﻟﺮﻗﻤﻴﺔ
ﻟﻤﺼﺮف اﻹﻣﺎرات اﻟﻌﺮﺑﻴﺔ اﻟﻤﺘﺤﺪة اﻟﻤﺮﻛﺰي 
ﻣﻮﺟﺰ ﺗﻨﻔﻴﺬي
ﻳﺴــﻌﻰ ﻣﺼــﺮف اﻹﻣــﺎرات اﻟﻌﺮﺑﻴــﺔ اﻟﻤﺘﺤــﺪة اﻟﻤﺮﻛــﺰي )"اﻟﻤﺼــﺮف اﻟﻤﺮﻛــﺰي"( ﻟﻤﻮاﻛﺒــﺔ اﻻﺣﺘﻴﺎﺟــﺎت اﻟﻤﺘﻐﻴــﺮة ﻟﻼﻗﺘﺼــﺎد 
اﻟﺮﻗﻤــﻲ وﺿﻤــﺎن ﻣﻮاﻛﺒــﺔ أﻣــﻮال اﻟﻤﺼــﺮف اﻟﻤﺮﻛــﺰي ﻟﻤﺘﻄﻠﺒــﺎت اﻟﻌﺼــﺮ اﻟﺮﻗﻤــﻲ. وﻟﺘﺤﻘﻴــﻖ ﻫــﺬا اﻟﻬــﺪف ﺳــﻴُﻄﻠﻖ 
 . ﺳــﻴﻜﻮن اﻟﺪرﻫــﻢ 1اﻟﻤﺼــﺮف اﻟﻤﺮﻛــﺰي ﻗﺮﻳﺒــﺎً ﻋﻤﻠﺘــﻪ اﻟﺮﻗﻤﻴــﺔ "اﻟﺪرﻫــﻢ اﻟﺮﻗﻤــﻲ"، ﺑﺠﻤﻴــﻊ أﺷ 
اﻟﺮﻗﻤــﻲ ﻧﺴــﺨﺔ رﻗﻤﻴــﺔ ﻣــﻦ اﻟﻌﻤﻠــﺔ اﻟﻮﻃﻨﻴــﺔ ﻟﺪوﻟــﺔ اﻹﻣــﺎرات، ﻣﻤــﺎ ﻳﺘﻴــﺢ إﺟــﺮاء ﺗﺴــﻮﻳﺎت ﻓﻮرﻳــﺔ واﺳــﺘﺨﺪاﻣﻬﺎ ﻋﻠــﻰ ﻧﻄــﺎق 
واﺳﻊ، ﻣﻊ اﻟﺤﻔﺎظ ﻋﻠﻰ ﺧﺎﺻﻴﺔ اﻷﻣﺎن واﻟﺜﻘﺔ اﻟﺘﻲ ﺗﺘﻤﺘﻊ ﺑﻬﺎ اﻷﻣﻮال اﻟﺘﻘﻠﻴﺪﻳﺔ اﻟﻤﺪﻋﻮﻣﺔ ﻣﻦ اﻟﻤﺼﺮف اﻟﻤﺮﻛﺰي. 
ﻳُﻌــﺪ اﻟﺪرﻫــﻢ اﻟﺮﻗﻤــﻲ ﻋﻨﺼــﺮاً أﺳﺎﺳــﻴﺎً ﻓــﻲ ﺑﺮﻧﺎﻣــﺞ                                                   ﻣﺘﻌــﺪد اﻟﺴــﻨﻮات، واﻟــﺬي أﻃﻠﻘــﻪ 
 وﻓــﻲ ﻫــﺬا اﻟﺼــﺪد، ﺑﺤــﺚ اﻟﻤﺼــﺮف اﻟﻤﺮﻛــﺰي ﺑﻬــﺪف  ﺗﺤﺪﻳــﺚ ﻧﻈــﺎم اﻟﺪﻓــﻊ وإﻃــﺎر اﻟﻌﻤﻠﻴــﺎت اﻟﻨﻘﺪﻳــﺔ ﺑﺪوﻟــﺔ اﻹﻣــﺎرات. 
، إدرا2019اﻟﻤﺼــﺮف اﻟﻤﺮﻛــﺰي ﻓــﻲ إﻣ 
ﻣــﻦ اﻟﻨﻘــﺪ أن ﻳﻘﻠــﻞ ﻣــﻦ أﻫﻤﻴــﺔ أﻣــﻮال اﻟﻤﺼــﺮف اﻟﻤﺮﻛــﺰي، ﻣﻤــﺎ ﻗــﺪ ﻳﻌﻴــﻖ ﻗــﺪرة اﻟﻤﺼــﺎرف اﻟﻤﺮﻛﺰﻳــﺔ ﻋﻠــﻰ ﺗﻨﻔﻴــﺬ ﻣﻬﺎﻣﻬــﺎ 
، ﺗــﻢ إﺻــﺪار أول درﻫــﻢ رﻗﻤــﻲ ﻛﻌﻤﻠــﺔ ﻗﺎﻧﻮﻧﻴــﺔ ﻋﻠــﻰ ﻣﻨﺼــﺔ اﻹﺻــﺪار، 2024اﻟﻤﺤــﺪدة ﻓــﻲ اﻟﺴﻴﺎﺳــﺎت اﻟﻨﻘﺪﻳــﺔ. وﻓــﻲ ﻳﻨﺎﻳــﺮ 
وذﻟــﻚ ﻋﻨﺪﻣــﺎ ﻗــﺎم ﺳــﻤﻮ اﻟﺸــﻴﺦ ﻣﻨﺼــﻮر ﺑــﻦ زاﻳــﺪ آل ﻧﻬﻴــﺎن، رﺋﻴــﺲ ﻣﺠﻠــﺲ إدارة اﻟﻤﺼــﺮف اﻟﻤﺮﻛــﺰي، ﺑﺘﻨﻔﻴــﺬ أول دﻓﻌــﺔ ﻋﺒــﺮ 
اﻟﺤــﺪود ﻋﻠــﻰ ﻣﻨﺘــﺞ اﻟﺤــﺪ اﻷدﻧــﻰ اﻟﻘﺎﺑــﻞ ﻟﻠﺘﻄﺒﻴــﻖ ﻓــﻲ ﻣﻨﺼــﺔ اﻟﺠﺴــﺮ. وﻳﻤﺜــﻞ ﻣﺸــﺮوع ﻣﻨﺼــﺔ اﻟﺠﺴــﺮ أﺣــﺪ ﺛﻤــﺎر اﻟﺘﻌــﺎون 
ﺑﻴــﻦ ﻣﺮﻛــﺰ اﻻﺑــﺘ 
اﻟﺮﻗﻤﻴــﺔ اﻟﺘﺎﺑــﻊ ﻟﺒﻨــﻚ اﻟﺸــﻌﺐ اﻟﺼﻴﻨــﻲ واﻟﻤﺼــﺮف اﻟﻤﺮﻛــﺰي. وﻓــﻲ اﻟﻮﻗــﺖ ذاﺗــﻪ، أﺟــﺮى اﻟﻤﺼــﺮف اﻟﻤﺮﻛــﺰي أﻳﻀــﺎً ﺗﺠﺮﺑــﺔ ﻓﻌﻠﻴــﺔ 
ذات ﻗﻴﻤــﺔ ﺣﻘﻴﻘﻴــﺔ ﻋﻠــﻰ ﻣﺴــﺘﻮى اﻟﺘﺠﺰﺋــﺔ ﻟﺘﻘﻴﻴــﻢ اﻟﺘﺼﻤﻴــﻢ واﻟﺘﻜﻨﻮﻟﻮﺟﻴــﺎت اﻟﻤﺴــﺘﺨﺪﻣﺔ واﻟﻤﺰاﻳــﺎ اﻟﺨﺎﺻــﺔ ﺑﺎﻟﺪرﻫــﻢ 
اﻟﺮﻗﻤــﻲ ﻣﺴــﺘﻘﺒﻼً، ﺑﺎﻹﺿﺎﻓــﺔ إﻟــﻰ ﺗﻄﻮﻳــﺮ أرﺑــﻊ ﺣــﺎﻻت اﺳــﺘﺨﺪام ﻟﻼﻗﺘﺼــﺎد اﻟﺮﻗﻤــﻲ ﺑﻬــﺪف دراﺳــﺔ ﺟــﺪوى اﺳــﺘﺨﺪام 
اﻟﺪرﻫــﻢ اﻟﺮﻗﻤــﻲ وﻣــﺪى ﻓﻌﺎﻟﻴﺘــﻪ ﻛﻮﺳــﻴﻠﺔ دﻓــﻊ ﺷــﺎﻣﻠﺔ وﻣﺒﺘﻜــﺮة. ﻛﻤــﺎ ﻳﺘﻤﺘــﻊ اﻟﺪرﻫــﻢ اﻟﺮﻗﻤــﻲ ﻓــﻲ ﺷ 
ﺑﺎﻟﻘــﺪرة ﻋﻠــﻰ ﻓﺘــﺢ آﻓــﺎق ﺟﺪﻳــﺪة ﻟﻨﻤــﺎذج اﻷﻋﻤــﺎل وﺗﻌﺰﻳــﺰ اﻻﺑــﺘ 
اﻻﺳﺘﺨﺪام، وﻗﺎﺑﻠﻴﺔ اﻟﺒﺮﻣﺠﺔ. 
ﺳــﻴﻘﻮم اﻟﻤﺼــﺮف اﻟﻤﺮﻛــﺰي ﺑﻄــﺮح اﻟﺪرﻫــﻢ اﻟﺮﻗﻤــﻲ ﻋﻠــﻰ ﻣﺮاﺣــﻞ، ﻣــﻊ ﺗﻀﻤﻴــﻦ ﻣﺰاﻳــﺎ رﺋﻴﺴــﻴﺔ ﻓــﻲ ﺗﺼﻤﻴﻤــﻪ ﺗُﻬــﺪف 
إﻟــﻰ ﺗﻘﻠﻴــﻞ اﻟﻤﺨﺎﻃــﺮ واﻟﺘﻤﻜّــﻦ ﻣــﻦ اﻻﺑــﺘ 
 وﺳــﻴﻜﻮن اﻟﺪرﻫــﻢ اﻟﺮﻗﻤــﻲ ﻋﻨــﺪ إﻃﻼﻗــﻪ ﻋﺒــﺎرة ﻋــﻦ ﻋﻤﻠــﺔ رﻗﻤﻴــﺔ  ﻏﻴــﺮ ﻣﺤﻤّﻠــﺔ ﺑﻔﺎﺋــﺪة، وذﻟــﻚ ﻗﺎﺋﻤــﺔ ﻋﻠــﻰ اﻟﻤﺤﻔﻈــﺔ. 
ﻟﺘﺸــﺠﻴﻊ اﺳــﺘﺨﺪاﻣﻪ ﺑــﺸ 
ﻣــﻊ أﺷ 
اﻟﻨﺠﺎح ﻟﻠﺪرﻫﻢ اﻟﺮﻗﻤﻲ اﺳﺘﻨﺎداً إﻟﻰ ﺣﺎﻻت اﻻﺳﺘﺨﺪام اﻟﻔﻌﺎﻟﺔ ﻟﻤﻌﺎﻣﻼت اﻟﺘﺠﺰﺋﺔ واﻟﺠﻤﻠﺔ واﻟﻌﺎﺑﺮة ﻟﻠﺤﺪود. 
ﻳُﻠﺨّــﺺ ﻫــﺬا اﻟﺘﻘﺮﻳــﺮ اﻟﺴﻴﺎﺳــﺎت اﻟﺮﺋﻴﺴــﻴﺔ وﻋﻮاﻣــﻞ اﻟﺘﺼﻤﻴــﻢ اﻟﺘــﻲ ﺳــﺎﻫﻤﺖ ﻓــﻲ ﺗﻄﻮﻳــﺮ اﻟﺪرﻫــﻢ اﻟﺮﻗﻤﻲ 
 ﻛﻤــﺎ ﻳﺸــﺘﻤﻞ ﻋﻠــﻰ آﺧــﺮ اﻟﻤﺴــﺘﺠﺪات ﺣــﻮل اﻟﺘﻘــﺪّم اﻟﻤﺤــﺮز ﺣﺎﻟﻴــﺎً وﺧﻄــﻮات إﻋــﺪاده اﻟﻨﻘــﺪ اﻵﻣﻨــﺔ واﻟﻤﻮﺛﻮﻗــﺔ واﻟﻤﻼﺋﻤــﺔ. 
ﻗﺒــﻞ ﻃﺮﺣــﻪ ﺑــﺸ 
وﻳﻤﻜــﻦ اﻻﻃﻼع ﻋﻠــﻰ ﺗﺤﻠﻴــﻞ أﻛﺜــﺮ ﺗﻔﺼــﻴﻼً ﻟﻘﻀﺎﻳــﺎ اﻟﺴﻴﺎﺳــﺔ ذات اﻟﺼﻠــﺔ وﺗﺤﻠﻴــﻞ ﺗﺄﺛﻴــﺮ ﻃــﺮح اﻟﺪرﻫــﻢ اﻟﺮﻗﻤــﻲ، اﻟﻤﻌــﺪ ﻣــﻦ 
ﻗﺒﻞ اﻟﻤﺼﺮف اﻟﻤﺮﻛﺰي، ﻓﻲ وﺛﻴﻘﺔ ﻣﻨﻔﺼﻠﺔ ﻋﻦ ﻫﺬا اﻟﺘﻘﺮﻳﺮ )"اﻟﺪرﻫﻢ اﻟﺮﻗﻤﻲ: اﻟﻘﻀﺎﻳﺎ اﻟﻤﺨﺘﺎرة واﻋﺘﺒﺎرات اﻟﺴﻴﺎﺳﺔ اﻟﻌﺎﻣﺔ"(. 
(، واﻟﺘــﻲ DLTاﻧﺘﻬــﻰ اﻟﻤﺼــﺮف اﻟﻤﺮﻛــﺰي ﻣــﻦ ﺗﻄﻮﻳــﺮ ﻣﻨﺼــﺔ إﺻــﺪار اﻟﺪرﻫــﻢ اﻟﺮﻗﻤــﻲ، وﻗــﺎم ﺑﻨﺸــﺮ ﻣﻨﺘــﺞ اﻟﺤــﺪ اﻷدﻧــﻰ اﻟﻘﺎﺑــﻞ ﻟﻠﺘﻄﺒﻴــﻖ. ﺗــﻢ إﻋــﺪاد ﻣﻨﺼــﺔ اﻹﺻــﺪار ﺑﺎﺳــﺘﺨﺪام ﺗﻘﻨﻴــﺔ دﻓﺘــﺮ اﻷﺳــﺘﺎذ اﻟﻤــﻮزع 1
ﻣــﻦ ﺧﻼﻟﻬــﺎ ﺗُﻤّﻜــﻦ ﻣــﻦ ﺳــﻚّ واﺳــﺘﺮداد ﻗﻴﻤــﺔ وﺗﻮزﻳــﻊ اﻟﺪرﻫــﻢ اﻟﺮﻗﻤــﻲ ﻋﻠــﻰ اﻟﻤﺆﺳﺴــﺎت اﻟﻤﺎﻟﻴــﺔ اﻟﻤﺮﺧﺼــﺔ. ﻣﻨﺼــﺔ اﻟﺠﺴــﺮ ﻟﻠﻌــﻤﻼت اﻟﺮﻗﻤﻴــﺔ اﻟﻤﺘﻌــﺪدة ﻟﻠﺒﻨــﻮك اﻟﻤﺮﻛﺰﻳــﺔ ﻫــﻲ ﻣﻨﺼــﺔ ﻟﻤﺪﻓﻮﻋــﺎت اﻟﺠﻤﻠــﺔ 
ﻋﺒــﺮ اﻟﺤــﺪود، وﻛﺎﻧــﺖ ﻧﺘﻴﺠــﺔ ﻟﻠﺘﻌــﺎون ﺑﻴــﻦ ﻣﺮﻛــﺰ اﻻﺑﺘــﻜﺎر اﻟﺘﺎﺑــﻊ ﻟﺒﻨــﻚ اﻟﺘﺴــﻮﻳﺎت اﻟﺪوﻟﻴــﺔ، وﺑﻨــﻚ ﺗﺎﻳﻼﻧــﺪ، وﺳــﻠﻄﺔ اﻟﻨﻘــﺪ ﻓــﻲ ﻫﻮﻧــﺞ ﻛﻮﻧــﺞ، وﻣﻌﻬــﺪ اﻟﻌــﻤﻼت اﻟﺮﻗﻤﻴــﺔ اﻟﺘﺎﺑــﻊ ﻟﺒﻨــﻚ اﻟﺸــﻌﺐ اﻟﺼﻴﻨــﻲ 
واﻟﻤﺼﺮف اﻟﻤﺮﻛﺰي، ووﺻﻞ اﻟﻤﺸﺮوع ﺣﺎﻟﻴﺎً ﻟﻤﺮاﺣﻠﻪ اﻷﺧﻴﺮة.</x:v>
      </x:c>
    </x:row>
    <x:row r="5" ht="110" customHeight="1">
      <x:c r="A5" s="46" t="str">
        <x:v>PRD-0001-P0010-U01</x:v>
      </x:c>
      <x:c r="B5" s="46" t="str">
        <x:v>AE_UAE_001</x:v>
      </x:c>
      <x:c r="C5" s="46" t="n">
        <x:v>10</x:v>
      </x:c>
      <x:c r="D5" s="46" t="str">
        <x:v>en</x:v>
      </x:c>
      <x:c r="E5" s="46" t="str">
        <x:v>text</x:v>
      </x:c>
      <x:c r="F5" s="46" t="str"/>
      <x:c r="G5" s="46" t="str">
        <x:v>The Digital Dirham will be distributed using an intermediated CBDC model, with hybrid wallet-based 
access. As a digital alternative to physical cash and equivalent to reserves, the Digital Dirham represents a 
liability of the CBUAE. Howeve r, LFIs manage its distribution by providing user wallets and managing 
customer payments. Digital Dirham wallet providers will include LFIs (banks, exchange houses, payment 
service providers) as well as FinTechs with SVF licences (store value facility). By involving the private sector 
in such an “intermediated  model”, the CBUAE can focus on its core mandate of monetary and financial 
stability while delegating certain tasks to the private sector. The Digital Dirham will be based on a 
hybrid architecture that combines account- and token-based approaches. Users will have wallets with 
account identifiers with all transactions recorded on the permissioned distributed ledger. DLT 
will ensure immutability and strong privacy safeguards through pseudonymity, while also enabling 
integration with existing payment systems and new digital asset networks. Digital identification 
protocols for system access and payment traceability will deter the misuse of the Digital Dirham for 
illicit activities. The CBUAE leverages private sector expertise in areas such as KYC-AML verification and 
user interface development for the Digital Dirham, while maintaining control over critical functions 
like issuance and transaction validation using a private, permissioned DL T
. This model helps mitigate 
disintermediation risks (including by setting appropriate limits) and encourages LFIs to innovate based on 
the capabilities of the Digital Dirham. 
The Digital Dirham will be launched as an unremunerated, tiered CBDC with appropriate user 
limits
. Providing positive remuneration could encourage adoption, enhance competition in the deposit 
market, and serve as an additional policy tool. Nevertheless, this strategy may not be in line with the Digital 
Dirham's primary purpose of being a payment method rather than a store of value or investment. If the 
advantages of offering remuneration are deemed to outweigh the disadvantages, this choice could be 
revisited at a later time. The wallets service and platform the CBUAE is developing will support and 
enforce holding and (potentially)transaction limits to avoid disruptive fluctuations in the Digital Dirham. 
These limits will be thoughtfully established and adjusted to ensure a seamless transition. Various 
levels of holding limits (“tiers”) will be set for local residents, businesses, and tourists/visitors. By 
linking Digital Dirham wallets to bank accounts, transactions that exceed pre-defined limits could 
still be processed by automatically drawing any excess debits from ordinary current accounts. This 
“reverse waterfall process” would allow users to also purchase large value goods and services 
using their Digital Dirham.
The Digital Dirham will be fully convertible with other forms of Dirham-denominated money. 
Monetary stability requires that all forms of money, such as cash, bank deposits, and central bank 
reserves, are interchangeable and valued equally, including the Digital Dirham. LFIs’ own holdings of 
Digital Dirham can be used to meet reserve requirements and access the CBUAE’s Overnight 
Deposit Facility, which encourages LFIs to maintain a sufficient balance of Digital Dirham at all 
times. The CBUAE is also 
developing overnight and intraday lending facilities in Digital Dirham (as 
well as term 
lending facilities if needed) to provide liquidity support. 
The CBUAE will develop bilateral and multilateral CBDC arrangements to facilitate cross-border 
payments and offshore holdings of the Digital Dirham. As part of the first phase of implementation of 
the Digital Dirham, the CBUAE demonstrated that multi-CBDC platforms can improve the efficiency of 
cross-border payments. Given the intensifying trade and capital flow connectivity between the UAE and 
other markets, especially in the MENA region, the cross-border application of the Digital Dirham is 
becoming increasingly attractive. Risks associated with the cross-border Digital Dirham can be 
effectively managed through technological solutions and access restrictions. 
8</x:v>
      </x:c>
    </x:row>
    <x:row r="6" ht="110" customHeight="1">
      <x:c r="A6" s="46" t="str">
        <x:v>PRD-0001-P0013-U01</x:v>
      </x:c>
      <x:c r="B6" s="46" t="str">
        <x:v>AE_UAE_001</x:v>
      </x:c>
      <x:c r="C6" s="46" t="n">
        <x:v>13</x:v>
      </x:c>
      <x:c r="D6" s="46" t="str">
        <x:v>en</x:v>
      </x:c>
      <x:c r="E6" s="46" t="str">
        <x:v>text</x:v>
      </x:c>
      <x:c r="F6" s="46" t="str"/>
      <x:c r="G6" s="46" t="str">
        <x:v>Aside from completing the first issuance of the Digital Dirham and the retail CBDC pilot in early 2024, 
the CBUAE helped Project mBridge reach a minimum viable product (MVP) stage in collaboration with 
the Bank for International Settlements (BIS) and three other central banks. Project mBridge is now the 
world’s first operational multi-CBDC platform, facilitating efficient, cost-effective, and instant cross-border 
payment and settlement in central bank money. After the CBUAE deployed the mBridge MVP platform and 
on-boarded UAE LFIs, the Digital Dirham can now be used for cross-border settlement and 
payment-versus-payment. The CBUAE will continue to assess the benefits and risks of Project mBridge, 
explore alternative bilateral and multilateral agreements, and ensure interoperability with other CBDCs to 
support cross-border payments while maintaining control and restrictions in the technical design of the 
Digital Dirham.
In the coming years, the CBUAE will advance preparations for the full launch of both the retail, 
wholesale and cross-border versions of the Digital Dirham. As part of the second phase, the CBUAE is 
exploring developing other cross-border CBDC arrangements. The launch will be carried out in stages. A 
phased and controlled rollout aligns with CBDC initiatives in other countries, fostering confidence in the 
secure and widespread introduction of the Digital Dirham. This approach also allows for ongoing 
monitoring of global CBDC developments, enabling the identification of emerging insights and lessons 
learned.
Domestically, the CBUAE will be launching the Digital Dirham for retail and wholesale use, including 
fully implementing the four digital economy use cases. The retail Digital Dirham will also support 
peer-to-peer (P2P), online and in-store payments, business-to-consumer (B2C), business-to-business 
(B2B), and government-to-consumer (G2C) transactions, and other use cases enabled by programmability 
and CBDC. Stakeholder feedback regarding business value, consumer benefits, and potential for 
innovation has guided the selection of these use cases, with ongoing collaboration with government 
departments to integrate the Digital Dirham into the UAE’s payment ecosystem.
Demonstrating the power of tokenisation and smart contracts, providing fractionalised ownership of assets for retail investors in real estate, 
with settlement in Digital Dirham
Smart Social
Programmable government payments for effectively distributing social transfers with greater controls and transparency
Parent-child Sub-wallets
Offering parents the ability to create sub-wallets for their children (for purposes of financial education), which can be combined with programmable 
spending rules and allowances using smart contract logic
Smar
Boost spending fr
t T ourist
om tourists (and increasing the attractiveness of the UAE as travel location) by means of non-resident wallets that offer gifted 
programmable money and instant VAT refunds as well as easy exchange to obtain and transact in Digital Dirham
Fractional Ownership
1
2
3
4
Figure 4. Overview of Digital Dirham Pilot Use Cases
11</x:v>
      </x:c>
    </x:row>
    <x:row r="7" ht="110" customHeight="1">
      <x:c r="A7" s="46" t="str">
        <x:v>PRD-0004-P0021-U01</x:v>
      </x:c>
      <x:c r="B7" s="46" t="str">
        <x:v>AM_ARM_001</x:v>
      </x:c>
      <x:c r="C7" s="46" t="n">
        <x:v>21</x:v>
      </x:c>
      <x:c r="D7" s="46" t="str">
        <x:v>en</x:v>
      </x:c>
      <x:c r="E7" s="46" t="str">
        <x:v>text</x:v>
      </x:c>
      <x:c r="F7" s="46" t="str"/>
      <x:c r="G7" s="46" t="str">
        <x:v>ket which cannot feasibly be addressed with conventional technologies. In a few of the
real use cases identified, a CBDC issuance marginalizes commercial bank money and
leaves cash circulation unimpacted. Given the results of the private financial institu-
tion survey and the ABM simulations, it was concluded that, given the current level
of payment infrastructure development in Armenia, the introduction of a CBDC as an
alternative payment instrument would have limited implication for Armenian society.
However, the underlying technology can prove to be useful for a variety of financial
market enhancements.
21</x:v>
      </x:c>
    </x:row>
    <x:row r="8" ht="110" customHeight="1">
      <x:c r="A8" s="46" t="str">
        <x:v>PRD-0005-P0013-U01</x:v>
      </x:c>
      <x:c r="B8" s="46" t="str">
        <x:v>AU_RBA_001</x:v>
      </x:c>
      <x:c r="C8" s="46" t="n">
        <x:v>13</x:v>
      </x:c>
      <x:c r="D8" s="46" t="str">
        <x:v>en</x:v>
      </x:c>
      <x:c r="E8" s="46" t="str">
        <x:v>text</x:v>
      </x:c>
      <x:c r="F8" s="46" t="str"/>
      <x:c r="G8" s="46" t="str">
        <x:v>Other key features were as follows:
• The pilot CBDC platform did not support the deployment of smart contracts or other code by 
industry participants. This was to simplify the implementation of the platform and, given the real 
money nature of the pilot CBDC, avoid the operational liability and potential regulatory implications 
that might be attributable to the RBA.
• The pilot CBDC was not able to be directly issued on, or transferred to, any third-party private or 
public platforms. This was again to simplify implementation and to reduce risks.
• Network access to the pilot CBDC platform was limited to approved industry participants and their 
authorised end users to restrict usage and reduce risks. The pilot CBDC platform provided a 
pseudonymous level of privacy in respect of pilot CBDC balances and transactions, similar to many 
public DLT platforms. 10 This was considered adequate given that privacy arrangements were not a 
research focus of the project and given the restricted access to the platform.
• The identity of end users was held by each industry participant, with no identity information stored 
on the pilot CBDC platform; identity management was not a research focus of the project.
• The pilot CBDC platform provided a hash time locked contract (HTLC) mechanism to enable the 
exchange of assets for value across different networks via an escrow mechanism (see the Glossary).
FIGURE 1: Project Ecosystem
10. Individual holdings of pilot CBDC on the platform were only associated with a blockchain address, which is a random alphanumeric string that 
contains no personal information. The identity information linked to each blockchain address was held off-ledger by the relevant entity that 
verified the identity of the holder.
Developed and operated  
by industry participants
Developed by the DFCRC,  
operated by the RBA
Secure access  
to the API
Industry participants 
collect and store 
users’ KYC data
Implemented as 
private Ethereum 
(Quorum) network
Industry participants 
build use case platforms 
that connect to the pilot 
CBDC platform
Mint 
Issue 
Redeem  
Burn 
Freeze 
Seize
Industry participant 
platform
End user
 End user
Private  
KYC data
API
Privacy gateway
RBA interface  
for pilot CBDC 
operations
Pilot CBDC ledger
AUSTRALIAN CBDC PILOT FOR DIGITAL FINANCE INNOVATION:  PROJECT REPORT
1313</x:v>
      </x:c>
    </x:row>
    <x:row r="9" ht="110" customHeight="1">
      <x:c r="A9" s="46" t="str">
        <x:v>PRD-0005-P0017-U01</x:v>
      </x:c>
      <x:c r="B9" s="46" t="str">
        <x:v>AU_RBA_001</x:v>
      </x:c>
      <x:c r="C9" s="46" t="n">
        <x:v>17</x:v>
      </x:c>
      <x:c r="D9" s="46" t="str">
        <x:v>en</x:v>
      </x:c>
      <x:c r="E9" s="46" t="str">
        <x:v>text</x:v>
      </x:c>
      <x:c r="F9" s="46" t="str"/>
      <x:c r="G9" s="46" t="str">
        <x:v>BOX B CASE STUDY  – GST automation (Commonwealth Bank/Intuit)
This pilot use case demonstrated the collection and payment of GST using automated 
programmable payments implemented via the pilot CBDC. Merchants initiated the process via 
an in-app invoice payment request. The GST amount on the invoice was automatically 
calculated and paid in pilot CBDC to a holding account to be paid to the ATO, with the 
remainder automatically (and simultaneously) paid to the merchant. The use case illustrated the 
potential for programmable CBDC to increase the speed and efficiency of GST collections and to 
reduce the compliance burden on businesses. The feasibility of extending the use case to 
automate claiming of GST credits was also examined. By fully automating the calculation and 
payment of GST, the use case suggested a programmable CBDC could reduce the need for 
businesses to lodge quarterly Business Activity Statements.
BOX C CASE STUDY  – Tokenised invoices (Unizon/Zerocap)
This pilot use case demonstrated the issuance, third-party sale and eventual payment of a 
tokenised invoice between a wholesale car dealer (supplier), a third-party financier, and a 
wholesale car buyer (buyer). The supplier generated a tokenised invoice that represented a claim 
on the buyer. To optimise the supplier’s working capital, the tokenised invoice was split, and a 
portion was sold to the third-party financier. When the invoice came due for payment, the buyer 
used a stablecoin backed by pilot CBDC to pay the invoice, with the payments automatically 
calculated and forwarded simultaneously to the supplier and financier. The use case 
demonstrated how issuing and paying invoices on a DLT platform could improve the transparency 
and efficiency of supply chain finance, which has traditionally been a paper-intensive market and 
one not subjected to strong competition. The submission noted that the ability to automate 
multi-party payments using pilot CBDC has the potential to reduce errors and counterparty risk.
Supporting innovation in asset markets 
There was significant interest from industry participants in the tokenisation of financial and other 
assets. Many submissions highlighted the potential benefits for the economy from asset tokenisation 
as well as the potential for CBDC to be used for atomic settlement of transactions involving tokenised 
assets. Industry participants noted that asset tokenisation had the potential to improve efficiency and 
reduce risks associated with issuing, managing and trading assets in tokenised form on DLT-based 
platforms. It could also allow for greater fractionalisation of assets, which could broaden investor 
participation (including among retail investors) and increase market liquidity. 11
Several different types of assets were tokenised in the transactional pilot, including Australian carbon 
credit units, NSW biodiversity credits, debt securities (see Box D), and supplier invoices (see Box C), with 
settlement of transactions occurring in pilot CBDC.
11. This assumes that liquidity does not fragment across tokenised and traditional marketplaces.
AUSTRALIAN CBDC PILOT FOR DIGITAL FINANCE INNOVATION:  PROJECT REPORT
17</x:v>
      </x:c>
    </x:row>
    <x:row r="10" ht="110" customHeight="1">
      <x:c r="A10" s="46" t="str">
        <x:v>PRD-0006-P0007-U01</x:v>
      </x:c>
      <x:c r="B10" s="46" t="str">
        <x:v>AU_RBA_002</x:v>
      </x:c>
      <x:c r="C10" s="46" t="n">
        <x:v>7</x:v>
      </x:c>
      <x:c r="D10" s="46" t="str">
        <x:v>en</x:v>
      </x:c>
      <x:c r="E10" s="46" t="str">
        <x:v>text</x:v>
      </x:c>
      <x:c r="F10" s="46" t="str"/>
      <x:c r="G10" s="46" t="str">
        <x:v>The DFCRC will implement the pilot CBDC platform, with the RBA responsible for issuance and 
redemption of the pilot CBDC and other oversight and regulatory functions. This will be a stand-alone 
platform solely for the issuance and transactional operation of the pilot CBDC.
Use case providers will be industry participants responsible for the design and operation of their own 
technical platforms to implement their approved use case applications in the project. Note that use case 
providers will not be permitted to deploy any code or smart contracts on the pilot CBDC platform.
KYC providers will attest that holders of pilot CBDC have been identity-verified via an interface into the 
pilot CBDC platform. Use case providers may also act as KYC providers for their own end users.
The pilot CBDC platform will offer interfaces for use case provider platforms to conduct approved 
functions. This project ecosystem is depicted in Figure 1.
Project Ecosystem
PROJECT ECOSYSTEM
Use Case Platform(s)
• Developed &amp; operated by use 
case providers for end users
• Integrated with Pilot CBDC 
Platform via privacy gateway
• Must KYC end users (directly or 
via third party KYC provider)
Pilot CBDC Platform
• Implemented by DFCRC, 
operated by RBA
• Restricts access to approved 
participants
• Private Ethereum (Quorum)
• JSON-RPC APIs, Smart Contract 
(ERC-20) Interfaces
Figure 1: Project Ecosystem
AUSTRALIAN CBDC PILOT FOR DIGITAL FINANCE INNOVATION:  WHITE PAPER
7</x:v>
      </x:c>
    </x:row>
    <x:row r="11" ht="110" customHeight="1">
      <x:c r="A11" s="46" t="str">
        <x:v>PRD-0007-P0040-U01</x:v>
      </x:c>
      <x:c r="B11" s="46" t="str">
        <x:v>AU_RBA_003</x:v>
      </x:c>
      <x:c r="C11" s="46" t="n">
        <x:v>40</x:v>
      </x:c>
      <x:c r="D11" s="46" t="str">
        <x:v>en</x:v>
      </x:c>
      <x:c r="E11" s="46" t="str">
        <x:v>text</x:v>
      </x:c>
      <x:c r="F11" s="46" t="str"/>
      <x:c r="G11" s="46" t="str">
        <x:v>PROJECT ACACIA – CONSULTATION PAPER | NOVEMBER 2024           39 
Table 4: Summary of Findings of Phase 1  
 Model A Model B Model C Model D Model E 
Model description  Money and assets on different 
platforms, DvP settlement 
using commercial bank 
deposits is coordinated across 
platforms and  interchange  
uses ESA balances  
Money and assets on same 
platform, DvP settlement using 
wCBDC 
Money and assets on same 
platform, DvP settlement using 
DTs, interchange of DTs 
occurs off the asset platform 
using ESA balances  
Money and assets on same 
platform, DvP settlement using 
DTs, interchange is facilitated 
by a third -party holding liquidity 
in both  DTs 
Money and assets on same 
platform, DvP settlement using 
DTs, interchange also occurs 
on the asset platform using 
wCBDC or RBDC 
Summary of 
findings  
Makes greater use of existing 
infrastructure (e.g. FSS, ESAs) 
Less likely to require significant 
changes to regulation or policy 
(e.g. access to ESAs)  
Fewer inter -system 
interactions may result in 
better settlement throughput 
and latency (no on - or off -
ramping into or out of 
tokenised money, and no 
interchange between different 
money tokens – interchange of 
commercial bank money 
occurs through existing highly 
performant infrastructure ) 
Atomic settlement is more 
difficult to achieve (or 
infeasible)  given money and 
assets on different platforms  
Unable to support more 
complex use cases (e.g., 
AMM) which rely on money 
and assets being on the same 
platform  
Changes the central bank’s 
role from operator of a 
centralised infrastructure to 
issuer of wCBDC on third-party 
platform (s) 
More likely to require 
significant changes to 
regulation and/ or policy (e.g. 
who can hold wCBDC , 
requirements for third -party 
platform providers ) 
Fragments commercial banks’ 
liquidity in central bank money 
Rates less highly than Model A 
for settlement throughput and 
latency due to on and off -
ramping, but this may be 
mitigated if buyers and sellers 
held ‘tokenised money’ as a 
matter of course  
Rates more highly than Models 
C – E for settlement 
throughput and latency, as a 
single settlement asset avoids 
need for  interchange  
Maximises potential efficiency 
gains and risk reduction 
through atomic settlement, 
programmability of wCBDC 
and composability  
Privately issued tokenised 
money requires industry 
investment and supports 
innovation  
The model could be 
implemented by  sequencing 
DvP settlement (on the asset 
platform) before or after  
interchange (via FSS) , and 
these alternatives may carry 
risks for the transaction parties 
(buyer and seller) or the banks 
that facilitate interchange  
Rates less highly than Model A 
for settlement throughput and 
latency due to on - and off -
ramping associated with  DT 
interchange  
Better support than Model A 
for realising potential risk 
reduction and efficiency gains 
(but less than Models B and E) 
May offer more flexibility than 
Model A for different token 
market business models as 
central  bank and commercial 
bank settlement options are 
possible  
Privately issued tokenised 
money requires industry 
investment and supports 
innovation  
Supports more complex token 
settlement use cases and 
potential efficiency gains and 
risk reduction from tokenisation 
of money  
Lacks scalability for 
systemically important 
markets, due to absence of 
settlement in central bank 
money  
May undermine ‘singleness of 
money’ as a purely market -
based interchange mechanism 
may result in privately issued 
settlement assets trading at a 
discount or premium to central 
bank money  
Privately issued tokenised 
money requires industry 
investment and supports 
innovation  
May fragment commercial 
banks’ liquidity in central bank 
money to a lesser extent than 
Model B as wCBDC is used for 
interchange only  
Rates less highly than Model B 
for settlement throughput and 
latency due to need for DT 
interchange  
May offer more flexibility than 
Model B for different token 
market business models as 
central and commercial bank 
settlement options are possible</x:v>
      </x:c>
    </x:row>
    <x:row r="12" ht="110" customHeight="1">
      <x:c r="A12" s="46" t="str">
        <x:v>PRD-0007-P0046-U01</x:v>
      </x:c>
      <x:c r="B12" s="46" t="str">
        <x:v>AU_RBA_003</x:v>
      </x:c>
      <x:c r="C12" s="46" t="n">
        <x:v>46</x:v>
      </x:c>
      <x:c r="D12" s="46" t="str">
        <x:v>en</x:v>
      </x:c>
      <x:c r="E12" s="46" t="str">
        <x:v>text_and_render</x:v>
      </x:c>
      <x:c r="F12" s="46" t="str">
        <x:v>renders/PRD-0007-P0046.jpg</x:v>
      </x:c>
      <x:c r="G12" s="46" t="str">
        <x:v>PROJECT ACACIA – CONSULTATION PAPER | NOVEMBER 2024           45 
Model E: ‘Unified’ ledger 
​
​
​</x:v>
      </x:c>
    </x:row>
    <x:row r="13" ht="110" customHeight="1">
      <x:c r="A13" s="46" t="str">
        <x:v>PRD-0008-P0090-U01</x:v>
      </x:c>
      <x:c r="B13" s="46" t="str">
        <x:v>AW_ARU_001</x:v>
      </x:c>
      <x:c r="C13" s="46" t="n">
        <x:v>90</x:v>
      </x:c>
      <x:c r="D13" s="46" t="str">
        <x:v>en</x:v>
      </x:c>
      <x:c r="E13" s="46" t="str">
        <x:v>text</x:v>
      </x:c>
      <x:c r="F13" s="46" t="str"/>
      <x:c r="G13" s="46" t="str">
        <x:v>Leading with inclusion 
91
Abstract
The aim of this chapter is to review the best implementation 
options for a retail central bank digital currency (CBDC), 
specifically a retail digital florin, using the minimum design 
criteria and implementation scheme. The minimum design 
criteria maximize the benefits and minimize the risks of a 
retail CBDC. This study ties the risks and benefits to inclusive 
resilience, which is associated with monetary stability, financial 
stability, financial inclusion, and financial integrity. On conclusion, 
an inclusively-resilient retail digital florin must at least exhibit: 
(i) a three-tiered know-your-customer (KYC) approach (to 
balance privacy and KYC efforts), (ii) offline features, (iii) one-to-
one conversion between commercial bank deposits and CBDC, 
(iii) non-interest bearing, (iv) permissioned distributed ledger 
technology (DLT), (v) decentralized customer-facing activities, 
and (vi) for the time being, no cross-border payments. 
Contingent on a proof-of-concept for a retail digital florin, the 
following implementation process needs to be followed. This 
policy paper partly meets the first step of the implementation 
process, as it proposes a (I) digital florin with the minimum 
design criteria, an input for assessing the feasibility of a retail 
CBDC. The second step (II) involves determining the terms 
and conditions for the regulatory sandbox. Within this step, the 
government would pass laws making the digital florin a legal 
tender. In the third step (III), the CBA announces the regulatory 
sandbox, and interested parties can start their innovation 
processes within the parameters of this sandbox. In the fourth 
step (IV), once the government finalizes the legislative changes 
to the Aruban Payments System Directive, consumer financial 
protection laws, and e-Commerce legal framework, the CBA can 
invite the regulatory sandbox partners to roll out their product 
after successful testing and “graduation” from the regulatory 
sandbox. In the last step (V), the government establishes an 
Aruba digital citizenship and e-Government platform so new use 
cases can be explored. Concurrently, CBA fosters new use cases 
within the existing regulatory sandbox and repeats the process.</x:v>
      </x:c>
    </x:row>
    <x:row r="14" ht="110" customHeight="1">
      <x:c r="A14" s="46" t="str">
        <x:v>PRD-0008-P0116-U01</x:v>
      </x:c>
      <x:c r="B14" s="46" t="str">
        <x:v>AW_ARU_001</x:v>
      </x:c>
      <x:c r="C14" s="46" t="n">
        <x:v>116</x:v>
      </x:c>
      <x:c r="D14" s="46" t="str">
        <x:v>en</x:v>
      </x:c>
      <x:c r="E14" s="46" t="str">
        <x:v>text</x:v>
      </x:c>
      <x:c r="F14" s="46" t="str"/>
      <x:c r="G14" s="46" t="str">
        <x:v>Leading with inclusion 
117
As motivated in Section 5.2, a retail CBDC can drain commercial 
banks’ funding, especially those that depend heavily on retail 
deposits. September-end 2022, retail resident deposits form 
84.8 percent of total funding, confirming that Aruban commercial 
banks rely on retail funding. Accordingly, a retail CBDC 
may drain crucial funding sources of commercial banks, 
affecting their livelihood. At the same time, central banks 
can mitigate this risk. Users cannot conduct high-value 
transactions by putting a cap on CBDC holdings, mitigating 
sizeable potential outflows from commercial bank deposits to 
CBDC holdings (Figure 5). Moreover, by skipping remuneration 
on CBDC deposits, commercial bank deposits remain relatively 
appealing. Even if some retail bank deposits move to a CBDC, 
the higher cost of funding does not necessarily hurt profitability 
(and financial stability). Namely, IMF (2019a) reports that Aruban 
commercial banks enjoy healthy profits and sizable interest rate 
margins, partly reflecting weak competition. Furthermore, given 
the ample amount of excess liquidity in Aruba (CBA, 2023), if 
some retail deposits are converted to CBDC, the impact on cost 
of funding may be minute.
Financial stability – Worsened bank runs
A retail CBDC can worsen bank runs, as converting commercial 
bank money into CBDC is more straightforward than cash 
(Section 5.2). However, this risk is contingent on trust in the 
financial system (a country-specific characteristic) and on the 
design of the CBDC. Relevant to the former, the deposits of 
individuals (excluding enterprises and the government sector) 
are 6.9 times larger than the currency outside banks September-
end 2022 in Aruba. This observation may indicate that 
households trust non-central bank money. People might 
then perceive that the risk of losing their deposits is low, 
providing no spark for a bank run.
Furthermore, the CBA performs the role of lender of 
resort. This mechanism bolsters confidence in commercial 
bank deposits; rendering bank runs less likely. Nevertheless, 
people may be unaware of such an arrangement, and the 
parliament has still not passed the law regarding a deposit 
insurance scheme. One control proposed is limiting the amount 
of CBDC that any individual can possess. In the case of an 
interest-bearing CBDC, one alternative restriction would be a 
remuneration rate of zero for holdings over a particular level. Yet, 
it is unclear whether this action would sufficiently deter a bank 
run during a severe financial crisis (Richards et al., 2020).
Financial stability – Cybersecurity risks
The previous section emphasized that a retail CBDC is 
susceptible to cybersecurity threats and operational disruptions. 
A retail CBDC would produce another access point for a 
cyberattack. Moreover, while no data are publicly available on 
the number of cyberattacks on the Aruban financial system, 
given the number of cyberattacks seen elsewhere, there is 
reason to believe that Aruba is no exception. In 2019, the 
reported fraction of European banks targeted by one or more 
cyberattacks was 40 percent, up from 28 percent in 2018 to 
40 percent in 2019. (DNB, 2022c). Closer to home, the South 
American region reported five cyber incidents targeting financial 
institutions in 2020 and 2021 (Carnegie, 2022). To somewhat 
attenuate cybersecurity risks, strict privacy policies may create 
and store less sensitive data. As a result, potential attackers 
have fewer incentives to breach the system of central banks and 
PSPs (depending on where customer data is stored, in the case 
of a hybrid retail CBDC, both). Moreover, having less sensitive</x:v>
      </x:c>
    </x:row>
    <x:row r="15" ht="110" customHeight="1">
      <x:c r="A15" s="46" t="str">
        <x:v>PRD-0008-P0118-U01</x:v>
      </x:c>
      <x:c r="B15" s="46" t="str">
        <x:v>AW_ARU_001</x:v>
      </x:c>
      <x:c r="C15" s="46" t="n">
        <x:v>118</x:v>
      </x:c>
      <x:c r="D15" s="46" t="str">
        <x:v>en</x:v>
      </x:c>
      <x:c r="E15" s="46" t="str">
        <x:v>text</x:v>
      </x:c>
      <x:c r="F15" s="46" t="str"/>
      <x:c r="G15" s="46" t="str">
        <x:v>Leading with inclusion 
119
that balance, non-bank customers may conduct low-value 
transactions, granted they provide a verified local phone number 
(CBN, 2021a). Non-banked customers can transact at medium 
values (in the Nigerian example, to the tune of USD 113.9 at the 
moment of writing) provided they have a verified phone number 
and a National Identification Number (NIN). Besides those two 
requirements, banked customers require a Bank Verification 
Number (BVN) to conduct high-value transactions. The BVN 
also prevents offenders from hacking into the system, a feature 
relevant to financial stability. 
Another benefit of a retail CBDC is potentially fostering 
competition, thereby quickening the responsiveness of 
businesses to dynamic consumer needs. These efforts relate to 
financial inclusion. This policy paper advises central banks 
to decentralize the customer-facing duties (retail payments 
clearing, KYC checks) to foster competition in the payments 
system. Such a design would be consistent with either an 
indirect or a hybrid CBDC, allowing for a permissioned DLT-
based CBDC (Section 4). 
In terms of minimizing the risks, this policy paper urges 
a cap on digital florin holdings and a non-interest-
bearing CBDC. These measures prevent large outflows 
from commercial bank deposits to digital florins, also easing 
concerns of (unlikely) runs on Aruban banks. In the end, these 
measures benefit monetary and financial stability. Further, 
this policy paper advises, for the time being
12, against 
cross-border abilities, given significant monetary stability 
concerns. Although it is difficult to stop non-residents from 
holding digital florins, the three-tiered KYC approach mentioned 
above can mitigate outflows. 
Fanti et al. (2022) mention six principles to inhibit cybersecurity 
risks and encourage financial stability. They are relevant to the 
CBA, the government, and PSPs. 
• Principle 1: Where possible, use existing risk 
management frameworks and regulations. Cybersecurity 
policy for a retail digital florin does not have to reinvent the 
wheel. There are rules, regulations, and standards already 
in place that if applied, can aid in the prevention of cyber-
attacks on the banking industry. Some apply directly or may 
serve as a valuable starting point for future adoption.
• Principle 2: Privacy can strengthen security. Retail digital 
florin designs that give weight to the principle of privacy may 
also be more secure. The line of thinking is that privacy-
preserving digital florins limit the potential harm caused 
by cyberattacks, such as data exfiltration. After all, stricter 
privacy policies may create and store less sensitive data. As 
a result, potential attackers have fewer incentives to breach 
the system of central banks and PSPs (depending on where 
customer data is stored, in the case of a hybrid retail CBDC, 
both). The consequences will probably be less severe even if 
an attack is successful.
• Principle 3: Test, test, and test some more. The CBA and 
PSPs need to regularly test the layers of the CBDC stack 
(Figure 7, first column). For example, at the hardware and 
application layers, technical inspectors should test wallet 
software and hardware for vulnerabilities that could enable 
attackers to steal funds from users, exfiltrate data, or prevent 
the execution of transactions. Another crucial CBDC layer 
stack is consensus, as smart contracts powered by DLT will 
12 As a more recent IMF technote by He et al. (2023) explain how CBDCs could be designed to facilitate cross-border payments while still managing capital flows.</x:v>
      </x:c>
    </x:row>
    <x:row r="16" ht="110" customHeight="1">
      <x:c r="A16" s="46" t="str">
        <x:v>PRD-0009-P0002-U01</x:v>
      </x:c>
      <x:c r="B16" s="46" t="str">
        <x:v>BIS_Pakistan_2022</x:v>
      </x:c>
      <x:c r="C16" s="46" t="n">
        <x:v>2</x:v>
      </x:c>
      <x:c r="D16" s="46" t="str">
        <x:v>en</x:v>
      </x:c>
      <x:c r="E16" s="46" t="str">
        <x:v>text</x:v>
      </x:c>
      <x:c r="F16" s="46" t="str"/>
      <x:c r="G16" s="46" t="str">
        <x:v>Page 2 of 13 
special relationship are as follows: one of the first governors of the S audi 
Monetary Authority was Mr. Anwar Ali a Pakistani; the road that I take to work 
every day in Karachi is called Shahrah -e-Faisal. The largest mosque in Pakistan 
is the Faisal Mosque. And the list goes on. So today as a Pakistani I also bring to 
you the good wishes and prayers of the people of Pakistan.  
In my remarks I’ll cover three points:  
 First, I would like to dwell upon the rapid transformation we are witnessing 
today from cash to digital. The history of money is one where innovation 
has occurred in sudden bursts. We are in one such burst today. I will speak 
about how this transformation from cash to digital is manifesting itself in 
Pakistan. The State Bank of Pakistan in recent history has not witnessed the 
pace of work on digital payments in decad es as we are experiencing now.  
 My second main point will be that while promoting digital payments is a key 
goal of the State Bank this is not the same as promoting crypto currencies. 
Over the past months we have carefully looked at the private digital 
currencies and we have come to the view that, based on what is on offer 
now, such virtual currencies have more risks than benefits when evaluated 
against our objectives as a central bank and regulator of the payment and 
financial system. I will share how we have reached this stage in our thinking. 
 Finally, my third point will be that the work underway in many countries and 
international institutions on Central Bank Digital Currencies (CBDCs) is 
welcome. This work should not be driven just by the desire to offe r an 
alternative to private digital currencies or out of the fear of them. Instead, 
this work should be evaluated from the perspective of how CBDCs can 
contribute to each regulator’s agenda—in our case, it is to preserve stability</x:v>
      </x:c>
    </x:row>
    <x:row r="17" ht="110" customHeight="1">
      <x:c r="A17" s="46" t="str">
        <x:v>PRD-0009-P0010-U01</x:v>
      </x:c>
      <x:c r="B17" s="46" t="str">
        <x:v>BIS_Pakistan_2022</x:v>
      </x:c>
      <x:c r="C17" s="46" t="n">
        <x:v>10</x:v>
      </x:c>
      <x:c r="D17" s="46" t="str">
        <x:v>en</x:v>
      </x:c>
      <x:c r="E17" s="46" t="str">
        <x:v>text</x:v>
      </x:c>
      <x:c r="F17" s="46" t="str"/>
      <x:c r="G17" s="46" t="str">
        <x:v>Page 10 of 13 
This brings me to the third theme of my speech, the topic of central bank digital 
currencies or CBDCs as they are popularly known.   
In simpler terms, and as Bank of International Settlements (BIS) aptly described 
in one of its papers, CBDCs are simply digital banknotes. They are central bank 
liabilities in digital form issued either directly to the general public or via 
intermediaries.  
As we all are aware that these CBDCs can be c lassified into two categories, 
wholesale and retail. In wholesale, a number of experiments have been 
conducted in the form of pilot projects primarily to understand the efficiencies 
that wholesale CBDCs will bring over conventional RTGS based digital money . 
Experiments of project Jasper by Bank of Canada and Project Stella by Bank of 
England have demonstrated that wholesale CBDC may not have substantial 
benefits over conventional RTGS (except reconciliations). There is also a 
challenge of complying with int ernational principles like Principles of Financial 
Market Infrastructure especially with regards to settlement finality. Another 
challenge is the integration of block chain -based systems with core banking 
systems of other participating banks and a number o f experiments are being 
conducted to determine the issues. Project Helvetia of Bank of International 
Settlement (BIS) innovations hub and Swiss National Bank is aimed at finding 
answers to these questions.  
On the retail side, a lot of work is being done a nd a number of countries have 
initiated pilot projects. The primary objective of these experiments and pilots 
seem to be aimed at more of understanding the role of CBDCs and their benefits 
at retail level especially digitization and financial inclusion.</x:v>
      </x:c>
    </x:row>
    <x:row r="18" ht="110" customHeight="1">
      <x:c r="A18" s="46" t="str">
        <x:v>PRD-0010-P0049-U01</x:v>
      </x:c>
      <x:c r="B18" s="46" t="str">
        <x:v>BO_BCB_Boliviano_Digital_2025</x:v>
      </x:c>
      <x:c r="C18" s="46" t="n">
        <x:v>49</x:v>
      </x:c>
      <x:c r="D18" s="46" t="str">
        <x:v>es</x:v>
      </x:c>
      <x:c r="E18" s="46" t="str">
        <x:v>text</x:v>
      </x:c>
      <x:c r="F18" s="46" t="str"/>
      <x:c r="G18" s="46" t="str">
        <x:v>37
PRIMER INFORME DEL BOLIVIANO DIGITAL
La interoperabilidad es una condición estructural que tiene actualmente el sistema 
de pagos de alto valor, debido a que de ella depende la integración con sistemas de 
liquidación bruta en tiempo real (LBTR) e infraestructuras de valores, por lo que una CBDC 
mayorista debe funcionar como una capa de liquidación universal, capaz de interactuar 
con sistemas existentes, las CCL y la EDV, sin generar duplicaciones ni fricciones entre 
plataformas. La experiencia del Project Helvetia en Suiza y del Drex en Brasil confirma 
que una arquitectura técnica basada en APIs abiertas y módulos compatibles con ISO 
20022 es fundamental para garantizar la escalabilidad y sostenibilidad del sistema 
digital de pagos interbancarios18.
La trazabilidad total de las operaciones es una de las ventajas más relevantes de una 
CBDC mayorista, especialmente cuando se aplica en compensaciones interbancarias, 
transferencias de valores públicos o colocaciones de deuda. A diferencia del dinero 
fiduciario en papel o de las transferencias tradicionales donde la trazabilidad depende 
de registros separados, una infraestructura basada en DLT o base de datos distribuida 
permite visualizar en tiempo real el ciclo completo de una operación, desde su origen 
hasta su liquidación. Esta característica no solo mejora la supervisión del Banco Central, 
sino que permite a las autoridades monetarias y fiscales detectar cuellos de botella, 
evitar duplicidades y fortalecer el control macroprudencial sobre el sistema.
La seguridad constituye un principio no negociable en el diseño y operación de una 
CBDC. A diferencia de los esquemas minoristas donde el riesgo está disperso entre 
millones de usuarios finales, en una arquitectura interbancaria, los nodos participantes 
concentran operaciones críticas de gran volumen, lo que eleva el impacto potencial 
de cualquier brecha de seguridad. Por tanto, el sistema debe incorporar estándares 
internacionales de ciberseguridad como ISO/IEC 27001, mecanismos de verificación 
múltiple (MFA), gestión automatizada de incidentes, protocolos de recuperación 
ante fallos (BCP) y pruebas continuas de estrés tecnológico. Esta arquitectura deberá 
garantizar la continuidad operativa a toda hora, todos los días con latencias mínimas y 
tolerancia a ataques de denegación de servicio o accesos no autorizados.
En un entorno mayorista, la privacidad no alude al anonimato de los usuarios, sino a la 
confidencialidad de las operaciones financieras realizadas por instituciones reguladas. 
Si bien toda operación en el sistema de pagos de alto valor es trazable para el BCB, 
se debe preservar el principio de compartimentación, mediante canales cifrados, 
validaciones por niveles jerárquicos y mecanismos de privacy by design. En este sentido, 
18 BIS Innovation Hub; Swiss National Bank; y SIX. (2022). Project Helvetia Phase II: settling 
tokenised assets in wholesale CBDC, enero, Bank for International Settlements, Basilea, Suiza.</x:v>
      </x:c>
    </x:row>
    <x:row r="19" ht="110" customHeight="1">
      <x:c r="A19" s="46" t="str">
        <x:v>PRD-0010-P0057-U01</x:v>
      </x:c>
      <x:c r="B19" s="46" t="str">
        <x:v>BO_BCB_Boliviano_Digital_2025</x:v>
      </x:c>
      <x:c r="C19" s="46" t="n">
        <x:v>57</x:v>
      </x:c>
      <x:c r="D19" s="46" t="str">
        <x:v>es</x:v>
      </x:c>
      <x:c r="E19" s="46" t="str">
        <x:v>text</x:v>
      </x:c>
      <x:c r="F19" s="46" t="str"/>
      <x:c r="G19" s="46" t="str">
        <x:v>45
PRIMER INFORME DEL BOLIVIANO DIGITAL
De igual manera se prevé la difusión de los resultados obtenidos en el segundo informe, 
lo que permitirá compartir los principales hallazgos y recomendaciones del proceso 
de evaluación del Boliviano Digital. Con este propósito, se llevará a cabo una amplia 
socialización en universidades, escuelas, actores del sistema financiero y entidades del 
sector público, fomentando así el debate académico y técnico en torno al boliviano 
digital.
Superada esa etapa, se iniciará una fase exploratoria de desarrollo de prototipos 
funcionales en entornos controlados de prueba, que simulen operaciones de emisión, 
liquidación y compensación de activos digitales entre actores regulados. Esta etapa 
buscará evaluar la viabilidad técnica, la compatibilidad con infraestructuras existentes, 
la robustez del diseño, y la seguridad de las operaciones bajo condiciones específicas. 
No implicará circulación real de dinero, sino validación tecnológica y procedimental 
para identificar cuellos de botella o riesgos sistémicos.
Ruta Crítica de desarrollo investigativo del Boliviano Digital
•C on la información obtenida en las reuniones con 
los actores del sistema financiero y publico en 
general y los resultados de la encuesta se realizará 
un segundo documento de evaluación de una 
posible emisión del Boliviano Digital.
(Tercer trimestre 2026)
2. Reunión con actores 
relevantes para la 
implementación de una CBDC
•L anzamiento de la encuesta para los 
participantes de la CBDC.
•E sta encuesta permitirá ajustar el 
diseño del Boliviano Digital y mejorar 
los canales de educación financiera a 
implementar.
(Segundo trimestre 2026)
3. Realización de la encuesta 
nacional de percepción 
ciudadana a un grupo focal
5. Publicación y socialización 
del segundo documento del 
Boliviano Digital
•D ifusión de los resultados obtenidos en 
el segundo informe y socialización en: 
Universidades, Escuelas, Actores del 
Sistema Financiero y del sector público
(Cuarto trimestre 2026)
•R eunión con actores del sistema 
financiero y público en general, 
para identificar las necesidades 
que pueden ser satisfechas con 
el Boliviano Digital
(Primer trimestre 2026)
•S ocialización de la Moneda 
Digital de Banca Central: 
Universidades, Escuelas, 
Actores del Sistema Financiero 
y del sector público (Cuarto 
trimestre 2025)
1. Publicación y socialización 
del primer documento del 
Boliviano Digital
4. Elaboración del segundo 
documento y posible prueba 
piloto en base a resultados
2025
2026
Elaboración: BCB.</x:v>
      </x:c>
    </x:row>
    <x:row r="20" ht="110" customHeight="1">
      <x:c r="A20" s="46" t="str">
        <x:v>PRD-0011-P0007-U01</x:v>
      </x:c>
      <x:c r="B20" s="46" t="str">
        <x:v>BR_Brazil_2023</x:v>
      </x:c>
      <x:c r="C20" s="46" t="n">
        <x:v>7</x:v>
      </x:c>
      <x:c r="D20" s="46" t="str">
        <x:v>en</x:v>
      </x:c>
      <x:c r="E20" s="46" t="str">
        <x:v>text</x:v>
      </x:c>
      <x:c r="F20" s="46" t="str"/>
      <x:c r="G20" s="46" t="str">
        <x:v>Brazilian Digital Real – Guidelines March 2023
Guideline 7. Technological design that allows full compliance with international 
recommendations and legislation regarding to combat money laundering and 
terrorist financing, as well as the financing of proliferation of weapons of mass 
destruction, including compliance with court orders for tracking illicit operations.
Guideline 8. Adoption of a technological solution based on DLT that enables:
1. Initial registration of assets of different natures
2. Decentralization in the provision of products and services
3. Interoperability with legacy domestic systems and with other systems for 
registration and information transfers information, as well as trading of regulated 
digital assets
4. Integration with systems in other jurisdictions, with a view to making cross-border 
payments.
Guideline 9. Adoption of resiliency and cybersecurity standards equivalent to 
those applicable to critical infrastructures in the financial market.</x:v>
      </x:c>
    </x:row>
    <x:row r="21" ht="110" customHeight="1">
      <x:c r="A21" s="46" t="str">
        <x:v>PRD-0011-P0011-U01</x:v>
      </x:c>
      <x:c r="B21" s="46" t="str">
        <x:v>BR_Brazil_2023</x:v>
      </x:c>
      <x:c r="C21" s="46" t="n">
        <x:v>11</x:v>
      </x:c>
      <x:c r="D21" s="46" t="str">
        <x:v>en</x:v>
      </x:c>
      <x:c r="E21" s="46" t="str">
        <x:v>text</x:v>
      </x:c>
      <x:c r="F21" s="46" t="str"/>
      <x:c r="G21" s="46" t="str">
        <x:v>3
 Fractionalization of assets
4
 Access to services through financial and payment institutions
✓ Tokenized Brazilian Real
✓ API provided by the financial service provider
5
 Technological and business directives
✓ To be defined exclusively by the BCB
✓ ‘Digital Real’ Forum: channel of consultation between the BCB and 
representative entities from the segments involved
Piloto RD – Technical aspects</x:v>
      </x:c>
    </x:row>
    <x:row r="22" ht="110" customHeight="1">
      <x:c r="A22" s="46" t="str">
        <x:v>PRD-0012-P0009-U01</x:v>
      </x:c>
      <x:c r="B22" s="46" t="str">
        <x:v>BS_Bahamas_SandDollar_2019</x:v>
      </x:c>
      <x:c r="C22" s="46" t="n">
        <x:v>9</x:v>
      </x:c>
      <x:c r="D22" s="46" t="str">
        <x:v>en</x:v>
      </x:c>
      <x:c r="E22" s="46" t="str">
        <x:v>text</x:v>
      </x:c>
      <x:c r="F22" s="46" t="str"/>
      <x:c r="G22" s="46" t="str">
        <x:v>9 
assess to be of higher risk.  For very low-value stored products, the identification process need 
not be invoked.11  The Central Bank also signalled that a job letter or proof of employment would 
not be a requirement to open a personal deposit account.  This affects the cross -section of the 
resident adult population who might not be employed, but would be entitled to transaction 
accounts, such as savings facilities with debit cards attached. 
The other easing, which the Central Bank undertook  in 2018, was to remove Exchange Control 
restrictions from non-residents’ access to Bahamian dollar (B$) deposit facilities. Irrespective of 
immigration or work p ermit status, these persons can open and maintain B$ deposit accounts 
with balances of up to $50,000 without approval from the Central Bank. 
To progress beyond these regulatory steps , the Central Bank recognised that , in The Bahamas , 
“public goods” outcomes still existed, even where the same circumstances might produce strictly 
private sector efficient solutions in larger developed or developing country settings.  Outcomes 
still have to ensure that all pockets of the archipelago are serviced by the private sector solutions 
that emerge.  Also, the solutions should connect all consumers regardless of the consumers ’ 
choice of service provider.  It is an interoperability requirement, that for The Bahamas would only 
be achieved swiftly if it were universally profitable.  As proposed, the digital currency solution 
would eliminate this constraint. 
4 PROJECT SAND DOLLAR 
The intended outcome of Project Sand Dollar is that all residents in The Bahamas would have use 
of a central bank digital currency, on a modernized technology platform, with an experience and 
convenience—legally and otherwise—that resembles cash.  It is expected that this will allow for 
reduced service delivery costs, increased transactional efficiency, and an improved overall level 
of financial inclusion.  The anonymity feature of cash is not being replicated,  although the Sand 
Dollar infrastructure would incorporate strict attention to confidentiality and data protection. 
A digital fiat currency would not be a “crypto currency” in any sense resembling private 
instruments in existence.  It would be an identifiable liability of the Central Bank of The Bahamas, 
equivalent in every respect to the paper currency.  Its value would be the same as the existing 
currency.  The digital currency would also not be a stable coin, or a parallel currency, in the sense 
that it would not derive any value separate from the external reserves backing afforded to the 
11 In the AML Guidance Notes these would be accounts  that carry $500 or less and for which the monthly reload  
capacity is $300 or less.  Monitoring of transactions for AML purposes, still applies for all accounts which financial 
institutions maintain. Where higher risks are assessed , supervised institutions may also invoke processes  that go 
beyond identification, such as verification of sources of income or wealth.</x:v>
      </x:c>
    </x:row>
    <x:row r="23" ht="110" customHeight="1">
      <x:c r="A23" s="46" t="str">
        <x:v>PRD-0012-P0010-U01</x:v>
      </x:c>
      <x:c r="B23" s="46" t="str">
        <x:v>BS_Bahamas_SandDollar_2019</x:v>
      </x:c>
      <x:c r="C23" s="46" t="n">
        <x:v>10</x:v>
      </x:c>
      <x:c r="D23" s="46" t="str">
        <x:v>en</x:v>
      </x:c>
      <x:c r="E23" s="46" t="str">
        <x:v>text</x:v>
      </x:c>
      <x:c r="F23" s="46" t="str"/>
      <x:c r="G23" s="46" t="str">
        <x:v>10 
Central Bank’s demand liabilities. 
4.1 Key Specifications of the Proposed Solution 
The Central Bank undertook a rigorous process to select a technology solutions provider for the 
design and implementation of the digital fiat for The Bahamas.  The search process stressed a 
need for a robust solution that addressed both the archipelagic and infrastructural challenges of 
providing electronic financial services, as well as the requirement to provide a solution that was 
robust against international regulatory standards.  
In March 2019, NZIA Limited was selected as the solutions provider .  A few key aspects of the 
proposed solution are as follows: 
 Achieving i nteroperability among existing and new channels for the provision of 
payments services.  All payments services firms would have access to the digital currency 
and would be able to use the Sand Dollar Network to settle reta il Bahamian dollar 
payments. 
 Supporting “offline functionality” even if communication between the islands is 
disconnected.  Built -in safeguards would allow users to make a pre-set dollar value of 
payments when communications access to the Sand Dollar N etwork was disrupted.  
Wallets would update against the network once communications were re-established. 
 Near instantaneous validation of transactions/real-time transactions processing. 
 Point of sale support for businesses accepting payments.  Through PSP tailored solutions, 
business would be able to process payments with modern credit and debit card machines 
or mobile phone apps. 
 Fully auditable transactions trail (non-anonymous).  Transactions monitoring still protects 
user confidentiality, and would be governed by strict regulatory standards around access. 
 Monitoring for fraud detection. 
 Restriction of digital currency to domestic use.  A Bahamian CBDC would be for domestic 
use only, and prohibited from acceptance by non-domestic payees.  Wallet holders would 
still have the option, through PSPs, to integrate accounts with commercial banks, to make 
electronic purchases of foreign exchange, enabling use of their accounts internationally.   
 Multi-factor authentication for wallet users.  Users would have to supply two passcodes, 
one randomly generated, to complete some payments transactions. 
 Digital ID solution (using KYC and identity features incorporated in the system design) that 
can be piloted for use in the financial services sector.</x:v>
      </x:c>
    </x:row>
    <x:row r="24" ht="110" customHeight="1">
      <x:c r="A24" s="46" t="str">
        <x:v>PRD-0012-P0014-U01</x:v>
      </x:c>
      <x:c r="B24" s="46" t="str">
        <x:v>BS_Bahamas_SandDollar_2019</x:v>
      </x:c>
      <x:c r="C24" s="46" t="n">
        <x:v>14</x:v>
      </x:c>
      <x:c r="D24" s="46" t="str">
        <x:v>en</x:v>
      </x:c>
      <x:c r="E24" s="46" t="str">
        <x:v>text</x:v>
      </x:c>
      <x:c r="F24" s="46" t="str"/>
      <x:c r="G24" s="46" t="str">
        <x:v>14 
undertake the due diligence to enroll the wallet as a business operated account; or through the 
due diligence process, document the affirmation that the account is non-commercial. 
4.4 Tailoring the Digital Currency Experience 
The Central Bank will impose a cei ling on how much digital currency can be maintained in a 
mobile wallet, according to the category of user and the level of required customer due diligence. 
Central Bank SFIs will not face any limit on holdings , as these would be interchangeable for the 
clearing balances which SFIs maintain with the Central Bank.  Other non-individual wallet holders 
(primarily businesses) would be permitted to hold total balances which are the greater of $8,000 
or 1/20th of their annual sales receipts, subject to a maximum ceiling of $ 1 million.  Monthly 
transaction limits would also apply: proposed at 1/8 th of annual sales or $20,000, whichever is 
greater. 
For individuals , wallets established with basic due -diligence, would be capped at a maximum 
holding capacity of $ 500 and subjected to monthly transactions totals against either payments 
or receipts of $ 1,500.  Personal accounts , which undergo more enhanced due diligence around 
identification, verification of contact , would be enabled to operate within a maximum holding 
amount of $5,000 and subject to an annual transactions limit of $100,000 (or $10,000 per month).  
Personal wallets, once connected to deposit accounts at financial institutions, would be enabled 
to undertake higher total transactions value, on the condition that the transactions flow through 
deposit accounts, since the maximum amount of digital currency holdings would remain capped. 
The Central Bank will vary these limits over time as may be necessary to satisfy the robustness of 
the AML/CFT regime, under the p rinciple that the more elevated due -diligence would always 
enable accounts to operate with higher transactions limits. 
The wallet establishment process is intended to be simplified, and reliant upon procedures 
established by the Central Bank ; and the appro ved KYC system of banks and payment services 
providers.  It will be possible to initiate the process through banks (eventually credit unions), PSPs 
or MTBs, but in all cases using Central Bank pre-established account codes.  16  Users would be 
able to download the Sand Dollar app to mobile iOS (Apple) or android devices and then complete 
the account setup process through a licensed service provider. All personal users would be able 
to elect to establish the lowest level of transactions activation; and then to subsequently enable 
higher access amounts by completing the enhanced due diligence process. 
A card-based version of the digital wallet will also be piloted for users who elect not to use a 
mobile device, or for users that elect to undertake some transacti ons offline from the mobile 
app.   This should appeal to individuals who might wish to operate initially in a less digital setting 
16 See Appendix for a diagram of the eco-system.</x:v>
      </x:c>
    </x:row>
    <x:row r="25" ht="110" customHeight="1">
      <x:c r="A25" s="46" t="str">
        <x:v>PRD-0012-P0025-U01</x:v>
      </x:c>
      <x:c r="B25" s="46" t="str">
        <x:v>BS_Bahamas_SandDollar_2019</x:v>
      </x:c>
      <x:c r="C25" s="46" t="n">
        <x:v>25</x:v>
      </x:c>
      <x:c r="D25" s="46" t="str">
        <x:v>en</x:v>
      </x:c>
      <x:c r="E25" s="46" t="str">
        <x:v>text</x:v>
      </x:c>
      <x:c r="F25" s="46" t="str"/>
      <x:c r="G25" s="46" t="str">
        <x:v>25 
Tiered KYC Requirements for Sand Dollar Accounts 
  Description Threshold/Limit Customer Due Diligence/KYC 
Requirements 
to applicants) and 
mobile phones. 
5) Deposits can be made 
by account holder and 
3rd parties, but 
withdrawals must be 
made by account holder 
only. 
6) Operation is valid only 
within Commonwealth 
of the Bahamas. 
7) International fund 
transfer is prohibited. 
8) Not interest bearing. 
3) This information may be sent 
electronically to authorized 
entities to be processed.   
Enhanced 
(Level 3)  
High-Value/Business 
Accounts 
1) Authorized on-
boarding entities must 
obtain, verify and 
maintain copies of all 
required 
documentations for 
account openings. 
2) The accounts must be 
established face-to-face 
through any of the 
authorized commercial 
banks, payment service 
providers (PSPs) and 
money transfer 
businesses (MTBs) 
through their respective 
designated agents. 
Maximum Holding 
Balance: B$8,000, 
or 1/20th of annual 
sales, up to an 
annual limit B$1 
million.   
Maximum 
Transaction Limit 
per month: 
B$20,000 or 1/8th 
of annual revenues 
whichever is 
greater. 
NB: Annual sales 
are based on VAT 
or Business license 
filing. 
Applicants are required to comply 
with the Enhanced Due Diligence 
measures published in the 
AML/CFT Guidelines, 200920 (as 
amended) issued by Central Bank 
of the Bahamas. 
Evidence of current existence on 
the business license register is 
required VAT TIN. 
Enrollment details must 
correspond to official records 
Due diligence procedures 
undertaken by wallet providers 
should establish that person acting 
on behalf of commercial and other 
entities are duly authorized to do 
so. 
20 See https://www.centralbankbahamas.com/download/032474800.pdf for ‘ Central Bank’s Guidelines for 
Supervised Financial Institutions on the Prevention of Money Laundering, Countering the Financing of Terrorism &amp; 
Proliferation financing’.</x:v>
      </x:c>
    </x:row>
    <x:row r="26" ht="110" customHeight="1">
      <x:c r="A26" s="46" t="str">
        <x:v>PRD-0013-P0013-U01</x:v>
      </x:c>
      <x:c r="B26" s="46" t="str">
        <x:v>CA_BoC_2017</x:v>
      </x:c>
      <x:c r="C26" s="46" t="n">
        <x:v>13</x:v>
      </x:c>
      <x:c r="D26" s="46" t="str">
        <x:v>en</x:v>
      </x:c>
      <x:c r="E26" s="46" t="str">
        <x:v>text</x:v>
      </x:c>
      <x:c r="F26" s="46" t="str"/>
      <x:c r="G26" s="46" t="str">
        <x:v>9 
is more likely to avoid significant errors and lead to reliable analysis. Put differently, the 
benchmark CBDC here is designed to minimize disruption by having properties similar to its 
physical analogue, cash. Also, the benchmark CBDC complements—and does not replace —cash.  
The main attributes of the benchmark CBDC are set out below. We assume that the central bank 
has access to the technology that would allow the issuance of a CBDC with this list of features. 
Table 1 compares the features of the three types of central bank money—reserves, bank notes 
and the benchmark CBDC—with reference to thes e attributes.  
Denomination 
• The benchmark CBDC is denominated in the sovereign currency; for Canada, the 
Canadian dollar.  
Legal tender 
• Like cash, the benchmark CBDC is legal tender.15  
Convertibility 
• The central bank would exchange reserves, bank notes and CBDC at par with financial 
institutions that have an account at the central bank, just as reserves and bank notes are 
exchanged at par today. This would lead to par exchange of bank notes and CBDC 
among the general public.  
Non-interest-bearing 
• Like cash, the benchmark CBDC does not bear interest. 
Central bank fees 
• The central bank does not charge fees for distributing/exchanging or storing CBDC, or 
for making payments using CBDC.  
• Commercial banks could, however, decide to charge fees for services related to CBDC.  
Access to CBDC 
• Access is non-exclusive—anyone could use the CBDC —but access to related technology 
is required.  
• CBDC is held and transferred with a chip card or a digital wallet available to any person 
or firm with the technology, through various devices, including personal computers, 
tablets and mobile phones with online capability.  
• The digital wallet would be provided by designated private service providers that are 
certified or licensed by the central bank. 
• As noted above, the underlying technology (like a digital ledger) is not specified here.  
15 The definition of legal tender varies across jurisdictions. In Canada, legal tender refers to the money approved for 
paying debts. And while bank notes are legal tender in Canada, there is no legal obligation for merchants to accept 
them.</x:v>
      </x:c>
    </x:row>
    <x:row r="27" ht="110" customHeight="1">
      <x:c r="A27" s="46" t="str">
        <x:v>PRD-0013-P0019-U01</x:v>
      </x:c>
      <x:c r="B27" s="46" t="str">
        <x:v>CA_BoC_2017</x:v>
      </x:c>
      <x:c r="C27" s="46" t="n">
        <x:v>19</x:v>
      </x:c>
      <x:c r="D27" s="46" t="str">
        <x:v>en</x:v>
      </x:c>
      <x:c r="E27" s="46" t="str">
        <x:v>text</x:v>
      </x:c>
      <x:c r="F27" s="46" t="str"/>
      <x:c r="G27" s="46" t="str">
        <x:v>15 
of helicopter money might be reduced if a significant fraction of CBDC were held by non-
residents. (The benchmark CBDC is anonymous and thus the central bank cannot target such 
actions toward residents only.) 
4.3  The banking system and financial stability 
It follows from the preceding discussion of the demand for CBDC that some displacement of 
bank deposits and other conventional savings instruments would be expected. However, since the 
benchmark CBDC does not pay interest, a significant shift to CBDC from conventional financial 
instruments seems unlikely. Also, like cash, the benchmark CBDC is subject to risk of theft and 
loss, which would also discourage significant holdings of CBDC, other things being equal.  
At the same time, if there were a material impact on deposits, for example, banks would respond 
by increasing interest rates on their liabilities or bundling superior services on such accounts 
relative to CBDC to maintain their funding. As a result, the steady-state impact of the benchmark 
CBDC on bank deposits and other claims would likely be small, but balances could shift (more 
readily) toward CBDC in stress periods, with attendant volatility and potentially significant 
disruptions of the financial system. This endogenous aspect is probably more important for 
interest-bearing CBDC, which is considered in section 5.4.  
4.4  Contestability and efficiency in payments 
Retail payments  
Fung and Halaburda (2016) argue that digital currency would benefit retail payment efficiency in 
two ways, which would also apply to the benchmark CBDC. First, CBDC would have lower user 
costs than cash, which could prompt substitution from cash to CBDC for retail and person-to-
person payments. However, relatively low-cost electronic person-to-person payment methods, 
such as Interac e-Transfer in Canada, already exist and consumers are increasingly making use of 
such payment methods.19  
Second, CBDC would facilitate transactions that are currently foregone because of frictions that 
inhibit some types of transactions. For example, some consumers avoid online purchases because 
of security and privacy concerns when providing their credit card information. The benchmark 
CBDC would facilitate such online transactions because it is anonymous, and because potential 
losses from fraud to the consumer would be limited to only the amount of the single, specific 
transaction. Also, smaller merchants often avoid selling online because of card fees, especially 
for small-value transactions; CBDC would facilitate small-value online transactions given a 
relatively low (or no) associated fees. (As noted in Table 1, the central bank charges no fees for 
CBDC.)   
As a result of these considerations, the benchmark CBDC would provide for some increased 
contestability with other electronic payment methods, possibly in terms of reduced costs, and, in 
particular, in terms of enhanced privacy. However, Fung and Halaburda (2016) also conclude 
19 Interac e-Transfer is a person-to-person payment scheme in Canada that allows a sender to initiate a funds transfer 
from the sender’s bank account to the receiver’s bank account by sending an email to the receiver. It is typically free 
to receive and increasingly becoming free to send. The use of e-Transfer has grown significantly in recent years: 
according to Interac, Canadians made 158 million e-Transfers worth $63 billion in 2016, an increase of over 40 per 
cent from 2015.</x:v>
      </x:c>
    </x:row>
    <x:row r="28" ht="110" customHeight="1">
      <x:c r="A28" s="46" t="str">
        <x:v>PRD-0013-P0022-U01</x:v>
      </x:c>
      <x:c r="B28" s="46" t="str">
        <x:v>CA_BoC_2017</x:v>
      </x:c>
      <x:c r="C28" s="46" t="n">
        <x:v>22</x:v>
      </x:c>
      <x:c r="D28" s="46" t="str">
        <x:v>en</x:v>
      </x:c>
      <x:c r="E28" s="46" t="str">
        <x:v>text</x:v>
      </x:c>
      <x:c r="F28" s="46" t="str"/>
      <x:c r="G28" s="46" t="str">
        <x:v>18 
Canada) would be required to provide information about the identity of the recipient of interest 
income to tax authorities. The central bank would also be required to withhold tax on interest 
income credited to non-resident holders of I-CBDC.22 As a result, anonymity— one of the main 
attractions of bank notes—would not be fully possible with I -CBDC.23 It should be noted, 
however, that the identity of the I-CBDC owner and the parties involved in an I-CBDC 
transaction could still be anonymous to other parties, aside from the central bank.  
This erosion of anonymity would reduce the appeal of I-CBDC for those transactions where 
(complete) privacy was desired. On the other hand, this loss of anonymity would help address 
concerns about the use of CBDC for criminal activity. More generally, such a provision could 
constrain access to I-CBDC to those individuals and firms who have verifiable identification 
(e.g., a tax identification code, social insurance or a business registration number).24    
5.2  I-CBDC and central bank seigniorage  
Paying interest on I-CBDC would directly reduce seigniorage in proportion to the level of 
interest rates. At the same time, paying interest would increase the demand for CBDC, especially 
relative to bank notes, while the erosion of anonymity (discussed above) would tend to reduce 
demand for I-CBDC relative to bank notes. Whether a sustained shift from commercial bank 
deposits and other conventional claims to I-CBDC would occur—and so benefit seign iorage—
depends largely on how financial institutions respond to the existence of I-CBDC, which is 
considered in section 5.4.25  
5.3  I-CBDC and monetary policy  
As noted above, the central bank would remain the ultimate (monopoly) supplier of reserves, 
bank notes and CBDC (interest-bearing or not), so the central bank could set related terms and 
conditions, and therefore control monetary policy. So, again, paying interest on CBDC should 
not compromise or fundamentally affect a central bank’s ability to influence short-term interest 
rates to achieve price stability, although implementation tactics could change.  
In principle, one would expect that the interest rate paid by the central bank on reserves would be 
the same as the interest rate paid on I-CBDC, as each reflects the setting of monetary policy. 
These liabilities are also close substitutes in some contexts. Further, a spread between the interest 
22 In Canada, any entity that makes certain payments, including interest income, to a resident of Canada is required 
to report such income to the Canadian Revenue Agency and to prepare a corresponding record for the income 
recipient. These records identify the types of investment income that residents of Canada must report on their 
income tax returns. The tax authorities in Canada also require an individual or organization to withhold income tax 
of 25 per cent or the percentage established under a tax agreement on amounts paid or credited to non-residents.  
23 This argument may not apply in economies such as Hong Kong where interest income is not subject to income 
taxes. 
24 A central bank could consider issuing both an anonymous benchmark CBDC (with a cap on the maximum amount 
that could be held) along with an I-CBDC (with no cap on balances). Analysis of such an approach is for future 
research. 
25 Barrdear and Kumhof (2016) argue that interest-bearing CBDC would lead to a large increase in demand for 
central bank liabilities, which would lead to an increase in seigniorage, and, in turn, to larger residual transfers to the 
government. They also note that with such a large shift into CBDC, the central bank would need to hold more 
government bonds on its balance sheet. This increased demand for government bonds, other things being equal, 
would increase bond prices and lower associated bond interest rates, thus reducing government funding costs.</x:v>
      </x:c>
    </x:row>
    <x:row r="29" ht="110" customHeight="1">
      <x:c r="A29" s="46" t="str">
        <x:v>PRD-0013-P0026-U01</x:v>
      </x:c>
      <x:c r="B29" s="46" t="str">
        <x:v>CA_BoC_2017</x:v>
      </x:c>
      <x:c r="C29" s="46" t="n">
        <x:v>26</x:v>
      </x:c>
      <x:c r="D29" s="46" t="str">
        <x:v>en</x:v>
      </x:c>
      <x:c r="E29" s="46" t="str">
        <x:v>text</x:v>
      </x:c>
      <x:c r="F29" s="46" t="str"/>
      <x:c r="G29" s="46" t="str">
        <x:v>22 
to respond by increasing interest on payments balances or bundling services to maintain market 
share. This, in turn, would provide incremental benefits to retail payment users. On the other 
hand, I-CBDC would not be anonymous (as noted above), which would impair its appeal for 
some retail transactions. 
For large-value payments, as discussed above, RTGS offers three significant benefits over 
CBDC: liquidity-savings mechanisms; access to central bank overdrafts; and a high degree of 
security. It seems doubtful that an I-CBDC would overcome these structural features in the 
context of large-value payments. Further, in certain large-value payment systems, such as in 
Canada, excess reserves deposited with the central bank earn interest, which could ameliorate 
costs to users of the RTGS system generally. Again, banks would be expected to respond to I-
CBDC in order to maintain market share in this context as well. Overall, it seems unlikely that 
the payment of interest on CBDC would lead to material benefits in large-value payments 
relative to an RTGS system.  
5.6  Summary  
A key implication of paying interest on CBDC is that complete anonymity would not be possible, 
which would reduce the demand for I-CBDC, other things being equal, but this would also 
address concerns about CBDC use for criminal activity. From a narrow (or technical) perspective, 
I-CBDC does not appear to have material implications for monetary policy, and the interest rates 
paid on central bank reserves and on I-CBDC are likely to be similar, not least because of 
arbitrage opportunities. However, I-CBDC might increase risk of political interference and lead 
to reduced central bank autonomy under some conditions.  
Banks and other financial intermediaries would compete with the issuance of I-CBDC, so that 
compared with the status quo, I-CBDC could lead a redistribution of returns, perhaps a (modest) 
contraction of intermediation, and increased financial volatility. More specifically, households 
and firms could generally rely on bank deposits in normal times to earn (incrementally) higher 
interest revenue and to benefit from associated financial services, but under stress, could (more) 
easily shift to I-CBDC, generating volatility and perhaps presenting challenges for financial 
stability. Finally, I-CBDC is likely to provide for beneficial incremental contestability for retail 
payments, but seems unlikely to have a significant impact on large-value payments (RTGS) 
systems.  
6.  Conclusions  
Consideration of CBDC is a new challenge, which is complex and subject to significant 
uncertainty. A CBDC could have important consequences, which would depend on its specific 
attributes, and could include both benefits and costs. Accordingly, assessing CBDC requires 
careful analysis of motivations and potential implications, including an assessment of the risks 
that might arise from CBDC.  
There are seven key conclusions from the present analysis.  
(i) Some of the motivations for CBDC considered in this paper are not compelling, including 
reducing the ELB on interest rates and inhibiting criminal activity. Further, based on recent 
trends, there does not appear to be a meaningful concern in most countries considered here, 
including Canada, for preserving seigniorage or maintaining adequate central bank money for the 
general public. Promoting financial inclusion could be an important consideration in some</x:v>
      </x:c>
    </x:row>
    <x:row r="30" ht="110" customHeight="1">
      <x:c r="A30" s="46" t="str">
        <x:v>PRD-0013-P0027-U01</x:v>
      </x:c>
      <x:c r="B30" s="46" t="str">
        <x:v>CA_BoC_2017</x:v>
      </x:c>
      <x:c r="C30" s="46" t="n">
        <x:v>27</x:v>
      </x:c>
      <x:c r="D30" s="46" t="str">
        <x:v>en</x:v>
      </x:c>
      <x:c r="E30" s="46" t="str">
        <x:v>text</x:v>
      </x:c>
      <x:c r="F30" s="46" t="str"/>
      <x:c r="G30" s="46" t="str">
        <x:v>23 
countries, perhaps especially in emerging economies, but does not provide a motivation in the 
Canadian case.  
(ii) Increasing contestability in retail payments seems to be the most credible motivation to issue 
CBDC, and the overall impact depends importantly on the specific attributes of the CBDC.  
I-CBDC would provide for more contestability in payments than the benchmark CBDC, which 
does not pay interest. Banks (and other service providers), however, could respond to I-CBDC 
by increasing interest on payments balances or bundling services to maintain market share, 
which would provide incremental benefits to customers, other things being equal. And these 
developments could have wider implications for the financial system (see below). Further, to the 
extent that promoting contestability in retail payments was the primary motivation to issue 
CBDC, authorities should probably also consider whether there were other ways to achieve this 
goal, including through regulatory avenues or by acting as a catalyst, and assess which strategy 
would be most effective (Fung and Halaburda 2016). As for large-value payments, it seems 
unlikely that CBDC would lead to material benefits relative to an RTGS system.   
(iii) Some of the attributes of the benchmark CBDC discussed above are problematic—most 
notably anonymity, which would facilitate criminal activity. As a practical matter, complete 
anonymity seems to be undesirable for central bank digital currency.  
(iv) As noted, CBDC, especially if interest-bearing, would motivate endogenous responses by 
financial intermediaries to compete with CBDC to retain market share and funding. A plausible 
outcome is that banks would be able to compete effectively with CBDC so that households and 
firms would generally rely on bank deposits and related products in normal times. In stress 
periods, however, they could (more) easily shift to CBDC. As a result, compared with the status 
quo, CBDC (especially if interest-bearing) could lead to some redistribution of returns away 
from financial intermediaries, perhaps a (modest) contraction of intermediation, and increased 
volatility (other things being equal).     
(v) It follows that designing a CBDC with a focus on a particular attribute, in pursuit of a 
specific policy objective, is likely to have implications on other margins; indeed, 
interdependence of effects should be expected.  
(vi) The analysis in this paper is based on an assumption that the technological means to issue 
and transfer CBDC— e.g., a digital wallet and the distributed ledger technology—would be 
feasible and acceptable to the central bank. Similarly, this paper does not focus on the costs 
involved in issuing CBDC (including central bank reputation risk). From a benefit-cost 
perspective, including these considerations in the analysis would reduce the appeal of CBDC. 
(vii) Finally, given the complexity and uncertainty associated with introducing CBDC, central 
banks inclined to issue CBDC should proceed cautiously and incrementally, perhaps with a non-
anonymous CBDC that mimics bank notes—similar to the benchmark CBDC discussed above —
notwithstanding likely low adoption rates, and learn from experience.  
Looking ahead and with a view to future research, it could be useful to examine the implications 
of a CBDC with different attributes than the benchmark or I-CBDC considered in this paper. 
Ongoing monitoring and research regarding the adoption and possible implications of private 
cryptocurrencies also would be useful, as would further work on the interaction of CBDC, 
monetary policy and financial stability in various institutional settings. Further, to the extent that 
demand for bank notes decreases over time (contrary to the evidence in most countries, as shown</x:v>
      </x:c>
    </x:row>
    <x:row r="31" ht="110" customHeight="1">
      <x:c r="A31" s="46" t="str">
        <x:v>PRD-0014-P0005-U01</x:v>
      </x:c>
      <x:c r="B31" s="46" t="str">
        <x:v>CA_Jasper_III_2018</x:v>
      </x:c>
      <x:c r="C31" s="46" t="n">
        <x:v>5</x:v>
      </x:c>
      <x:c r="D31" s="46" t="str">
        <x:v>en</x:v>
      </x:c>
      <x:c r="E31" s="46" t="str">
        <x:v>text</x:v>
      </x:c>
      <x:c r="F31" s="46" t="str"/>
      <x:c r="G31" s="46" t="str">
        <x:v>5
The primary goal of Project Jasper is to evaluate the potential 
role for distributed ledger technology (DLT) in Canadian 
fi  nancial market infrastructures and any material benefi  ts 
that could result from its adoption. Jasper Phase III expanded 
upon earlier phases to broaden the DLT ecosystem beyond 
wholesale payments to include securities settlement for TSX-
listed equities. Jasper III was commissioned by Payments 
Canada, TMX Group, and the Bank of Canada in collaboration 
with delivery partners Accenture and R3.
The project involved a hands-on exploration of settlement and payment 
interactions in a private distributed ledger network by building and testing a 
proof-of-concept (POC) system that was connected to the existing market 
infrastructures. Securities and cash were brought on-ledger through the 
issuance of Digital Depository Receipts (DDRs) by CDS and the Bank of Canada, 
respectively, allowing POC participants to settle securities against central 
bank cash on the distributed ledger. Equity and cash DDR could be redeemed 
immediately after their transfer since settlements were fi  nal and irrevocable.
Several key features of the DLT platform showed promise during the POC 
experiment: fi  nancial market infrastructures were eff  ectively integrated through 
a “loose coupling”; independent rules and conditions of token issuers were 
enforced on the ledger, allowing the DDR to be transferred “freely” in a shared 
ledger environment; participation restrictions were enforced through a private 
ledger and doorman service; and real-time ledger visibility was granted to market 
infrastructure and observer/regulatory nodes as required.
The POC introduced a credit extension process for broker participants that 
are not members of the payments system to access cash DDR on-ledger. This 
allowed these brokers to participate in the POC, and mirrors the need for brokers 
to receive credit from credit extenders in the current system. The introduction of 
credit extension in the POC, however, reintroduced credit risk in a DVP1 model 
that held promise for eliminating it.
DLT-based models that experiment with more fundamental departures from 
the current settlement process and market infrastructures ecosystem may be 
more likely to demonstrate operational cost savings and reduced back-offi   ce 
reconciliation eff  orts.
Our overall concluding hypothesis is that, while DLT still shows promise in terms 
of its ability to deliver effi   ciency improvements, a signifi  cant expansion of the 
scope of coverage of the ledger to include additional assets and the full trade and 
post-trade life cycle may be required to realize these benefi  ts.
EXECUTIVE SUMMARY</x:v>
      </x:c>
    </x:row>
    <x:row r="32" ht="110" customHeight="1">
      <x:c r="A32" s="46" t="str">
        <x:v>PRD-0014-P0014-U01</x:v>
      </x:c>
      <x:c r="B32" s="46" t="str">
        <x:v>CA_Jasper_III_2018</x:v>
      </x:c>
      <x:c r="C32" s="46" t="n">
        <x:v>14</x:v>
      </x:c>
      <x:c r="D32" s="46" t="str">
        <x:v>en</x:v>
      </x:c>
      <x:c r="E32" s="46" t="str">
        <x:v>text</x:v>
      </x:c>
      <x:c r="F32" s="46" t="str"/>
      <x:c r="G32" s="46" t="str">
        <x:v>14
2.6 SETTLEMENT PROCESS
The settlement process attempts to settle all open positions. The positions are 
ordered by the International Securities Identification Number (ISIN) and then by 
decreasing value. The process tries to settle each of these positions in order, 
skipping any position where a counterparty has insufficient cash or equity DDR 
for that ISIN on-ledger. The entire process is repeated until no further positions 
are settled. Appendix C (Example of the Settlement Process) demonstrates how 
this works.
2.7 CREDIT EXTENSION
Currently, most CDS participants, as broker-dealers, are not direct participants 
in the LVTS. To obtain intraday funds within CDSX and settle their purchase 
obligations, these participants rely on a credit extension by an extender of credit 
in CDSX. To settle their end-of-day payment obligation during CDSX payment 
exchange, they rely on a designated banker who is an LVTS member to make and 
receive their end-of-day payments in the LVTS on their behalf. 
To reflect these real-world conditions, the POC assumes that the CDS broker-
dealer participants do not have accounts at the Bank of Canada. As with the 
current situation, they rely on a designated banker — the LVTS member — to 
meet their net payment obligation in CDSX. Two differences are apparent. First, 
the net payment obligation is required at the beginning of the settlement cycle in 
the POC, as opposed to at the end of the settlement cycle in the current state. 
Second, since the pay-in established in the POC produces the funds that are 
used to settle purchases in the settlement system, the broker-dealer’s banker also 
necessarily acts as the credit extender for that participant. In the current system, 
credit is created in the settlement system intraday, whereas in the POC a central 
bank-backed settlement asset (the cash DDR) is transferred (“on credit” from the 
LVTS member) to broker-dealers to be used as funds intraday.
The LVTS member node is given the ability to lend cash DDR to all CDS members 
(non-LVTS members) on-ledger in a three-step process. First, one or more CDS 
members requests credit extension from the LVTS member. Next, the LVTS 
member performs a pledge at the Bank of Canada, as described above, to obtain 
the required cash on-ledger. (This step is not required if the member already has 
the required cash on-ledger.) Finally, the LVTS member transfers the requested 
cash to the CDS members. 
As mentioned in the scope in Section 4, the Project Overview of this white paper, 
credit risk controls associated with this on-ledger credit extension were not 
included in the POC, as the credit extension functionality was added to facilitate 
access to cash DDR for broker-dealers while maintaining the assumption that the 
current sets of participants across the LVTS and CDS are maintained for the POC.</x:v>
      </x:c>
    </x:row>
    <x:row r="33" ht="110" customHeight="1">
      <x:c r="A33" s="46" t="str">
        <x:v>PRD-0014-P0029-U01</x:v>
      </x:c>
      <x:c r="B33" s="46" t="str">
        <x:v>CA_Jasper_III_2018</x:v>
      </x:c>
      <x:c r="C33" s="46" t="n">
        <x:v>29</x:v>
      </x:c>
      <x:c r="D33" s="46" t="str">
        <x:v>en</x:v>
      </x:c>
      <x:c r="E33" s="46" t="str">
        <x:v>text</x:v>
      </x:c>
      <x:c r="F33" s="46" t="str"/>
      <x:c r="G33" s="46" t="str">
        <x:v>29
05.
CONCLUDING 
REMARKS
Jasper Phase III successfully demonstrated that a DLT 
platform can be used for a payment and securities settlement 
system. The POC platform processed key functions, such as 
pledging and redeeming cash and equities and performing 
settlement transactions, in a manner aimed at respecting the 
privacy and scalability requirements of the Canadian system. 
The use of DLT was important for creating a loose integration of the LVTS and 
CDS that achieved DVP1 settlement with only DVP2 input of liquidity. This loose 
integration framework left the two authorities involved — the Bank of Canada for 
cash and CDS for equities — in full control of their respective instruments 
or tokens.
The platform was also capable of handling the diff  erent participant sets between 
the LVTS and CDS such that each participant was only capable of performing 
those functions for which they were authorized.
Finally, the project scope was not suffi   ciently broad to determine whether DLT 
would yield signifi  cant cost savings or effi   ciency gains. We expect that an 
expansion of scope across a number of possible dimensions (e.g. multiple assets, 
more of the trade and post-trade settlement life cycle, and additional types of 
trades) would provide such insight.</x:v>
      </x:c>
    </x:row>
    <x:row r="34" ht="110" customHeight="1">
      <x:c r="A34" s="46" t="str">
        <x:v>PRD-0015-P0011-U01</x:v>
      </x:c>
      <x:c r="B34" s="46" t="str">
        <x:v>CA_Jasper_Phase12_2017</x:v>
      </x:c>
      <x:c r="C34" s="46" t="n">
        <x:v>11</x:v>
      </x:c>
      <x:c r="D34" s="46" t="str">
        <x:v>en</x:v>
      </x:c>
      <x:c r="E34" s="46" t="str">
        <x:v>text</x:v>
      </x:c>
      <x:c r="F34" s="46" t="str"/>
      <x:c r="G34" s="46" t="str">
        <x:v>9
PROJECT JASPER    //    A Canadian Experiment with Distributed Ledger Technology for Domestic Interbank Payments Settlement
and build of the Jasper platform, supported by an 
exceptional team of architects and developers from 
the participating Canadian banks. In addition, Pay -
ments Canada provided overall project management 
for the initiative, and worked with the Bank  
of Canada and R3 to define the project scope.  
Moreover , senior representatives from all of these 
organizations came together to form the project’s 
Steering Committee, which met regularly to provide 
high-level thought leadership to the project team. 
The success of Project Jasper to date has, without 
question, resulted from the close collaboration  
between all of the organizations involved.
Phase 1 of Project Jasper was launched in March 
2016 and concluded in June 2016. The objective of 
Phase 1 was to build wholesale interbank settlement 
capability on an Ethereum DLT platform and demon-
strate its ability to exchange value in the form of a 
central bank-issued digital settlement asset. 15 The 
settlement asset established in Phase 1 was a digital 
depository receipt (DDR) reflecting a claim on  
Canadian-dollar deposits held in accounts at the Bank 
of Canada. Only banks participating in the Jasper 
Project were able to transact using DDR. It follows 
that Phase 1 also required procedures to pledge  
Canadian dollars in exchange for DDR and, converse-
ly, to redeem DDR in exchange for Canadian dollars. 
Phase 1 was successful in delivering the intended 
functionality in a non-production setting. Importantly, 
the consensus mechanism utilized by the Phase 1 
platform was based on “proof of work,” which  
required all R3 members to perform validation of a 
proposed exchange of DDR between two participants 
as a requirement for that exchange to be recorded to 
the database. However , only participating Canadian 
banks in the project could transact in DDR over the 
ledger .16 The use of a proof-of-work consensus mech-
anism raised concerns from the perspective of oper-
ational efficiency, since it was demonstrated that this  
consensus method could not provide the throughput  
required as volumes increased. As well, the Ethere-
um solution provided full visibility into the central  
ledger for all participants in the system. Although this 
transparency was helpful for monitoring the status of 
all participants in the system, the platform did not 
support participant requirements for data privacy. 
In a proof-of-work solution, it is unclear when settle-
ment finality has been achieved, if ever . From a policy 
perspective, this presents a substantial challenge. 
The Phase 1 solution was also not integrated with any 
external systems (including collateral management 
capabilities) and relied on a prefunded account, which 
is very inefficient and, if adopted, would substantially 
increase settlement costs for FI participants.  
DLT is a distributed technology, and the existing set-
tlement process relies on centralized infrastructure.  
As a result, there were several design challenges to 
overcome in adapting the existing centralized settle-
ment process for Project Jasper . It was unclear if a 
central bank settlement model could be supported 
15 Launched in 2013, Ethereum is a general-purpose DLT platform that 
allows any type of digital asset to be defined, created and traded. It also 
enables smart contracts, which allow a DLT to execute the terms of a 
contract automatically. These capabilities combine to provide far more 
functionality than simply the transfer of one specific type of digital asset.  
See Buterin (2013).
16 See Garratt (2017). This was done as a matter of convenience. R3 has a 
version of the Ethereum platform operating for the use of its members 
that utilizes proof-of-work mining built into Geth for consensus and 
transaction validation. This platform was utilized for the Phase 1 
simulation, with some modifications to eliminate the costs of ether and,  
with non-participants in the Jasper Project playing a passive role.</x:v>
      </x:c>
    </x:row>
    <x:row r="35" ht="110" customHeight="1">
      <x:c r="A35" s="46" t="str">
        <x:v>PRD-0015-P0015-U01</x:v>
      </x:c>
      <x:c r="B35" s="46" t="str">
        <x:v>CA_Jasper_Phase12_2017</x:v>
      </x:c>
      <x:c r="C35" s="46" t="n">
        <x:v>15</x:v>
      </x:c>
      <x:c r="D35" s="46" t="str">
        <x:v>en</x:v>
      </x:c>
      <x:c r="E35" s="46" t="str">
        <x:v>text</x:v>
      </x:c>
      <x:c r="F35" s="46" t="str"/>
      <x:c r="G35" s="46" t="str">
        <x:v>13
PROJECT JASPER    //    A Canadian Experiment with Distributed Ledger Technology for Domestic Interbank Payments Settlement
basis, some operational aspects). While this report 
is not a formal assessment of the platform in rela -
tion to the PFMIs, it does provide for initial discus -
sion, with additional detail provided in Appendix 3 
(PFMI Considerations).   
Of note, the LVTS is one of the most collateral-  
efficient wholesale settlement models in the world 
and meets key guidelines for settlement risk  
established in the PFMIs. The PFMIs also emphasize 
maintenance of a liquidity-efficient settlement  
arrangement for participating financial institutions.  
Turnover in the LVTS Tranche 2 payments stream 
(described below) stands at roughly 24x (i.e., mean-
ing $24 in processed payments value is supported by 
$1 of pledged collateral). Despite having to adopt an 
RTGS model and, more importantly, having to aban-
don the Tranche 2 risk model and use of partial  
collateral pooling, any DLT solution for wholesale  
interbank settlement will also need to demonstrate 
a high turnover rate to reduce cost and risk exposure 
for participants. 
Management of Settlement Risk
Settlement of a payment is defined as the uncondi -
tional and irrevocable transfer of value between an 
originator and beneficiary. When these conditions 
are met, settlement is considered “final” since the 
beneficiary can use the funds without risk of rever -
sal in any circumstance. Timely settlement finality is 
crucial for financial and economic stability and  
represents a requirement of the international PFMIs.  
While final settlement occurs at a clear , well-defined 
point in time in current wholesale settlement  
arrangements, and is backed by a strong legal basis, 
this concept of final settlement may be less clear in 
a DLT environment. 
Scalability and Operational Resilience 
A common question around DLT is whether it can 
handle the transaction volumes observed in the  
incumbent infrastructures. A DLT-based wholesale 
settlement solution in Canada must be able to  
process, at a minimum, over 50,000 payment items 
per day, and at least 14 items per second, based on 
observation of the LVTS today. In DLT arrangements 
and, in particular , those that rely on proof-of-work 
consensus protocols, there could be a high compu -
tational requirement to validate proposed transac -
tions and record them on the ledger . Moreover , it can 
take time to achieve consensus among platform 
participants, particularly when communication and 
information-sharing between nodes occurs over  
a public Internet connection. Meeting the current  
volume benchmark using this arrangement would 
require careful attention to scalability in the design 
of the DLT solution. As performance of DLT plat -
forms continues to improve, it is likely that these 
transaction volumes could be met. For example, 
testing in Jasper Phase 2 illustrated that current-day 
average volumes could be processed within an  
acceptable window.</x:v>
      </x:c>
    </x:row>
    <x:row r="36" ht="110" customHeight="1">
      <x:c r="A36" s="46" t="str">
        <x:v>PRD-0015-P0022-U01</x:v>
      </x:c>
      <x:c r="B36" s="46" t="str">
        <x:v>CA_Jasper_Phase12_2017</x:v>
      </x:c>
      <x:c r="C36" s="46" t="n">
        <x:v>22</x:v>
      </x:c>
      <x:c r="D36" s="46" t="str">
        <x:v>en</x:v>
      </x:c>
      <x:c r="E36" s="46" t="str">
        <x:v>text</x:v>
      </x:c>
      <x:c r="F36" s="46" t="str"/>
      <x:c r="G36" s="46" t="str">
        <x:v>20
PROJECT JASPER    //    A Canadian Experiment with Distributed Ledger Technology for Domestic Interbank Payments Settlement
The Bank of Canada assumes the role of issuer of 
DDR. Participant nodes pledge Canadian dollars to 
the Bank in exchange for DDR, which can then be  
exchanged with other parties over the platform.  
A digital wallet application is introduced in the form 
of a user interface to assist participants with naviga-
tion through the available options on the platform, 
e.g., DDR exchange, DDR redemption, transaction 
queueing, etc.28 Each node is also allocated a cryp -
tographic signature that represents its identity on the 
platform and serves as part of the consensus proto-
col in transaction validation.  
Consensus Mechanism
Consensus on the Corda platform is achieved through 
two functions: a validation function and a uniqueness 
function. The validation function is performed by the 
participants on the platform (i.e., the transacting 
banks). The uniqueness function is performed by a 
special trusted participant, known as the notary. In 
Jasper , the role of the notary is played by the Bank of 
Canada; however , in general applications the notary 
can be any trusted agent or group of agents.  
The validation function ensures that the details (“data 
attributes”) of the transaction are correct and have 
been agreed to by both sender and receiver , where 
agreement is demonstrated by these nodes review -
ing and attaching their digital signatures to the  
proposed transaction. As part of the validation func-
tion, the receiver must verify the chain of custody  
related to the DDR the sender is proposing to send 
back to the issuer , in this case, the Bank of Canada. 
This requires that that the receiver sees the history of 
transactions related to the proposed DDR Object. 
This history may go back to the start of the payments 
day, or it may be shorter , if the DDR Object used in the 
proposed transaction emerged from the exhale 
phase of the LSM. 29 An implication of the validation 
function is that participants in the system see infor-
mation about more than their own transactions,  
but no more than is absolutely necessary to allow in-
dependent verification. As such, the version of the  
Corda platform used in Phase 2 represents a signifi-
cant advancement over Ethereum and, as far as we 
know, comes closest to meeting the user require -
ments for privacy among existing DLT platforms.30 
The notary node is responsible for confirming the 
uniqueness of the transaction. That is, the notary  
ensures that the DDRs proposed for exchange have 
not been previously spent by the sender . This is done 
by marking any validated transaction object as  
historic and only validating transactions that do not 
involve objects with historic designations. The unique-
ness function performed by the notary prevents the 
“double spend” problem without relying on a costly 
proof-of-work mechanism. 
28 The wallet application is “CordApp,” a distributed application that sits 
above the Jasper platform. 
29 This is a rather fortuitous, unplanned bonus of the LSM design.  
The inhale/exhale procedure resets the time of issuance throughout  
the day and shortens the length of chains back to issuance. See page 23
30 Two options for meeting user privacy requirements are currently under 
development. One is for the sender to perform the validation themselves 
and then convince the receiver beyond doubt that they have done so, 
without providing additional transaction information. This is the idea 
behind zero knowledge proofs, and Corda is designed to adopt this 
technology as it matures. The other option is to send the necessary data 
to the recipient’s computer for verification, but to do so in such a way 
that the recipient cannot see it, even though they have full control of 
their computer . This is what homomorphic encryption will allow as it 
matures and is what secure enclave technology, such as that provided  
by Intel’s SGX, offers today. Corda is designed to take full advantage  
of Intel SGX.</x:v>
      </x:c>
    </x:row>
    <x:row r="37" ht="110" customHeight="1">
      <x:c r="A37" s="46" t="str">
        <x:v>PRD-0015-P0026-U01</x:v>
      </x:c>
      <x:c r="B37" s="46" t="str">
        <x:v>CA_Jasper_Phase12_2017</x:v>
      </x:c>
      <x:c r="C37" s="46" t="n">
        <x:v>26</x:v>
      </x:c>
      <x:c r="D37" s="46" t="str">
        <x:v>en</x:v>
      </x:c>
      <x:c r="E37" s="46" t="str">
        <x:v>text</x:v>
      </x:c>
      <x:c r="F37" s="46" t="str"/>
      <x:c r="G37" s="46" t="str">
        <x:v>24
PROJECT JASPER    //    A Canadian Experiment with Distributed Ledger Technology for Domestic Interbank Payments Settlement
Bank of Canada, and the participant is now in a  
position to initiate exchange of value over the platform 
using either the atomic or LSM settlement option.
To be clear , a holder of a DDR balance maintains the 
right to the equivalent value of Canadian-dollar de -
posits held at the Bank of Canada, and it may redeem 
the DDR for a cash deposit on its account on demand.
Atomic Exchange
The platform must receive a request from a partici-
pant to send an atomic transaction to process a 
transaction using the atomic settlement option. Once 
this request has been made, a DDR Object is created 
with the data attributes identifying owner (sender), 
receiver , value, issuer31 (Bank of Canada), and date. 
The DDR Object is signed by the sender and sent to 
the recipient for inspection and agreement on the 
data attributes. If the recipient agrees with the con-
tents of the DDR Object, it counter-signs and returns 
the Object to the sender . Note that this counter-sig-
nature procedure is distinct from current payments 
practice. The signature of the supervisory node is 
then sought, and upon obtaining this signature, the 
sender initiates the last leg of the transaction by sub-
mitting the DDR Object to the notary for its signature. 
The notary performs its uniqueness checks on the 
DDR Object, including confirmation of the signatures 
of the sender and recipient, and inspection of the data 
attributes. If satisfied, the notary then adds its signa-
ture and records the DDR Object on its ledger . The 
proprietary ledger of the sender is updated with com-
mitment of the DDR Object, and this commitment is 
broadcast to the recipient, which records the DDR Ob-
ject on its proprietary ledger to complete the transaction.
LSM Exchange32
The LSM settlement option encompasses a central-
ized queue mechanism that employs an algorithm to 
perform matching of queued payments at set inter -
vals throughout the day. This payment matching (or 
offsetting) is intended to help economize on the use 
of costly DDR in the exchange of value (specifically, 
pledged Canadian-dollar deposits). Participants faced 
with non-time-sensitive payment obligations can 
place them in the queue during the day, rather than 
holding them in internal schedulers. Payments can 
be removed from the queue by the sender at any 
time, except during the running of the matching  
algorithm, when queue content is temporarily locked 
down until the algorithm runs its course. The design 
of the matching algorithm and of the LSM settlement 
option more generally was inspired by that used in 
the United Kingdom’s CHAPS RTGS scheme. 33
The steps listed above for initiating a transaction for 
atomic settlement generally apply to initiation of  
a transaction for LSM settlement. Importantly, the 
Bank of Canada plays a central role as “settlement 
agent” in this option. The Bank is involved in the  
receipt of DDR from, and transfer of DDR to, partici-
pants at the beginning and conclusion of each match-
ing cycle, respectively. This has been dubbed the  
“inhale/exhale” procedure and represents a major  
innovation in thinking about how to enable an inher-
ently centralized process like queue operation on an  
inherently decentralized DLT platform.
31 The issuer is important for the validation process performed by the 
platform and helps the platform differentiate between assets when 
more than one type of asset is being transacted. 
32 Appendix 2 contains a more in-depth written description, including 
diagrams, of the LSM settlement option.
33 See Davey and Gray (2014).</x:v>
      </x:c>
    </x:row>
    <x:row r="38" ht="110" customHeight="1">
      <x:c r="A38" s="46" t="str">
        <x:v>PRD-0015-P0027-U01</x:v>
      </x:c>
      <x:c r="B38" s="46" t="str">
        <x:v>CA_Jasper_Phase12_2017</x:v>
      </x:c>
      <x:c r="C38" s="46" t="n">
        <x:v>27</x:v>
      </x:c>
      <x:c r="D38" s="46" t="str">
        <x:v>en</x:v>
      </x:c>
      <x:c r="E38" s="46" t="str">
        <x:v>text</x:v>
      </x:c>
      <x:c r="F38" s="46" t="str"/>
      <x:c r="G38" s="46" t="str">
        <x:v>25
PROJECT JASPER    //    A Canadian Experiment with Distributed Ledger Technology for Domestic Interbank Payments Settlement
The process of settling a transaction using the LSM 
option on the Jasper platform consists of adding a 
transaction to the queue; registering LSM liquidity 
limits and prefunding ahead of each matching cycle; 
performing and calculating the results from netting/
offsetting transactions in the queue; and paying out 
the resulting settlement balances.
Adding Transactions to the Queue
This step involves a participant submitting a transac-
tion item to the queue. For each proposed submis -
sion, the platform generates a “DDR LSM Object,” 
which, similar to the DDR Object and DDR Obligation 
explained above, contains data attributes provided by 
the sender that identify the sender and receiver , the 
date and, importantly, the LSM liquidity-allocation 
limit specified by the sender (described below).  Once 
the sending participant completes and adds its sig -
nature to the DDR LSM Object, it sends the Object to 
the Bank of Canada. The Bank will perform the  
review of the DDR LSM Object, add its signature and 
return the DDR LSM Object back to the sending  
participant. The Bank repeats this process for every 
proposed submission to the queue to keep track of 
queued items and to assure participants that the 
payment item has been recorded, as evidenced by 
the Bank’s signature on the DDR LSM Object. 
The platform then performs the necessary validation 
checks before sending the DDR LSM Object to the 
notary node, where the validation and uniqueness 
checks are completed, including verification of  
signatures and review of the data attributes.34 If the 
notary node is satisfied, it will add its signature to the 
Object and record it on its ledger . The DDR LSM  
Object is then returned to the sending participant to 
be posted to its ledger and is subsequently broadcast 
to the Bank of Canada for posting to its ledger . It is 
important to note that although the DDR LSM Objects 
are added to the shared database and committed to 
parties’ ledgers, these objects do not undergo a state 
transition, meaning they do not represent an  
expenditure of DDR. Rather the objects are saved  
until hopefully being redistributed by the Bank of 
Canada at the conclusion of a payment-matching  
cycle (see below). 
The “Inhale” Process
A key step in the LSM process is the execution of a 
payment-matching algorithm that performs multi -
lateral offsetting of queued payments. Before this 
step takes place, however , participants must first  
establish their liquidity-allocation limit, referred to 
as a “Limit Object.” The Limit Object, which is estab-
lished at the discretion of each participant and can  
be adjusted before any matching cycle, if desired,  
dictates the maximum amount of a participant’s DDR 
balance that can be drawn on to support settlement 
of queued transactions when the matching algorithm 
runs. Establishing the Limit Object and submitting it 
to the Bank of Canada as the settlement agent for  
the LSM before each matching cycle is an automated  
process, similar to a preauthorized debit transaction 
in the traditional payments sense. Introducing this 
Object is also likely to improve the liquidity efficiency 
of the platform as a whole, since a participant need 
not tie up its entire DDR balance every time the 
matching algorithm runs but can still send other 
34 Note that there is no liquidity check performed at this stage. The 
liquidity check is performed as part of the “Inhale” process described  
in the next section, just prior to the matching algorithm running.  
 Moreover , the volume of queued payments has no impact on a bank’s 
ability to make atomic payments until the matching cycle begins.</x:v>
      </x:c>
    </x:row>
    <x:row r="39" ht="110" customHeight="1">
      <x:c r="A39" s="46" t="str">
        <x:v>PRD-0015-P0029-U01</x:v>
      </x:c>
      <x:c r="B39" s="46" t="str">
        <x:v>CA_Jasper_Phase12_2017</x:v>
      </x:c>
      <x:c r="C39" s="46" t="n">
        <x:v>29</x:v>
      </x:c>
      <x:c r="D39" s="46" t="str">
        <x:v>en</x:v>
      </x:c>
      <x:c r="E39" s="46" t="str">
        <x:v>text</x:v>
      </x:c>
      <x:c r="F39" s="46" t="str"/>
      <x:c r="G39" s="46" t="str">
        <x:v>27
PROJECT JASPER    //    A Canadian Experiment with Distributed Ledger Technology for Domestic Interbank Payments Settlement
participant with the largest violation of the liquidity 
condition. Payments not matched by the algorithm 
remain in the queue unless otherwise removed by 
the participant during the next cycle.  It also follows 
that summing across all participants’ net settlement 
obligations following the offset will produce a  
balance of zero.
For further clarity, a numerical example of the  
procedures invoked during each matching cycle is 
provided in Appendix 2.
The “Exhale” Process
The exhale process in the Jasper LSM option involves 
the Bank of Canada paying out the pooled DDR  
balance that it accumulated during the inhale step to 
each participant in accordance with the outcome of 
the offsetting process. Again, if a participant ended 
the offset with a negative net settlement obligation, 
then it will be paid out the difference between the 
value of its limit and the absolute value of its net  
settlement obligation. On the other hand, if a partici-
pant ended the offset with a positive net settlement 
obligation, then it will be paid out the value of this 
position plus the full value of its limit. In this way, the 
pooled DDR balance accumulated during the inhale 
process is fully paid out via redistribution among  
participants based on the outcome of the matching 
cycle. To effect a payout to a participant, a DDR  
Object is created for each participant and signed by 
the Bank of Canada following the same process as 
that for any atomic transaction settled over the platform.
A number of factors will play a role in determining 
the performance or netting efficiency of the LSM  
settlement option and the Jasper platform as a 
whole. These factors include the value and number 
of transactions that enter the queue, the frequency of 
the matching algorithm, the value of the liquidity  
limits established by participants, and whether other 
transaction-release algorithms may be employed  
in addition to the matching algorithm (e.g., bilateral 
offsetting). 
To be clear on the process under the LSM settlement 
option, while a queued transaction is added as a DDR 
LSM Object to the ledgers of the participants, the 
Bank of Canada and the notary, it will not affect par-
ticipants’ DDR balance until it is processed by the 
LSM matching cycle. DDR LSM Objects are archived 
by the Bank of Canada and by each participant once 
their status is designated as “completed” (the Bank 
and the participant can query the DDR LSM Objects). 
The exhale process reissues new DDR Objects  
between the Bank of Canada and each participant. 
All queued LSM payments not executed in that  
particular matching cycle remain as a DDR LSM  
Object until processed during a later matching cycle.
It should be noted that the inhale-netting-exhale 
mechanism is a highly automated procedure, despite 
the detailed description of each step provided above.  
Redeem and Archive 
Participants maintain the right to convert their DDR 
balance into the equivalent value in Canadian dollars 
pledged to the Bank of Canada at any time during the 
day, or at end of day.  By initiating the redemption 
process, a DDR Object is generated that includes the 
amount and other data attributes, including the</x:v>
      </x:c>
    </x:row>
    <x:row r="40" ht="110" customHeight="1">
      <x:c r="A40" s="46" t="str">
        <x:v>PRD-0015-P0032-U01</x:v>
      </x:c>
      <x:c r="B40" s="46" t="str">
        <x:v>CA_Jasper_Phase12_2017</x:v>
      </x:c>
      <x:c r="C40" s="46" t="n">
        <x:v>32</x:v>
      </x:c>
      <x:c r="D40" s="46" t="str">
        <x:v>en</x:v>
      </x:c>
      <x:c r="E40" s="46" t="str">
        <x:v>text</x:v>
      </x:c>
      <x:c r="F40" s="46" t="str"/>
      <x:c r="G40" s="46" t="str">
        <x:v>30
PROJECT JASPER    //    A Canadian Experiment with Distributed Ledger Technology for Domestic Interbank Payments Settlement
on the Jasper platform warrants further discussion 
with legal experts in the payments field. 
Operational Resilience 
Using a private-permissioned ledger involving a 
small group of regulated financial institutions,  
consensus can be reached more quickly and easily 
than with public ledgers. With the Ethereum plat -
form built in Phase 1, consensus was required only 
among R3 members, which supported timely  
transaction processing. However , while the platform 
demonstrated the ability to process 14 transactions 
per second (similar to throughput levels observed in 
incumbent systems), this represented maximum  
capacity.  While sufficient for current daily transac -
tion volumes, the Phase 1 platform could introduce 
constraints on future peak volumes. In contrast,  
increasing volumes are not expected to be a concern 
with the Phase 2 Corda platform, in part because it 
requires only the transacting parties, a supervisory 
node and the notary node to validate and record a 
transaction on the shared database. Importantly, the 
consensus protocol not only achieves more expedit-
ed transaction processing, it also supports privacy of 
information among participating financial institu -
tions (as well as greater settlement certainty, as  
described above).
This presents an interesting potential trade-off in 
DLT design which deserves further exploration, and 
which is likely to evolve as the technology underpin-
ning DLT advances. With this trade-off, the benefits 
described above can be achieved, but at the expense 
of the reduced operational resilience of the platform 
as a whole. As will be explained below, it is not  
possible to determine whether the Phase 1 Ethereum 
platform was more “operationally resilient” than the 
Phase 2 Corda platform. This comparison may boil down 
to an empirical question warranting further evidence.
The Ethereum platform built in Phase 1 is argued to 
have demonstrated high-availability at relatively low 
cost because, given the proof-of-work consensus 
protocol and the sharing of the full database content 
among all nodes afforded by the platform, the nodes 
essentially “backed each other up.” If one or more 
nodes were to become corrupted, the platform could 
rely on the non-corrupt ledgers of other participants 
to make the platform whole again. This supports a 
risk-proofed platform environment without costly 
investment by each participant to manage a high- 
availability node. Moreover , the consensus protocol 
employed in Phase 1 requires agreement among 
only a majority of R3 members, not all, which means 
that no participant node could serve as a single point 
of failure for achieving consensus on proposed 
transactions.36 It should be noted, however , that 
transaction replication across nodes would not  
obviate the need for each participant to safeguard its 
personal data in a production implementation. Rely-
ing on counterparties for data restoration in the 
event of an outage should not be assumed to be  
desirable, or possibly even feasible.
In contrast, the Jasper Phase 2 Corda platform  
partitions data such that each participant’s propri -
etary ledger reflects only its transaction activity, with 
36 As discussed in Appendix 3, this made the arrangement relatively more 
susceptible to a “51 per cent/selfish miner attack” where a group of 
nodes could conspire and work together to effectively erase past 
 transactions from the distributed ledger . There were 42 nodes operated 
by R3 members on the Phase 1 Ethereum platform.</x:v>
      </x:c>
    </x:row>
    <x:row r="41" ht="110" customHeight="1">
      <x:c r="A41" s="46" t="str">
        <x:v>PRD-0015-P0041-U01</x:v>
      </x:c>
      <x:c r="B41" s="46" t="str">
        <x:v>CA_Jasper_Phase12_2017</x:v>
      </x:c>
      <x:c r="C41" s="46" t="n">
        <x:v>41</x:v>
      </x:c>
      <x:c r="D41" s="46" t="str">
        <x:v>en</x:v>
      </x:c>
      <x:c r="E41" s="46" t="str">
        <x:v>text</x:v>
      </x:c>
      <x:c r="F41" s="46" t="str"/>
      <x:c r="G41" s="46" t="str">
        <x:v>39
PROJECT JASPER    //    A Canadian Experiment with Distributed Ledger Technology for Domestic Interbank Payments Settlement
section
10 Concluding Remarks and Next Steps
D
LT is an emerging technology that demonstrates 
great potential in a number of commercial  
areas, including payments. DLT offers the prospect 
of an improved user experience in the form of re -
duced complexity and cost, greater transparency, 
enhanced product and service customization, and 
improved access for consumers of financial services 
around the world. In the area of payment clearing 
and settlement, DLT offers the prospect of reduced 
operating costs and potential improvements in 
achieving operational resilience.
Introduced in March 2016, Project Jasper is an  
exploration into the use of DLT for settling wholesale 
interbank payments in Canada. Two phases of the 
project have been successfully completed and have 
delivered substantial understanding and accom -
plishments regarding this emerging technology.  
Specifically, the project team has had the opportuni-
ty to explore and compare the capabilities of two  
distinct DLT platforms—the Ethereum and Corda 
platforms—to build out this settlement functionality, 
and to build and implement an LSM in the form of a 
central queue on the Corda platform. The analysis to 
date suggests that DLT platforms that employ a 
proof-of-work consensus protocol, as was built in 
Phase 1, do not deliver the necessary settlement  
finality and low operational risk required of core  
settlement systems. Phase 2 built a distributed  
ledger platform that employed an alternative  
consensus model using a “notary node” and could 
deliver improvements in settlement finality,  
scalability and privacy, but does not adequately  
address operational risk requirements. Further 
evaluation of DLT is still required as solution provid-
ers enhance their offerings and introduce enhance-
ments to satisfy the PFMIs that must be met by any 
wholesale interbank payments settlement system.
The LVTS is a very low-cost system to operate and 
supports efficient use of collateral pledged by  
participants. It will be challenging for any DLT-based 
system to process payments more efficiently than 
the LVTS. However , this may be too narrow a  
perspective to consider when evaluating the overall 
efficiency of the settlement platforms. Currently, all 
participants in the LVTS expend significant resourc-
es in back-office reconciliation efforts to verify and 
validate the information they receive from the LVTS. 
If a DLT-based settlement system is able to reduce 
back-office reconciliation efforts, significantly more 
cost savings could be realized across all of the  
participants, which would reduce the overall cost of 
operation.
It is also possible that a cash-based settlement-solu-
tion system such as Jasper could prove to be the 
core upon which other distributed ledger platforms 
can be built to perform tasks such as settlement  
of financial asset transactions, manage syndicated 
loans and support trade finance. If such an ecosys -
tem for payment and settlement can be fully real -
ized, there could be significant benefits for the whole 
financial sector and the economy overall.</x:v>
      </x:c>
    </x:row>
    <x:row r="42" ht="110" customHeight="1">
      <x:c r="A42" s="46" t="str">
        <x:v>PRD-0015-P0047-U01</x:v>
      </x:c>
      <x:c r="B42" s="46" t="str">
        <x:v>CA_Jasper_Phase12_2017</x:v>
      </x:c>
      <x:c r="C42" s="46" t="n">
        <x:v>47</x:v>
      </x:c>
      <x:c r="D42" s="46" t="str">
        <x:v>en</x:v>
      </x:c>
      <x:c r="E42" s="46" t="str">
        <x:v>text</x:v>
      </x:c>
      <x:c r="F42" s="46" t="str"/>
      <x:c r="G42" s="46" t="str">
        <x:v>45
PROJECT JASPER    //    A Canadian Experiment with Distributed Ledger Technology for Domestic Interbank Payments Settlement
Findings
Considerable centralization and organization were 
required. Given the early stage of the technology,  
capabilities were limited, and we were required to 
implement additional measures to enable DDR 
transactions.
• Account/Key management—Keys are often 
managed through a central service that is sepa-
rate from the Ethereum nodes.
• Node management—A separate node is  
required for every bank to separate the storage 
of accounts. If a participant has access to an  
account, it can potentially use “Ethereum.ac -
counts” and view all active users.
• Slow mining and expensive network—R3N1 still 
uses Proof of Work and it isn’t that much faster 
than the public network.
• Frequent errors—Geth often has issues with 
maintaining connectivity.
• Money held in escrow—For multi-signatures to 
occur , money for redemptions is held in escrow 
until redeemed. Pledging is easier because 
these balances are updated separately.
• Unreliable events in Ethereum—Certain events 
don’t execute consistently.
• No updates of contracts—The current solution 
does not yet have the capability to update/  
upgrade contracts that are already published.
• Local storage of addresses—The current solu -
tion has smart contracts published by a trusted 
third party and executed by that party. 
• No array calls—Solidity does not allow for easy 
dashboard array calls of data: versions of  
contracts from different submit times can be 
viewed as they’re stored with the state, but it is 
challenging to pull large chunks of data.
Data and Transparency
Currently the BoC and Payments Canada observe 
the full network of payment flows, but private banks 
do not. Private banks track their net positions with 
all counterparties, but they do not know their  
counterparties’ vectors of net positions, which could 
suggest that their counterparties will face liquidity 
shortages. Under current practices, it would be 
quite difficult for the BoC to share full information 
on payments flows to banks in real time. The DL, on 
the other hand, delivers this capability. However , 
there are significant privacy trade-offs that conflict 
with collateral management advantages. Ultimately, 
the DL offers advantages for sharing information, 
but decisions will have to be made as to how much 
data should be made available to which participants 
and when.</x:v>
      </x:c>
    </x:row>
    <x:row r="43" ht="110" customHeight="1">
      <x:c r="A43" s="46" t="str">
        <x:v>PRD-0015-P0048-U01</x:v>
      </x:c>
      <x:c r="B43" s="46" t="str">
        <x:v>CA_Jasper_Phase12_2017</x:v>
      </x:c>
      <x:c r="C43" s="46" t="n">
        <x:v>48</x:v>
      </x:c>
      <x:c r="D43" s="46" t="str">
        <x:v>en</x:v>
      </x:c>
      <x:c r="E43" s="46" t="str">
        <x:v>text</x:v>
      </x:c>
      <x:c r="F43" s="46" t="str"/>
      <x:c r="G43" s="46" t="str">
        <x:v>46
PROJECT JASPER    //    A Canadian Experiment with Distributed Ledger Technology for Domestic Interbank Payments Settlement
Technical Overview of Jasper Phase 2
Appendix
2
I
n Phase 2, the prototype was built using the Corda 
platform. Corda was selected after a detailed  
review of the options. Unlike some other DLT  
platforms, Corda has been designed from the ground 
up by and for financial institutions and delivers a  
DLT solution engineered to meet the unique privacy  
requirements of regulated financial institutions. 
The capabilities of the Jasper platform were expanded 
in Phase 2 to include the capability to support multi-
ple settlement options. In addition to atomic settle -
ment, the platform included a liquidity-saving mech-
anism (LSM) that supported netting of payments.  
Phase 2 High-Level Corda Design
The Jasper prototype that was created over Phase 1 
and 2 supports eight processes. In Phase 1 we creat-
ed the ability for participants to pledge, fund a DDR 
wallet, exchange payment, redeem DDR and archive 
DDR. In Phase 2 we expanded the exchange capabil-
ities to include both atomic and deferred net settle -
ment. Details of each process, the triggers, precon-
dition checks and post events for these stages are 
detailed in the table below.



Blockchain-inspired: takes best 
attributes from Bitcoin, Ethereum, 
and others.
Consensus: achieved at individual deal level, 
rather than system level. Supports a variety  
of consensus mechanisms.
Smart contract: strong link between legal 
prose and smart contract code.
Easy integration: reuse existing developer skills and make integration with  
bank systems easy and safe. Query and join the ledger to existing DBs with  
SQL, and code contracts in modern, standard languages like Java.
Regular-focused: design directly enables 
regulatory/supervisor observer nodes.
Enterprise grade: built specifically 
for financial markets.
Data privacy: transactions info 
propogated only to relevant nodes.
c•rda A unique shared ledger approach</x:v>
      </x:c>
    </x:row>
    <x:row r="44" ht="110" customHeight="1">
      <x:c r="A44" s="46" t="str">
        <x:v>PRD-0015-P0055-U01</x:v>
      </x:c>
      <x:c r="B44" s="46" t="str">
        <x:v>CA_Jasper_Phase12_2017</x:v>
      </x:c>
      <x:c r="C44" s="46" t="n">
        <x:v>55</x:v>
      </x:c>
      <x:c r="D44" s="46" t="str">
        <x:v>en</x:v>
      </x:c>
      <x:c r="E44" s="46" t="str">
        <x:v>text</x:v>
      </x:c>
      <x:c r="F44" s="46" t="str"/>
      <x:c r="G44" s="46" t="str">
        <x:v>53
PROJECT JASPER    //    A Canadian Experiment with Distributed Ledger Technology for Domestic Interbank Payments Settlement
Process Steps
 1. Start with a matrix that represents all payments to be used in the matching cycle.
 2. Element ij represents a payment from i to j. 
 3. l represents a vector of limits, or users’ balances, whichever is lower .
 4. The amount each bank owes is the row sum ri and the amount each bank is owed is the column sum ci .
 5. Hence, the net obligation of each bank can be represented as ni = ri – ci . 
 6. Next, we check if n ≤ l, if all n ≤ l the netting was successful; otherwise we must proceed to the next step.
 7. If n &gt; l  we identify the single lowest payment from the party with the largest liquidity shortfall,  
 and ask if removing this payment would put any other bank into a liquidity shortfall. If not, we remove  
 the payment and start over . If it does, we leave that payment in the queue and remove the next smallest  
 payment from the party with the largest liquidity shortfall.
 8. We proceed through this process until we find a solution or have exhausted all possibilities. 
We finish up with another example, to illustrate the process just described. Let
We also have a vector of limits. These are either the user limits or DDR available, whichever is lower .  
Here, all three banks have limits equal to 2.
Once again, A and l are the inputs to the process.
Now the algorithm runs. The first thing it does is compute the aggregate amount each person owes and is owed. 
In the above example: 
Bank 1 owes 11
Bank 2 owes 11
Bank 3 owes 7
Bank 1 is owed 13
Bank 2 is owed 12
Bank 3 is owed 4
-2
-1
3
Owes Owed Net Amount Owed</x:v>
      </x:c>
    </x:row>
    <x:row r="45" ht="110" customHeight="1">
      <x:c r="A45" s="46" t="str">
        <x:v>PRD-0017-P0006-U01</x:v>
      </x:c>
      <x:c r="B45" s="46" t="str">
        <x:v>CN_China_2021</x:v>
      </x:c>
      <x:c r="C45" s="46" t="n">
        <x:v>6</x:v>
      </x:c>
      <x:c r="D45" s="46" t="str">
        <x:v>en</x:v>
      </x:c>
      <x:c r="E45" s="46" t="str">
        <x:v>text</x:v>
      </x:c>
      <x:c r="F45" s="46" t="str"/>
      <x:c r="G45" s="46" t="str">
        <x:v>5
c
ons
i
s
t
e
nt
i
n
t
he
e
r
a
of
di
g
i
t
a
l
e
c
onom
y
by
di
g
i
t
a
l
i
z
i
ng
c
a
s
h.
A
n
e
-
C
N
Y
s
y
s
t
e
m
w
i
l
l
m
a
ke
f
i
na
nc
i
a
l
s
e
r
vi
c
e
s
m
or
e
a
c
c
e
s
s
i
bl
e
,
pr
ovi
di
ng
f
i
a
t
m
one
y
f
or
a
l
a
r
g
e
popul
a
t
i
on
i
n
va
r
i
ous
s
c
e
na
r
i
os
.
T
hos
e
w
i
t
hout
ba
nk
a
c
c
ount
s
c
a
n
e
nj
oy
ba
s
i
c
f
i
na
nc
i
a
l
s
e
r
vi
c
e
s
pr
ovi
de
d
vi
a
e
-
C
N
Y
w
a
l
l
e
t
,
a
nd
f
or
e
i
gn
r
e
s
i
de
nt
s
t
e
m
por
a
r
i
l
y
t
r
a
ve
l
l
i
ng
i
n
C
hi
na
c
a
n
ope
n
a
n
e
-
C
N
Y
w
a
l
l
e
t
t
o
m
e
e
t
da
i
l
y
pa
y
m
e
nt
ne
e
ds
w
i
t
hout
ope
ni
ng
a
dom
e
s
t
i
c
ba
nk
a
c
c
ount
.
I
n
a
ddi
t
i
on,
a
s
e
-
C
N
Y
i
s
s
e
t
t
l
e
d
upon
pa
y
m
e
nt
,
bus
i
ne
s
s
e
s
a
nd
r
e
l
a
t
e
d
pa
r
t
i
e
s
c
a
n
i
m
pr
ove
c
a
s
h
f
l
ow
w
hi
l
e
e
nj
oy
i
ng
m
or
e
c
onve
ni
e
nt
pa
y
m
e
nt
s
e
r
vi
c
e
s
.
T
h
e
T
h
e
T
h
e
T
h
e
s
e
c
on
d
s
e
c
on
d
s
e
c
on
d
s
e
c
on
d
ob
j
e
c
t
i
ve
ob
j
e
c
t
i
ve
ob
j
e
c
t
i
ve
ob
j
e
c
t
i
ve
i
s
i
s
i
s
i
s
t
o
t
o
t
o
t
o
s
u
p
p
or
t
s
u
p
p
or
t
s
u
p
p
or
t
s
u
p
p
or
t
f
ai
r
f
ai
r
f
ai
r
f
ai
r
c
om
p
e
t
i
t
i
on
,
c
om
p
e
t
i
t
i
on
,
c
om
p
e
t
i
t
i
on
,
c
om
p
e
t
i
t
i
on
,
e
f
f
i
c
i
e
n
c
y
e
f
f
i
c
i
e
n
c
y
e
f
f
i
c
i
e
n
c
y
e
f
f
i
c
i
e
n
c
y
an
d
an
d
an
d
an
d
s
af
e
t
y
s
af
e
t
y
s
af
e
t
y
s
af
e
t
y
of
of
of
of
r
e
t
ai
l
r
e
t
ai
l
r
e
t
ai
l
r
e
t
ai
l
p
aym
e
n
t
p
aym
e
n
t
p
aym
e
n
t
p
aym
e
n
t
s
e
r
vi
c
e
s
.
s
e
r
vi
c
e
s
.
s
e
r
vi
c
e
s
.
s
e
r
vi
c
e
s
.
E
-
C
N
Y
w
i
l
l
pr
ovi
de
t
he
publ
i
c
w
i
t
h
a
ne
w
i
nt
e
r
ope
r
a
bl
e
w
a
y
of
pa
y
m
e
nt
,
w
hi
c
h
w
i
l
l
f
ur
t
he
r
di
ve
r
s
i
f
y
pa
y
m
e
nt
i
ns
t
r
um
e
nt
s
a
nd
m
a
ke
t
he
pa
y
m
e
nt
s
y
s
t
e
m
m
or
e
e
f
f
i
c
i
e
nt
a
nd
s
a
f
e
r
.
T
he
C
hi
ne
s
e
a
ut
hor
i
t
i
e
s
s
uppor
t
c
oor
di
na
t
e
d
de
ve
l
opm
e
nt
of
va
r
i
ous
pa
y
m
e
nt
m
e
t
hods
.
E
-
C
N
Y
a
nd
e
x
i
s
t
i
ng
e
l
e
c
t
r
oni
c
pa
y
m
e
nt
t
ool
s
a
r
e
on
di
f
f
e
r
e
nt
di
m
e
ns
i
ons
.
T
he
y
c
om
pl
e
m
e
nt
e
a
c
h
ot
he
r
,
a
nd
a
l
s
o
di
f
f
e
r
.
D
e
f
i
ne
d
a
s
a
s
ubs
t
i
t
ut
e
f
or
M
0,
e
-
C
N
Y
m
a
i
nl
y
s
e
r
ve
s
r
e
t
a
i
l
pa
y
m
e
nt
.
I
t
s
i
s
s
ua
nc
e
a
i
m
s
a
t
e
nha
nc
i
ng
f
i
na
nc
i
a
l
i
nc
l
us
i
on.
I
t
dr
a
w
s
on
e
x
i
s
t
i
ng
e
l
e
c
t
r
oni
c
pa
y
m
e
nt
t
e
c
hnol
ogi
e
s
a
nd
s
uppl
e
m
e
nt
s
t
he
e
x
i
s
t
i
ng
s
y
s
t
e
m
.
W
hi
l
e
s
ha
r
i
ng
s
i
m
i
l
a
r
pa
y
m
e
nt
f
unc
t
i
ons
,
e
-
C
N
Y
a
nd
e
x
i
s
t
i
ng
e
l
e
c
t
r
oni
c
pa
y
m
e
nt
i
ns
t
r
um
e
nt
s
di
f
f
e
r
i
n
m
a
ny
a
s
pe
c
t
s
.
F
i
r
s
t
,
e
-
C
N
Y
i
s
C
hi
na
’
s
l
e
ga
l
t
e
nde
r
,
w
hi
c
h
i
s
t
he
s
a
f
e
s
t
a
s
s
e
t
i
n
C
hi
na
.
S
e
c
ond,
i
t
ha
s
i
nt
r
i
ns
i
c
va
l
ue
,
a
nd
c
a
n
be
t
r
a
ns
f
e
r
r
e
d
w
i
t
hout
r
e
l
y
i
ng
on
ba
nk
a
c
c
ount
s
.
I
n
a
ddi
t
i
on,
i
t
s
uppor
t
s
of
f
-
l
i
ne
t
r
a
ns
a
c
t
i
ons
a
nd
i
s
s
e
t
t
l
e
d
upon
pa
y
m
e
nt
.
T
hi
r
d,
e
-
C
N
Y
s
uppor
t
s
m
a
na
ge
d
a
nony
m
i
t
y
,
w
hi
c
h
he
l
ps
pr
ot
e
c
t
pr
i
va
c
y
a
nd
us
e
r
i
nf
or
m
a
t
i
on.
T
h
e
T
h
e
T
h
e
T
h
e
t
h
i
r
d
t
h
i
r
d
t
h
i
r
d
t
h
i
r
d
ob
j
e
c
t
i
ve
ob
j
e
c
t
i
ve
ob
j
e
c
t
i
ve
ob
j
e
c
t
i
ve
i
s
i
s
i
s
i
s
t
o
t
o
t
o
t
o
e
c
h
o
e
c
h
o
e
c
h
o
e
c
h
o
t
h
e
t
h
e
t
h
e
t
h
e
i
n
t
e
r
n
at
i
on
al
i
n
t
e
r
n
at
i
on
al
i
n
t
e
r
n
at
i
on
al
i
n
t
e
r
n
at
i
on
al
i
n
i
t
i
at
i
ve
i
n
i
t
i
at
i
ve
i
n
i
t
i
at
i
ve
i
n
i
t
i
at
i
ve
an
d
an
d
an
d
an
d
e
xp
l
or
e
e
xp
l
or
e
e
xp
l
or
e
e
xp
l
or
e
t
h
e
t
h
e
t
h
e
t
h
e
i
m
p
r
ove
m
e
n
t
i
m
p
r
ove
m
e
n
t
i
m
p
r
ove
m
e
n
t
i
m
p
r
ove
m
e
n
t
of
of
of
of
c
r
os
s
-
b
or
d
e
r
c
r
os
s
-
b
or
d
e
r
c
r
os
s
-
b
or
d
e
r
c
r
os
s
-
b
or
d
e
r
p
aym
e
n
t
s
.
p
aym
e
n
t
s
.
p
aym
e
n
t
s
.
p
aym
e
n
t
s
.
W
he
t
he
r
e
-
C
N
Y
w
i
l
l
be
us
e
d
i
n
c
r
os
s
-
bor
de
r
pa
y
m
e
nt
s
,
a
nd
t
o
pr
om
ot
e
R
M
B
i
nt
e
r
na
t
i
ona
l
i
z
a
t
i
on
dr
a
w
s
m
uc
h
a
t
t
e
nt
i
on.
F
i
r
s
t
of
a
l
l
,
c
r
os
s
-
bor
de
r
pa
y
m
e
nt
i
nvol
ve
s
va
r
i
ous
c
om
pl
i
c
a
t
e
d
i
s
s
ue
s
s
uc
h
a
s
m
one
t
a
r
y
s
ove
r
e
i
gnt
y
,
f
or
e
i
gn
e
x
c
ha
nge
pol
i
c
i
e
s
a
nd
a
r
r
a
nge
m
e
nt
s
,
a
s
w
e
l
l
a
s
r
e
gul
a
t
or
y
a
nd
c
om
pl
i
a
nc
e
r
e
qui
r
e
m
e
nt
s
.
I
t
i
s
a
l
s
o
a
c
ha
l
l
e
nge
t
ha
t
t
he
i
nt
e
r
na
t
i
ona
l
c
om
m
uni
t
y
i
s
c
om
m
i
t
t
e
d
t
o
a
ddr
e
s
s
.
T
he
i
nt
e
r
na
t
i
ona
l
i
z
a
t
i
on
of
a
c
ur
r
e
nc
y
i
s
a
na
t
ur
a
l
r
e
s
ul
t
of
m
a
r
ke
t
s
e
l
e
c
t
i
on.
T
he
i
nt
e
r
na
t
i
ona
l
s
t
a
t
us
of
a
c
ount
r
y
’
s
c
ur
r
e
nc
y
de
pe
nds
on
i
t
s
e
c
onom
i
c
f
unda
m
e
nt
a
l
s
a
nd
t
he
de
pt
h,
e
f
f
i
c
i
e
nc
y
a
nd
ope
nne
s
s
of
i
t
s
f
i
na
nc
i
a
l
m
a
r
ke
t
s
.
T
he
r
e
f
or
e
,
t
houg
h
t
e
c
hni
c
a
l
l
y
r
e
a
dy
f
or
c
r
os
s
-
bor
de
r
us
e
,
e
-
C
N
Y
i
s
s
t
i
l
l
de
s
i
gne
d
m
a
i
nl
y
f
or
dom
e
s
t
i
c
r
e
t
a
i
l
pa
y
m
e
nt
s
a
t
pr
e
s
e
nt
.
L
o
oki
ng
a
he
a
d,
t
he
P
B
O
C
w
i
l
l
a
c
t
i
ve
l
y
r
e
s
pond
t
o
i
ni
t
i
a
t
i
ve
s
of
G
20
a
nd
ot
he
r
i
nt
e
r
na
t
i
ona
l
or
g
a
ni
z
a
t
i
ons
on
i
m
pr
ovi
ng
c
r
os
s
-
bor
de
r
pa
y
m
e
nt
s
,
a
nd
e
x
pl
or
e
t
he
a
ppl
i
c
a
bi
l
i
t
y
of
C
B
D
C
i
n
c
r
os
s
-
bor
de
r
s
c
e
na
r
i
os
.
B
a
s
e
d
on
e
x
pe
r
i
e
nc
e
s
of
dom
e
s
t
i
c
t
r
i
a
l
s
a
nd
i
nt
e
r
na
t
i
ona
l
de
m
a
nd,
a
nd
pr
e
c
ondi
t
i
one
d
on
m
ut
ua
l
r
e
s
pe
c
t
t
o
m
one
t
a
r
y
s
ove
r
e
i
gnt
y
a
nd
c
om
pl
i
a
nc
e
,
t
he
P
B
O
C
w
i
l
l
e
x
pl
or
e
pi
l
ot
c
r
os
s
-
bor
de
r
pa
y
m
e
nt
pr
ogr
a
m
s
a
nd
w
i
l
l
w
or
k
w
i
t
h
r
e
l
e
va
nt
c
e
nt
r
a
l
ba
nks
a
nd
m
one
t
a
r
y
a
ut
hor
i
t
i
e
s
t
o
s
e
t
up
e
x
c
ha
nge
a
r
r
a
nge
m
e
nt
s
a
nd
r
e
gul
a
t
or
y
c
oope
r
a
t
i
on
m
e
c
ha
ni
s
m
s
on
di
g
i
t
a
l
f
i
a
t
c
ur
r
e
nc
y
i
n
l
i
ne
w
i
t
h
t
he
pr
i
nc
i
pl
e
of
“
no
de
t
r
i
m
e
nt
,
”
“
c
om
pl
i
a
nc
e
,
”
a
nd
“
i
nt
e
r
c
onne
c
t
i
vi
t
y
.
”
2
2
F
i
r
s
t
,
n
o
d
i
s
r
u
p
t
i
o
n
.
C
B
D
C
s
u
p
p
l
i
e
d
b
y
o
n
e
c
e
n
t
r
a
l
b
a
n
k
s
h
o
u
l
d
c
o
n
t
i
n
u
e
t
o
s
u
p
p
o
r
t
t
h
e
h
e
a
l
t
h
y
e
v
o
l
u
t
i
o
n
o
f
t
h
e</x:v>
      </x:c>
    </x:row>
    <x:row r="46" ht="110" customHeight="1">
      <x:c r="A46" s="46" t="str">
        <x:v>PRD-0017-P0008-U01</x:v>
      </x:c>
      <x:c r="B46" s="46" t="str">
        <x:v>CN_China_2021</x:v>
      </x:c>
      <x:c r="C46" s="46" t="n">
        <x:v>8</x:v>
      </x:c>
      <x:c r="D46" s="46" t="str">
        <x:v>en</x:v>
      </x:c>
      <x:c r="E46" s="46" t="str">
        <x:v>text</x:v>
      </x:c>
      <x:c r="F46" s="46" t="str"/>
      <x:c r="G46" s="46" t="str">
        <x:v>7
c
onne
c
t
di
g
i
t
a
l
w
a
l
l
e
t
s
of
di
f
f
e
r
e
nt
ope
r
a
t
or
s
a
s
w
e
l
l
a
s
c
onne
c
t
e
-
C
N
Y
w
a
l
l
e
t
w
i
t
h
ba
nk
a
c
c
ount
s
,
t
hus
i
m
pr
ovi
ng
t
he
i
nt
e
r
ope
r
a
bi
l
i
t
y
of
pa
y
m
e
nt
i
ns
t
r
um
e
nt
s
.
3.2
3.2
3.2
3.2
F
e
at
u
r
e
s
F
e
at
u
r
e
s
F
e
at
u
r
e
s
F
e
at
u
r
e
s
of
of
of
of
e
-
C
N
Y
e
-
C
N
Y
e
-
C
N
Y
e
-
C
N
Y
d
e
s
i
gn
d
e
s
i
gn
d
e
s
i
gn
d
e
s
i
gn
T
he
de
s
i
gn
of
e
-
C
N
Y
t
a
ke
s
a
c
c
ount
of
t
he
a
dva
nt
a
ge
s
of
bot
h
phy
s
i
c
a
l
R
M
B
a
nd
e
l
e
c
t
r
oni
c
pa
y
m
e
nt
i
ns
t
r
um
e
nt
s
.
T
he
r
e
f
or
e
i
t
s
ha
r
e
s
bot
h
t
he
f
e
a
t
ur
e
s
of
phy
s
i
c
a
l
R
M
B
,
s
uc
h
a
s
s
e
t
t
l
e
m
e
nt
upon
pa
y
m
e
nt
a
nd
a
nony
m
i
t
y
,
a
nd
t
he
f
e
a
t
ur
e
s
of
e
l
e
c
t
r
oni
c
pa
y
m
e
nt
i
ns
t
r
um
e
nt
s
,
w
hi
c
h
a
r
e
l
e
s
s
c
os
t
l
y
,
hi
g
hl
y
por
t
a
bl
e
,
hi
g
hl
y
e
f
f
i
c
i
e
nt
a
nd
ha
r
d-
t
o-
c
ount
e
r
f
e
i
t
.
T
he
de
s
i
g
n
of
e
-
C
N
Y
m
a
i
nl
y
c
ons
i
de
r
s
t
he
f
ol
l
ow
i
ng
f
e
a
t
ur
e
s
:
3.2.1
3.2.1
3.2.1
3.2.1
I
d
e
n
t
i
f
i
ab
l
e
I
d
e
n
t
i
f
i
ab
l
e
I
d
e
n
t
i
f
i
ab
l
e
I
d
e
n
t
i
f
i
ab
l
e
b
ot
h
b
ot
h
b
ot
h
b
ot
h
as
as
as
as
an
an
an
an
ac
c
ou
n
t
-
b
as
e
d
ac
c
ou
n
t
-
b
as
e
d
ac
c
ou
n
t
-
b
as
e
d
ac
c
ou
n
t
-
b
as
e
d
an
d
an
d
an
d
an
d
a
a
a
a
val
u
e
-
b
as
e
d
val
u
e
-
b
as
e
d
val
u
e
-
b
as
e
d
val
u
e
-
b
as
e
d
s
ys
t
e
m
s
ys
t
e
m
s
ys
t
e
m
s
ys
t
e
m
E
-
C
N
Y
i
s
a
n
a
c
c
ount
-
ba
s
e
d,
qua
s
i
-
a
c
c
ount
-
ba
s
e
d
a
nd
va
l
ue
-
ba
s
e
d
hy
b
r
i
d
pa
y
m
e
nt
i
ns
t
r
um
e
nt
.
I
t
ha
s
a
va
r
i
a
bl
e
f
a
c
e
va
l
ue
a
nd
i
t
s
va
l
ue
t
r
a
ns
f
e
r
t
a
ke
s
t
he
f
or
m
of
c
r
y
p
t
oc
ur
r
e
nc
y
s
t
r
i
ng
s
.
3.2.2
3.2.2
3.2.2
3.2.2
N
on
-
i
n
t
e
r
e
s
t
N
on
-
i
n
t
e
r
e
s
t
N
on
-
i
n
t
e
r
e
s
t
N
on
-
i
n
t
e
r
e
s
t
ac
c
r
u
al
ac
c
r
u
al
ac
c
r
u
al
ac
c
r
u
al
T
he
e
-
C
N
Y
i
s
a
s
ubs
t
i
t
ut
e
f
or
M
0.
T
hus
,
i
t
i
s
t
r
e
a
t
e
d
t
he
s
a
m
e
a
s
t
he
phy
s
i
c
a
l
R
M
B
unde
r
M
0,
w
hi
c
h
c
a
r
r
i
e
s
a
nd
pa
y
s
no
i
nt
e
r
e
s
t
.
3.2.3
3.2.3
3.2.3
3.2.3
L
ow
L
ow
L
ow
L
ow
c
os
t
s
c
os
t
s
c
os
t
s
c
os
t
s
C
ons
i
s
t
e
nt
w
i
t
h
t
he
m
a
na
ge
m
e
nt
of
phy
s
i
c
a
l
R
M
B
,
t
he
P
B
O
C
doe
s
not
c
ha
r
g
e
a
ut
hor
i
z
e
d
ope
r
a
t
or
s
f
or
e
x
c
ha
nge
a
nd
c
i
r
c
ul
a
t
i
on
s
e
r
vi
c
e
s
,
a
nd
t
he
ope
r
a
t
or
s
do
not
c
ha
r
g
e
i
ndi
vi
dua
l
c
l
i
e
nt
s
f
or
t
he
e
xc
ha
nge
of
e
-
C
N
Y
e
i
t
he
r
.
3.2.4
3.2.4
3.2.4
3.2.4
S
e
t
t
l
e
m
e
n
t
S
e
t
t
l
e
m
e
n
t
S
e
t
t
l
e
m
e
n
t
S
e
t
t
l
e
m
e
n
t
u
p
on
u
p
on
u
p
on
u
p
on
p
aym
e
n
t
p
aym
e
n
t
p
aym
e
n
t
p
aym
e
n
t
A
c
c
or
di
ng
t
o
s
e
t
t
l
e
m
e
nt
f
i
na
l
i
t
y
,
t
he
e
-
C
N
Y
i
s
l
oos
e
l
y
c
oupl
e
d
w
i
t
h
ba
nk
a
c
c
ount
s
,
a
nd
t
hus
pa
y
m
e
nt
s
t
hr
ough
e
-
C
N
Y
w
a
l
l
e
t
s
a
r
e
s
e
t
t
l
e
d
upon
pa
y
m
e
nt
.
3.2.5
3.2.5
3.2.5
3.2.5
A
n
on
ym
i
t
y
A
n
on
ym
i
t
y
A
n
on
ym
i
t
y
A
n
on
ym
i
t
y
(
m
an
age
d
(
m
an
age
d
(
m
an
age
d
(
m
an
age
d
an
on
ym
i
t
y)
an
on
ym
i
t
y)
an
on
ym
i
t
y)
an
on
ym
i
t
y)
E
-
C
N
Y
f
ol
l
ow
s
t
he
pr
i
nc
i
pl
e
of
“
a
nony
m
i
t
y
f
or
s
m
a
l
l
va
l
ue
a
nd
t
r
a
c
e
a
bl
e
f
or
hi
g
h
va
l
ue
,
”
a
nd
a
t
t
a
c
he
s
g
r
e
a
t
i
m
por
t
a
nc
e
t
o
pr
ot
e
c
t
i
ng
pe
r
s
ona
l
i
nf
or
m
a
t
i
o
n
a
nd
pr
i
va
c
y
.
I
t
a
i
m
s
t
o
m
e
e
t
t
he
publ
i
c
de
m
a
nd
f
or
a
nony
m
ous
s
m
a
l
l
va
l
ue
pa
y
m
e
nt
s
e
r
vi
c
e
s
ba
s
e
d
on
t
he
r
i
s
k
f
e
a
t
ur
e
s
a
nd
i
nf
or
m
a
t
i
on
pr
oc
e
s
s
i
ng
l
og
i
c
of
c
ur
r
e
nt
e
l
e
c
t
r
oni
c
pa
y
m
e
nt
s
y
s
t
e
m
.
M
e
a
nw
hi
l
e
,
i
t
i
s
ne
c
e
s
s
a
r
y
t
o
g
ua
r
d
a
ga
i
ns
t
t
he
m
i
s
us
e
of
e
-
C
N
Y
i
n
i
l
l
e
g
a
l
a
nd
c
r
i
m
i
na
l
a
c
t
i
vi
t
i
e
s
,
s
uc
h
a
s
t
e
l
e
-
f
r
a
ud,
I
nt
e
r
ne
t
g
a
m
bl
i
ng
,
m
one
y
l
a
unde
r
i
ng,
a
nd
t
a
x
e
va
s
i
on
by
m
a
ki
ng
s
ur
e
t
ha
t
t
r
a
ns
a
c
t
i
ons
c
om
pl
y
w
i
t
h
A
M
L
/
C
F
T
r
e
qui
r
e
m
e
nt
s
.
T
he
e
-
C
N
Y
s
y
s
t
e
m
c
ol
l
e
c
t
s
l
e
s
s
t
r
a
ns
a
c
t
i
on
i
nf
or
m
a
t
i
on
t
ha
n
t
r
a
di
t
i
ona
l
e
l
e
c
t
r
oni
c
pa
y
m
e
nt
a
nd
doe
s
not
pr
ovi
de
i
nf
or
m
a
t
i
on
t
o
t
hi
r
d
pa
r
t
i
e
s
or
ot
he
r
g
ove
r
nm
e
nt
a
ge
nc
i
e
s
unl
e
s
s
s
t
i
pul
a
t
e
d
ot
he
r
w
i
s
e
i
n
l
a
w
s
a
nd
r
e
gul
a
t
i
ons
.
I
nt
e
r
na
l
l
y
,
t
he
P
B
O
C
s
e
t
s
up
a
f
i
r
e
w
a
l
l
f
or
e
-
C
N
Y
-
r
e
l
a
t
e
d
i
nf
or
m
a
t
i
on,
a
nd
s
t
r
i
c
t
l
y
i
m
pl
e
m
e
nt
s
i
nf
or
m
a
t
i
on
s
e
c
ur
i
t
y
a
nd
pr
i
va
c
y
pr
ot
oc
ol
s
,
s
uc
h
a
s
de
s
i
g
na
t
i
ng
s
pe
c
i
a
l
pe
r
s
onne
l
t
o
m
a
na
ge
i
nf
or
m
a
t
i
on,
s
e
pa
r
a
t
i
ng
e
-
C
N
Y
f
r
om
ot
he
r
bus
i
ne
s
s
e
s
,
a
ppl
y
i
ng
a
t
i
e
r
e
d
a
ut
hor
i
z
a
t
i
on
s
y
s
t
e
m
,
put
t
i
ng
i
n
pl
a
c
e
c
he
c
ks
a
nd
ba
l
a
nc
e
s
,
a
nd
c
onduc
t
i
ng
i
nt
e
r
na
l
a
udi
t
s
.
A
ny
a
r
bi
t
r
a
r
y
i
nf
or
m
a
t
i
on
r
e
que
s
t
s
or
us
e
a
r
e
pr
ohi
bi
t
e
d.</x:v>
      </x:c>
    </x:row>
    <x:row r="47" ht="110" customHeight="1">
      <x:c r="A47" s="46" t="str">
        <x:v>PRD-0017-P0009-U01</x:v>
      </x:c>
      <x:c r="B47" s="46" t="str">
        <x:v>CN_China_2021</x:v>
      </x:c>
      <x:c r="C47" s="46" t="n">
        <x:v>9</x:v>
      </x:c>
      <x:c r="D47" s="46" t="str">
        <x:v>en</x:v>
      </x:c>
      <x:c r="E47" s="46" t="str">
        <x:v>text</x:v>
      </x:c>
      <x:c r="F47" s="46" t="str"/>
      <x:c r="G47" s="46" t="str">
        <x:v>8
3.2.6
3.2.6
3.2.6
3.2.6
S
af
e
t
y
S
af
e
t
y
S
af
e
t
y
S
af
e
t
y
E
-
C
N
Y
a
dopt
s
a
va
r
i
e
t
y
of
t
e
c
hnol
ogi
e
s
,
i
nc
l
udi
ng
di
g
i
t
a
l
c
e
r
t
i
f
i
c
a
t
e
s
y
s
t
e
m
,
di
g
i
t
a
l
s
i
g
na
t
ur
e
,
a
nd
e
nc
r
y
p
t
e
d
s
t
or
a
ge
t
o
m
a
ke
doubl
e
-
s
pe
ndi
ng,
i
l
l
e
g
a
l
dupl
i
c
a
t
i
on
a
nd
c
ount
e
r
f
e
i
t
,
t
r
a
ns
a
c
t
i
on
f
a
l
s
i
f
i
c
a
t
i
on,
a
nd
r
e
pudi
a
t
i
on
unf
e
a
s
i
bl
e
.
A
m
ul
t
i
-
l
a
y
e
r
s
e
c
ur
i
t
y
s
y
s
t
e
m
ha
s
be
e
n
i
ni
t
i
a
l
l
y
e
s
t
a
bl
i
s
he
d
t
o
g
ua
r
a
nt
e
e
t
ha
t
e
-
C
N
Y
ha
s
a
s
a
f
e
l
i
f
e
c
y
c
l
e
a
nd
r
i
s
ks
a
r
e
m
a
na
ge
a
bl
e
.
3.2.7
3.2.7
3.2.7
3.2.7
P
r
ogr
am
m
ab
i
l
i
t
y
P
r
ogr
am
m
ab
i
l
i
t
y
P
r
ogr
am
m
ab
i
l
i
t
y
P
r
ogr
am
m
ab
i
l
i
t
y
E
-
C
N
Y
obt
a
i
ns
pr
ogr
a
m
m
a
bi
l
i
t
y
f
r
om
de
pl
oy
i
ng
s
m
a
r
t
c
ont
r
a
c
t
s
t
ha
t
don
’
t
i
m
pa
i
r
i
t
s
m
one
t
a
r
y
f
unc
t
i
ons
.
U
nde
r
t
he
pr
e
m
i
s
e
of
s
e
c
ur
i
t
y
a
nd
c
om
pl
i
a
nc
e
,
t
hi
s
f
e
a
t
ur
e
e
na
bl
e
s
s
e
l
f
-
e
xe
c
ut
i
ng
pa
y
m
e
nt
s
a
c
c
or
di
ng
t
o
pr
e
de
f
i
ne
d
c
ondi
t
i
ons
or
t
e
r
m
s
a
gr
e
e
d
be
t
w
e
e
n
t
w
o
s
i
de
s
,
s
o
a
s
t
o
f
a
c
i
l
i
t
a
t
e
bus
i
ne
s
s
m
ode
l
i
nnova
t
i
on.
3.3
3.3
3.3
3.3
D
e
s
i
gn
D
e
s
i
gn
D
e
s
i
gn
D
e
s
i
gn
of
of
of
of
e
-
C
N
Y
e
-
C
N
Y
e
-
C
N
Y
e
-
C
N
Y
op
e
r
at
i
on
al
op
e
r
at
i
on
al
op
e
r
at
i
on
al
op
e
r
at
i
on
al
s
ys
t
e
m
s
ys
t
e
m
s
ys
t
e
m
s
ys
t
e
m
I
n
l
i
ne
w
i
t
h
t
he
c
e
nt
r
a
l
ba
nk
’
s
m
a
nda
t
e
s
,
t
he
r
e
a
r
e
t
w
o
opt
i
ons
t
o
ope
r
a
t
e
di
g
i
t
a
l
f
i
a
t
c
ur
r
e
nc
y
.
O
ne
i
s
s
i
ng
l
e
-
t
i
e
r
ope
r
a
t
i
on
unde
r
w
hi
c
h
t
he
c
e
nt
r
a
l
ba
nk
di
r
e
c
t
l
y
pr
ovi
de
s
i
s
s
ua
nc
e
,
c
i
r
c
ul
a
t
i
on,
a
nd
m
a
i
nt
e
na
nc
e
s
e
r
vi
c
e
s
f
or
t
he
g
e
ne
r
a
l
publ
i
c
.
T
he
ot
he
r
i
s
t
w
o-
t
i
e
r
ope
r
a
t
i
on
unde
r
w
hi
c
h
c
e
nt
r
a
l
ba
nk
i
s
s
ue
s
di
g
i
t
a
l
f
i
a
t
c
ur
r
e
nc
y
t
o
a
ut
hor
i
z
e
d
ope
r
a
t
or
s
a
nd
t
he
n
t
he
s
e
ope
r
a
t
or
s
t
a
ke
c
ha
r
g
e
of
e
x
c
ha
nge
a
nd
c
i
r
c
ul
a
t
i
on.
E
-
C
N
Y
a
dopt
s
t
w
o-
t
i
e
r
ope
r
a
t
i
on
w
he
r
e
by
t
he
P
B
O
C
i
s
r
e
s
pons
i
bl
e
f
or
i
s
s
ua
nc
e
a
nd
di
s
pos
a
l
,
i
nt
e
r
-
i
ns
t
i
t
ut
i
on
c
onne
c
t
a
nd
w
a
l
l
e
t
e
c
os
y
s
t
e
m
m
a
na
ge
m
e
nt
.
A
ddi
t
i
ona
l
l
y
,
i
t
pr
ude
nt
l
y
s
e
l
e
c
t
s
c
om
m
e
r
c
i
a
l
ba
nks
w
i
t
h
c
e
r
t
a
i
n
s
t
r
e
ngt
hs
i
n
c
a
pi
t
a
l
a
nd
t
e
c
hnol
ogy
a
s
a
ut
hor
i
z
e
d
ope
r
a
t
or
s
t
o
t
a
ke
t
he
l
e
a
d
i
n
pr
ovi
di
ng
e
-
C
N
Y
e
xc
ha
nge
s
e
r
vi
c
e
s
.
O
t
he
r
c
om
m
e
r
c
i
a
l
ba
nks
a
nd
i
ns
t
i
t
ut
i
ons
,
unde
r
t
he
P
B
O
C
’
s
c
e
nt
r
a
l
i
z
e
d
m
a
na
ge
m
e
nt
,
g
i
ve
f
ul
l
pl
a
y
t
o
t
he
i
r
c
r
e
a
t
i
vi
t
y
,
a
nd
c
ol
l
e
c
t
i
ve
l
y
pr
ovi
de
s
e
r
vi
c
e
s
f
or
e
-
C
N
Y
c
i
r
c
ul
a
t
i
on.
S
pe
c
i
f
i
c
a
l
l
y
,
unde
r
t
he
quot
a
m
a
na
ge
m
e
nt
of
t
he
P
B
O
C
,
t
he
a
ut
hor
i
z
e
d
ope
r
a
t
or
s
ope
n
di
f
f
e
r
e
nt
t
y
p
e
s
of
di
g
i
t
a
l
w
a
l
l
e
t
s
f
or
c
us
t
om
e
r
s
ba
s
e
d
on
t
he
s
t
r
e
ngt
h
of
c
us
t
om
e
r
pe
r
s
ona
l
i
nf
or
m
a
t
i
on
i
de
nt
i
f
i
c
a
t
i
on,
a
nd
pr
ovi
de
e
-
C
N
Y
e
x
c
ha
ng
e
s
e
r
vi
c
e
s
.
I
n
t
he
m
e
a
nt
i
m
e
,
t
o
e
na
bl
e
s
e
c
ur
e
a
nd
e
f
f
e
c
t
i
ve
ope
r
a
t
i
on,
a
ut
hor
i
z
e
d
ope
r
a
t
or
s
a
nd
r
e
l
a
t
e
d
c
om
m
e
r
c
i
a
l
i
ns
t
i
t
ut
i
ons
j
oi
nt
l
y
pr
ovi
de
e
-
C
N
Y
c
i
r
c
ul
a
t
i
on
s
e
r
vi
c
e
s
a
nd
r
e
t
a
i
l
m
a
na
ge
m
e
nt
,
i
nc
l
udi
ng
i
nnova
t
i
on
on
pa
y
m
e
nt
pr
oduc
t
de
s
i
g
n,
s
y
s
t
e
m
de
ve
l
opm
e
nt
,
s
c
e
na
r
i
o
e
x
pa
ns
i
on,
m
a
r
ke
t
i
ng,
bus
i
ne
s
s
pr
oc
e
s
s
i
ng
a
s
w
e
l
l
a
s
ope
r
a
t
i
on
a
nd
m
a
i
nt
e
na
nc
e
.
T
he
P
B
O
C
w
i
l
l
t
r
y
t
o
ke
e
p
a
l
e
ve
l
-
pl
a
y
i
ng
f
i
e
l
d
a
nd
e
ns
ur
e
t
ha
t
t
he
m
a
r
ke
t
pl
a
y
s
a
de
c
i
s
i
ve
r
ol
e
i
n
r
e
s
our
c
e
a
l
l
oc
a
t
i
on.
T
hi
s
w
i
l
l
i
nc
e
nt
i
vi
z
e
a
l
l
pa
r
t
i
c
i
pa
nt
s
a
nd
unl
e
a
s
h
t
he
i
r
c
r
e
a
t
i
vi
t
y
,
a
nd
m
a
i
nt
a
i
n
f
i
na
nc
i
a
l
s
t
a
bi
l
i
t
y
.
T
he
t
w
o-
t
i
e
r
s
y
s
t
e
m
c
a
n
f
ul
l
y
t
a
p
a
ut
hor
i
z
e
d
ope
r
a
t
or
s
’
a
dva
nt
a
ge
i
n
r
e
s
our
c
e
s
,
t
a
l
e
nt
s
,
a
nd
t
e
c
h
nol
ogy
t
o
bui
l
d
a
m
a
r
ke
t
-
d
r
i
v
e
n
s
y
s
t
e
m
t
ha
t
pr
om
o
t
e
s
i
nn
ova
t
i
o
n
a
nd
c
om
p
e
t
i
t
i
o
n.
O
n
t
op
of
t
ha
t
,
s
i
nc
e
t
he
publ
i
c
i
s
us
e
d
t
o
a
c
c
e
s
s
i
ng
f
i
na
nc
i
a
l
s
e
r
vi
c
e
s
vi
a
c
om
m
e
r
c
i
a
l
ba
nks
,
t
he
t
w
o-
t
i
e
r
s
y
s
t
e
m
c
a
n
i
nc
r
e
a
s
e
t
he
publ
i
c
a
c
c
e
pt
a
nc
e
of
e
-
C
N
Y
.
3.4
3.4
3.4
3.4
D
e
s
i
gn
D
e
s
i
gn
D
e
s
i
gn
D
e
s
i
gn
of
of
of
of
e
-
C
N
Y
e
-
C
N
Y
e
-
C
N
Y
e
-
C
N
Y
w
al
l
e
t
w
al
l
e
t
w
al
l
e
t
w
al
l
e
t
D
i
g
i
t
a
l
w
a
l
l
e
t
s
a
r
e
t
he
m
e
di
um
of
e
-
C
N
Y
t
ha
t
r
e
a
c
he
s
out
t
o
us
e
r
s
.
B
a
s
e
d
on</x:v>
      </x:c>
    </x:row>
    <x:row r="48" ht="110" customHeight="1">
      <x:c r="A48" s="46" t="str">
        <x:v>PRD-0017-P0013-U01</x:v>
      </x:c>
      <x:c r="B48" s="46" t="str">
        <x:v>CN_China_2021</x:v>
      </x:c>
      <x:c r="C48" s="46" t="n">
        <x:v>13</x:v>
      </x:c>
      <x:c r="D48" s="46" t="str">
        <x:v>en</x:v>
      </x:c>
      <x:c r="E48" s="46" t="str">
        <x:v>text</x:v>
      </x:c>
      <x:c r="F48" s="46" t="str"/>
      <x:c r="G48" s="46" t="str">
        <x:v>1
2
S
om
e
poi
nt
out
t
ha
t
C
B
D
C
,
a
s
t
he
s
a
f
e
s
t
a
s
s
e
t
,
c
oul
d
e
x
a
c
e
r
ba
t
e
ba
nk
r
uns
i
n
t
i
m
e
s
of
c
r
i
s
i
s
.
R
e
s
i
de
nt
s
a
nd
c
om
pa
ni
e
s
c
a
n
e
a
s
i
l
y
c
onve
r
t
ba
nk
de
pos
i
t
s
i
nt
o
C
B
D
C
,
c
a
us
i
ng
f
i
na
nc
i
a
l
di
s
i
nt
e
r
m
e
di
a
t
i
on
a
nd
a
m
pl
i
f
y
i
ng
f
i
na
nc
i
a
l
vol
a
t
i
l
i
t
y
.
I
n
pa
r
t
i
c
ul
a
r
,
w
he
n
s
y
s
t
e
m
i
c
r
i
s
ks
e
m
e
r
g
e
,
C
B
D
C
w
i
l
l
s
e
r
ve
a
s
a
c
ha
nne
l
f
or
t
he
publ
i
c
t
o
qui
c
kl
y
s
w
i
t
c
h
t
o
s
a
f
e
a
s
s
e
t
s
.
H
ow
e
ve
r
,
t
he
r
e
a
r
e
voi
c
e
s
t
ha
t
C
B
D
C
w
i
l
l
not
ha
ve
s
i
g
ni
f
i
c
a
nt
i
m
pa
c
t
be
c
a
us
e
qui
c
k
i
nt
e
r
ba
nk
t
r
a
ns
f
e
r
s
ha
ve
a
l
r
e
a
dy
be
e
n
m
a
de
pos
s
i
bl
e
unde
r
t
he
c
ur
r
e
nt
e
-
pa
y
m
e
nt
s
y
s
t
e
m
s
.
I
n
t
i
m
e
s
of
ba
nk
c
r
i
s
i
s
or
e
ve
n
e
c
onom
i
c
c
r
i
s
i
s
,
e
.g.
c
ur
r
e
nc
y
c
r
i
s
i
s
or
s
ove
r
e
i
gn
de
bt
c
r
i
s
i
s
,
f
unds
w
i
l
l
be
w
i
t
hdr
a
w
n
f
r
om
a
l
l
dom
e
s
t
i
c
a
s
s
e
t
s
,
i
nc
l
udi
ng
C
B
D
C
,
i
ns
t
e
a
d
of
m
e
r
e
l
y
s
hi
f
t
i
ng
f
r
om
ba
nk
de
pos
i
t
s
t
o
C
B
D
C
.
4.2
4.2
4.2
4.2
D
e
s
i
gn
D
e
s
i
gn
D
e
s
i
gn
D
e
s
i
gn
of
of
of
of
t
h
e
t
h
e
t
h
e
t
h
e
e
-
C
N
Y
e
-
C
N
Y
e
-
C
N
Y
e
-
C
N
Y
s
ys
t
e
m
s
ys
t
e
m
s
ys
t
e
m
s
ys
t
e
m
t
o
t
o
t
o
t
o
m
i
t
i
gat
e
m
i
t
i
gat
e
m
i
t
i
gat
e
m
i
t
i
gat
e
n
e
gat
i
ve
n
e
gat
i
ve
n
e
gat
i
ve
n
e
gat
i
ve
i
m
p
ac
t
i
m
p
ac
t
i
m
p
ac
t
i
m
p
ac
t
S
i
nc
e
t
he
s
t
a
r
t
of
r
e
s
e
a
r
c
h
on
e
-
C
N
Y
,
t
he
P
B
O
C
ha
s
be
e
n
pa
y
i
ng
c
l
os
e
a
t
t
e
nt
i
on
t
o
t
he
i
m
pl
i
c
a
t
i
ons
of
r
e
t
a
i
l
C
B
D
C
f
or
m
one
t
a
r
y
s
y
s
t
e
m
,
m
one
t
a
r
y
pol
i
c
y
,
f
i
na
nc
i
a
l
m
a
r
ke
t
s
,
a
nd
f
i
na
nc
i
a
l
s
t
a
bi
l
i
t
y
,
a
m
ong
ot
he
r
s
.
T
he
P
B
O
C
l
e
ve
r
a
ge
s
on
ope
r
a
t
i
ona
l
,
t
e
c
hnol
ogi
c
a
l
a
nd
pol
i
c
y
de
s
i
g
ns
t
o
m
i
ni
m
i
z
e
t
he
i
m
pa
c
t
of
e
-
C
N
Y
s
y
s
t
e
m
on
e
x
i
s
t
i
ng
m
one
t
a
r
y
s
y
s
t
e
m
,
f
i
na
nc
i
a
l
s
y
s
t
e
m
,
a
nd
t
he
r
e
a
l
e
c
onom
y
.
T
o
r
e
duc
e
c
om
pe
t
i
t
i
on
w
i
t
h
ba
nk
de
pos
i
t
s
,
e
-
C
N
Y
i
s
a
s
ubs
t
i
t
ut
e
f
or
M
0
a
nd
pa
y
s
no
i
nt
e
r
e
s
t
.
I
t
c
i
r
c
ul
a
t
e
s
i
n
t
he
s
a
m
e
w
a
y
a
s
t
he
phy
s
i
c
a
l
R
M
B
i
n
a
t
w
o-
t
i
e
r
s
y
s
t
e
m
unde
r
w
hi
c
h
c
om
m
e
r
c
i
a
l
ba
nks
e
x
c
ha
ng
e
e
-
C
N
Y
f
or
t
he
publ
i
c
.
M
e
a
nw
hi
l
e
,
t
he
P
B
O
C
ha
s
put
i
n
pl
a
c
e
s
y
s
t
e
m
f
r
i
c
t
i
ons
a
s
a
ppr
opr
i
a
t
e
t
o
pr
e
ve
nt
t
he
r
a
pi
d
s
pr
e
a
d
of
ba
nk
r
uns
.
T
o
pr
om
ot
e
t
he
us
e
of
e
-
C
N
Y
i
n
r
e
t
a
i
l
pa
y
m
e
nt
s
c
e
na
r
i
os
,
e
a
s
e
t
he
c
r
ow
di
ng-
out
of
ba
nk
de
pos
i
t
s
,
a
nd
pr
e
ve
nt
a
r
bi
t
r
a
ge
a
s
w
e
l
l
a
s
pr
oc
y
c
l
i
c
a
l
e
f
f
e
c
t
s
unde
r
s
t
r
e
s
s
f
ul
c
ondi
t
i
ons
,
t
he
P
B
O
C
ha
s
c
om
e
up
w
i
t
h
a
t
i
e
r
e
d
de
s
i
gn
of
e
-
C
N
Y
w
a
l
l
e
t
w
i
t
h
di
f
f
e
r
e
nt
c
a
ps
on
t
r
a
ns
a
c
t
i
on
a
nd
ba
l
a
nc
e
f
or
di
f
f
e
r
e
nt
t
y
p
e
s
of
e
-
C
N
Y
w
a
l
l
e
t
s
.
A
ddi
t
i
ona
l
l
y
,
t
he
P
B
O
C
ha
s
s
e
t
up
a
f
r
a
m
e
w
or
k
of
bi
g
da
t
a
a
na
l
y
s
i
s
,
r
i
s
k
m
oni
t
or
i
ng
a
nd
e
a
r
l
y
w
a
r
ni
ng
f
or
e
-
C
N
Y
t
o
e
nha
nc
e
t
he
f
or
e
s
i
ght
e
dne
s
s
,
a
c
c
ur
a
c
y
a
nd
e
f
f
e
c
t
i
ve
ne
s
s
of
e
-
C
N
Y
m
a
na
ge
m
e
nt
.
D
i
g
i
t
a
l
f
i
a
t
c
ur
r
e
nc
y
i
s
a
ne
w
t
hi
ng
.
I
t
s
i
m
pa
c
t
on
t
he
e
c
onom
y
a
nd
t
he
f
i
na
nc
i
a
l
s
e
c
t
or
c
a
n
be
a
s
s
e
s
s
e
d
t
hr
oug
h
pi
l
ot
t
e
s
t
s
a
nd
pr
a
c
t
i
c
e
s
.
T
he
P
B
O
C
i
s
c
a
r
r
y
i
ng
out
e
-
C
N
Y
pi
l
ot
pr
ogr
a
m
s
w
i
t
h
t
he
f
oc
us
on
t
he
i
m
pl
i
c
a
t
i
ons
of
e
-
C
N
Y
f
or
m
one
t
a
r
y
pol
i
c
y
,
f
i
na
nc
i
a
l
m
a
r
ke
t
s
a
nd
f
i
na
nc
i
a
l
s
t
a
bi
l
i
t
y
i
n
t
he
pi
l
ot
r
e
gi
ons
.
B
a
s
e
d
on
t
he
f
i
ndi
ng
s
of
t
he
pi
l
ot
pr
ogr
a
m
s
,
t
he
P
B
O
C
w
i
l
l
i
t
e
r
a
t
e
a
nd
i
m
pr
ove
t
he
e
-
C
N
Y
de
s
i
g
n
a
c
c
or
di
ngl
y
.
5.
5.
5.
5.
P
r
ogr
e
s
s
P
r
ogr
e
s
s
P
r
ogr
e
s
s
P
r
ogr
e
s
s
i
n
i
n
i
n
i
n
w
or
k
w
or
k
w
or
k
w
or
k
T
he
P
B
O
C
ha
s
m
a
de
s
us
t
a
i
ne
d
e
f
f
or
t
s
t
o
e
x
pl
or
e
,
upda
t
e
a
nd
i
m
pr
ove
t
he
r
e
l
e
va
nt
t
he
or
i
e
s
a
nd
t
e
c
hnol
ogi
e
s
on
di
g
i
t
a
l
f
i
a
t
c
ur
r
e
nc
y
,
w
hi
c
h
ha
s
br
oug
ht
i
nt
o
s
ha
pe
t
he
c
ur
r
e
nt
e
-
C
N
Y
m
ode
l
a
nd
bus
i
ne
s
s
f
r
a
m
e
w
or
k.
G
oi
ng
f
or
w
a
r
d,
t
he
P
B
O
C
w
i
l
l
bui
l
d
upon
t
e
s
t
r
e
s
ul
t
s
a
nd
f
ur
t
he
r
i
m
pr
ove
t
e
c
hnol
og
i
c
a
l
,
bus
i
ne
s
s
a
nd
pol
i
c
y
f
r
a
m
e
w
or
ks
.
5.1
5.1
5.1
5.1
P
r
e
vi
ou
s
P
r
e
vi
ou
s
P
r
e
vi
ou
s
P
r
e
vi
ou
s
w
or
k
w
or
k
w
or
k
w
or
k
F
r
om
2014
t
o
2016,
t
he
P
B
O
C
e
s
t
a
bl
i
s
he
d
t
he
di
g
i
t
a
l
f
i
a
t
c
ur
r
e
nc
y
r
e
s
e
a
r
c
h
g
r
oup,
a
nd
ki
c
ke
d
of
f
r
e
s
e
a
r
c
h
i
n
t
hi
s
f
i
e
l
d.
T
he
r
e
s
e
a
r
c
h
g
r
oup
c
onduc
t
e
d
i
n-
de
pt
h
s
t
udi
e
s
i
n</x:v>
      </x:c>
    </x:row>
    <x:row r="49" ht="110" customHeight="1">
      <x:c r="A49" s="46" t="str">
        <x:v>PRD-0018-P0043-U01</x:v>
      </x:c>
      <x:c r="B49" s="46" t="str">
        <x:v>CN_China_BIS_2022</x:v>
      </x:c>
      <x:c r="C49" s="46" t="n">
        <x:v>43</x:v>
      </x:c>
      <x:c r="D49" s="46" t="str">
        <x:v>en</x:v>
      </x:c>
      <x:c r="E49" s="46" t="str">
        <x:v>text</x:v>
      </x:c>
      <x:c r="F49" s="46" t="str"/>
      <x:c r="G49" s="46" t="str">
        <x:v>BIS Papers No 123 39 
The Central Bank of Chile´s approach to retail CBDC 
This document describes the current status of the analysis conducted  by the Central 
Bank of Chile (BCCh) on the eventual issuance of a retail central bank digital currency 
(CBDC). Since this process is at an  early stage, no formal policy decision  has been 
made yet. An internal Working Group (WG) on CBDC is preparing a white paper 
scheduled for release  in early 2022 which will assess and describe future steps on this 
matter. 
The BCCh established the WG with the objective of exploring and proposing a 
medium- to long-term strategy on digital payments in Chile. Currently, the WG has 
scoped the internal discussion on retail CBDC.  Its first duty is to understand whether 
there could be a compelling reason for a future issuance of CBDC in Chile. Thus, it has 
been relevant to assess the current situation of the Chilean retail payment system , 
looking for possible motivations for a retail CBDC and further designing principles for 
its eventual  implementation. 
1. Objectives and considerations for a retail CBDC issuance 
1.1 An overview of the Chilean retail payment system 
• The Chilean retail payment system is performing  adequately for the level of 
development of the economy. From the analysis performed, there are no relevant 
gaps that can be minimised with a CBDC solution. 
• A broad view of the local retail payment system can be captured  with the 
following figures:</x:v>
      </x:c>
    </x:row>
    <x:row r="50" ht="110" customHeight="1">
      <x:c r="A50" s="46" t="str">
        <x:v>PRD-0018-P0049-U01</x:v>
      </x:c>
      <x:c r="B50" s="46" t="str">
        <x:v>CN_China_BIS_2022</x:v>
      </x:c>
      <x:c r="C50" s="46" t="n">
        <x:v>49</x:v>
      </x:c>
      <x:c r="D50" s="46" t="str">
        <x:v>en</x:v>
      </x:c>
      <x:c r="E50" s="46" t="str">
        <x:v>text</x:v>
      </x:c>
      <x:c r="F50" s="46" t="str"/>
      <x:c r="G50" s="46" t="str">
        <x:v>BIS Papers No 123 45 
E-CNY: main objectives, guiding principles and 
inclusion considerations 
Ⅰ. Main objectives and vision of e-CNY 
The development of China’s e -CNY system aims to create a digital version of the 
renminbi that meets the public’s demand for cash in the digital economy era. The 
e-CNY system will support the development of retail payment infrastructures and 
improve payment system efficiency in parallel with digital economy developments in 
China. 
First, e-CNY aims to improve the efficiency of ce ntral bank payment systems. 
Technological innovation, especially the digital economy, is the key driver of 
economic development. More secure and inclusive retail payment infrastructures as 
public goods provided by central banks are needed. As an important financial 
infrastructure, the e -CNY system will further fulfil the diversified payment needs of 
the general public and improve efficiency of financial infrastructures. In addition, as 
e-CNY transactions are settled upon payment, it will allow businesses a nd related 
parties to improve their cash flow while enjoying more convenient payment services. 
Second, e-CNY aims to provide a backup or redundancy to the retail system. Big 
tech companies have become important retail payment infrastructures, and any 
failure will dramatically impact payment system operation, and even introduce 
systemic risks. The e-CNY is a direct claim on the central bank, backed by sovereign 
credit, and has the status of legal tender. Therefore, it can provide a backup or 
redundancy to the retail system backed by commercial bank deposits, offer diversified 
payment products and improve payment efficiency and safety. 
Third, e -CNY aims to support equal access to digital payment and financial 
inclusion. As digital technology and electronic pay ments develop, the use of cash in 
retail payments has been declining. However, it is the mandate of the central bank to 
ensure the public’s direct access to cash, and to make sure the unit of account is 
consistent in the digital economy era by digitalising cash. The e-CNY system will make 
financial services more accessible, providing fiat money for a large population in 
various scenarios.  
Fourth, e-CNY aims to echo international initiatives and explore ways to improve 
cross-border payments. First of all, c ross-border payment involves various 
contentious issues such as monetary sovereignty, foreign exchange policies and 
arrangements, as well as regulatory and compliance requirements. Though technically 
ready for cross -border use, e -CNY is still designed main ly for domestic retail 
payments at present. Looking ahead, the People’s Bank of China (PBoC) will actively 
respond to initiatives of the G20 and other international organisations to improve 
cross-border payments, and explore the applicability of CBDC in cr oss-border 
scenarios. Based on experiences of domestic trials and international demand, and on 
the premise of mutual respect for monetary sovereignty and compliance, the PBoC 
will explore pilot cross-border payment programmes and work with relevant central  
banks and monetary authorities to set up exchange arrangements and reg ulatory</x:v>
      </x:c>
    </x:row>
    <x:row r="51" ht="110" customHeight="1">
      <x:c r="A51" s="46" t="str">
        <x:v>PRD-0018-P0100-U01</x:v>
      </x:c>
      <x:c r="B51" s="46" t="str">
        <x:v>CN_China_BIS_2022</x:v>
      </x:c>
      <x:c r="C51" s="46" t="n">
        <x:v>100</x:v>
      </x:c>
      <x:c r="D51" s="46" t="str">
        <x:v>en</x:v>
      </x:c>
      <x:c r="E51" s="46" t="str">
        <x:v>text</x:v>
      </x:c>
      <x:c r="F51" s="46" t="str"/>
      <x:c r="G51" s="46" t="str">
        <x:v>96 BIS Papers No 123 
Standard (SNAP) and regulatory reform, as  well as the implementation plan for the 
Bank Indonesia Fast Payment (BI -FAST) system. Digital economic and financial 
transactions are proliferating  along with increasing acceptance  and people’s 
preferences for online shopping, expansion, and convenience o f digital payment 
systems, as well as digital banking acceleration. 
The rapid changes in the payment landscape, coupled with other digital 
disruptions such as the emergence of private digital currency, the internet of 
things (IoT), big data, blockchain, ar tificial intelligence (AI), decentralised 
finance (DeFi) and machine -to-machine (MtM) communication, have a 
significant impact on central banking practices . These have triggered central 
banks to adopt a more proactive stance to anticipate the uncertainty in the future, 
including the issuance of CBDC.  
Central banks consider issuing a CBDC for various reasons shaped by local 
circumstances and at a different pace across jurisdictions and types of economy. 
As such, the objectives of CBDC issuance in different countries converge into six 
main objectives: (i) to provide risk-free digital payment using central bank money  
compared to the services provided by private entities; (ii) to mitigate risk to currency 
sovereignty and monetary stability from non- sovereign digital currency ; (iii) to 
enhance payment system competition, efficiency and resilience, including for cross -
border payments; (iv) to provide a new instrument for monetary and financial stability 
policy; (v) to facilitate fiscal transfers/su bsidy distribution directly to the recipient ’s 
account/wallet; and (vi) to s upport financial inclusion with the digitalis ation of 
payment data, offline functionality, and cost-effective transactions.  
To ensure the smooth implementation of CBDC, the majori ty of central 
banks follow three common foundational principles.  First, the CBDC should be 
implemented based on a strong legal basis which serves as a consensus from several 
stakeholders. Second, CBDC should support the objectives of the central bank on 
monetary, payment system and financial system stability. Third, CBDC should 
promote financial inclusion, innovation , and efficiency of the financial system in the 
digital era.  
The use of CBDC as a form of central bank money that could act as both a 
liquid, safe settlement asset and an anchor for the payment system will improve 
the payment system’s efficiency by increasing competition in the domestic and 
global payment systems markets . The issuance of CBDC can provide benefits for 
the wholesale and retail pay ment rails. For wholesale payment system s, wholesale 
CBDC ( wCBDC) could increase settlement efficiency for transactions regarding 
securities, derivatives and cross -border payments. As a digital service, CBDC can be 
designed to support 24/7 operation and al low easier asset exchange. In addition, it  
could enable simplified payment data streams and better traceability of illicit 
transactions. Lastly, certain models of CBDC might increase trust between 
counterparties. Besides this, CBDC can also potentially benefit retail payment systems. 
A retail CBDC (rCBDC) could reduce the cost of managing cash for central banks as 
well as enabling fast, cost-effective and secure payments. This might result in a more 
efficient payment system. Moreover, CBDC could promote cen tral banks’ ability to 
monitor economic activities in real-time and support innovation by private entities, 
including enhancing financial inclusion. A domestic CBDC might also function as the 
requirement for better cross-border arrangements.  
Despite the p otential benefits of CBDC, there are several challenges that  
central banks should assess. Wholesale CBDC might disrupt the innovation already</x:v>
      </x:c>
    </x:row>
    <x:row r="52" ht="110" customHeight="1">
      <x:c r="A52" s="46" t="str">
        <x:v>PRD-0018-P0102-U01</x:v>
      </x:c>
      <x:c r="B52" s="46" t="str">
        <x:v>CN_China_BIS_2022</x:v>
      </x:c>
      <x:c r="C52" s="46" t="n">
        <x:v>102</x:v>
      </x:c>
      <x:c r="D52" s="46" t="str">
        <x:v>en</x:v>
      </x:c>
      <x:c r="E52" s="46" t="str">
        <x:v>text</x:v>
      </x:c>
      <x:c r="F52" s="46" t="str"/>
      <x:c r="G52" s="46" t="str">
        <x:v>98 BIS Papers No 123 
The third objective is to encourage inclusion, innovation, and efficiency on 
an end -to-end basis. Considering the rapid growth of financial and payment 
instruments in Indonesia, CBDC must deliver added value to  businesses and 
consumers with new innovative ways to pay, which contribute to the development of 
faster, cheaper, more inclusive, convenient, and efficient payment solutions in support 
of dynamic trends and innovations. CBDC ecosystems should avoid reinforcing 
barriers to financial access for those excluded from or underserved by the existing 
financial system while  at the same time harnessing innovation to deliver a resilient 
and efficient payment landscape.  
Design choices for CBDC in Indonesia 
To achieve the objectives mentioned above, Indonesia’s CBDC should support 
both retail and large -value and financial marke t transactions . Therefore, B ank 
Indonesia will develop wCBDC to support large -value and financial market 
transactions, including monetary operation s and government transaction s, and 
rCBDC to support retail transactions in the digital era. 
A proper CBDC des ign is fundamental to ensure its objective s are met. 
Currently, Bank Indonesia is still researching and assessing the potential design of a 
CBDC which will be able to support Indonesia’s economy while minimising risks. CBDC 
should provide more convenience in digital transaction s without further disrupting 
the current payment system , such as fiat money, money held in accounts, digital 
banking, electronic money , and electronic wallet s. This consideration will affect the 
technology and architecture used in Indonesian CBDC. 
In 2022, Bank Indonesia will continue its exploration on CBDC by publishing 
a conceptual design for the digital rupiah to support the digital payment system 
and accelerate international cooperation on CBDC in the G20 forum . The CBDC 
issuance plan is designed to be integrated with existing infrastructure developments 
based on Indonesia’s  payment and financial system blueprint, including the 
foundation of end-to-end integration that has been built between  the financial and 
payment infrastructures. This will add complexity to the design and require stronger 
governance to ensure all of the objectives are met.</x:v>
      </x:c>
    </x:row>
    <x:row r="53" ht="110" customHeight="1">
      <x:c r="A53" s="46" t="str">
        <x:v>PRD-0018-P0116-U01</x:v>
      </x:c>
      <x:c r="B53" s="46" t="str">
        <x:v>CN_China_BIS_2022</x:v>
      </x:c>
      <x:c r="C53" s="46" t="n">
        <x:v>116</x:v>
      </x:c>
      <x:c r="D53" s="46" t="str">
        <x:v>en</x:v>
      </x:c>
      <x:c r="E53" s="46" t="str">
        <x:v>text</x:v>
      </x:c>
      <x:c r="F53" s="46" t="str"/>
      <x:c r="G53" s="46" t="str">
        <x:v>112 BIS Papers No 123 
For a CBDC to effectively respond to the threat of big tech, it should be designed 
and operated as an open public currency infrastructure. For this, participation of a 
broad range of stakeholders and interoperability will be important and an effective 
division of roles between the central bank and the private sector is requir ed. In this 
sense, a direct CBDC model may not be a good choice since the central bank will end 
up being solely responsible for CBDC operation. With the hybrid  or intermediated 
model, participating institutions, such as banks and fintechs, will have more r oom to 
creatively combine CBDC with their customer platforms and financial products to 
provide innovative services. 
The proliferation of global stablecoins 
Despite the growing global popularity of cryptocurrency trading ,10 stablecoins are 
not widely used in Korea . While the transaction volume of major cryptoasset 
exchanges in Korea has increased rapidly, 11 unlike in other countries , cryptoasset 
trades on Korean exchanges are settled by bank deposits rather than by stablecoins. 
However, considering the heigh tened interest in digital innovation s such as non -
fungible tokens (NFTs), decentralised finance (DeFi), and the metaverse, the demand 
for digital asset-related payment may further expand beyond cryptoasset trading in 
the future.12 In particular, if big tech firms issue a global stablecoin in the near future, 
it is highly likely to spread rapidly into financial sector and the real economy. 
In line with global discussions led by international organis ations such as the G7, 
Financial Stability Board (FSB ) and Committee on Payments and Market 
Infrastructures (CPMI), and among major countries including EU members, the United 
States and the United Kingdom, 13 discussions about a regulatory framework for 
stablecoins are beginning to take place in Korea as well. However, if stablecoins 
spread widely amid the current absence of a regulatory framework, they could not 
only cause problems in terms of consumer protection and financial stability but also, 
with deepening global economic integration , raise the risk of currency substitution 
similar to dollarisation in some emerging market economies. Nevertheless, in the case 
of Korea, it seems unlikely that global stablec oins or CBDCs issued by large foreign 
countries would cause currency substitution.14 
Other issues 
Some argue that a DLT -based CBDC may be more efficient at supporting  new 
payment and settlement demands such as DeFi, the proliferation of NFTs, and the 
internet of things (IoT). On the other hand, some take the view that it will be possible 
10  More than $150 billion of stablecoins such as Tether (USDT) and USD Coin (USDC) have been issued 
worldwide and used as payment instruments for cryptoasset trading and DeFi (IMF, 2021). 
11  Daily cryptoasset transaction volume at major domestic exchanges (Upbit, Bithumb, Korbit, Coinone, 
and Gopax) increased two-fold from KRW 2.7 trillion in January 2021 to KRW 5.4 trillion in October 
2021. 
12  Though in the early stages, Korea is seeing increased interest and investment in digital innovation, 
such as IoT supported  by the high penetration of 5G, NFTs, and DeFi utilising distributed ledger 
technology (DLT), and augmented reality. 
13  See, e.g., FSB (2020), G7 (2019), CPIM-IOSCO (2021), PWG (2021). 
14  Currency substitution usually occurs in a situation where high inflation continues thanks to large fiscal 
deficits, impaired central bank independence, and a lack of public trust in monetary and fiscal policy.</x:v>
      </x:c>
    </x:row>
    <x:row r="54" ht="110" customHeight="1">
      <x:c r="A54" s="46" t="str">
        <x:v>PRD-0018-P0136-U01</x:v>
      </x:c>
      <x:c r="B54" s="46" t="str">
        <x:v>CN_China_BIS_2022</x:v>
      </x:c>
      <x:c r="C54" s="46" t="n">
        <x:v>136</x:v>
      </x:c>
      <x:c r="D54" s="46" t="str">
        <x:v>en</x:v>
      </x:c>
      <x:c r="E54" s="46" t="str">
        <x:v>text</x:v>
      </x:c>
      <x:c r="F54" s="46" t="str"/>
      <x:c r="G54" s="46" t="str">
        <x:v>132 BIS Papers No 123 
Assessing CBDC potential for developing payment systems 
and promoting financial inclusion in Peru 
1. Initial conditions 
The Central Reserve Bank of Peru (BCRP) is currently assessing the potential benefits 
and risks of issuing a domestic central bank digital currency (CBDC). In particular, we 
explore the potential role of CBDC implementation in promoting financial inclusion 
and improving the payment system in Peru. 
In recent decades, the Peruvian economy has faced two main challenges, namely 
a bi-monetary financial system and a sizeable unbanked population. As an outcome 
of the inflation targeting regime and other policies, dollarisation has diminished. For 
instance, dollarisation of credit to the private sector has fallen sharply from around 
80% in 2000 to 23% in 2021(Graph  1). In the same period, total credit to the private 
sector increased from around 28%  to 47% of GDP, and broad money from 25 % to 
51% of GDP
5.  
Aside from this progress in de -dollarisation, in Peru some transactions can still 
be invoiced in US dollars (USD). Additionally, residents can freely open bank accounts 
and make ATM withdrawals in either soles (PEN) or USD (although to a lesser extent 
in the latter case). Such practice aligns with the dual currency settlement system of 
the national real-time gross settlement (RTGS) system, which was created in 2000 and 
is managed by the BCRP. In brief, Peru is a dual currency economy that, in the last 
decades, has achieved a downtrend in financial dollarisation with low levels of 
inflation. 
Currency in circulation (CiC) also increased from a relatively low level of 2.5 % of 
GDP in 2000 to 9.5 % of GDP in 2021(with a print of 6.8 % of GDP in 2019 before the 
pandemic). While the de -dollarization process contributed to a higher CiC, a key 
structural factor is that, with more access to roads, the population of rural areas 
reduced significantly the share of production for self- consumption during this 
century.    
All in all, there is still an important gap in terms of financial inclusion, as it greatly 
depends on structural factors such as a preference for cash and a low penetration of 
financial services in remote rural areas. Based on the Global Findex statistics, the 
5  Correspond to the BCRP statistical series PN03500MQ and PN03497MQ, respectively. 
Evolution of financial dollarisation  Graph 1</x:v>
      </x:c>
    </x:row>
    <x:row r="55" ht="110" customHeight="1">
      <x:c r="A55" s="46" t="str">
        <x:v>PRD-0018-P0174-U01</x:v>
      </x:c>
      <x:c r="B55" s="46" t="str">
        <x:v>CN_China_BIS_2022</x:v>
      </x:c>
      <x:c r="C55" s="46" t="n">
        <x:v>174</x:v>
      </x:c>
      <x:c r="D55" s="46" t="str">
        <x:v>en</x:v>
      </x:c>
      <x:c r="E55" s="46" t="str">
        <x:v>text</x:v>
      </x:c>
      <x:c r="F55" s="46" t="str"/>
      <x:c r="G55" s="46" t="str">
        <x:v>170 BIS Papers No 123 
After a liquidity deficit emerges, the central bank will move from absorbing 
liquidity through deposits and bond issuance to providing liquidity through repos. If 
required, the central bank can expand its marketable collateral list, which currently 
contains only top -quality securities and, if need be, it can also initiate auctions for 
loans secured by non -marketable collateral. According to the central bank’s 
estimates, the vo lume of potential collateral is sufficient to accommodate banks’ 
demand for liquidity arising from the introduction of a digital rouble.  
The switch to a liquidity deficit, in turn, will affect the position of the short -term 
money market interest rates in the central bank’s interest rates corridor. Currently, 
due to small market inefficiencies the short-term rates have a predominantly negative 
spread to the central bank’s main policy rate. The liquidity deficit means that the 
overnight money market rates will form in the upper end of the corridor. The factors 
behind the interest rates’ spread to the policy rate are well researched, and once t he 
liquidity situation is settled, the spread will stabilise at some level. Then, the central 
bank will be able to incorporate this spread into its policy rate decisions so as to set 
short-term rates on the desired trajectory.  
During the transition period  there might be some short -term interest rate 
volatility; however, this volatility is expected to be brief and its effect on the longer 
rates (and the economy in general) will be quite limited.  
The liquidity drain may disproportionally affect large banks that rely more than 
others on cheap or free funds in their clients’ current accounts, taking advantage, 
inter alia, of the network effect and their central role in payments. The profit margins 
of these banks will be compressed most prominently, which will even out the 
competition in the banking sector. Conversely, the banks offering their clients better 
conditions like remuneration of current accounts and other benefits will be able to 
attract clients more easily. Overall, since Russia is firmly in positive  rates territory, a 
digital rouble will not compete with banks’ liabilities as a means of saving, so the 
liquidity outflow from the banking sector will likely be moderate and will not result in 
any form of financial sector disintermediation.  
The digital r ouble will affect financial stability as well. On the one hand, the 
introduction of a new secure and sustainable means of payment will further promote 
financial stability as well as the emergence of new types of financial transactions such 
as transactions with automatic execution (smart contracts). On the other hand, the 
digital rouble could pose a threat to financial stability. In the event of an adverse 
external event a bank run could be facilitated by the existence of an extremely liquid 
(compared even t o cash) and secure form of money. However, in reality such 
developments are unlikely, for several reasons. First, the central bank will establish 
transaction caps to ensure that clients cannot convert large sums from bank deposits 
into digital roubles at once. Second, the Russian banking sector enjoys much higher 
trust from the public than 5 or 10 years ago. In the previous periods of financial 
turmoil, the banks witnessed deposit outflows but even they were short -lived and 
manageable. With time, as both financial inclusion and the resilience of the payment 
system increases, the risk of “flight to safety” will further decline.  . Finally, the central 
bank has a strong lender of last resort framework, under which the banks can quickly borrow 
liquidity from the central bank against a wide pool of collateral. So overall, the balance of 
risks and opportunities for financial stability is positive.  
Due to the already high level of financial inclusion in Russia, the introduction of 
a digital rouble will not substan tially affect monetary policy transmission. The 
efficiency of monetary policy may increase somewhat over the long term owing to</x:v>
      </x:c>
    </x:row>
    <x:row r="56" ht="110" customHeight="1">
      <x:c r="A56" s="46" t="str">
        <x:v>PRD-0018-P0179-U01</x:v>
      </x:c>
      <x:c r="B56" s="46" t="str">
        <x:v>CN_China_BIS_2022</x:v>
      </x:c>
      <x:c r="C56" s="46" t="n">
        <x:v>179</x:v>
      </x:c>
      <x:c r="D56" s="46" t="str">
        <x:v>en</x:v>
      </x:c>
      <x:c r="E56" s="46" t="str">
        <x:v>text</x:v>
      </x:c>
      <x:c r="F56" s="46" t="str"/>
      <x:c r="G56" s="46" t="str">
        <x:v>BIS Papers No 123 175 
support a competitive and innovative payments landscape with digitalisation and a 
future-proof payments channel. 
Wholesale payments 
A wholesale CBDC can facilitat e access for multiple financial institutions to a large -
value payment system and support settlement for a digital financial market 
infrastructure. The potential benefits of this type of CBDC could include, but are not 
limited to: broader access to risk -free central bank money for large -value payments; 
supporting delivery-versus-payment and payment-versus-payment transactions; and 
enabling digitalisation of financial markets. 
Cross-border payments 
A cross-border CBDC could facilitate direct cross-border monetary relationships with 
other CBDC networks to be established under the supervision of central banks. The 
cross-border payments would aim to reduce risks and delays in cross -border 
transactions, disintermediate correspondent banking models, reduce costs an d 
enhance financial market integration. 
Motivations behind issuing CBDC 
There are many general driving factors that motivate central banks to issue a CBDC, 
including the following: 
Financial innovation: 
A CBDC is about financial innovation, with the introd uction of a new medium that 
serves as an enabler for a digital financial market. CBDC can be compared to the 
introduction of banknotes during the second half of the 19th century, aiming to bring 
new convenience to payments and responding to an evolving payments landscape to 
ensure central bank money will remain future-proof.
Access to central bank money:  
In some jurisdictions, a significant decrease in the use of cash can be observed amid 
an increasing digitalisation of payments, reducing households’ and businesses’ access 
to risk-free central bank money. By issuing a CBDC, the central bank is offering a 
medium, with direct claim on the central bank, that can be used in digital transactions, 
thereby enlarging the scope of a digital currency’s use. Additionally, a CBDC could be 
seen as a potential mechanism to provide an alternative and safe payment solution 
compared to the private money issued by non-bank issuers. 
Payment diversity:  
The diversification in payment methods implied by the adoption of a new me dium 
would enhance choice and competition in the payments sector. A ccess to CBDC for</x:v>
      </x:c>
    </x:row>
    <x:row r="57" ht="110" customHeight="1">
      <x:c r="A57" s="46" t="str">
        <x:v>PRD-0018-P0186-U01</x:v>
      </x:c>
      <x:c r="B57" s="46" t="str">
        <x:v>CN_China_BIS_2022</x:v>
      </x:c>
      <x:c r="C57" s="46" t="n">
        <x:v>186</x:v>
      </x:c>
      <x:c r="D57" s="46" t="str">
        <x:v>en</x:v>
      </x:c>
      <x:c r="E57" s="46" t="str">
        <x:v>text</x:v>
      </x:c>
      <x:c r="F57" s="46" t="str"/>
      <x:c r="G57" s="46" t="str">
        <x:v>182 BIS Papers No 123 
14 It is worth n oting that some of these risks to domestic credit creation and 
financial stability could also arise as major jurisdictions issue frictionless retail CBDCs 
or equivalent instruments, even if Singapore does not. This could occur, for instance, 
if there is su bstitution of domestic bank deposits to these digital monies in a crisis. 
Digital currencies issued by foreign central banks, or stablecoins fully backed by 
foreign safe assets (particularly central bank reserves), could be seen as substantively 
safer than bank money in Singapore during times of stress , while being potentially 
more easily available through digital channels than foreign bank accounts are today.  
15 With appropriate regulatory safeguards, the macro-financial risks posed by 
retail CBDCs can likely be made manageable. Possible measures include financial 
disincentives or hard limits to prevent excessive CBDC holdings, as well as restrictions 
on the use of CBDC by non- residents. These risks could further be tempered by 
innovative design and technological solutions built into a new digital currency. Such 
safeguards should ensure that retail CBDCs serve primarily as a medium of exchange 
and not a major store of value.  
16 Overall, MAS’ current view is that there is no pressing need for a retail CBDC 
in Singapore at this point in time. Demand for cash domestically remains some way 
from the “minimum threshold” where concerns regarding the negative implications 
from the lack of cash in circulation might arise. Retail electronic payments are 
generally competitive, efficient and cheap, and innovation continues to flourish. Even 
as pockets of frictions and high costs remain, there are other initiatives in the pipeline 
to address them. The fundamental soundness of the Singapore dollar and its 
dominance in the dom estic economy will also be a bulwark against any rapid move 
towards substitution with foreign currencies. 
17 Nevertheless, MAS recognises the possibility that retail CBDCs may offer 
innovative solutions in the future.  The gains from enabling greater innovation in 
payments and payment-adjacent digital services will grow as businesses continue to 
digitalise their operations. The case for a public payment alternative to protect end 
user welfare in digital payments will na turally strengthen as more payments move 
entirely online, and could be underscored if the market structure of electronic 
payments grows more concentrated and rent -seeking behaviour begins to emerge, 
as has already occurred in some jurisdictions.  
18 There is  thus value in  MAS embark ing on the upstream technical work 
pertinent to the issuance of a retail CBDC.  The development of a retail CBDC 
system and its ecosystem is likely to be an extended and complex undertaking. 
Structural trends reshaping domestic mone y and payments have long runways and 
could accelerate unexpectedly. MAS and the financial and technology industries 
should begin to build up the necessary expertise and capabilities to issue a CBDC if 
the need arises.  
19 MAS’ exploration of CBDC technology, in partnership with the industry, has 
the potential to generate transferable know -how that could benefit payment 
innovation more broadly.  Retail CBDCs have uniquely high requirements, of 
scalability, extensibility and reliability. They are thus a useful “ high-water mark” to 
spur innovations around this payment trilemma, which could have spillover benefits 
to payments even beyond CBDCs.</x:v>
      </x:c>
    </x:row>
    <x:row r="58" ht="110" customHeight="1">
      <x:c r="A58" s="46" t="str">
        <x:v>PRD-0018-P0189-U01</x:v>
      </x:c>
      <x:c r="B58" s="46" t="str">
        <x:v>CN_China_BIS_2022</x:v>
      </x:c>
      <x:c r="C58" s="46" t="n">
        <x:v>189</x:v>
      </x:c>
      <x:c r="D58" s="46" t="str">
        <x:v>en</x:v>
      </x:c>
      <x:c r="E58" s="46" t="str">
        <x:v>text</x:v>
      </x:c>
      <x:c r="F58" s="46" t="str"/>
      <x:c r="G58" s="46" t="str">
        <x:v>BIS Papers No 123 185 
CBDCs in emerging market economies 
Background 
The request to the South African Reserve Bank (SARB) – and indeed all participating 
EME Deputy Governors –  was for a “short paper (5 –6 pages) on one or two aspects 
or questions listed in the draft agenda”. While there are multiple questions listed, the 
five main aspects are as follows: 
• Main objectives of introducing CBDCs  
• Guiding principles of CBDC design and data governance  
• Challenges of CBDCs for monetary policy, financial intermediation a nd financial 
stability  
• CBDCs and financial inclusion  
• Cross-border aspects of CBDCs  
Although the SARB’s note will touch on all five aspects listed above, particular 
attention will be paid to our reflections on the objectives of retail CBDCs and the 
cross-border aspects of CBDCs given the SARB’s ongoing feasibility study and its 
participation in Project Dunbar respectively. 
Overview of the SARB’s CBDC research and exploration  
The SARB has initiated projects in both the wholesale and retail CBDC space.  
From a retail or rCBDC perspective, the SARB is  continuing its research to 
practically investigate the feasibility, desirability and appropriateness of a CBDC as 
electronic legal tender, for general purpose retail use,  complementary to cash. The 
objective of the feasibility study is to consider how the issuance of a general purpose 
CBDC will feed into the SARB’s policy position and mandate. The SARB is working 
with two vendors to explore the different deployment solution s to unpack and 
understand the options and considerations for a retail CBDC in South Africa. 
On the wholesale  or wCBDC side, the SARB is  currently finalising the second 
phase of an initiative called Project Khokha, which explores the technical, policy and 
regulatory implications of distributed ledger technology (DLT )-driven innovation in 
South Africa’s financial markets. In our first iteration, Project Khokha 1 sought to trial 
interbank wholesale settlement using DLT, while Project Khokha 2 seeks to issue, clear 
and settle debentures on DLT usin g tokenised money. One of the key technical 
objectives of Project Khokha 2 is to explore interoperability in financial markets with 
multiple tokenised assets. We expect to publish our report on Project Khokha 2 during 
the second quarter of 2022. The report  will guide the next phase in our strategy and 
inform our strategic direction in the wCBDC area.   
From a regional payments perspective, the SARB currently operates the real-time 
gross settlement (RTGS) system for the Southern African Development Community 
(SADC), or SADC -RTGS, which was originally established in part to support and 
facilitate trade in the region among member countries. The SADC-RTGS is supported</x:v>
      </x:c>
    </x:row>
    <x:row r="59" ht="110" customHeight="1">
      <x:c r="A59" s="46" t="str">
        <x:v>PRD-0021-P0025-U01</x:v>
      </x:c>
      <x:c r="B59" s="46" t="str">
        <x:v>DK_Denmark_2022</x:v>
      </x:c>
      <x:c r="C59" s="46" t="n">
        <x:v>25</x:v>
      </x:c>
      <x:c r="D59" s="46" t="str">
        <x:v>en</x:v>
      </x:c>
      <x:c r="E59" s="46" t="str">
        <x:v>text</x:v>
      </x:c>
      <x:c r="F59" s="46" t="str"/>
      <x:c r="G59" s="46" t="str">
        <x:v>ANALYSIS  — DANMARKS NATIONALBANK
NEW TYPES OF DIGITAL MONEY
25
Distribution 
Most pilot projects on retail CBDC involve some form 
of distribution via third parties. This means that even 
though any such CBDC is issued by the central bank, 
the acquisition and registration of holdings by citizens 
take place by means of, for example, banks, payment 
institutions or telecommunications operators.45 
Those third parties thus handle the administra-
tion of the account containing CBDC. At the same 
time, there is the possibility that the central bank 
can maintain an ongoing inventory of the citizens’ 
holdings with third parties. With such a model, the 
central bank will have the necessary information to 
ensure the citizens’ CBDC holdings if a third party 
enters into liquidation. In addition, the third parties 
are also responsible for handling of anti-money laun-
dering rules and know-your-customer checks. The 
central bank will thus not be the party responsible 
for the extensive administration in connection with 
the handling of customer relations, and the actors 
who already have retail solutions can service the 
citizens’ use of retail CBDC. 
Personal identification
A key question in retail CBDC is the consideration 
of user privacy, i.e. the degree to which data on the 
user and the individual transaction are collected and 
processed.46 Just as cash payments can be made 
anonymously, similar options are being investigated 
in the context of retail CBDC.
However, an account-based solution will require 
some form of personal identification and verification 
to access the account. This means that anonymous 
payments are generally not possible. This is also con-
nected with the anti-money laundering and know-your-
customer check requirements which obligate banks 
to be able to identify who is making a given payment. 
When some central banks explore the possibility of 
an anonymous retail CBDC, this typically concerns 
transactions involving minor amounts.47 In addition, 
45 See Bank for International Settlements, Annual Economic Report 2021: 
III. CBDCs: an opportunity for the monetary system, June 2021 (link ) 
and People’s Bank of China, Progress of Research &amp; Development of 
E-CNY in China, July 2021 (link ).
46 See The European Central Bank, A digital euro to meet the expectations 
of the Europeans, April 2021 (link ).
47 See, for example, Sveriges Riksbank, E-krona pilot Phase 1, April 2021 
(link ).
the degree of personal verification may depend on, for 
example, the size of the transaction or on whether the 
transaction is executed physically or in e-commerce. 
Restrictions on applications 
Central banks that are examining the use of a retail 
CBDC often stress that such use is expected to be 
subject to a number of restrictions. Such restrictions 
may, for example, be in the form of a cap on the 
amount that can be held in the account, or restric -
tions on the number and size of transactions that 
may be executed. In such case these restrictions will 
require an interaction between existing payment 
systems so that funds exceeding a given limit are 
automatically transferred to linked bank accounts. 
Alternatively, the applications offered by a retail 
CBDC can be restricted by introducing an interest 
rate on holdings above a certain amount that is less 
attractive than the interest rate offered by banks. 
This will reduce the holdings of retail CBDC.
The purpose of the restrictions is that a retail CBDC 
will be more suitable as a means of payment than as 
a storage of value. The cap and, in part, an unat-
tractive interest rate for holdings above a given level 
can ensure that there is no significant reduction in 
commercial bank deposits as a result of citizens con-
verting large amounts to retail CBDC. 
A retail CBDC may affect the banks’ business model, 
as they use bank deposits as a source of funding of 
their lending activities. For example, if the banks’ 
deposit base is reduced or becomes less stable as a 
result of a retail CBDC, the banks must either reduce 
their lending or find alternative sources of funding. 
In such a situation, the banks can seek to compen-
sate the loss of deposits by borrowing the money 
from the central bank. The increased lending to 
banks and deposits from citizens in the form of CBDC 
will, in practice, thus result in an increase in the  
central bank’s balance sheet.48
48 See Danmarks Nationalbank, Central bank digital currency in Den-
mark?, Danmarks Nationalbank Analysis, no. 28, December 2017 (link ).</x:v>
      </x:c>
    </x:row>
    <x:row r="60" ht="110" customHeight="1">
      <x:c r="A60" s="46" t="str">
        <x:v>PRD-0024-P0003-U01</x:v>
      </x:c>
      <x:c r="B60" s="46" t="str">
        <x:v>ES_Spain_2024a</x:v>
      </x:c>
      <x:c r="C60" s="46" t="n">
        <x:v>3</x:v>
      </x:c>
      <x:c r="D60" s="46" t="str">
        <x:v>es</x:v>
      </x:c>
      <x:c r="E60" s="46" t="str">
        <x:v>text</x:v>
      </x:c>
      <x:c r="F60" s="46" t="str"/>
      <x:c r="G60" s="46" t="str">
        <x:v>Segunda. Ámbito de aplicación.
El presente convenio afecta exclusivamente a las Partes que lo suscriben que son el 
Consorcio y el Banco de España.
Tercera. Obligaciones.
Las Partes se comprometen a cooperar en la consecución del objeto de este 
convenio, de acuerdo con los límites legales y reglamentariamente establecidos.
En particular, esta cooperación implica para ambas partes que:
– la experimentación a desarrollar se centre, principalmente, en dos dimensiones: (i) 
probar la integración de una CBDC mayorista con la liquidación de activos financieros, y 
(ii) proporcionar evidencias prácticas acerca de las posibles ventajas y desventajas de la 
introducción de una CBDC mayorista respecto a procesos, procedimientos e 
infraestructuras tradicionales;
– se persiga el objetivo de resolver las siguientes cuestiones específicas, en 
concreto: (i) la emisión, tokenización y registro de un bono simulado sobre una 
plataforma blockchain administrada por CECABANK, SA, (ii) la simulación de la emisión 
de CBDC mayorista por parte del Banco de España y su posterior distribución a las 
entidades participantes en la plataforma blockchain para que éste pueda ser utilizado 
como activo de liquidación en la operativa posterior, (iii) la custodia, a través de una 
infraestructura de wallets específica, tanto de los tokens correspondientes a los valores 
digitales como los representativos de la CBDC mayorista, (iv) la colocación y suscripción 
de participaciones del bono tokenizado en un mercado primario entre inversores 
autorizados (whitelist), produciéndose el intercambio atómico de las mismas por CBDC 
mayorista (DvP), (v) el registro y pago en CBDC mayorista de los correspondientes 
cupones a los titulares de los bonos, incluyendo uno o más escenarios potenciales de 
incumplimiento, (vi) la negociación, entre inversores autorizados, en un mercado 
secundario de bono tokenizado con la correspondiente liquidación por entrega contra 
pago con CBDC mayorista, (vii) la posible inclusión de una operativa de carácter 
transfronterizo que incluya la emisión, distribución, intercambio y amortización simulada 
de una segunda CBDC mayorista denominada en una divisa extranjera, y (viii) la 
amortización y destokenización del bono, así como la amortización de la CBDC 
mayorista denominada en euros;
– adicionalmente, el experimento pueda ampliarse para incluir, entre otros, los 
supuestos de una participación simulada de inversores que no disponen de cuentas en 
CECABANK, SA, así como la realización de operaciones de repo, utilizando el bono 
tokenizado como colateral y aportando liquidez a su propietario en forma de CBDC 
mayorista;
– la experimentación se organice secuencialmente conforme a las fases y calendario 
siguientes: a) organización, definición de metodología, reparto de roles, designación del 
equipo de Banco de España y del Consorcio, así como definición de plan de entregas, b) 
diseño, en la que se determinarán los requerimientos funcionales y no funcionales y se 
perfilará la arquitectura IT, c) construcción del prototipo, d) simulación y experimentación, 
incluyendo los análisis correspondientes, y e) elaboración del informe de conclusiones.
Adicionalmente, esta cooperación conlleva las siguientes obligaciones:
a) Por parte de Banco de España:
– asistir al Consorcio en la realización de los experimentos proporcionando 
orientaciones sobre la base de su experiencia en el campo objeto de experimentación;
– facilitar al Consorcio datos y referencias bibliográficas que puedan resultar 
necesarias para llevar a cabo correctamente los experimentos objeto del presente 
convenio, sin perjuicio de la obligación de secreto recogida en el artículo 82 de la 
BOLETÍN OFICIAL DEL ESTADO
Núm. 3 Miércoles 3 de enero de 2024 Sec. III.   Pág. 1051
cve: BOE-A-2024-205
Verificable en https://www.boe.es</x:v>
      </x:c>
    </x:row>
    <x:row r="61" ht="110" customHeight="1">
      <x:c r="A61" s="46" t="str">
        <x:v>PRD-0028-P0001-U01</x:v>
      </x:c>
      <x:c r="B61" s="46" t="str">
        <x:v>EU_ECB_2024</x:v>
      </x:c>
      <x:c r="C61" s="46" t="n">
        <x:v>1</x:v>
      </x:c>
      <x:c r="D61" s="46" t="str">
        <x:v>en</x:v>
      </x:c>
      <x:c r="E61" s="46" t="str">
        <x:v>text</x:v>
      </x:c>
      <x:c r="F61" s="46" t="str"/>
      <x:c r="G61" s="46" t="str">
        <x:v>Progress on the preparation phase of a digital euro 1 
Progress on the preparation phase of 
a digital euro 
Second progress report 
1 Executive summary 
The Eurosystem’s digital euro project aims to make central bank money 
available to the public in digital form. As e-commerce evolves and people 
increasingly prefer to make payments using electronic means, a digital euro would 
bring the valued features of banknotes into the digital sphere. The aim of a digital 
euro is to bring value to consumers, merchants and intermediaries, while reducing 
Europe’s dependence on international card schemes and non-European digital 
payment wallet providers. A digital euro would complement cash by providing a 
digital payment option for consumers that is free, safe and easy to use. It would 
facilitate electronic payments everywhere in the euro area and increase 
competitiveness in the payments market for merchants. Payment service providers 
(PSPs) would be able to use the digital euro infrastructure to create new payment 
services, which would in turn increase innovation and competition in the European 
payments sector. A digital euro would also help regional and domestic European 
schemes to scale up the provision of their payment services in commercial bank 
money to a European scale by using the digital euro acceptance network. It would 
also expand the offer of private and public means of payment at the European level, 
thus supporting monetary sovereignty and strategic autonomy. 
On 1 November 2023 a two-year preparation phase was launched, which is 
currently laying the groundwork for the potential issuance of a digital euro. 
The primary objectives during this phase include providing a draft digital euro 
scheme rulebook, selecting potential providers for the digital euro platform and 
infrastructure and conducting further experimentation and stakeholder consultations 
to ensure a digital euro would meet the highest standards of quality, security, privacy 
and usability. By the end of 2025 the Governing Council will decide whether to move 
on to the next phase of preparations. The decision on whether to issue a digital euro 
will only be taken by the Governing Council once the European Union’s legislative 
framework has been adopted.</x:v>
      </x:c>
    </x:row>
    <x:row r="62" ht="110" customHeight="1">
      <x:c r="A62" s="46" t="str">
        <x:v>PRD-0028-P0010-U01</x:v>
      </x:c>
      <x:c r="B62" s="46" t="str">
        <x:v>EU_ECB_2024</x:v>
      </x:c>
      <x:c r="C62" s="46" t="n">
        <x:v>10</x:v>
      </x:c>
      <x:c r="D62" s="46" t="str">
        <x:v>en</x:v>
      </x:c>
      <x:c r="E62" s="46" t="str">
        <x:v>text</x:v>
      </x:c>
      <x:c r="F62" s="46" t="str"/>
      <x:c r="G62" s="46" t="str">
        <x:v>Progress on the preparation phase of a digital euro 10 
update on (i) the progress of the digital euro project, (ii) the drafting of the digital euro 
rulebook, and (iii) the impact and opportunities of a digital euro for the financial 
industry. 
5.2 Engagement on the fit of the digital euro in Europe’s payment 
ecosystem 
A technical workstream with market participants is investigating how a digital 
euro will fit into the European payment ecosystem. The current payment 
landscape in Europe lacks a pan-European retail digital payment solution. Domestic 
schemes and private initiatives are competing with international card schemes. The 
increasing popularity of digital wallets provided by non-European players poses an 
additional challenge. This reliance on non-European providers creates undesired 
dependence and potential vulnerabilities in payment resilience. The aim of a digital 
euro is to address these issues for the benefit of Europeans – consumers, 
merchants, PSPs
11. Expanding our engagement with market stakeholders on the fit 
of the digital euro in the payment ecosystem, an ERPB technical session was held 
on 1 October 2024. The session first highlighted that a digital euro would guarantee 
merchants increased access to a European consumer base. Unlike most current 
payment methods, it would provide an efficient way to settle payments instantly. 
Additionally, there would be rules in place to ensure that the fees merchants pay are 
fair, given its status as legal tender. Second, consumers would have access to public 
money in digital form, which would provide a high level of privacy in their everyday 
payments and ultimately increase competition in the payments market. Third, the 
digital euro project has made deliberate choices to support the business models of 
European PSPs and strengthen their position vis-à-vis dominant international 
players, by: 
• placing EU-licensed PSPs at the centre of the digital euro ecosystem, ensuring 
they retain valuable client relationships by distributing digital euro; 
• supporting a compensation model that allows for both merchant and 
interchange fees, while also waiving any scheme or processing fees such as 
those charged by international card schemes; 
• pursuing open standards and facilitating a pan-European acceptance network, 
that could be leveraged by private solutions to broaden their product portfolio 
and geographical reach; 
• embedding safeguards for financial stability, such as individual holding limits, 
into the design of the digital euro. 
More technical sessions to be held between the fourth quarter of 2024 and the 
second quarter of 2025 will revolve around the themes of competition, 
11 For further discussion on this, see Cipollone, P ., “Monetary sovereignty in the digital age: the case for a 
digital euro”, speech made at the Economics of Payments XIII Conference organised by the 
Oesterreichische Nationalbank, 27 September 2024.. 
The digital euro project aims to 
provide a pan-European retail 
digital payment solution, reducing 
our dependence on non-European 
providers and enhancing the 
resilience and strategic autonomy 
of Europe's payment ecosystem.</x:v>
      </x:c>
    </x:row>
    <x:row r="63" ht="110" customHeight="1">
      <x:c r="A63" s="46" t="str">
        <x:v>PRD-0029-P0007-U01</x:v>
      </x:c>
      <x:c r="B63" s="46" t="str">
        <x:v>FR_BdF_2022</x:v>
      </x:c>
      <x:c r="C63" s="46" t="n">
        <x:v>7</x:v>
      </x:c>
      <x:c r="D63" s="46" t="str">
        <x:v>fr</x:v>
      </x:c>
      <x:c r="E63" s="46" t="str">
        <x:v>text</x:v>
      </x:c>
      <x:c r="F63" s="46" t="str"/>
      <x:c r="G63" s="46" t="str">
        <x:v>Payments and market infrastructures in the digital era – 5
CHAPTER 20  THE ROLE AND CONTRIBUTION OF INNOVATION  
FOR PAYMENT INSTRUMENTS AND MARKET INFRASTRUCTURES
“Explore a US CBDC by placing urgency on research and development of a potential US CBDC, should 
issuance be deemed in the national interest. The Order directs the US Government to assess the technological 
infrastructure and capacity needs for a potential US CBDC in a manner that protects Americans’ interests. 
The Order also encourages the Federal Reserve to continue its research, development, and assessment 
efforts for a US CBDC, including development of a plan for broader US Government action in support of their 
work. This effort prioritizes US participation in multi-country experimentation, and ensures US leadership 
internationally to promote CBDC development that is consistent with US priorities and democratic values. ”
In addition, at the multilateral level, in October 2021, the G7 adopted 13 principles applicable to retail 
CBDC worldwide with the aim of avoiding any risks to financial stability, monetary policy and spillovers, 
as well as ensuring data protection, cybersecurity, competition, AML/CTF , environmental protection and 
financial inclusion.
Other central banks, besides the Chinese Central Bank (see Box 4), that have also commenced retail 
CBDC projects include Russia and Ukraine:
•  The Bank of Russia published a report in October 2020 entitled A digital ruble which served as the 
basis for a public consultation, and for which the summary of responses was published in April 2021. 
In February 2022, it issued a press release indicating that the first phase of its pilot test programme 
was completed in 2021 and that the tests will continue in 2022.
•  The National Bank of Ukraine, which began CBDC projects in 2016, published a report at the start 
of 2019 entitled “ Analytical report on the e-hryvnia pilot project” . It then launched a public consultation, 
for which the summary of responses was published in July 2021.
Three central banks had an operational CBDC at the start of 2022:
•  The Central Bank of the Bahamas, which commenced its CBDC projects in 2016, followed by a pilot test 
phase beginning at the end of 2019, will go down in history as the first central bank to have launched 
its digital currency, the sand dollar, in October 2020.
•  The Central Bank of Nigeria launched its digital currency, the eNaira, in October 2021.
•  The Eastern Caribbean Central Bank (ECCB) launched its digital currency, DCash, at the start of 2022.
Box 4: The Chinese central bank digital currency project (e-CNY or e-yuan) 1
History
Originally called DC/EP (Digital Currency Electronic Payment) then renamed e-CNY (or e-yuan), the Chinese 
central bank digital currency (CBDC) project was launched in 2014 by the People’s Bank of China (PBOC). 
In 2017 , the PBOC formed a Digital Currency Institute in charge of leading the project. After an analysis 
and design phase, the project entered the pilot phase at the start of 2020 and the geographic perimeter 
has gradually extended to include the major Chinese metropolitan areas.
.../...
1  The Chinese project has prompted many publications, but until recently it was not possible to obtain them from primary sources (namely, from the PBOC), 
or at least not in English. This gap was filled with the publication of a white paper by the PBOC in July 2021 and with a series of talks by Changchun Mu, 
Director General of the Digital Currency Institute of the PBOC, at international conferences, as well as a speech by Governor Yi Gang on the e-yuan.</x:v>
      </x:c>
    </x:row>
    <x:row r="64" ht="110" customHeight="1">
      <x:c r="A64" s="46" t="str">
        <x:v>PRD-0029-P0010-U01</x:v>
      </x:c>
      <x:c r="B64" s="46" t="str">
        <x:v>FR_BdF_2022</x:v>
      </x:c>
      <x:c r="C64" s="46" t="n">
        <x:v>10</x:v>
      </x:c>
      <x:c r="D64" s="46" t="str">
        <x:v>fr</x:v>
      </x:c>
      <x:c r="E64" s="46" t="str">
        <x:v>text</x:v>
      </x:c>
      <x:c r="F64" s="46" t="str"/>
      <x:c r="G64" s="46" t="str">
        <x:v>8 – Payments and market infrastructures in the digital era
CHAPTER 20  THE ROLE AND CONTRIBUTION OF INNOVATION  
FOR PAYMENT INSTRUMENTS AND MARKET INFRASTRUCTURES
3.2.2.  An approach through 
experimentation
The learning-by-doing approach 
adopted by most central banks
It is generally accepted that work on a 
digital currency would be incomplete if it 
were to remain purely theoretical. Public 
consultations and exchanges with market 
stakeholders set up by several institutions 
have significantly contributed to this work. 
Beyond these initiatives, many institutions 
have gone a step further and adopted a 
learning-by-doing approach, in partnership 
with private and public market players. This 
approach consists in conducting experiments 
aimed at giving concrete reality to the CBDC 
and its possible uses without nonetheless 
giving it legal existence. However, it is 
important to note that the concept of 
experimentation covers far more diverse 
aspects than the term might initially suggest.
The methods of experimenting with systems 
based on a shared ledger that have been 
chosen by the various institutions aim to “get 
closer to reality” by using different criteria: 
they may include implementing a technical 
platform based on the target technologies, 
reproducing end-to-end business processes 
on the platform, involving ecosystem actors 
or testing how the platform interacts with 
existing systems.
Indeed, different approaches have been 
used in the experiments conducted to 
date. The interbank CBDC experiment 
conducted in 2020 by the Innovation Hub 
of the Bank for International Settlements 
(BIS) with the Swiss National Bank and SIX, 
Switzerland’s Central Securities Depository, 
has opted for a “proof of concept” based on 
test environments close to the production 
environments, involving the target users 
and focusing on real operations. For its 
long-term Ubin experiment (2016-20), the 
Monetary Authority of Singapore (MAS) 
has opted for an approach of successive 
prototypes demonstrating the feasibility of 
several interbank CBDC use cases (payment, 
delivery versus payment, payment versus 
payment) across several target technologies. 
A similar approach is used for the retail CBDC 
experiments conducted by the Eurosystem, 
where different issuance models are tested 
on a purely technical basis, without the 
actual issuance of money or involvement 
of target users.
The experiments can thus be conducted on 
fictitious data or on real data: in the latter 
case, the operations conducted in the 
experimentation have legal consequences, 
for example, transfers of assets between 
experiment participants. The Banque 
de France was the first to conduct 
interbank CBDC experiments, including 
the implementation of a CBDC “under 
real conditions” .
Experiments under real conditions 
at the Banque de France
For the implementation of its CBDC 
experimentation programme, the Banque 
de France has selected a varied panel 
of partners that include foreign central 
banks, leading commercial banks, market 
infrastructure managers and Fintechs. This 
diversity of views within the financial sector 
has allowed for a clear understanding of 
the use cases of a CBDC and its potential 
impact on the financial ecosystem. The tests 
conducted under real conditions focused 
on delivery versus payment (DvP), payment 
versus payment (PvP) transactions, and 
cross-border payments involving, in most 
cases, tokenised financial assets.
The programme showed how an interbank 
CBDC could help secure the development 
of tokenised financial markets by providing 
stakeholders with the benefits of distributed 
ledger technology, in particular distributed 
ledger-based end-to-end processing of 
tokenised securities settlement and 
payment-versus-payment transactions, 
including cross-border transactions, while 
benefiting from secure central bank money 
settlement for the transactions made in this 
manner. Many jurisdictions are considering 
issuing a CBDC to support cross-border 
transactions and cross-currency payments, a</x:v>
      </x:c>
    </x:row>
    <x:row r="65" ht="110" customHeight="1">
      <x:c r="A65" s="46" t="str">
        <x:v>PRD-0029-P0011-U01</x:v>
      </x:c>
      <x:c r="B65" s="46" t="str">
        <x:v>FR_BdF_2022</x:v>
      </x:c>
      <x:c r="C65" s="46" t="n">
        <x:v>11</x:v>
      </x:c>
      <x:c r="D65" s="46" t="str">
        <x:v>fr</x:v>
      </x:c>
      <x:c r="E65" s="46" t="str">
        <x:v>text</x:v>
      </x:c>
      <x:c r="F65" s="46" t="str"/>
      <x:c r="G65" s="46" t="str">
        <x:v>Payments and market infrastructures in the digital era – 9
CHAPTER 20  THE ROLE AND CONTRIBUTION OF INNOVATION  
FOR PAYMENT INSTRUMENTS AND MARKET INFRASTRUCTURES
context where the experiments have shown 
that the interoperability of CBDCs with each 
other could contribute to simplifying and 
improving the performance and accessibility 
of such transactions and payments.
As the Banque de France follows a technology-
agnostic approach, its experiments have 
made it possible to test various technologies, 
whether private or public DLTs implemented 
on open or proprietary protocols. The 
experiments have shown that, regardless 
of the underlying technology, an interbank 
CBDC can be an effective means of payment 
for the multiple use cases envisaged. They 
also confirmed that central banks can retain 
control of the CBDC over these different 
types of DLTs, in particular by exploiting 
the programmability features of central bank 
money provided by this technology.
The conclusions of this first experimental 
programme conducted in 2020 and 2021, 
which were the subject of a report2 and a 
press release3 published on the Banque de 
France website, confirm the intuitions that 
prompted the Banque de France to launch 
the programme: an interbank CBDC would 
maximise the benefits expected by the 
market from the use of DLT for interbank 
transactions by giving market participants a 
secure means of settlement in central bank 
money, thus eliminating any counterparty 
risk, in compliance with the European 
and international rules implemented after 
the 2008 crisis. As regards the methodology, 
the experiments with market participants 
have proven to be a valuable tool to test, 
under real conditions, the selected use cases 
and help develop the definition of what a 
future interbank CBDC could look like.
For these reasons, the Banque de France 
will continue its experimental programme 
in 2022. In particular, the programme will 
look more closely at cross-border payments 
and interoperability issues between DLT 
and conventional systems, while providing 
technical answers to performance, 
environmental and security issues, which are 
crucial for the market scaling of the tested 
solutions. This new work will help assess the 
benefits and risks of issuing an interbank (or 
wholesale) CBDC for the Eurosystem.
3.3. Managing the risks
3.3.1.  Ensuring the proper functioning 
of market infrastructures 
and their compatibility
While the current wave of technological 
innovations and the emergence of new 
stakeholders are creating opportunities for 
the financial industry in general and for market 
infrastructures and payment systems in 
particular, they also pose specific operational, 
legal and financial risks and challenges that 
financial system regulators, supervisors and 
oversight bodies need to address.
Regulators ensure that market infrastructures 
function properly and comply with 
applicable regulations. While regulations 
must distinguish between the functions 
performed, they must remain agnostic as 
to the technology used to provide these 
functions or services. To the extent that a 
settlement and delivery service meets the 
definition provided by the Central Securities 
Depository Regulation (CSDR)4 (see Chapter 
12), such service must comply with the 
regulation, irrespective of the technology 
used, blockchain or another. Similarly, the 
status of the actor providing the service 
should not be taken into account. Whether the 
actors are new entrants or well-established, 
performing roles in market infrastructures 
requires them to comply with the relevant 
regulations, such as with the Settlement 
Finality Directive (SFD), 5 CSDR, the 
European Market Infrastructure Regulation 
(EMIR) 6 or the Systemically Important 
Payment Systems (SIPS) Regulation.7
Beyond ensuring neutrality towards the 
technology and the actors, the most 
advanced initiatives applying blockchain 
to back-office operations8 raise two more 
specific implementation issues: compliance 
with the principle of delivery versus payment 
(DvP) (see Chapters 5 and 18) and the use 
of central bank money as a settlement asset 
(see Chapter 5).
2  Available at https://www.
banque-france.fr/sites/  
default/files/media/  
2021/11/09/821338_  
rapport_mnbc-04.pdf
3  Available at https://
www.banque-france.fr/
communique-de-presse/
la-banque-de-france-pu-
blie-son-rapport-des-
experimentations-de-
monnaie-numerique-
de-banque-centrale
4  Regulation (EU) No. 
909/2014 of the  
European Parliament 
and of the Council of 23 
July 2014 on improving 
securities settlement 
in the European Union 
and on central securi -
ties depositories.
5  Directive 98/26/EC of 
the European Parliament 
and of the Council of 19 
May 1998 on settle -
ment finality in payment 
and securities settle -
ment systems.
6  Regulation (EU) No. 
648/2012 of the  
European Parliament and 
of the Council of 4 July 
2012 on OTC derivatives, 
central counterparties 
and trade repositories.
7  Regulation of the 
European Central Bank 
(EU) No. 795/2014 of 
3 July 2014 on over -
sight requirements for 
systemically important 
payment systems.
8  Improvement of the 
commercial paper 
processing chain,  
back-office solution for 
listed and unlisted SME 
securities, solution for 
monitoring fund liabili -
ties, etc.</x:v>
      </x:c>
    </x:row>
    <x:row r="66" ht="110" customHeight="1">
      <x:c r="A66" s="46" t="str">
        <x:v>PRD-0030-P0007-U01</x:v>
      </x:c>
      <x:c r="B66" s="46" t="str">
        <x:v>GH_Ghana_2021</x:v>
      </x:c>
      <x:c r="C66" s="46" t="n">
        <x:v>7</x:v>
      </x:c>
      <x:c r="D66" s="46" t="str">
        <x:v>en</x:v>
      </x:c>
      <x:c r="E66" s="46" t="str">
        <x:v>text</x:v>
      </x:c>
      <x:c r="F66" s="46" t="str"/>
      <x:c r="G66" s="46" t="str">
        <x:v>BANK OF GHANA | DESIGN P APER OF THE DIGIT AL CEDI (eCEDI)
7
• The eCedi has to be accessible to everyone and 
any part of the country. Absence of mobile data 
networks in the rural areas of Ghana should not 
serve as a barrier to the use of the eCedi. In other 
words, the eCedi should work effectively in both 
online and offline environments.
• Speed of payment is very important from a 
consumer`s perspective. The transfer of funds 
from a payer to a payee should be near instant, 
easy to confirm and traceable. Both the sender 
and receiver should receive a confirmation of a 
successful transaction.
• Similar to cash, an eCedi transaction will be 
free of charge to consumers. By this approach, 
the eCedi would be a strong contender of cash, 
promote competition in the payment market 
and facilitate the provision of innovative value-
added services to individuals and businesses 
by banks and payment service providers at 
affordable fees and charges.
• It is particularly important that the eCedi is 
implemented to forestall disruption to the 
existing payment space. For this reason, the 
eCedi will be integrated into the existing 
interbank payment systems and mobile money 
interoperability platform operated by the Ghana 
Interbank Payment and Settlement Systems 
Limited (GhIPSS).
• In the era of the globalisation, it is important 
that domestic CBDCs are designed with the 
prospects of adaptation for interoperability 
with CBDCs of other jurisdictions. Efforts to 
accelerate integration of the economies of 
African economies, particularly under the African 
Continental Free Trade Area (AfCFTA) makes this 
a key consideration in the eCedi design. The 
eCedi takes into consideration CBDC standards, 
making it possible for Ghana to participate in 
international projects on cross border CBDCs.
• The eCedi will also support programmable use 
cases to enable innovation and new business 
models while maintaining the trust of the users. 
Notable among the programmable use cases 
are “government-to-person” and “person-to-
government” payments. In addition, it is capable 
of “machine-to-machine” automated payments 
in the Internet of Things.
• As a currency, trust is critical to the adoption 
and usage of the eCedi. The eCedi will therefore 
meet very high security requirements. As a result, 
currency issuance and distribution modules of 
the core eCedi infrastructure will be separated 
to address cyber risk. The eCedi will also be 
scalable to handle large volumes of transactions 
and provide 24/7 availability and support instant 
payments.
• BoG would appreciate comments from 
individuals, banks, FinTech companies, 
academics, international monetary and 
development organisations and central banks 
on the eCedi design principles. Comments, 
criticisms and suggestions should be sent to the 
eCedi team at ecedi@bog.gov.gh and submit 
the questions in an Electronic Questionnaire.</x:v>
      </x:c>
    </x:row>
    <x:row r="67" ht="110" customHeight="1">
      <x:c r="A67" s="46" t="str">
        <x:v>PRD-0030-P0014-U01</x:v>
      </x:c>
      <x:c r="B67" s="46" t="str">
        <x:v>GH_Ghana_2021</x:v>
      </x:c>
      <x:c r="C67" s="46" t="n">
        <x:v>14</x:v>
      </x:c>
      <x:c r="D67" s="46" t="str">
        <x:v>en</x:v>
      </x:c>
      <x:c r="E67" s="46" t="str">
        <x:v>text</x:v>
      </x:c>
      <x:c r="F67" s="46" t="str"/>
      <x:c r="G67" s="46" t="str">
        <x:v>BANK OF GHANA | DESIGN P APER OF THE DIGIT AL CEDI (eCEDI)
14
The Bank of Ghana considers CBDC to be of 
strategic importance to a progressive and digitally 
inclusive society and has developed the eCedi to 
meet the following strategic goals:
Increase digitization of the economy in Ghana. 
The eCedi is being implemented as part of the 
“Digital Ghana Agenda”, which involves the 
digitization of government services of the country 
of 30 million people. Digital technologies play a key 
role in reshaping the economic system. Innovative 
technologies are increasingly permeating various 
spheres of economic activities and creating new 
opportunities for socio-economic and business 
development to achieve economic growth. 
Foster financial inclusion. Financial inclusion 
is one of the strategic objectives of the Ghanaian 
financial system in accordance with the National 
Financial Inclusion and Development Strategy for 
2018-2023. According to the World Bank Global 
Findex Report (Findex 2017), financial inclusion 
in Ghana increased from 42% in 2014 to 58 % in 
20171. However 54% of women had accounts with 
a formal financial institution compared with 62% 
of men. Against this backdrop, the government 
developed and prioritized a reform agenda aimed 
at increasing access to formal financial services to 
85% by 2023. The design principles of the eCedi, 
in particular accessibility and consecutive offline 
payments would contribute to the government’s 
objectives of digitizing the Ghanaian society and 
promoting financial inclusion.
Enhance consumer adoption of digital 
payments. The eCedi is piloted as part of the broad 
Digital Financial Services Policy 2 which prioritizes 
the digitization of payment use cases such as; 
small-value informal pensions, government 
payments, remittances, merchant payments, and 
utility payments.
1.  Fourth Ghana Economic Update: Enhancing Financial Inclusion – Africa Region (English). Ghana Economic Update, #4 Washington, D.C.: World 
Bank Group.
2. Digital Financial Services Policy in Ghana.
3. National Payment Systems Strategic Plan (2019-2024) in Ghana.
4. Principles for financial market infrastructures – CPSS-IOSCO – April 2012.
Anticipation of the role of BoG as a progressive 
regulator for facilitating the development of 
the digital economy. The establishment of the 
FinTech and Innovation Office by BoG is seen as the 
first step towards realization of the Bank’s goal of 
regulating the vast digital service terrain in Ghana’s 
financial sector. An inclusive and innovative project 
on digital currency implementation will foster 
BoG to adopt digitization as a key policy objective 
to drive growth in all aspects of the country’s 
economy.
Foster the possibility of a more secure, efficient, 
and resilient payment system. Efficient, safe, and 
convenient payment systems are fundamental to 
economic activity and wealth distribution. Ghana’s 
payment system development, since 2000, has 
been guided by strategic plans to address the 
dominance of the informal economy and cash 
payments3. International approaches to financial 
markets regulation4 prove that governments have 
to play a key role in mission-critical services that 
cannot entirely be left to the private market. The 
eCedi would be one of such resilient digital means 
of payment that would also work in a crisis, even 
offline, without power supply and guaranteed 
by the central bank. The implementation of the 
eCedi can reduce the share of cash payments in 
circulation, increase the speed and convenience 
of cashless payments, engender competition 
in payment services, and enhance settlements 
of digital interbank and cross-platform retail 
payments and improve efficient use of liquidity in 
the Ghanaian payment ecosystem.
Address the risk of unregulated privately 
issued digital “currencies” or virtual assets. The 
scrutiny of Big Tech companies (for instance, Apple, 
Facebook, or Amazon) in regard to providing 
payment services and issuing private digital 
currencies is a significant challenge for regulators 
nowadays. Such global private “currencies“, as 
well as locally issued cryptocurrencies, provoke 
a wide range of risks including monetary, legal, 
operational, consumer protection, and financial 
stability. Digital currency issued and guaranteed 
by the central bank would meet the demand for 
digital currencies without posing systemic risks.</x:v>
      </x:c>
    </x:row>
    <x:row r="68" ht="110" customHeight="1">
      <x:c r="A68" s="46" t="str">
        <x:v>PRD-0030-P0021-U01</x:v>
      </x:c>
      <x:c r="B68" s="46" t="str">
        <x:v>GH_Ghana_2021</x:v>
      </x:c>
      <x:c r="C68" s="46" t="n">
        <x:v>21</x:v>
      </x:c>
      <x:c r="D68" s="46" t="str">
        <x:v>en</x:v>
      </x:c>
      <x:c r="E68" s="46" t="str">
        <x:v>text</x:v>
      </x:c>
      <x:c r="F68" s="46" t="str"/>
      <x:c r="G68" s="46" t="str">
        <x:v>BANK OF GHANA | DESIGN P APER OF THE DIGIT AL CEDI (eCEDI)
21
The success of the eCedi is crucially dependent on 
public acceptance. This means that it must provide 
real benefits for the users. As a result, it has to be 
accessible to everybody, usable for payments in 
all sorts of situations and everywhere: one can 
pay with the eCedi in a retail shop, but also use it 
for online shopping or sending money to another 
individual.
The payment scenarios below describe the range 
of operations possible with the eCedi in a full cycle 
from the consumer`s and merchant`s perspectives: 
onboarding and receiving a wallet or the necessary 
software, topping up the wallet with eCedi, storing, 
payment, and redemption. 
Figure 3 describes the journey of an unbanked 
person without a smartphone or a feature phone 
visiting a bank (or another authorized institution) 
and receiving a smart card with an offline eCedi 
wallet. Such a wallet can be utilized without access 
to the internet. The wallet can be topped up with 
the eCedi directly at the bank or by means of a 
P2P transfer. Thereafter, this consumer is able 
to purchase goods and services (in person) or 
instantly transfer the eCedi to other consumers 
(face to face). Redemption of the eCedi to Cedi is 
available at any time. 
Unbanked person Redemption of the 
eCedi to Cedi
Onboards for a smart 
card with an offline 
wallet at a bank or an 
authorized institution
Offline wallet is loaded 
with the eCedi by 
the bank or payment 
service provider / 
consumer receives 
eCedi from another 
person, institution, or 
agent
Face to face eCedi  
transfers between  
individuals
Merchant Payment: 
in-person purchase of 
goods and services
P2P
P2B
Fig. 3 Consumer journey: offline wallet on a smart card
In the next two scenarios, a consumer visits a 
financial institution to onboard for the online 
wallet (hosted eCedi wallet). Unlike the previous 
situation, hosted wallets require access to the 
internet. Alongside opening an online wallet, 
the consumer receives a payment card (Fig. 4) to 
access his wallet online. Otherwise, the consumer 
is able to initiate transactions with his online wallet 
by USSD commands using a feature phone (Fig. 5).
Purchases goods 
and services in-
person or online 
Visits a bank or 
financial service 
provider to 
onboard for the 
eCedi online 
wallet
Unbanked 
person
Redemption of 
the eCedi to Cedi
Passes KYC 
procedure and 
receives a card
Funds the 
account with 
cash at the bank 
or receives eCedi 
as a P2P transfer 
from another 
person or agent
P2P transfers in 
eCedi between 
individuals over a 
distance
P2P
P2B
Fig. 4 Consumer journey: online wallet hosted by a financial service provider</x:v>
      </x:c>
    </x:row>
    <x:row r="69" ht="110" customHeight="1">
      <x:c r="A69" s="46" t="str">
        <x:v>PRD-0030-P0025-U01</x:v>
      </x:c>
      <x:c r="B69" s="46" t="str">
        <x:v>GH_Ghana_2021</x:v>
      </x:c>
      <x:c r="C69" s="46" t="n">
        <x:v>25</x:v>
      </x:c>
      <x:c r="D69" s="46" t="str">
        <x:v>en</x:v>
      </x:c>
      <x:c r="E69" s="46" t="str">
        <x:v>text</x:v>
      </x:c>
      <x:c r="F69" s="46" t="str"/>
      <x:c r="G69" s="46" t="str">
        <x:v>BANK OF GHANA | DESIGN P APER OF THE DIGIT AL CEDI (eCEDI)
25
The following four (4) principles underpin the 
design of the eCedi: Governance, Accessibility, 
Interoperability and Infrastructure (Fig. 9).
Governance
• BoG is the issuer of the eCedi
• Commercial banks are in charge of the distribution
• FinTechs are authorized to provide wallets/services
• Tranparency to mitigate money laundering in eCedi
• Holistic monitoring of the ecosystem
Inclusiveness
• Accessible to anyone, trusted by anyone
• Legal tender – accepted and used for all  
payment scenarios
• Works effectively both online and offline
• Cost efficient to consumers and merchants
Interoperability
• Interoperability with existing payment  
infrastructure on the Ghanaian market
• Potential for the programmable payments
• Potential for cross border payments
Infrastructure
• Highest security requirements
• Supports high transaction volumes
• Strong resilience and availability
• Payments are instant
Fig. 9 Design principles of the eCedi
The core principles of the design of the eCedi are 
built around the discussions and the analysis of the 
ongoing projects as well as the existing conditions 
of the financial system in Ghana.
Foremost, the eCedi has to be under full control of 
BoG, being the only entity to create and destroy 
digital cash. Simultaneously, the ecosystem of 
eCedi should include the participation of banks, 
SDIs and PSPs to facilitate interaction between the 
central bank and end consumers. This will be an 
approach to encourage adoption through user-
focused value-added services, accessibility and 
innovation on the back of the eCedi.
The eCedi has to provide transparency of 
consumers and transactions in order to mitigate 
money laundering in the eCedi ecosystem.  
The eCedi might become a target for cyber-attacks 
of all sorts, similar to counterfeiting banknotes 
by criminals. It therefore, has to meet very high 
security standards by design. One of the eCedi’s 
technical solutions addressing cyber-attack 
prevention is the separation of the issuance and 
distribution modules of the core infrastructure. The 
eCedi will also be scalable to handle large volumes 
of transactions and provide 24/7 availability and 
support instant payments. As eCedi is considered 
to be a legal tender it has to be accessible and 
trusted by everyone, hence merchants and 
enterprises within a country have to accept the 
eCedi for payments. Thus the acceptance of the 
eCedi should be as easy as possible, not requiring 
expensive devices or network connection. For this 
reason, the possibility of offline transactions is a 
relevant requirement. 
It is important that the eCedi is implemented to 
complement and enhance the existing payment 
systems. The eCedi therefore has to be integrated 
into existing infrastructure and payment 
instruments. The various existing electronic and 
mobile payment solutions will therefore have to 
be interoperable with the eCedi to enable their 
utilization of the eCedi. This also applies to POS 
terminals, which preferably should be upgraded 
and not replaced, to accept eCedi transactions.
Last but not least, the eCedi should support 
programmable use cases to enable innovation and 
new business models while maintaining the trust of 
the people.
From the foregoing, it is obvious that the eCedi 
must be a close resemblance of cash in addition 
to having the capability for online transactions 
among other similar features.</x:v>
      </x:c>
    </x:row>
    <x:row r="70" ht="110" customHeight="1">
      <x:c r="A70" s="46" t="str">
        <x:v>PRD-0030-P0027-U01</x:v>
      </x:c>
      <x:c r="B70" s="46" t="str">
        <x:v>GH_Ghana_2021</x:v>
      </x:c>
      <x:c r="C70" s="46" t="n">
        <x:v>27</x:v>
      </x:c>
      <x:c r="D70" s="46" t="str">
        <x:v>en</x:v>
      </x:c>
      <x:c r="E70" s="46" t="str">
        <x:v>text</x:v>
      </x:c>
      <x:c r="F70" s="46" t="str"/>
      <x:c r="G70" s="46" t="str">
        <x:v>BANK OF GHANA | DESIGN P APER OF THE DIGIT AL CEDI (eCEDI)
27
The KYC regime for eCedi will be risk-based and 
therefore provide for tiered KYC access criteria 
to meet the needs of diverse user groups. In this 
regard, eCedi wallets with different requirements 
for the identification checks depending on the 
thresholds and daily/aggregate transaction limits, 
and maximum account balances will be available.
Such an approach ensures access to the eCedi 
for all Ghanaian citizens regardless of social 
status. A specific focus on the financially excluded 
(low income) population with the possibility of 
minimum KYC is therefore essential.
7.1.3. Monitoring and reporting
In line with the two-tier architecture of the eCedi, 
banks, SDIs and payment service providers will 
be responsible for monitoring of eCedi payment 
transactions and reporting of activities, including 
fraud and suspicious transactions to the Financial 
Intelligence Centre and BoG. BoG, in addition to 
monitoring of transactions at the interbank level, 
will issue policies on wallets and transaction limits 
among other issues, for compliance by participants 
in the eCedi ecosystem. 
The monitoring and reporting requirements will 
be risk-based and will seek to promote financial 
stability without undermining financial inclusion 
and consumer privacy. 
7.2. Accessibility
For the eCedi to be accepted as an alternative 
to cash and also co-exist with other forms of 
digital payment instruments it should provide 
an appealing UX and must be inclusive.  A well 
designed eCedi may help to boost financial 
inclusion in an increasingly digital world by 
encouraging financially excluded people to use the 
services of regulated financial service providers.
From the consumer’s perspective, eCedi usage has 
to be as easy and intuitive as possible. Consumers 
should be able to make a payment in the minimum 
number of steps, with a minimum required level of 
technical literacy. 
BoG is aware of the existing consumer habits. 
People in Ghana are used to paying with mobile 
money and cards; such that switching to the eCedi, 
and particularly its onboarding process will 
possibly be seamless and easy. 
3. Eurosystem experimentation regarding a digital euro. Research workstream on hardware bearer instrument.
The eCedi has to be accessible to everyone and 
inclusive: with minimum barriers by technical 
literacy and disabilities. It must avoid reliance 
on access to mobile data networks in Ghanaian 
rural areas, which means the eCedi should work 
effectively both online and offline.
Speed of payments is very important from a 
consumer`s perspective. The transfer of funds from 
a payer to a payee should possibly be instant. Both 
payer and payee should receive a confirmation of a 
successful transaction.
The cost of payments with the eCedi has to be 
clear to the participants and competitive relatively 
to the existing market alternatives. 
7.2.1. Accessible to anyone, trusted by 
everyone
The eCedi must be accessible to everyone, including 
persons without bank accounts, persons who are 
less attractive to commercial payment providers, or 
who cannot afford the latest mobile devices. It must 
be easy to use different instruments to support 
persons that might have difficulties following 
complex onboarding processes or utilizing the 
latest technical solution.
Another essential requirement for the eCedi’s 
wide accessibility is trust. As a form of central 
bank money, it should have the same level of 
trust like cash, if not better. In this regard, eCedi’s 
technical instruments and solutions will be either 
standardized/certified by BoG or provided as SDK 
solutions.
7.2.2. Offline functionality
The eCedi’s conceptual similarity with cash makes 
offline (no internet) transactions highly relevant. 
Another argument in favour of offline capabilities 
is the financial inclusion goal. For Ghana, it 
definitely makes much sense to provide retail 
CBDC capable of functioning in rural areas without 
internet access to ensure countrywide access and 
accelerate financial inclusion. From a perspective 
of technology, it is feasible to implement an 
offline eCedi with a smartcard (potentially – with 
a smartphone) using standard interfaces like NFC 
or Bluetooth. Transactions for offline payments 
are therefore instantly settled without accessing a 
backend system3.</x:v>
      </x:c>
    </x:row>
    <x:row r="71" ht="110" customHeight="1">
      <x:c r="A71" s="46" t="str">
        <x:v>PRD-0030-P0028-U01</x:v>
      </x:c>
      <x:c r="B71" s="46" t="str">
        <x:v>GH_Ghana_2021</x:v>
      </x:c>
      <x:c r="C71" s="46" t="n">
        <x:v>28</x:v>
      </x:c>
      <x:c r="D71" s="46" t="str">
        <x:v>en</x:v>
      </x:c>
      <x:c r="E71" s="46" t="str">
        <x:v>text</x:v>
      </x:c>
      <x:c r="F71" s="46" t="str"/>
      <x:c r="G71" s="46" t="str">
        <x:v>BANK OF GHANA | DESIGN P APER OF THE DIGIT AL CEDI (eCEDI)
28
7.2.3. Fees model
The eCedi is a digital equivalent of the physical 
Cedi by design. This follows that the eCedi is an 
instrument that does not bear interest (i. e. has 
zero interest rate), just as cash. Another cash-mimic 
characteristic of the eCedi is its convertibility into 
the deposit money in the 1:1 ratio.
Like cash today, the eCedi transactions will be 
free of charge to the consumers. Nevertheless, 
the model recognizes and takes into account the 
value added service provided by banks, SDIs and 
payment service providers to facilitate access to 
and use of eCedi and compensate accordingly. 
In accordance with the liberalization ethos of the 
Ghanaian financial service industry, BoG does 
not intend to interfere with the business models 
of banks, FinTech companies, and merchants 
regarding fees for eCedi related services. This 
approach is expected to promote competition in 
the payment market and facilitate the provision of 
innovative value-added services on the back of the 
eCedi ecosystem. However, BoG will ensure that the 
consumers are given fair treatment in every aspect 
of eCedi transactions by ensuring that banks, SDIs, 
payment service providers and merchants comply 
with relevant consumer protection regulations and 
norms.
7.3. Interoperability
Significant investments and time would be 
required to create the infrastructure from scratch 
to introduce a new instrument like the eCedi. This 
extremely important task demands careful analysis, 
particularly when interoperability is required with 
existing infrastructure. Ghana, with its already 
established payment infrastructure, will have to 
design the eCedi, with interoperability with existing 
infrastructures in mind while enabling innovative 
functionalities on the eCedi platform. 
7.3.1. eCedi interconnecting with existing 
infrastructures
One of the pillars of the eCedi interoperability is its 
interconnection with the GhIPSS [Fig. 11]. GhIPSS´ 
payment infrastructure is currently used by all 
banks in Ghana including the ARB Apex Bank and 
its affiliates, savings and loans companies, and third 
party payment providers. 
In line with its mandate, GhIPSS has implemented 
and manages the following:
• National Switch &amp; Biometric Smart Card Payment 
System – e-zwich
• Cheque Codeline Clearing System
• Ghana Automated Clearing House systems – 
Direct Credit &amp; Direct Debit
• National Switching and Processing System – Gh-
link.
Consequently, eCedi`s integration with GhiPSS 
provides great opportunities. On the one hand, 
it allows the eCedi to utilize ready-to-wear 
infrastructure. On the other hand, it addresses 
the existing pain points of the Ghanaian payment 
market.
Mobile money infrastructure is well developed 
in Ghana with about 38.5 million registered 
mobile money accounts and approximately 424 
thousand registered agents. The mobile money 
interoperability platform has further stimulated 
the ecosystem by enabling cross platform funds 
transfers. However, the settlement of mobile 
money interoperability transactions among mobile 
money operators in Ghana needs improvement. 
The deferred net settlement approach to 
settling transactions on the MMI platform has 
proven inefficient  for the liquidity needs of the 
interoperability platform which settles on instant 
basis. The interoperability between the eCedi 
and GhiPSS would enable settlements between 
different mobile money solutions in digital 
currency, improve the speed and reduce frictions 
in settlements.</x:v>
      </x:c>
    </x:row>
    <x:row r="72" ht="110" customHeight="1">
      <x:c r="A72" s="46" t="str">
        <x:v>PRD-0030-P0029-U01</x:v>
      </x:c>
      <x:c r="B72" s="46" t="str">
        <x:v>GH_Ghana_2021</x:v>
      </x:c>
      <x:c r="C72" s="46" t="n">
        <x:v>29</x:v>
      </x:c>
      <x:c r="D72" s="46" t="str">
        <x:v>en</x:v>
      </x:c>
      <x:c r="E72" s="46" t="str">
        <x:v>text</x:v>
      </x:c>
      <x:c r="F72" s="46" t="str"/>
      <x:c r="G72" s="46" t="str">
        <x:v>BANK OF GHANA | DESIGN P APER OF THE DIGIT AL CEDI (eCEDI)
29
Interoperability
• GhIPSS
• e-zwich
• CCC
• gach
• gh-link
Individuals
• Online wallets
• Authentication
• Customer interface (app/desktop)
• Hardware wallets
• Offline payment devices
Businesses
• POS terminal
• POS integrations
• ERP integrations
• Hardware wallets
• eCom gateway
• Online vault
Bank of Ghana
eCedi minting, issuance, verfication, redemption, wallet certification,  
regulation and governance
Banks
eCedi distribution, account integrations, KYC, wallet issuance AML/CFT
Financial service providers
Innovative value added services for the eCedi
• Funds transfer
• Branchless banking
• Internet Banking
• Mobile financial services
• POS/ATs
• Debt and Credit cards
Fig. 11 Interoperability of the eCedi ecosystem with external systems
4. Multi-CBDC arrangements and the future of crossborder payments. BIS Papers No 115.
5. Discussion Paper: Central Bank Digital Currency. Opportunities, challenges and design. Bank of England.
7.3.2. Cross border perspectives
In the era of the globalisation, it is important that 
domestic CBDCs are designed with the prospects 
of adaptation for interoperability with CBDCs of 
other jurisdictions. Efforts to accelerate integration 
of the economies of African economies, particularly 
under the African Continental Free Trade Area 
(AfCFTA) makes this a key consideration in the 
eCedi design. The eCedi takes into consideration 
CBDC standards making it possible for Ghana to 
participate in international projects on cross border 
CBDCs.
According to BIS, this may be achieved via [1] 
common technical standards, [2] linking multiple 
CBDCs through a common interface, [3] integrating 
multiple CBDCs in a single multi-CBDC system 4. 
Thus, eCedi is designed with the global CBDC 
standard in mind (once introduced). Participation 
in international projects around cross border 
CBDCs will also be considered.
7.3.3. Programmability of payments
Digitalization of the economy triggers 
digitalization of entire industries; and the sphere of 
payments is on the frontline of this transformation. 
Implementation of programmability within 
eCedi wallets opens the door to a great variety 
of innovative business models and brand-new 
services. 
One potential direction is programmable 
“government-to-person” and “person-to-
government” payments, among them welfare 
payments in eCedi (including “helicopter money”). 
The second direction is “machine-to-machine” 
automated payments in the Internet of Things.
From the eCedi’s applied design perspective, 
programmability should be applied as 
programmable payments on the level of eCedi 
smart wallets. This approach is more beneficial in 
terms of policy considerations compared to the 
programmability of the currency itself.
7.4. Infrastructure
One of the primary BoG policy objectives requires 
that CBDC should be reliable and resilient 5. This 
provides that eCedi infrastructure needs to be 
secure, resilient, available, and scalable.
7.4.1. Highest IT security standards
The eCedi fulfils the highest standards of cyber 
security against fraud and cyber attacks. It is 
designed with no single point of failure. There are 
clear policies developed around who is responsible 
for redress in the case of fraudulent payments. One 
of the eCedi’s technical solutions addressing cyber-
attack prevention is the separation of the issuance 
and distribution modules of the core infrastructure.</x:v>
      </x:c>
    </x:row>
    <x:row r="73" ht="110" customHeight="1">
      <x:c r="A73" s="46" t="str">
        <x:v>PRD-0031-P0010-U01</x:v>
      </x:c>
      <x:c r="B73" s="46" t="str">
        <x:v>GH_Ghana_2023</x:v>
      </x:c>
      <x:c r="C73" s="46" t="n">
        <x:v>10</x:v>
      </x:c>
      <x:c r="D73" s="46" t="str">
        <x:v>en</x:v>
      </x:c>
      <x:c r="E73" s="46" t="str">
        <x:v>text</x:v>
      </x:c>
      <x:c r="F73" s="46" t="str"/>
      <x:c r="G73" s="46" t="str">
        <x:v>BANK OF GHANA  •  THE eCEDI REPORT
1.2 eCedi Design Attributes and Considerations
In designing a prototype of the eCedi for use 
during the pilot, several elements and attributes 
were enhanced in response to consumer feedback 
and expectations. 
Some of these considerations include:
Privacy
Being keenly aware of the Ghanaian 
consumers’ expectation of privacy in 
using the eCedi, the Bank pursued 
an architectural design that ensured that Bank of 
Ghana’s view of transactions on the eCedi system 
was at the aggregate level. Thus, the activities of 
individual wallet holders would only be visible to 
wallet issuers. 
This preserves the existing architecture that 
provides consumers the desired level of privacy 
without limiting the central bank or any state 
mandated agency’s legal access to wallet or 
transaction related information.
Customer on-boarding
The customer onboarding process 
was simplified for eCedi users. For 
the online pilot, participants were 
already existing customers of participating FSPs 
(subsequently referred to as pilot institutions) 
that on-boarded them. Thus, KYC processes had 
already been completed and the existing wallet 
authenticating procedures were implemented.
In the offline pilot, all participants were required 
to fill in User and Merchant Acceptance/Consent 
Forms that detailed how user data would be used. 
In addition, to ensure that there was sufficient 
KYC for the pilot, all participants were required to 
present their “GhanaCard”: the biometric national 
ID card now mandated for use across the sector for 
accessing any financial service. 
Consent 
Ghana’s banking and payment sector 
has thus far been supervised with a 
consent framework captured in the  
Consumer Recourse Mechanisms Guidelines, 20171. 
The eCedi accordingly adopted the same mecha -
nism for customer consent. 
Online users could utilize a Personal Identification 
Number (PIN) across various channels such as 
USSD or App, or device level authentication such 
as patterns or biometric authentication.
Transaction limits 
Transaction limits were implemented 
as a measure to mitigate the risk 
of AML  /  CF T concerns. These limits 
reflected the current tiered KYC transaction limits 
that were introduced into the Ghanaian banking 
and payment sector during the introduction of 
the Electronic Money Issuers Guidelines in 2015 to 
guide the mobile money industry.
10</x:v>
      </x:c>
    </x:row>
    <x:row r="74" ht="110" customHeight="1">
      <x:c r="A74" s="46" t="str">
        <x:v>PRD-0031-P0013-U01</x:v>
      </x:c>
      <x:c r="B74" s="46" t="str">
        <x:v>GH_Ghana_2023</x:v>
      </x:c>
      <x:c r="C74" s="46" t="n">
        <x:v>13</x:v>
      </x:c>
      <x:c r="D74" s="46" t="str">
        <x:v>en</x:v>
      </x:c>
      <x:c r="E74" s="46" t="str">
        <x:v>text</x:v>
      </x:c>
      <x:c r="F74" s="46" t="str"/>
      <x:c r="G74" s="46" t="str">
        <x:v>THE eCEDI REPORT  •  BANK OF GHANA
The eCedi solution was tested in the field in online and offline scenarios with the overarching 
objective of assessing the feasibility of introducing a user-centered and inclusive digital version of 
the Ghana Cedi. Testing took place in urban, peri-urban and rural areas. The target persons included 
males and females of eighteen (18) years and above from diverse socio-economic backgrounds. Pilot 
participants comprised tertiary students, small holder farming households, petty traders, micro, 
small and medium-sized enterprises (MSMEs), artisanal miners, bankers, engineers, and teachers. 
1. Accra (online test) 
Urban /  High value, high volume envir onment;
2. Tarkwa (online test) 
Peri-Urban /  High value, low volume 
environment; and
3. Sefwi Asafo (offline test)  
Rural /  Low value, low volume 
environment.
The pilot was expected to provide 
an opportunity of gaining a deeper 
understanding of the goals of consumers 
with the use of the eCedi, the challen ges 
and limitations asso  ciated with its use, 
and the poten  tial value o f a successful 
full-scale implemen tation.
The key objectives of the pilot were  
as follows:
a) T esting the utility of the eCedi as  
a physical currency complement;
b) Testing the usefulness of the offline 
variant of the eCedi;
c) Testing the ease of integrating  
the eCedi into the existing financial 
service infrastructure;  
and
d) Testing the sustainability of  
the eCedi.
The field tests were carried out in the following areas:
Figure 2: Field pilot test locations
1313</x:v>
      </x:c>
    </x:row>
    <x:row r="75" ht="110" customHeight="1">
      <x:c r="A75" s="46" t="str">
        <x:v>PRD-0031-P0014-U01</x:v>
      </x:c>
      <x:c r="B75" s="46" t="str">
        <x:v>GH_Ghana_2023</x:v>
      </x:c>
      <x:c r="C75" s="46" t="n">
        <x:v>14</x:v>
      </x:c>
      <x:c r="D75" s="46" t="str">
        <x:v>en</x:v>
      </x:c>
      <x:c r="E75" s="46" t="str">
        <x:v>text</x:v>
      </x:c>
      <x:c r="F75" s="46" t="str"/>
      <x:c r="G75" s="46" t="str">
        <x:v>BANK OF GHANA  •  THE eCEDI REPORT
2.1 Preparations
Preparatory measures that were taken included:
• Project Governance: 
 Over sight of the eCedi implementation is the 
responsibility of a Steering Committee chaired 
by the First Deputy Governor.  Its role is to 
consider and explore the introduction of a digital 
version of the Ghana Cedi in a manner that will 
not compromise Bank of Ghana’s statutory 
responsibility for maintaining price stability, 
ensuring a safe and resilient payment system and 
safeguarding public trust in money. A Technical 
Committee consisting of persons from relevant 
departments of BoG with expertise in FinTech, 
payment systems, information technology, law, 
currency and banking has been charged with the 
eCedi implementation. The Technical Committee 
reports to the Steering Committee and a Project 
Secretariat provides administrative support and 
secretarial services to the project.
• Terms of Reference (TOR): 
  A TOR was developed to provide clarity to the 
eCedi pilot scope of work, the responsibilities 
of implementing parties as well as project 
deliverables.
• Non-Disclosure Agreement (NDA) and 
Memorandum of Understanding (MOU): 
 In line with data pr otection and privacy principles 
as well as best practices in intellectual property 
management, BoG drafted and executed NDAs 
with and among all entities that played key  
roles in the project. The entities included G+D, 
Ghana Interbank Payment and Settlement 
Systems (GhIPSS), banks, PSPs, a DEMI and an 
External Stakeholder Advisory Group (ESAG). 
BoG also executed an MOU with selected pilot 
institutions to clearly indicate the respective roles 
of the parties.
• eCedi Workshop: 
  A number o f targeted workshops were held 
to explain the eCedi concept to the Project 
Committee, pilot institutions, FSPs and the ESAG.
• FAQs Document: 
 A r eference document was created to guide 
stakeholders and the general public to an 
understanding of the eCedi concept and its 
policy objectives. It is regularly updated with 
new inquiries from stakeholders. 
• External Stakeholder Advisory Group (ESAG): 
 The ESAG is made up of individuals with 
diverse subject matter expertise including 
product development, blockchain, electrical 
engineering, user experience and user interface 
design, consumer research, payments, banking, 
accounting and consumer advocacy. The role of 
the group is to offer expert advice and insights 
from industry to shape the eCedi concept, user 
experience design and implementation. 
• Selection of Pilot Institutions: 
 Entities were selected to reflect the diversity 
of service providers in the Ghanaian payments 
landscape as a first stage.  The second stage of the 
selection process, however, considered capacity 
issues including stable and agile technology 
infrastructure, capacity and willingness to dedicate 
resources to the project and key management 
commitment to participate in the project.
• Consumer Research: 
  A compr ehensive consumer research strategy 
was implemented to ensure that the eCedi 
concept, solution design and implementation 
reflect user needs. The strategy included; 
• a baseline survey before initiating the pilot to 
assess the expectations, views and transaction 
habits of consumers as well as inform the final 
eCedi design features to be piloted;
• a focus group discussion mid-way during the 
pilot to obtain feedback and course-correct 
elements of the eCedi’s deployment; and 
• an endline survey to measure changes in the 
variables assessed during the baseline survey.
14</x:v>
      </x:c>
    </x:row>
    <x:row r="76" ht="110" customHeight="1">
      <x:c r="A76" s="46" t="str">
        <x:v>PRD-0031-P0022-U01</x:v>
      </x:c>
      <x:c r="B76" s="46" t="str">
        <x:v>GH_Ghana_2023</x:v>
      </x:c>
      <x:c r="C76" s="46" t="n">
        <x:v>22</x:v>
      </x:c>
      <x:c r="D76" s="46" t="str">
        <x:v>en</x:v>
      </x:c>
      <x:c r="E76" s="46" t="str">
        <x:v>text</x:v>
      </x:c>
      <x:c r="F76" s="46" t="str"/>
      <x:c r="G76" s="46" t="str">
        <x:v>BANK OF GHANA  •  THE eCEDI REPORT
During the period, the eCedi pilot recorded 
total transactions of GHS 473 Million and 
96,000 in value and volume respectively. These 
transactions were from principal users (FSPs) 
and customers. Offline transactions contributed 
0.004 % and 0.475  % of transaction value and 
volume. 
The insights were further corroborated by 
an independent research undertaken by the 
Consultative Group to Assist the Poor (CGAP). (See 
Financial Inclusion Diaries – Appendix 1).
b. Will target users be able to use it?
It was observed that users´ and 
merchants´ familiarity with mobile 
money made it easier for them to 
use the eCedi for payments after a 
brief training. Testing began almost 
immediately with users making purchases and top-
ups at pubs, grocery shops, food vendors, a mobile 
money agent and a printing service shop.
c. Will target users want to use it?
Besides the 173 users onboarded to 
participate in the test, a number of 
persons and businesses, estimated to 
be fifty per cent (50  %) of the users, 
also expressed interest in joining the pilot to carry 
out transactions in the eCedi offline scenario. 
The early results from the consumer research 
that accompanied the pilot indicated that there 
is strong trust in the eCedi on account of it being 
issued by the BoG. In general, individuals and 
merchants reported positive experiences with the 
eCedi and indicated their willingness to use it if 
introduced. Users stated that affordability, user-
friendliness, safety and service availability were of 
prime importance in digital payment solution and 
recommended that the issues be considered in 
mainstreaming the eCedi. The chart below shows 
the trend of offline transactions between April and 
July 2022.
Figure 13: Trend of transactions - Sefwi Asafo
3,000.00
2,500.00
2,000.00
1,500.00
1,000.00
500.00
0.00
30
25
20
15
10
5
0 
01-Apr-22 01-Apr-2208-Apr-22 08-Apr-2215-Apr-22 15-Apr-2222-Apr-22 22-Apr-2229-Apr-22 29-Apr-2206-May-22 06-May-2213-May-22 13-May-2220-May-22 20-May-2227-May-22 27-May-2203-Jun-22 03-Jun-2210-Jun-22 10-Jun-2217-Jun-22 17-Jun-2224-Jun-22 24-Jun-2201-Jul-22 01-Jul-2208-Jul-22 08-Jul-2215-Jul-22 15-Jul-2222-Jul-22 22-Jul-2229-Jul-22 29-Jul-22
Total Transactions (GHS) Total Transactions (Units)
22</x:v>
      </x:c>
    </x:row>
    <x:row r="77" ht="110" customHeight="1">
      <x:c r="A77" s="46" t="str">
        <x:v>PRD-0031-P0027-U01</x:v>
      </x:c>
      <x:c r="B77" s="46" t="str">
        <x:v>GH_Ghana_2023</x:v>
      </x:c>
      <x:c r="C77" s="46" t="n">
        <x:v>27</x:v>
      </x:c>
      <x:c r="D77" s="46" t="str">
        <x:v>en</x:v>
      </x:c>
      <x:c r="E77" s="46" t="str">
        <x:v>text</x:v>
      </x:c>
      <x:c r="F77" s="46" t="str"/>
      <x:c r="G77" s="46" t="str">
        <x:v>THE eCEDI REPORT  •  BANK OF GHANA
4.1 Endline Survey 
Subsequent to the pilot, an endline survey was 
conducted in all pilot locations. It is worth 
highlighting the following two peculiar conditions 
during the study: 
• The Accra and Tarkwa studies were conducted 
in an uncontrolled environment since the Bank 
deliberately did not engage in mass education 
and awareness in these locations. 
• The public knowledge of the likely passing of 
the Electronic Levy Act 2022 coincided with the 
Baseline and Endline Surveys and heightened 
the price sensitivity of individuals. 
The result indicated a strong possibility of all 
participants adopting the eCedi if it were to be 
mainstreamed.
In general, pilot participants demonstrated a 
substantial likelihood of using the eCedi, with 
those who are users of digital payment instruments 
indicating a far higher preference for the eCedi.
CBDC Usage Likelihood
CBDC Knowledge Ranking
Merchants
Online Respondents
 Baseline   Endline
0 – I would 
not want 
to use it at 
present
1 – I would 
want to use 
it at present 
I am not 
sure about 
using it at 
present
Blank
19 %
65 %
45 %
35 %
27 %
1 %
7 %
70 %
60 %
50 %
40 %
30 %
20 %
10 %
0 %
Baseline Merchants (n= 614)  
Endline Merchants (n = 243)
Figure 14: Change in likelihood of adoption from Baseline to Endline.  
Question: Based on your current knowledge about “Central Bank Digital Currency” (CBDC), would you want to use CBDC?  
Figure 15: Knowledge ratings offline &amp; online.  
Question: On a scale of 1-5, how would you rate your current knowledge about the term “Central Bank Digital Currency?”
Baseline Individuals (n= 1639) 
Endline Individuals (n = 1858)
 Baseline   Endline
0 – I would 
not want 
to use it at 
present
1 – I would 
want to use 
it at present 
I am not 
sure about 
using it at 
present
15 %
10 %
48 %
67 %
80 %
70 %
60 %
50 %
40 %
30 %
20 %
10 %
0 %
Individuals
37 %
23 %
Offline Respondents
Online Baseline Count = 1945  
Online Endline Count = 1846
Offline Baseline Count = 216  
Offline Endline Count = 243
80 %
70 %
60 %
50 %
40 %
30 %
20 %
10 %
0 %
70 %
46%
26%
12%
7 %
14%
8 %
5 %
7 %
6 %
 Baseline   Endline
90 %
80 %
70 %
60 %
50 %
40 %
30 %
20 %
10 %
0 %
 Baseline   Endline
1 2 3 4 5 1 2 3 4 5
84%
26% 27%
16 % 16 %
6% 3% 3% 5%
15 %
27</x:v>
      </x:c>
    </x:row>
    <x:row r="78" ht="110" customHeight="1">
      <x:c r="A78" s="46" t="str">
        <x:v>PRD-0031-P0029-U01</x:v>
      </x:c>
      <x:c r="B78" s="46" t="str">
        <x:v>GH_Ghana_2023</x:v>
      </x:c>
      <x:c r="C78" s="46" t="n">
        <x:v>29</x:v>
      </x:c>
      <x:c r="D78" s="46" t="str">
        <x:v>en</x:v>
      </x:c>
      <x:c r="E78" s="46" t="str">
        <x:v>text</x:v>
      </x:c>
      <x:c r="F78" s="46" t="str"/>
      <x:c r="G78" s="46" t="str">
        <x:v>THE eCEDI REPORT  •  BANK OF GHANA
4.2 Insights from Participants 
4.2.1 Individuals
1. The eCedi must be designed to be safe, affordable, 
capable of offline use, and backed by BoG.
2. The eCedi should be free for the user. However, 
a revenue model could be developed on value 
added services and fees and charges levied 
accordingly. 
3. Mass education and awareness campaigns are 
needed for general acceptance and usage.
4. About fifty per cent (50  %) of the respondents 
were willing to use the eCedi after a brief 
education, and a third were more open to the 
eCedi option, subject to implementation. 
5. There was a correlation between the level of 
education, employment status, past DFS usage 
and the eCedi adoption.
6. The offline eCedi solution is critical to dealing 
with the last mile financial inclusion challenges.
7. The offline eCedi could address cash dependency 
outside of urban areas.
8. Policy support may be required to ensure the 
availability of eCedi hardware in rural areas.
4.2.2 Mer chants
1. The eCedi point o f sale device and apps were 
user-friendly and easily understood due to their 
experience with mobile money and other digital 
payment solutions.
2. Mer chants noted that there was not much 
difference between the eCedi and the physical 
currency since it was easy to switch between the 
two form factors of the Ghana Cedi.
3. Readily available technical and operational suppor t 
ensured smooth execution of transactions.
4. The POS and merchant acceptance apps 
were found useful for record keeping and 
reconciliation of transactions as they stored 
records of receipts and payments. 
5. Acceptance of payments in eCedi serves as safe 
custody for funds.
6. Widespr ead deployment of eCedi will improve 
its utility and reduce reliance on cash for 
transactions.
7. Mer chants indicated that eCedi charges, if any, 
should be insignificant to encourage usage.
4.2.3 Financial Ser vice Providers
1. It was easy to adapt their existing payment apps 
to make and accept eCedi transactions.
2. User s and merchants did not encounter challen -
ges in using the eCedi to make and accept 
payments.
3. No differ ence was noted between eCedi trans -
actions and other existing digital payment 
solutions.
CBDCs hold promise for boosting 
financial inclusion and economic 
growth. While the devil is always 
in the detail, the Bank of Ghana ’s focus on 
inclusive access and seamless integration in 
the design and implementation of the eCedi 
indicates a thoughtful approach. As such, we 
are cautiously optimistic that, with continued 
industry and end-user engagement, we will 
realise the potential of the eCedi to advance 
financial inclusion and innovation in Ghana.
Dr. Augustina Odame 
Chief Executive Officer 
Ghana Chamber of Technology
2929</x:v>
      </x:c>
    </x:row>
    <x:row r="79" ht="110" customHeight="1">
      <x:c r="A79" s="46" t="str">
        <x:v>PRD-0031-P0030-U01</x:v>
      </x:c>
      <x:c r="B79" s="46" t="str">
        <x:v>GH_Ghana_2023</x:v>
      </x:c>
      <x:c r="C79" s="46" t="n">
        <x:v>30</x:v>
      </x:c>
      <x:c r="D79" s="46" t="str">
        <x:v>en</x:v>
      </x:c>
      <x:c r="E79" s="46" t="str">
        <x:v>text</x:v>
      </x:c>
      <x:c r="F79" s="46" t="str"/>
      <x:c r="G79" s="46" t="str">
        <x:v>BANK OF GHANA  •  THE eCEDI REPORT
4.3 Evaluation of Findings against Objectives
Variable Criteria Status Remarks
Utility of eCedi Role of eCedi in various 
payment scenarios 
Met expectations It was used for in-person 
and online payment of 
goods and services 
Usefulness of  
offline solution
Facilitate payments 
without the need for 
telecommunication 
services 
Met expectations Payers and payees were 
able to make and receive 
payments with the use of 
eCedi smart cards and POS 
devices in offline mode 
without any hitches
Integrating solution 
into existing  
ecosystem
Ease of adopting   
existing payment 
apps and interbank 
infrastructure for eCedi 
transactions
Partially met 
expectations
FSPs were able to adapt 
their existing payment 
solutions, relying on 
existing payment networks, 
customers and merchants 
to rollout the eCedi. 
However, it was on a limited 
scale and did not afford the 
opportunity to assess all 
possible scenarios
Sustainability Ability of the eCedi 
to have widespread 
adoption and usage 
into the foreseeable 
future
Partially met 
expectations
The demand for digital 
payment solutions such as 
the eCedi was endorsed by 
the pilot. Also, individuals, 
businesses and FSPs 
indicated their willingness 
to use the eCedi when 
rolled out. They further 
made recommendations for 
enhancing the solution
30</x:v>
      </x:c>
    </x:row>
    <x:row r="80" ht="110" customHeight="1">
      <x:c r="A80" s="46" t="str">
        <x:v>PRD-0031-P0042-U01</x:v>
      </x:c>
      <x:c r="B80" s="46" t="str">
        <x:v>GH_Ghana_2023</x:v>
      </x:c>
      <x:c r="C80" s="46" t="n">
        <x:v>42</x:v>
      </x:c>
      <x:c r="D80" s="46" t="str">
        <x:v>en</x:v>
      </x:c>
      <x:c r="E80" s="46" t="str">
        <x:v>text</x:v>
      </x:c>
      <x:c r="F80" s="46" t="str"/>
      <x:c r="G80" s="46" t="str">
        <x:v>BANK OF GHANA  •  THE eCEDI REPORT
4. In addition, user perceptions provide insights 
into why pilot respondents value eCedi, 
which could have implications when eCedi is 
rolled out more broadly. 
a. Respondents clearly appreciated not having to 
pay charges and e-levy.  However, it is important 
to note that charges and e-levy were mentioned 
less frequently than other factors such as safety 
and convenience. Moreover, concerns about 
charges and e-levy were most often mentioned 
in the middle or at the end of talking about 
something else, signalling that these are not 
their most primary concerns.
b. The notion of a central bank is difficult for most 
to understand. Many see Bank of Ghana as a 
competitor to other banks and eCedi itself as a 
competitor to mobile money. With this in mind, 
participants trusted eCedi because they had not 
heard about Bank of Ghana being fraudulent. 
c. In the final analysis, all the findings combined 
suggest that eCedi was very highly regarded 
because it enables the digitalization of merchant 
payments, which is the most frequent transaction 
use case that respondents undertake.
II. Detailed Analysis 
a. How did eCedi pilot participants use eCedi 
compared to other financial tools?
Findings from individual eCedi pilot participants
2
Chart 1 shows the percentage of each type of 
pairing of transactions on the left-hand axis and 
the average amount of those pairings on the 
right-hand axis. For example, a “cash to cash” 
transaction is where the payment is in cash at the 
origin and ends in cash. A MoMo to outside digital 
transaction is from a respondent’s MoMo account 
and sent to an “Outside Digital” account, which is 
a digital account (either MoMo or another type of 
mobile money) of someone else. This is considered 
“Outside Digital” because the sender did not specify 
what type of digital account it was. An explanation 
of every transaction type is in Annex 3.
Over a three-week period, between June 20 – July 9, 
there were a total of 864 transactions in aggregated 
diaries for a total of 82 individuals with a total 
transaction value of GHc 691,580. The transactions 
of these 82 participants are highly digitized. 
Only 45 % of transactions were “cash to cash” while 
30 % involved the respondent making a payment 
via mobile money to an outside digital account. It 
was striking that of those MoMo to outside digital 
transactions, only 48  % wer e outward remittances 
to friends and family, i.  e., the typical use case for 
mobile money transactions. The average value of 
these transactions was GHc 359. In contrast, 52  % 
were “high value payments” with an average of 
GHc 778. The most common items paid for were 
not only airtime, but also higher value items such 
as school fees and construction materials.
Given how recently these customers had been 
introduced to eCedi, there were a significant number 
of transactions made. The transaction type “eCedi 
to outside digital” represents a payment of eCedi 
to other’s digital device – in most cases this was 
the merchants’ eCedi device. These types of eCedi 
transactions made up 3 % o f the total transactions 
while “cash to eCedi” which is depositing cash into 
the eCedi account, made up 2  %. This is about the  
2. Please note that all transactions data in this brief are self-reported by pilot participants.42</x:v>
      </x:c>
    </x:row>
    <x:row r="81" ht="110" customHeight="1">
      <x:c r="A81" s="46" t="str">
        <x:v>PRD-0032-P0016-U01</x:v>
      </x:c>
      <x:c r="B81" s="46" t="str">
        <x:v>HK_HKMA_2021</x:v>
      </x:c>
      <x:c r="C81" s="46" t="n">
        <x:v>16</x:v>
      </x:c>
      <x:c r="D81" s="46" t="str">
        <x:v>en</x:v>
      </x:c>
      <x:c r="E81" s="46" t="str">
        <x:v>text</x:v>
      </x:c>
      <x:c r="F81" s="46" t="str"/>
      <x:c r="G81" s="46" t="str">
        <x:v>15 
in two-tier distribution models like the intermediated CBDC model and CBDC-backed e-money, for 
user privacy considerations, the system is designed such that the central bank does not record retail 
balances, resulting in minimum interactions between the two layers when payments are made in the 
retail layer.  The intermediaries would be responsible for maintaining the correctness of the retail 
balances. 
Figure 4.  A two-tier distribution model for rCBDC 
3.1.2 Cross-ledger synchronisation 
While desirable for cyber resilience and, sometimes, for user privacy considerations, the 
decoupling of the wholesale and retail layers poses challenges for cross-ledger synchronisation.  
A robust design is necessary to guard against the po ssibility of over -issuance and doub le 
spending by an intermediary.  The decoupling of the two layers poses challenges to maintaining 
congruence of the respective ledgers, especially, when all the communications between the two 
layers depend solely on the intermediaries.  In order to minimi se the central bank’s supervisory 
burden of implementing oversight on the intermediaries, a technology solution is needed to ensure 
that the intermediaries follow the rule and protocol, specifically, to prevent an interme diary from 
over-withdrawing CBDC as CBDC moves from the wholesale layer to the retail layer, or over-
issuing e-money without adequate CBDC backing in the retail layer.  In addition, it is also necessary 
to prevent double spending of CBDC or e-money by an intermediary or user in the retail system to 
maintain ledger integrity. 
3.1.3 Privacy-preserving transaction traceability 
To correctly identify the rightful owners of CBDC in the wholesale layer, and ensure 
correct accounting and redemption of e -money with multip le issuers, traceability of retail 
transactions is necessary but needs to be done in a privacy -preserving manner.  Issuance of 
CBDC can only take place in the wholesale layer by the central bank.  As CBDC moves to the retail 
layer or is used to back e-money issuance in the retail layer, the central bank may not be able to keep 
the latest records of the owners of the CBDC, especially in the intermediated model or CBDC -
backed e-money.  Should an intermediary become insolvent, the central bank could lack information 
to honour claims on the CBDC itself or as the backing assets from the general public.  A traceability</x:v>
      </x:c>
    </x:row>
    <x:row r="82" ht="110" customHeight="1">
      <x:c r="A82" s="46" t="str">
        <x:v>PRD-0032-P0025-U01</x:v>
      </x:c>
      <x:c r="B82" s="46" t="str">
        <x:v>HK_HKMA_2021</x:v>
      </x:c>
      <x:c r="C82" s="46" t="n">
        <x:v>25</x:v>
      </x:c>
      <x:c r="D82" s="46" t="str">
        <x:v>en</x:v>
      </x:c>
      <x:c r="E82" s="46" t="str">
        <x:v>text</x:v>
      </x:c>
      <x:c r="F82" s="46" t="str"/>
      <x:c r="G82" s="46" t="str">
        <x:v>24 
is directly inherited from  the embedded wholesale transaction, which in turn originates from an 
issuance transaction initiated by the central bank.  A retail user can verify the authenticity of CBDC 
or e -money represented by the coinbase transaction through verifying the signatures of the 
embedded wholesale transaction, which has deposited an equivalent amount of CBDC in the 
wholesale system.   In other words, cross -ledger asset recognition is achieved through signed 
transactions. 
Figure 7.  Transaction flow for distribution from wholesale to retail system 
5.2.2 Synchronisation and validation of the decoupled ledgers 
The synchronisation of the wholesale and retail ledgers is achieved through the exchange 
of signed transactions channelled through intermediaries .  A  validator infrastructure is 
designed in the retail system to ensure that each wh olesale transaction is used once only for 
CBDC withdrawal or e-money issuance.  The communications between the wholesale and retail 
systems are strictly limited to the transactions relayed by the intermediaries to ensure decoupling of 
the two systems for the sake of cyber resilience.  While digital signatures allow the authenticity of 
a wholesale transaction to be verifiable in the retail system (thereby achieving cross -ledger asset 
recognition), they cannot prevent an intermediary from repeatedly usi ng the same wholesale 
transaction to create multiple coinbase transactions to withdraw CBDC or issue e -money multiple 
times in the retail system.  A system-wide validator infrastructure is introduced in the retail system 
to keep track of wholesale transactions that have been used.  When an intermediary creates a new 
coinbase transaction, it has to obtain a signature on the transaction from the validator infrastructure, 
which would verify the wholesale transaction and make sure it is a new one before signing  on the 
coinbase transaction.  For the sake of prudence, the wholesale transaction should include a reference 
specifying the validator infrastructure designated to verify it. 
A payment transaction takes a coinbase transaction as its input and the value of transfer 
is inherited from that of the coinbase transaction.   A coinbase transaction is valid only if the 
wholesale transaction is valid and the signature of the validator infrastructure is available and valid.  
Recipients of the rCBDC and e-money would need to verify that these two conditions are fulfilled.  
Usually, an intermediary puts itself as the owner of the UTXO of a coinbase transaction.  When a 
user requests CBDC or e-money, the intermediary would then transfer the money through a payment</x:v>
      </x:c>
    </x:row>
    <x:row r="83" ht="110" customHeight="1">
      <x:c r="A83" s="46" t="str">
        <x:v>PRD-0032-P0030-U01</x:v>
      </x:c>
      <x:c r="B83" s="46" t="str">
        <x:v>HK_HKMA_2021</x:v>
      </x:c>
      <x:c r="C83" s="46" t="n">
        <x:v>30</x:v>
      </x:c>
      <x:c r="D83" s="46" t="str">
        <x:v>en</x:v>
      </x:c>
      <x:c r="E83" s="46" t="str">
        <x:v>text</x:v>
      </x:c>
      <x:c r="F83" s="46" t="str"/>
      <x:c r="G83" s="46" t="str">
        <x:v>29 
5.4.1 Benefits 
This design leverages on the strengths of both UTXOs and account balances, that is, the 
traceability of UTXO transactions, and the intuitiveness of account balances for people to 
conceptualise money.   Since each UTXO transaction has an explicit reference to a previous 
transaction and inherits its monetary value from it, transactions inheriting their values from the same 
portion of a coinbase transaction can be readily linked up to form an inheritance chain. 8  This 
inheritance chain would allow the latest ownership of CBDC or e -money to be traced back to the 
respective portions of coinbase transaction(s), which in turn explicitly point to the wholesale 
transactions (and therefore the backing assets for e -money) that the monetary values in the retail 
system originated from.  This traceabi lity of UTXO transactions would allow an intermediary to 
distinguish e-money issued by different issuers.  Should an issuer become insolvent, an e -money 
owner (possibly with the help from the validator infrastructure) showing a transaction chain could 
prove his ownership of the backing assets, thereby allowing the central bank to honour claims.  The 
same would apply to CBDC in the intermediated model.  However, it could be relatively difficult 
for people to work directly on UTXO transactions.  To improve the user friendliness of this model, 
users would only see account balances at intermediaries serving them, and the intermediaries would 
manage UTXO transactions for the users. 
Alice is a customer of Bank X and holds a CBDC account balance at Bank X.  Bob is a customer of Bank Y and holds a CBDC account balance at Bank Y.  If Alice 
pays to Bob, Bank X will help her form a payment transaction in UTXO format and send it for endorsement signature by the validator infrastructure.  Then Bank X 
will debit Alice’s CBDC account balance and send the validated payment transaction to Bank Y.  Bank Y will help Bob to verify the content and signatures of the 
received payment transaction.  If the verification goes well, Bank Y will update Bob’s CBDC account balance. 
Figure 13.  Account balance/UTXO Hybrid Model 
In practice, UTXO transactions have the flexibility to instantiate account-based or token-
based implementations while explicitly supporting transaction traceability.9  Table 3 compares 
UTXO with account balances and tokens with respect to their effectiveness in addressing the design 
8 More precisely, each transaction (be it a coinbase or payment transaction) has a transaction number which 
is usually a hash value of its content, an output of a previous transaction is usually referred by a pair 
consisting of the transaction number and the index of the output.   
9 A UTXO transaction can implement a token or account, based on whether the public keys used in a UTXO 
represent the identity of a user (as in Bitcoin) or that of a token (as in Chaum (1983), Chaum et al. (1988), 
Chaum et al. (2021)).</x:v>
      </x:c>
    </x:row>
    <x:row r="84" ht="110" customHeight="1">
      <x:c r="A84" s="46" t="str">
        <x:v>PRD-0032-P0034-U01</x:v>
      </x:c>
      <x:c r="B84" s="46" t="str">
        <x:v>HK_HKMA_2021</x:v>
      </x:c>
      <x:c r="C84" s="46" t="n">
        <x:v>34</x:v>
      </x:c>
      <x:c r="D84" s="46" t="str">
        <x:v>en</x:v>
      </x:c>
      <x:c r="E84" s="46" t="str">
        <x:v>text</x:v>
      </x:c>
      <x:c r="F84" s="46" t="str"/>
      <x:c r="G84" s="46" t="str">
        <x:v>33 
validator infrastructure is preferable for performance and governance considerations, the current 
architecture does not preclude other implementations, for instance, DLT.  A centralised database 
implementation does not necessarily imply a lower level of resilience compared to DLT. 14  The 
distinction between a centralised database and DLT lies mainly in whether the infrastructure (which 
could be composed of multiple machines for both cases) is in full control by a single entity or jointly 
controlled by multiple entities with decision made through a voting-like process (i.e DLT consensus).  
DLT would be particularly useful for implementing the validator infrastructure if a  suitable entity 
(that is unlikely to collude with potential adversaries against the ledger integrity ) cannot be 
practically identified.  But the implication of such an arrangement on potential breaches of privacy 
regulations would need careful evaluation. 
For the case of a single party implementing the validator  infrastructure, the processing 
power can be scaled up through database sharding.  Database sharding (Corbett et al., 2012) is 
a well-established technique that partitions table entries across multiple database servers in order to 
parallelise operations through splitting them across multiple servers.   In this way, the workload of 
the validator infrastructure can be split across multiple database servers by simply assigning each 
database with the responsibility to handle a range of coinbase transaction IDs.  Operations can hence 
be scaled up to handle tens of thousands of transactions by adding hardware proportionately.  In 
contrast, it would be more compl ex to scale up the processing capability of DLT as the 
communication overheads in running the consensus protocols are usually the bottleneck. 
If a highly trustworthy party can be identified for hosting the validator infrastructure, it 
is possible to optimi se the transaction validation process  and alleviate the privacy issue s 
associated with UTXO transactions.   To a large extent, a UTXO is designed to facilitate peer 
verification of a payment transaction.  UTXO transactions are therefore designed in such a way that 
the payee of the current transaction would see the payment details of other payees in the previous 
transactions of an inheritance chain in order to verify his transaction.15  Similarly, a bank may need 
to access transaction data of customers of other banks while processing a transaction for its customer.  
If the validator infrastructure can be entrusted with the verification of the inheritance chain of a 
payment transaction, a payee or his bank would not have to access the payment details of previou s 
transactions, therefore avoiding the privacy issues of typical UTXO transaction processing.  In this 
way, a bank would only need to keep a portion of the inheritance chain for each transaction it 
processes, that is, the  payment transactions it receives a nd sends.  Shortened transaction chains 
would also mean a lower storage complexity and transaction latency in relation to the download of 
the transaction chain s.  A slight increase in computing overhead on the part of the validator 
infrastructure is possible with crafted optimisation.  The key trade-off is that a higher level of trust 
and availability of  the validator infrastructure is required.   The impact of a malicious validator 
infrastructure on the supply of money should be similar although the attacks could differ in nature.  
In the event of insolvency of an intermediary, if the validator infrastructure is also unavailable, all 
the intermediaries would need to work collectively to reconstruct the inheritance chains in order to 
provide the central bank information to honour claims from users.   
14 In typical industrial configurations, a centralised database also implements redundancy at different levels, 
for example, RAID at the hardware level and database replication at the system level, with resilience 
comparable to typical DLT settings.   On the other hand, DLT usually works in a non -uniform environment, 
and maintaining network connectivity in such an environment is more challenging with implications on the 
overall resilience.   
15 In order to fully verify the authenticity of the CBDC underlying a payment transaction, a payee has to verify 
the chain of all previous payment transactions that link up the coinbase or issuance transaction to the current 
transaction.</x:v>
      </x:c>
    </x:row>
    <x:row r="85" ht="110" customHeight="1">
      <x:c r="A85" s="46" t="str">
        <x:v>PRD-0033-P0036-U01</x:v>
      </x:c>
      <x:c r="B85" s="46" t="str">
        <x:v>HK_HKMA_2022</x:v>
      </x:c>
      <x:c r="C85" s="46" t="n">
        <x:v>36</x:v>
      </x:c>
      <x:c r="D85" s="46" t="str">
        <x:v>en</x:v>
      </x:c>
      <x:c r="E85" s="46" t="str">
        <x:v>text</x:v>
      </x:c>
      <x:c r="F85" s="46" t="str"/>
      <x:c r="G85" s="46" t="str">
        <x:v>36 
Question Feedback received HKMA’s response 
cybersecurity control and risk management 
frameworks. 
11. Are there any other legal considerations, 
in addition to those discussed in this 
paper, which should be considered in 
designing a legally robust e-HKD? 
(i) A few respondents mentioned the need to 
clarify the legal status and regulatory 
treatment of e -HKD, i.e. whether it is a 
digital form of fiat currency with identical 
classification and treatment as existing 
fiat HKD (and fungible with fiat currency), 
and s ome respondents briefly raised for 
deliberation whether e -HKD should be 
made legal tender.  
(ii) Some respondents mentioned the need to 
consider legal issues associated with 
cross-border transactions and 
interoperability with other CBDCs.  
(i) The HKMA agrees that  the legal mandate 
underpinning the status of any e -HKD, as 
essentially the digital version of Hong 
Kong dollar cash, should align with that of 
existing Hong Kong currency in the form of 
legal tender currency/bank notes (issued 
under the Legal Tender Notes  Issue 
Ordinance) and coins (issued under the 
Coinage Ordinance).  Introducing 
appropriate amendments to the law 
would ensure that the issuance of all 
forms of Hong Kong currency would be 
clearly prescribed by law in a consistent 
and coherent manner. 
The HKMA is also currently inclined to the 
view that the e -HKD should have legal 
tender status given it is intended to be the 
digital equivalent of existing HKD fiat 
currency.  This status can be accorded via 
the legislative amendments referred to</x:v>
      </x:c>
    </x:row>
    <x:row r="86" ht="110" customHeight="1">
      <x:c r="A86" s="46" t="str">
        <x:v>PRD-0034-P0007-U01</x:v>
      </x:c>
      <x:c r="B86" s="46" t="str">
        <x:v>HU_Hungary_2025</x:v>
      </x:c>
      <x:c r="C86" s="46" t="n">
        <x:v>7</x:v>
      </x:c>
      <x:c r="D86" s="46" t="str">
        <x:v>en</x:v>
      </x:c>
      <x:c r="E86" s="46" t="str">
        <x:v>text</x:v>
      </x:c>
      <x:c r="F86" s="46" t="str"/>
      <x:c r="G86" s="46" t="str">
        <x:v>7/39 
and the digital pound 3. All of them focus on the universal payment instrument function, by 
maintaining a two -tier implementation, i.e. customer relationships remaining with regulated 
market players. However, by having  a stable financial intermediary system, backed by deposit 
insurance, and a well -functioning, actively used instant payment system that is mandatory for all 
institutions, complemented by FinTech solutions built on them, the added value of this concept 
from a user perspective is limited. So , while it has strategic advantages, mainly in terms of 
supporting resilience and sovereignty, it also carries risks of so -called disintermediation, i.e. the 
risk of a one -off or general withdrawal of com mercial bank deposits, which could render the 
current commercial banking operating model impossible, but also pose implementation difficulties 
due to the new task for central banks. The costs and benefits of implementing the model are at the 
discretion of the responsible decision-makers in each jurisdiction.  
The MNB has not yet committed itself to the need to introduce a general -purpose, widely 
accessible central bank digital currency, in addition to further developing the instant payment 
system. As a sovereign central bank, while maintaining its own and the country ’s monetary 
sovereignty, it can also define its concept for central bank digital currency independently, 
according to the domestic environment and criteria, while keeping abreast of international 
research and developments. In light of this, it will continue  to explore the possibilities for 
identifying those market failures or policy considerations of strategic importance that could be the 
basis for a central bank digital currency strategy with greater added value, aligned in its concept 
and design.4  
The MNB learns and gathers experience through fully fledged tests, involving real consumers. An 
important part of research on central bank digital currency is to understand and monitor user and 
technological trends. The MNB is doing this through a unique approach among central banks, 
which is essentially the approach of market participants, throug h services provided to real 
consumers. Our aim is to launch pilot projects in as many areas as possible, covering a wide range 
of technological and functional implementation directions for central bank digital currency, which 
are targeted, end-to-end implementations of use cases that offer solutions to real problems and 
are therefore also attractive to real customers (Chart 1).  
3 The development of the digital dollar was halted by President Donald Trump's executive order of 23.01.2025, which also focused on cryptoassets 
and digital tools to establish and maintain the dominance of the USD in the digital space. 
4 Fáykiss-Szombati (2020)</x:v>
      </x:c>
    </x:row>
    <x:row r="87" ht="110" customHeight="1">
      <x:c r="A87" s="46" t="str">
        <x:v>PRD-0034-P0029-U01</x:v>
      </x:c>
      <x:c r="B87" s="46" t="str">
        <x:v>HU_Hungary_2025</x:v>
      </x:c>
      <x:c r="C87" s="46" t="n">
        <x:v>29</x:v>
      </x:c>
      <x:c r="D87" s="46" t="str">
        <x:v>en</x:v>
      </x:c>
      <x:c r="E87" s="46" t="str">
        <x:v>text</x:v>
      </x:c>
      <x:c r="F87" s="46" t="str"/>
      <x:c r="G87" s="46" t="str">
        <x:v>29/39 
registration, was carried out by the IT Security Department , and in case of a ny potential 
data leakage, the MNB Data Protection Officer was to be notified. 
▪ This being a financial programme, it was of paramount importance to monitor transactions 
continuously, including to detect fraud. Staff from the Compliance Department and the 
Legal Directorate helped to develop the procedures. In the light of experience, “unusual 
transactions” were regularly redefined and daily monitoring was carried out on this basis. 
In addition, the compliance area held annual training sessions on “Prevention and 
combating of money laundering and terrorist financing ” for staff involved in the 
administration of the Student Safe. 
▪ Analytical accounting was performed within the system, but general ledger accounting was 
implemented in the SAP system by uploading consolidated data subject to coordination by 
and the involvement of the Cost Accounting and Finance Department.  
Chart 6: Collaboration with other departments 
7. CLOSING THE PROJECT 
7.1. Background to the decision 
On 13 November 2024, the MNB representative received the Central Bank Digital Currency 
Initiative of the Year Award from the London -based Central Banking Publications , giving the 
Student Safe project a prestigious global recognition. Prior to this, MNB representatives presented 
the project, its initial idea, implementation and main lessons learned to interested members of the 
central banks and other professional audiences at several international conferences, knowledge -
sharing forums and bilateral meetings. In this way, the Student Safe programme not only</x:v>
      </x:c>
    </x:row>
    <x:row r="88" ht="110" customHeight="1">
      <x:c r="A88" s="46" t="str">
        <x:v>PRD-0035-P0029-U01</x:v>
      </x:c>
      <x:c r="B88" s="46" t="str">
        <x:v>ID_Indonesia_2022</x:v>
      </x:c>
      <x:c r="C88" s="46" t="n">
        <x:v>29</x:v>
      </x:c>
      <x:c r="D88" s="46" t="str">
        <x:v>en</x:v>
      </x:c>
      <x:c r="E88" s="46" t="str">
        <x:v>text</x:v>
      </x:c>
      <x:c r="F88" s="46" t="str"/>
      <x:c r="G88" s="46" t="str">
        <x:v>Navigating the Architecture of Digital Rupiah
17
15. Design features that allow CBDC to be transacted without adequate internet network to reach people in certain area or blank spot areas.
OBJE CTIVE
PROVIDING
SOVEREIGN
PUBLIC GOODS
SUPPORTING
CENTRAL BANK
MANDATE&amp;
OBJECTIVE IN
DIGITAL ERA
ENHANCING
INCLUSION AND
END-TO-END
INNOVATION &amp; 
EFFICIENCY
CAR RYING OUT THE MAND ATE OF THE 1945 
PROMO TIN G EQU ITABLE  DEV ELOPM ENT 
COO RDI NATION OF MINISTRI ES/INST ITUTIONS AND  C OLLABORA TION WI TH INDUST RY 
WHATHOW
Digital Rupiah as a substantial element in 
supporting the development of the financial 
system and national digital economy and 
finance integration
The response of Bank Indonesia as the sole 
authority in issuing Rupiah currency, in this case 
by issuing Rupiah currency in digital form, to the 
rapid development of digital economy and 
finance (Sovereignty Digital Rupiah)
Digital Rupiah supports the 
execution of BI’s duties in the monetary, 
macroprudential, and SP areas in the 
digital era
Second, the issue of CBDC contribution to 
financial inclusion. If designed properly, 
CBDC, especially r-CBDC, will be able to 
promote financial inclusion, for example 
through offline functionality features
15 
and the utilization of granular data. 
However, financial inclusion in principle 
is a public policy objective that needs to 
be accelerated. Its achievement should 
not await or depend entirely on the 
issuance16 of CBDC. In Indonesian context, 
for example, efforts to promote financial 
inclusion have already been taking place 
through initiatives in IPSB 2025, such as 
QRIS, SNAP , and BI-FAST . CBDC, in this 
regard, will complement the efforts.
Third,	CBDC	design	compliance	to 	
3i	(integration,	interoperability,	and 	
interconnection)	principles	with	existing 	
domestic financial market infrastructures 
(FMIs)	and	in	terms	of	cross-border 	
payments. To achieve an efficient and 
integrated solution, CBDC platform must 
be able to develop interlinkage with the 
existing FMIs. In addition, these capabilities 
must also be present in the context 
of cross-border transactions through 
utilization of technology and simplification 
of distribution channels. This in turn will 
overcome high costs, low transaction 
speed, limited access, and opaque cross-
border transactions.
2.1	FRAMEWORK		
Digital Rupiah development is based on 
three key drivers (Figure 2). 
Figure 2. Framework of the Digital Rupiah</x:v>
      </x:c>
    </x:row>
    <x:row r="89" ht="110" customHeight="1">
      <x:c r="A89" s="46" t="str">
        <x:v>PRD-0035-P0031-U01</x:v>
      </x:c>
      <x:c r="B89" s="46" t="str">
        <x:v>ID_Indonesia_2022</x:v>
      </x:c>
      <x:c r="C89" s="46" t="n">
        <x:v>31</x:v>
      </x:c>
      <x:c r="D89" s="46" t="str">
        <x:v>en</x:v>
      </x:c>
      <x:c r="E89" s="46" t="str">
        <x:v>text</x:v>
      </x:c>
      <x:c r="F89" s="46" t="str"/>
      <x:c r="G89" s="46" t="str">
        <x:v>Navigating the Architecture of Digital Rupiah
19
… Digital Rupiah design configuration 
consists of five main elements: (i) 
issuance; (ii) distribution and recording 
of transactions; (iii) access; (iv) 
use cases and interlinkage; and (v) 
infrastructure and technology
”
future FMIs. Third, Digital Rupiah should 
be built upon technology platforms which 
support cross-border interoperability. 
Experimentation with various available 
options of technology platforms, both DLT 
and non-DLT , would be crucial.
2.2	CONFIGURATION 	
Determining appropriate design 
configuration is an essential part in 
Digital	Rupiah	issuance. Digital Rupiah 
design configuration consists of five main 
elements: (i) issuance; (ii) distribution 
and recording of transactions; (iii) access; 
(iv) use cases and interlinkage; and (v) 
infrastructure and technology (Figure 3).
2.2.1 Issuance
Digital	Rupiah	will	be	issued	in	two	forms: 	
wholesale	Digital	Rupiah	(w-Digital	Rupiah) 	
and	retail	Digital	Rupiah	(r-Digital	Rupiah) 	
which will be developed using an integrated 
end-to-end approach from wholesale to 
retail. The development will commence with 
w-Digital Rupiah at the initial stage serving 
as the overall foundation of Digital Rupiah. 
Digital Rupiah is designed to be available in 
both wholesale and retail use cases, leading 
to greater potential adoption. The use of 
w-Digital Rupiah in the wholesale market 
is expected to support financial markets 
development and digital economy and 
finance integration.
Digital	Rupiah	would	be	a	complementary	to 	
banknotes, coins, and third-party reserves 
at Bank Indonesia. They would play a role 
as risk-free settlement assets. Digital 
Rupiah is a direct claim of its holder to 
Bank Indonesia, with comparable issuance 
mechanism and scope of users as the 
existing central bank money.
W-Digital	Rupiah	would	have	limited 	
accessibility to parties designated by Bank 
Indonesia. To obtain w-Digital Rupiah, 
these parties need to convert their reserves 
at Bank Indonesia. Hence, the issuance 
of w-Digital Rupiah would inherently only 
alter the composition of Bank Indonesia’s 
monetary liabilities without changing the 
size of Bank Indonesia’s balance sheet, 
or in other words, it would have a neutral 
monetary impact.
R-Digital	Rupiah	could	be	used	by	general 	
public just as banknotes and coins. Public 
obtains r-Digital Rupiah by exchanging 
their banknotes and coins, bank deposits, 
or e-money balances for r-Digital 
Rupiah through intermediaries. These 
intermediaries then use their w-Digital 
Rupiah reserves to meet customer demand. 
This mechanism is comparable with 
current mechanism applied for banknotes 
and coins. The impact of r-Digital Rupiah</x:v>
      </x:c>
    </x:row>
    <x:row r="90" ht="110" customHeight="1">
      <x:c r="A90" s="46" t="str">
        <x:v>PRD-0035-P0034-U01</x:v>
      </x:c>
      <x:c r="B90" s="46" t="str">
        <x:v>ID_Indonesia_2022</x:v>
      </x:c>
      <x:c r="C90" s="46" t="n">
        <x:v>34</x:v>
      </x:c>
      <x:c r="D90" s="46" t="str">
        <x:v>en</x:v>
      </x:c>
      <x:c r="E90" s="46" t="str">
        <x:v>text</x:v>
      </x:c>
      <x:c r="F90" s="46" t="str"/>
      <x:c r="G90" s="46" t="str">
        <x:v>Navigating the Architecture of Digital Rupiah
22
17. The definition of CBDC access in this White Paper refers to CPMI-MC (2018) and CPMI (2019). In CPMI-MC (2018), the main difference between token-based and account-based 
access is the form of verification required when an exchange occurs (Kahn &amp; Robards, 2009). Token-based payment systems rely on the ability of recipients to verify the validity of 
payment objects. In contrast, account-based payment systems rely on the ability to verify account identity.
… Digital Rupiah can be accessed 
through two methods: account and/or 
token. W-Digital Rupiah is accessible 
via token-based verification also 
r-Digital Rupiah is accessible via 
account- and token-based..
”
Wholesalers	distribute	Digital	Rupiah	to 	
end users through two channels. First, the 
direct distribution channel from wholesalers 
to end users; and second, the indirect 
distribution channel through retailers as 
intermediaries.
Under this scheme, Bank Indonesia can 
monitor intermediaries and end-users’ Digital 
Rupiah	balances	and	transactions	at	the 	
granular level based on consent. This model, 
which is referred a hybrid recording model 
that enables Bank Indonesia to maintain 
control over the end-to-end management of 
Digital Rupiah in order to achieve monetary 
and financial system stability objectives. 
This model is also seen as more resilient, 
particularly if the system of one or more 
intermediaries experience failure.
2.2.3 Access
Digital	Rupiah	can	be	accessed	through	two 	
methods:	account	and/or	token.
17 
W-Digital	Rupiah is accessible via token-
based verification. Token-based is 
considered suitable for w-Digital Rupiah 
because of its assumed capabilities in 
facilitating complex transactions among 
participants in the financial market. 
Furthermore, it will complement the existing 
Bank Indonesia Real Time Gross Settlement 
(BI-RTGS) account-based arrangements. 
R-Digital	Rupiah	is	accessible	via	account- 	
and token-based, arranged based on users’ 
segmentation	(tiering)	and	transactions 	
value cap. Token based r-Digital Rupiah 
facilitates small-value transactions up to a 
certain threshold. Account based r-Digital 
Rupiah facilitates transactions higher than 
the respective threshold. Token-based 
r-Digital Rupiah mimics the flexibility of 
banknotes and coins. Bank Indonesia could 
obtain granular data from token-based 
r-Digital Rupiah transactions through 
information stored in wallet address. To 
fulfill AML/CFT compliance, account-based 
r-Digital Rupiah is considered best-fitted for 
higher-value transactions.
2.2.4 Use Cases And Interlinkage
Digital	Rupiah	is	designed	to	be 	
complemented by a variety of use cases 
both in the wholesale and retail ecosystem.  
The Digital Rupiah will be the settlement 
asset for various types of transactions in 
goods and services markets and financial 
markets. This applies for both traditional 
and digital ecosystems, such as Web 3.0 
including DeFi and Metaverse.</x:v>
      </x:c>
    </x:row>
    <x:row r="91" ht="110" customHeight="1">
      <x:c r="A91" s="46" t="str">
        <x:v>PRD-0035-P0044-U01</x:v>
      </x:c>
      <x:c r="B91" s="46" t="str">
        <x:v>ID_Indonesia_2022</x:v>
      </x:c>
      <x:c r="C91" s="46" t="n">
        <x:v>44</x:v>
      </x:c>
      <x:c r="D91" s="46" t="str">
        <x:v>en</x:v>
      </x:c>
      <x:c r="E91" s="46" t="str">
        <x:v>text</x:v>
      </x:c>
      <x:c r="F91" s="46" t="str"/>
      <x:c r="G91" s="46" t="str">
        <x:v>Navigating the Architecture of Digital Rupiah
32
C
 Integrity
Confidentiality
Availability
IINFORMATION
SECURITY
Maintaining the availability 
and accessibility of 
data/information 
at all times.
INTEGRITY RISKS 
AVAILABILITY RISK
CONFIDENTIALITY RISKS 
Injection of smart contracts 
Unproven cryptography 
Unreliable chain of nodes 
Cryptography that cannot be 
expanded 
Leakage of confidential information 
Authentication failure 
Falsification of nodes
Performance Poisoning 
Replay Attack
 History Revision Attack
Large-scale cyber-attack 
BASIC SECURITY 
MANAGEMENT
Identity and 
access management 
Business continuity 
management 
Security patch 
management
Incident 
management 
Development cycle 
management
Assessment of Cyber Risk of CBDC Security Domains of 
Digital Rupiah
DLT System 
Availability
 Consensus 
Mechanism
 Smart
Contract
Management of 
Cryptography 
Keys
Account 
Security 
Data Protection 
and Privacy
Protecting data 
/information from 
unauthorized changes  to 
ensure the accuracy and 
completeness of 
data/information 
Ensuring that only authorized parties 
can access data/information as per 
their authority.
Figure 9. Cybersecurity Risk Assessment of CBDC
…Digital Rupiah will be designed 
to have the quality in mitigating 
those unique risks, including 
cybersecurity. Assessment and 
identification of risks will be 
done accordingly to produce 
safe, reliable, and resilient Digital 
Rupiah technology design..
”
2.5.2  Mitigating of Cyber Security Risk
One factor that determines the 
effectiveness of the adoption of Digital 
Rupiah	is	fulfillment	of	cyber	security 	
requirements. As cybersecurity is an 
essential element in the development of 
Digital Rupiah, it is important to manage 
this element from the beginning.
Generally,	Digital	Rupiah,	as	with	any 	
other	IT	systems,	is	also	facing	typical 	
cybersecurity risks. Hence, similar security 
standards are also applied to Digital 
Rupiah. These standards consist of identity 
and access management (authentication 
and authorization), business sustainability 
management, security patching 
management, incident management, and 
development cycle management.
As	a	matter	of	fact,	DLT,	from	a	security 	
perspective, offers some advantages over 
a centralized system. The decentralized 
cryptographic technology provides 
additional layers of security, making it more 
difficult for people with malicious intent 
to penetrate the system. Furthermore, the 
decentralized nature of its DLT’s data/
transactions recording mechanism reduces 
single point of failure.
Nonetheless,	cyber	risk	persists	in	Digital 	
Rupiah	due	to	its	unique	characteristics.  
The deployment of consensus mechanisms, 
smart contracts, cryptographic key 
management, account security, data 
protection and privacy, and other functions 
might inherently trigger the risk.</x:v>
      </x:c>
    </x:row>
    <x:row r="92" ht="110" customHeight="1">
      <x:c r="A92" s="46" t="str">
        <x:v>PRD-0035-P0045-U01</x:v>
      </x:c>
      <x:c r="B92" s="46" t="str">
        <x:v>ID_Indonesia_2022</x:v>
      </x:c>
      <x:c r="C92" s="46" t="n">
        <x:v>45</x:v>
      </x:c>
      <x:c r="D92" s="46" t="str">
        <x:v>en</x:v>
      </x:c>
      <x:c r="E92" s="46" t="str">
        <x:v>text</x:v>
      </x:c>
      <x:c r="F92" s="46" t="str"/>
      <x:c r="G92" s="46" t="str">
        <x:v>Navigating the Architecture of Digital Rupiah
33
28. Act number 6 of 2009 concerning Stipulation of Government Regulation in lieu of Act number 2 of 2008 concerning the Second Amendment to Act number 23 of 
1999 concerning Bank Indonesia to become Law.
29. The Currency Law Article 1 point 1 and 2, Article 21, and Article 23 further provide a strong legal basis for the existence of the Rupiah as currency and legal 
tender. As a legal tender, Rupiah must be received in every payment transaction and fulfillment of obligations.
30. This is aligned with the result of the survey by Zams et al. (2020) suggesting that the design of r-CBDC is appropriate for the characteristics of Indonesia is the 
cash-like CBDC, where one of its characteristics is having no remuneration.
…Nevertheless, the existing 
laws and regulations have not 
yet provided the legal basis for 
Digital Rupiah to earn the status 
of legal tender..
”
Digital	Rupiah	will	be	designed	to	have 	
the quality in mitigating those unique 
risks. Assessment and identification of 
risks arising from people, process, and 
technology will be done accordingly to 
produce safe, reliable, and resilient Digital 
Rupiah technology design. In addition, this 
process will also consider advancement in 
the overall cyber security risk mitigation 
techniques (Figure 9). Based on these 
notions, development of the system will 
refer to three basic principles of information 
system security, i.e., confidentiality, 
integrity, and availability.
2.6	IMPLICATION	OF	DIGITAL	RUPIAH 	
DESIGN	ON	REGULATION	AND 	
POLICIES
The	development	of	Digital	Rupiah	is	an 	
iterative process among design, technology, 
regulatory and policy. This process 
can be viewed from two perspectives. 
First, regulatory and policy support the 
implementation of selected design and 
technology. Second, the degree to which 
regulatory and policy would provide 
feedback on the design and technology 
choices simultaneously. The scope of 
regulations and policies in this regard 
includes legal, monetary, financial market 
deepening, and macroprudential aspects.
From a regulatory perspective, the issuance 
of	Digital	Rupiah	needs	to	be	based	on 	
a solid legal framework. In this regard, 
Act number 23 of 1999 concerning Bank 
Indonesia as amended by the Act number 6 
of 2009
28 is considered sufficient to be the 
legal basis for Bank Indonesia in issuing 
Digital Rupiah. Similarly, the law also acts 
as the basis of the issuance of reserves 
accounts in Bank Indonesia.
Nevertheless,	existing	laws	and	regulations 	
have not yet provided the legal basis for 
Digital	Rupiah	to	earn	the	status	of	legal 	
tender
29. This status is required by Digital 
Rupiah to become an anchor within Web 3.0 
ecosystem, including DeFi and Metaverse, 
whereby the existing legal tender, i.e., 
banknotes and coins, is absent.  
From a monetary standpoint, the impact 
of	Digital	Rupiah	issuance	is	inherently 	
neutral.  As described in sub-chapter 2.2.1, 
the issuance only alters the composition 
of Bank Indonesia’s monetary liabilities, 
without affecting the size of its balance 
sheet. Apart from that, Digital Rupiah does 
not provide remuneration (non-interest 
bearing) to its holders comparable to the 
existing central bank money
30. 
Digital	Rupiah,	as	a	form	of	Bank 	
Indonesia’s liability, is recognized as a 
component	of	base	money	(M0). W-Digital 
Rupiah is comparable with reserves in 
central bank. With this quality, w-Digital 
Rupiah held by banks could be included in 
statutory reserve compliance.</x:v>
      </x:c>
    </x:row>
    <x:row r="93" ht="110" customHeight="1">
      <x:c r="A93" s="46" t="str">
        <x:v>PRD-0035-P0047-U01</x:v>
      </x:c>
      <x:c r="B93" s="46" t="str">
        <x:v>ID_Indonesia_2022</x:v>
      </x:c>
      <x:c r="C93" s="46" t="n">
        <x:v>47</x:v>
      </x:c>
      <x:c r="D93" s="46" t="str">
        <x:v>en</x:v>
      </x:c>
      <x:c r="E93" s="46" t="str">
        <x:v>text</x:v>
      </x:c>
      <x:c r="F93" s="46" t="str"/>
      <x:c r="G93" s="46" t="str">
        <x:v>Navigating the Architecture of Digital Rupiah
35
…As a means of payment, Digital 
Rupiah would not pay interest to its ”
there could be an amplification of bank 
run during a crisis period or financial 
stress	(flight	to	quality). This risk could 
materialize if people move their bank 
deposits to r-Digital Rupiah at once and on 
a massive scale. From their perspective, 
r-Digital Rupiah would be a safe instrument 
to store value and could be accessed 
without frictions, e.g., easy, quick, effective, 
and cheap compared to bank deposits.
Digital	Rupiah	would	need	to	be	capable 	
of mitigating the aforementioned risks. 
As a means of payment, it would not 
pay interest to its holder. Comparable 
to existing physical cash, people will 
have the option to convert their r-Digital 
Rupiah to bank deposit. While in managing 
procyclicality, Digital Rupiah would need to 
be complemented by certain parameters 
that have the ability to limit such exposure, 
e.g., capping and tiering.
Risks	could	also	emerge	from 	
interconnectivity	of	Digital	Rupiah	platform.  
Interconnectivity across infrastructures in 
Digital Rupiah platform and between Digital 
Rupiah platform with other traditional 
infrastructures may escalate the risks. 
Moreover, wider scope of participation 
arrangements in Digital Rupiah which 
includes non-banks institutions, will further 
increase operational exposures, as well as 
systemic risk.
These	risks	would	be	tackled	through 	
stronger capital provisioning. Measures 
ranging from minimum capital 
requirements, systemic capital surcharge, 
to the establishment of a more prudent 
liquidity cushion will be taken as an integral 
part of Digital Rupiah design.
Bank Indonesia will also strengthen 
supervisory	technology	(suptech) 	
to mitigate risks emerging from 
interconnection. Supported by real-time 
data, suptech is intended to improve 
surveillance capabilities and pre-emptive/
forward-looking analysis. All of these 
qualities might increase Bank Indonesia 
capabilities in promptly responding to 
vulnerabilities as well as financial shocks 
materialized, including systemic risk. 
Digital	Rupiah,	especially	r-Digital	Rupiah 	
will be equipped with features that can 
support financial inclusion. The existence 
of offline functionality can ensure equitable 
access of r-Digital Rupiah. The utilization 
of granular data which integrated with 
digital ID based on consent is expected to 
encourage financial inclusion as mentioned 
in preceding sections. 
holder. Public still have the option to convert 
their r-Digital Rupiah to bank deposit..</x:v>
      </x:c>
    </x:row>
    <x:row r="94" ht="110" customHeight="1">
      <x:c r="A94" s="46" t="str">
        <x:v>PRD-0035-P0050-U01</x:v>
      </x:c>
      <x:c r="B94" s="46" t="str">
        <x:v>ID_Indonesia_2022</x:v>
      </x:c>
      <x:c r="C94" s="46" t="n">
        <x:v>50</x:v>
      </x:c>
      <x:c r="D94" s="46" t="str">
        <x:v>en</x:v>
      </x:c>
      <x:c r="E94" s="46" t="str">
        <x:v>text</x:v>
      </x:c>
      <x:c r="F94" s="46" t="str"/>
      <x:c r="G94" s="46" t="str">
        <x:v>Navigating the Architecture of Digital Rupiah
38
This	approach	enables	Bank	Indonesia	to	
explore various design alternatives based 
on available technological solutions in order 
to ensure the most optimal added value 
for the economy. Discussion, research, 
and experimentation will focus on finding 
the answer of the aforementioned  issues 
to come up with the best design features 
which meet criteria such as speed, resilience, 
efficiency, and scalability. This approach 
will also open up reasonably wide space 
of flexibility for stakeholders to make 
necessary preparation prior to Digital Rupiah 
commencement.
3.1	THE	ROADMAP	OF	DIGITAL	RUPIAH	
DEVELOPMENT
The	development	of	Digital	Rupiah	will	be	
divided into three stages, arranged based on 
the	four	criteria	of	feasibility:	importance,	
urgency, readiness, and impact. This 
sequence will start with public consultations 
(consultative papers and focus group 
discussions), followed by technological 
experimentation (proof of concept, prototyping, 
and piloting/sandboxing), and conclude with 
policy stance review (Figure 10).
At	the	first	(immediate)	stage,	the	
development	of	Digital	Rupiah	will	start	with	
w-Digital	Rupiah	for	issuance,	redemption,	
and transfer of funds use cases. These use 
cases are considered the most feasible 
choices for the initial stage of development 
of Digital Rupiah. These use cases are 
relatively more straightforward, as they 
involve a limited ecosystem, less transaction 
complexity, and minimum required system 
adjustment. This stage serves as the 
essential foundation for the development of 
subsequent use cases.
Issuance and redemption use case constitute 
the process of conversion between reserve 
accounts	and	w-Digital	Rupiah. To support 
this use case, w-Digital Rupiah platform 
will be integrated, interconnected, and 
interoperable (3i) with the existing BI-
RTGS through a converter. Meanwhile, the 
processes of validation and settlement of 
fund transfers use case will be performed 
on w-Digital Rupiah platform. At this stage, 
participants can utilize sharing node prepared 
by Bank Indonesia or, in other words, does not 
need to prepare their own nodes.
At	the	next	(intermediate)	stage,	w-Digital 	
Rupiah	use	cases	developed	in	the	first 	
phase will be expanded with additional 
use	cases	that	support	financial	market 	
transactions. These use cases include DvP 
for interbank money market and monetary 
operations, as well as Central Counterparties  
(CCP) fund settlements. At this phase, 
tokenization of securities will start to be 
developed on the w-Digital Rupiah platform. 
Parties that act as wholesalers will need to 
prepare their own nodes in accordance with 
their transactional needs.
… The development of Digital 
Rupiah will be divided into three 
stages, arranged based on the four 
criteria of feasibility: importance, 
urgency, readiness, and impact.
”</x:v>
      </x:c>
    </x:row>
    <x:row r="95" ht="110" customHeight="1">
      <x:c r="A95" s="46" t="str">
        <x:v>PRD-0036-P0004-U01</x:v>
      </x:c>
      <x:c r="B95" s="46" t="str">
        <x:v>ID_Indonesia_2023a</x:v>
      </x:c>
      <x:c r="C95" s="46" t="n">
        <x:v>4</x:v>
      </x:c>
      <x:c r="D95" s="46" t="str">
        <x:v>en</x:v>
      </x:c>
      <x:c r="E95" s="46" t="str">
        <x:v>text</x:v>
      </x:c>
      <x:c r="F95" s="46" t="str"/>
      <x:c r="G95" s="46" t="str">
        <x:v>PREFACE
Bank Indonesia publishes this Consultative Paper (CP) regarding the
Digital Rupiah development plan as a follow-up to the publication of the
Garuda Project White Paper: Navigating the Digital Rupiah
Architecture. The issuance of this CP is an endeavor to begin public
discussions on the design of the Digital Rupiah.
This CP provides an overview of the Digital Rupiah design for the
first stage of its development (immediate stage), namely the wholesale
Digital Rupiah cash ledger which includes the introduction of the
technology and basic functionalities constituting the issuance, redemption,
and transference of funds. The design of the Digital Rupiah development
has taken into consideration benchmarks against best practices from
several countries that have conducted studies and experiments on
wholesale central bank digital currency.
In this regard, Bank Indonesia invites the inputs or views from all
relevant stakeholders based on this CP to improve the design of the Digital
Rupiah development. All inputs or views submitted should be
accompanied by a detailed explanation and/or supporting information.
Feedback can be submitted through the following methods:
 Email to: Payment System Policy Department (proyekgaruda@bi.go.id)
 Letter to: Payment System Policy Department – Bank Indonesia
D Building 5th Floor, Jl. MH Thamrin No.2, Jakarta 10350</x:v>
      </x:c>
    </x:row>
    <x:row r="96" ht="110" customHeight="1">
      <x:c r="A96" s="46" t="str">
        <x:v>PRD-0036-P0012-U01</x:v>
      </x:c>
      <x:c r="B96" s="46" t="str">
        <x:v>ID_Indonesia_2023a</x:v>
      </x:c>
      <x:c r="C96" s="46" t="n">
        <x:v>12</x:v>
      </x:c>
      <x:c r="D96" s="46" t="str">
        <x:v>en</x:v>
      </x:c>
      <x:c r="E96" s="46" t="str">
        <x:v>text</x:v>
      </x:c>
      <x:c r="F96" s="46" t="str"/>
      <x:c r="G96" s="46" t="str">
        <x:v>12
THE SCOPE OF PUBLIC CONSULTATION
3
The funds transfer process on the w-Digital
Rupiah platform refers to the best practices
applied in wholesale payment system. In this
regard, transaction settlement has two main
functions, namely (i) real-time and gross
transaction processing (including submission,
validation, conditionality, and settlement
functions) and (ii) liquidity saving mechanisms
which includes queue mechanism (queue
arrangement, queue reordering, queue
cancellation) and gridlock resolution. Payments in
w-Digital Rupiah will be settled in real-time if the
sender has sufficient funds/liquidity.
The implementation of the above functions will be
facilitated by smart contract. This feature allows
various activities in the network to be carried out
automatically without human intervention. It is
used to determine the business logic of a
transaction. For example, the transaction
processing flow in a traditional system can be
moved into a smart contract so that it could be
executed by each participating node
(decentralized).
Smart contracts could also be used for liquidity
management, including queuing and gridlock
resolution mechanisms. Implementation of both
mechanisms on the w-Digital Rupiah platform
Gridlock resolution is a mechanism to resolve
transaction deadlocks that often occur in large-
value transactions settlements. This mechanism is
executed through netting and reordering of
transaction priorities.
The implementation of gridlock resolution in
decentralized system will potentially be more
complex than centralized system. In a centralized
system, algorithms or criteria set by a central
authority triggers the resolution whereby gridlock
could be resolved accordingly based on priority.
Similar condition may not occur in decentralized
systems. In a decentralized system, each party can
initiate simulation of reprioritization. This may
potentially disadvantage some parties. Gridlock
may be unfairly settled, as resolution may not be
conducted according to order.
3.1.3
 Funds Transfer
This section discusses on how w-Digital Rupiah
platform implements funds transfer functions,
gridlock resolution, and settlement finality,
including their challenges.
A
 Funds Transfer Main Functions
C
 Settlement Finality
The main principle of settlements is settlement
finality. This principle determines the point when
transactions are recognized as final or irrevocable.
Within a decentralized system, the compliance of
this principle will be determined by the chosen
consensus mechanism. Consensus, in this respect,
will be achieved after certain conditionalities are
met (probabilistic). Consequently, settlement
process would take time and the timing of
settlement finality could be hard to define.
W-Digital Rupiah will use proof of authority as its
consensus mechanism . This choice is better in
terms of speed and security . In this respect,
consensus is achieved by authorized parties
without demanding complex computation .
B
 Gridlock Resolution
can function just as it would in the real-time gross
settlement system. Liquidity needs can be met
through Bank Indonesia (e.g., through intraday
liquidity facilities) or other participants (lending of
w-Digital Rupiah tokens).</x:v>
      </x:c>
    </x:row>
    <x:row r="97" ht="110" customHeight="1">
      <x:c r="A97" s="46" t="str">
        <x:v>PRD-0037-P0021-U01</x:v>
      </x:c>
      <x:c r="B97" s="46" t="str">
        <x:v>ID_Indonesia_2024</x:v>
      </x:c>
      <x:c r="C97" s="46" t="n">
        <x:v>21</x:v>
      </x:c>
      <x:c r="D97" s="46" t="str">
        <x:v>en</x:v>
      </x:c>
      <x:c r="E97" s="46" t="str">
        <x:v>text</x:v>
      </x:c>
      <x:c r="F97" s="46" t="str"/>
      <x:c r="G97" s="46" t="str">
        <x:v>15.   Need-to-know basis is a principle where only participants involved in a transaction can access the transaction data.
16.   A securities settlement mechanism that links transfer of securities and transfer of funds in such a way that the delivery of securities occurs only if the  
  corresponding payment has been made.
Figure 12. Observer Node Solution
3.3. EXECUTION LAYER
3.2. DIGITAL ASSET LAYER
3.1.3 SUPERVISION
The execution layer comprises components 
that facilitate the execution of transactions and 
computing processes on the wRD platform.
For more effective and efficient policy making 
and to protect participants and customers, Bank 
Indonesia, as the regulator of the wRD platform, 
must be able to supervise transactions in 
real-time. The distribution of transaction data on 
the DLT platform does not inherently hinder Bank 
Indonesia’s supervisory process. However, it is 
necessary to balance the need-to-know basis
15 
principle in wholesale transactions with the interest 
in supervision. 
R3 Corda and Kaleido Hyperledger Besu have 
distinct characteristics when implementing 
transaction recording. R3 Corda uses the concept 
of shared facts, where no singular ledger contains 
all transaction data. Transaction data on R3 Corda 
is shared with and stored only by the involved 
participants. In contrast, on Kaleido Hyperledger 
Besu, participants have identical data on the ledger, 
but this data is stored in encrypted form. Only 
the parties involved can decrypt and access the 
transaction data. Therefore, a monitoring solution 
that can be implemented on both platforms while 
maintaining the confidentiality of participant 
transactions is necessary.
Monitoring solutions to maintain transaction 
confidentiality involve adding a node with 
The digital asset layer represents the digital 
assets transacting on the wRD platform. In the 
wRD technology architecture, Bank Indonesia can 
manage 2 (two) types of digital assets: the Rupiah 
Digital and the digital securities. The existence 
of various digital assets on a single platform is 
known as a unified ledger. The use of a unified 
ledger optimizes automation and customization of 
asset (programmability), integration of one asset 
with another (composability), and simultaneous 
settlement of multiple assets (atomic settlement).
The Immediate State phase PoC focuses on 
developing the Rupiah Digital (cash ledger) 
assets across all test scenarios. Digital securities 
assets are developed in a limited manner within 
the Delivery Versus Payment (DVP)
16 scenario. 
Further exploration of digital securities assets will be 
conducted at a later stage.
specific features for supervision. This specific 
node is the observer node, which receives a copy 
of the transaction between participants, as shown 
in Figure 12. The observer node can only be owned 
and operated by Bank Indonesia. 
In R3 Corda, supervision is implemented by utilizing 
the broadcast feature to the observer node to 
send transaction data upon settlement finality. 
Meanwhile, Kaleido Hyperledger Besu implements 
observer nodes by utilizing the emit event feature on 
smart contracts.
2. Freeze, Bank Indonesia to stop funds from 
entering and exiting participant nodes;
3. Unfreeze, allows Bank Indonesia to revoke the 
frozen status of participants;  
4. Off-boarding, allows Bank Indonesia to 
remove participants from the wRD platform .
Bank Indonesia can manage these 4 (four) 
administrative features on the wRD platform 
using the administrator node. This ensures that 
Bank Indonesia has the final authority over who can 
participate in the wRD. 
R3 Corda utilized Business Network 
Membership (BNM) tools to implement 
membership feature. Kaleido Hyperledger Besu 
managed membership features via Hierarchical-
Deterministic (HD) Wallets. The membership data 
for both wRD platforms is accessible through smart 
contracts.
...it is necessary to balance the need-to-know basis 
principle in wholesale transactions with the interest 
in supervision.
,,
,,
In the wRD technology architecture, Bank 
Indonesia can manage 2 (two) types of digital 
assets: Rupiah Digital and digital securities.
,,
,,
12
Project Garuda: Proof of Concept Report   |  DECEMBER 2024
© Bank Indonesia 2024. All rights reserved.</x:v>
      </x:c>
    </x:row>
    <x:row r="98" ht="110" customHeight="1">
      <x:c r="A98" s="46" t="str">
        <x:v>PRD-0037-P0025-U01</x:v>
      </x:c>
      <x:c r="B98" s="46" t="str">
        <x:v>ID_Indonesia_2024</x:v>
      </x:c>
      <x:c r="C98" s="46" t="n">
        <x:v>25</x:v>
      </x:c>
      <x:c r="D98" s="46" t="str">
        <x:v>en</x:v>
      </x:c>
      <x:c r="E98" s="46" t="str">
        <x:v>text</x:v>
      </x:c>
      <x:c r="F98" s="46" t="str"/>
      <x:c r="G98" s="46" t="str">
        <x:v>31.  R3’s commercial service, Corda Enterprise, allows for the operation of a Corda network with full control, including consensus management. 
32.  A network map is a component that stores information about all nodes connected to the network and functions like a directory. 
33. Bootnode is node that initially creates the network.
34. Genesis file is a file that contains the network configuration.
3.7. SECURITY ASPECTS
The security aspects in the implementation of 
the wRD PoC have been tested and follow the 
applicable security standards at Bank Indonesia.
Figure 16. The Process of Identifying New Members in the Network (a) In the Implementation of R3 Corda;   
(b) In the Implementation of Kaleido Hyperledger Besu
R3 Corda relies on an additional component called 
Corda Enterprise Network Manager (CENM) 31, 
which is responsible for identifying participants, as 
well as adding them to the network map
32.
Meanwhile, Kaleido Hyperledger Besu involves 
creating a network by using bootnode
33 and  
genesis files34 for new participants, subsequently 
adding those participants to the configuration of 
each node. Both CENM and bootnode are under the 
authority of Bank Indonesia (see Appendix F).
In R3 Corda, the node must have an identity 
encapsulated in a digital certificate (which 
contains public and private keys) issued by 
CENM, as depicted in numbers 1 and 2 in  
Figure 16 (a). The identity registered on CENM 
must be unique to ensure that participants of 
the wRD platform can be identified through the 
certificate.
In Kaleido Hyperledger Besu, adding a new node 
to the network involves utilizing the genesis 
file owned by the bootnode, as illustrated in 
Figure 16 (b). The bank initiates the creation of a 
new node based on the genesis file and modifies 
the network configuration accordingly. Additionally, 
synchronizing the network configuration across all 
nodes requires establishing a communication link 
with the new node.
The network layer is where data exchange 
communication within the network is determined 
based on network access. In the PoC, the chosen 
network access is permissioned network.
,,
,,
16
Project Garuda: Proof of Concept Report   |  DECEMBER 2024
© Bank Indonesia 2024. All rights reserved.</x:v>
      </x:c>
    </x:row>
    <x:row r="99" ht="110" customHeight="1">
      <x:c r="A99" s="46" t="str">
        <x:v>PRD-0037-P0026-U01</x:v>
      </x:c>
      <x:c r="B99" s="46" t="str">
        <x:v>ID_Indonesia_2024</x:v>
      </x:c>
      <x:c r="C99" s="46" t="n">
        <x:v>26</x:v>
      </x:c>
      <x:c r="D99" s="46" t="str">
        <x:v>en</x:v>
      </x:c>
      <x:c r="E99" s="46" t="str">
        <x:v>text</x:v>
      </x:c>
      <x:c r="F99" s="46" t="str"/>
      <x:c r="G99" s="46" t="str">
        <x:v>the burden of transaction 
processing and validation 
across multiple participants 
in the DLT network, rather than 
relying solely on the central bank.
Kaleido Hyperledger Besu, using the Quorum 
Byzantine Fault Tolerance (QBFT) consensus 
algorithm, decentralizes validation rights to DLT 
participants predetermined by the central bank. 
Conversely, R3 Corda employs a unique consensus 
method involving notary nodes and transaction 
participants. 
Through smart contracts and consensus 
mechanisms, the DLT platform ensures the 
confidentiality of transaction data. The Kaleido 
Hyperledger Besu-based solution guarantees 
confidentiality through encryption methods, while 
R3 Corda applies the need-to-know principle for 
every transaction. 
For Kaleido Hyperledger Besu, in addition to 
the encrypted privacy model, the confidential 
unspent transaction output (UTXO) model 
with a notary is also implemented in the PoC. 
In further exploration, there is a possibility to apply 
Zero Knowledge Proof (ZKP) privacy model (see 
Appendix G). 
Access management plays a crucial role in 
supporting privacy aspects and regulating 
participant authorization on the DLT platform. 
By leveraging smart contracts and consensus, the 
DLT platform has significantly increased the speed 
of money circulation, with each platform capable of 
processing more than 30 transactions per second 
(see Appendix I).
The implementation of wRD on the DLT platform 
involves a series of processes related to money 
supply. The issuance and redemption processes 
adhere strictly to the principle of no-money creation 
through conversion. This conversion process is 
executed by transferring the participant’s current 
account balance to/from wRD in real-time, 
orchestrated by KDR node. Additionally, the DLT 
platform supports the transfer of funds between 
participants within the network through the fund 
transfer process. This process is designed to 
enhance liquidity efficiency, particularly through the 
transaction queue function. 
The wRD incorporates features designed to 
support the implementation of monetary and 
macroprudential policies. These policies are 
enforced through system controls, such as setting 
limits on circulating wRD and utilizing administrative 
features to manage participant eligibility. An 
observer node is employed to monitor participant 
activities, as well as track the position and changes 
of wRD on the DLT platform.
Money supply processes, policy settings, and 
monitoring on the DLT network are regulated by 
smart contracts. These smart contracts, with their 
automation capabilities, are a novel aspect of the 
system that streamlines transactions. 
Besides the reliability of smart contracts, 
the DLT finalizes wRD transactions through 
a consensus mechanism that differs from 
conventional systems. This mechanism distributes 
4.1.  Implementation of   
 DLT in the Money Supply Process  
 of Wholesale Rupiah Digital
KQ# 1:
Based on 3 (three) key questions, tests have been conducted to address all scenario  
topics, encompassing both business and technical aspects.
CHAPTER 4
POC TESTING &amp; RESULT
Project Garuda: Proof of Concept Report   |  DECEMBER 2024
17
© Bank Indonesia 2024. All rights reserved.</x:v>
      </x:c>
    </x:row>
    <x:row r="100" ht="110" customHeight="1">
      <x:c r="A100" s="46" t="str">
        <x:v>PRD-0037-P0027-U01</x:v>
      </x:c>
      <x:c r="B100" s="46" t="str">
        <x:v>ID_Indonesia_2024</x:v>
      </x:c>
      <x:c r="C100" s="46" t="n">
        <x:v>27</x:v>
      </x:c>
      <x:c r="D100" s="46" t="str">
        <x:v>en</x:v>
      </x:c>
      <x:c r="E100" s="46" t="str">
        <x:v>text</x:v>
      </x:c>
      <x:c r="F100" s="46" t="str"/>
      <x:c r="G100" s="46" t="str">
        <x:v>4.2. Implementation of Smart Contract  
 on Rupiah Digital Wholesale  
 Platform
KQ# 2:
Smart contract composability 
capabilities allow atomic settlement in 
payment systems, particularly in Delivery 
Versus Payment (DvP) transactions. In DvP 
transactions, the transfer of digital asset ownership 
and transaction funds occur simultaneously. Atomic 
settlement reduces settlement risk because the 
transaction is only completed if both parties meet 
the requirements.
Tokenization enables the conversion of  
BI-RTGS current accounts to wRD, allowing the 
implementation of smart contracts in Rupiah 
currency. Additionally, tokenization helps the wRD 
platform manage the Rupiah Digital assets and 
digital securities. 
Each DLT platform has a different tokenization 
method. R3 Corda’s Token SDK supports the 
issuance and management of digital tokens, 
while Kaleido Hyperledger Besu uses the ERC20 
standard for the Rupiah Digital token base and 
ERC1400 for digital securities tokens. Use cases 
for DvP transactions and digital securities are not 
the primary focus of the Immediate State phase 
of PoC but will require further exploration for the 
Intermediate State phase.
Implementing smart contracts on the wRD 
platform increases the efficiency of business 
processes by automating transaction 
execution based on predetermined rules, 
leveraging programmability, composability, and 
tokenization advantages. The programmability 
capabilities of smart contracts provide the ability 
to program the Rupiah currency with specific 
functionality to determine how the currency can be 
used. For example, a Rupiah Digital could be issued 
and explicitly programmed for tax payments. 
Programmability implies that Bank Indonesia 
can add or modify smart contracts to enhance 
the functionality of the wRD platform. In 
R3 Corda-based solutions, smart contract 
customization on the network can be achieved 
through CorDapp (Corda Distributed Application). 
Meanwhile, Kaleido Hyperledger Besu provides a 
Contract Management service accessed through 
the Asset Platform to deploy new smart contracts 
into the blockchain.
Implementing smart contracts on the wRD platform 
increases the efficiency of business processes 
by automating transaction execution based on 
predetermined rules, leveraging programmability, 
composability, and tokenization advantages.
,,
,,
18
Project Garuda: Proof of Concept Report   |  DECEMBER 2024
© Bank Indonesia 2024. All rights reserved.</x:v>
      </x:c>
    </x:row>
    <x:row r="101" ht="110" customHeight="1">
      <x:c r="A101" s="46" t="str">
        <x:v>PRD-0037-P0032-U01</x:v>
      </x:c>
      <x:c r="B101" s="46" t="str">
        <x:v>ID_Indonesia_2024</x:v>
      </x:c>
      <x:c r="C101" s="46" t="n">
        <x:v>32</x:v>
      </x:c>
      <x:c r="D101" s="46" t="str">
        <x:v>en</x:v>
      </x:c>
      <x:c r="E101" s="46" t="str">
        <x:v>text</x:v>
      </x:c>
      <x:c r="F101" s="46" t="str"/>
      <x:c r="G101" s="46" t="str">
        <x:v>Table 2. PoC Focus Detail
the DLT platform must be supported by a company/
legal entity to ensure the sustainability of the 
technology and is a permissioned network. 
The second is the track record of each DLT platform, 
DLT platform that have been used more frequently 
in CBDC or digital securities projects receive higher 
scores. The third is the compatibility of the selected 
DLT platform with the 3 (three) focus areas to be 
explored during the PoC, which are: 
1. The difference in ledger structures between 
token/unspent transaction output (UTXO) 
based and account-based DLT platforms;
2. The data privacy solutions used by each 
DLT platform to ensure the confidentiality of 
transaction information; 
3. The consensus methods used by the DLT 
platforms.
Corda and Hyperledger Besu were selected as 
the DLT platforms with the highest potential 
based on the 3 (three) final selection criteria to be 
developed and tested according to the needs of 
Bank Indonesia. As per the mandatory selection 
criteria, both platforms have supporting companies/
legal entities. Corda is supported by R3, while 
Hyperledger Besu is supported by Kaleido.
R3 Corda and Kaleido Hyperledger Besu meet the 
3 (three) focus areas of the Bank Indonesia PoC, 
where both have different characteristics in terms of 
ledger structure, privacy solutions, and consensus 
methods, as shown in Table 2. 
R3 Corda uses a UTXO ledger structure, which 
can be simply described as recording transactions 
based on the transfer of token ownership. Kaleido 
Hyperledger Besu uses an account-based ledger 
structure, which can be simply described as 
recording transactions based on changes in account 
balances.
Privacy solutions on R3 Corda use a vault that 
only stores transactions relevant to its owner. 
Kaleido Hyperledger Besu has a global ledger that 
records all transactions and distributes them to all 
participants, data privacy is achieved through a 
private data manager, which performs encryption 
and decryption of data on the global ledger. Only 
participants involved in a transaction can decrypt 
the data on the global ledger. 
R3 Corda uses a unique consensus method 
called ‘Notary,’ which acts as a central authority to 
verify the uniqueness of transactions (uniqueness 
consensus). Kaleido Hyperledger Besu uses a 
proof of authority (PoA) consensus method, where 
several validators pre-determined by participants are 
authorized to validate transactions.
Project Garuda: Proof of Concept Report   |  DECEMBER 2024
23
© Bank Indonesia 2024. All rights reserved.</x:v>
      </x:c>
    </x:row>
    <x:row r="102" ht="110" customHeight="1">
      <x:c r="A102" s="46" t="str">
        <x:v>PRD-0037-P0033-U01</x:v>
      </x:c>
      <x:c r="B102" s="46" t="str">
        <x:v>ID_Indonesia_2024</x:v>
      </x:c>
      <x:c r="C102" s="46" t="n">
        <x:v>33</x:v>
      </x:c>
      <x:c r="D102" s="46" t="str">
        <x:v>en</x:v>
      </x:c>
      <x:c r="E102" s="46" t="str">
        <x:v>text</x:v>
      </x:c>
      <x:c r="F102" s="46" t="str"/>
      <x:c r="G102" s="46" t="str">
        <x:v>Table 3. The Use of MT File
Figure 17. Creation on R3 Corda UTXO
Figure 18. Creation on Kaleido Hyperledger 
Besu Account Based
Figure 19. Destruction on R3 Corda UTXO
Figure 20. Destruction on Kaleido Hyperledger Besu
4. Redemption with RTGS Triggered
3. Destruction Detail
2. Creation Detail
1. Integration of wRD Platform with  
BI-RTGS for Issuance and 
Redemption
Redemption initiated from BI-RTGS is explored in 
the PoC using a mock-up of the BI-RTGS system. 
However, implementing further processes requires 
developing BI-RTGS capabilities that are beyond the 
scope of the Rupiah Digital PoC. The illustration of 
the RTGS triggered redemption flow is depicted in 
Figure 21.
Participants registered in the BI-RTGS system 
initiate requests to credit their current accounts and 
debit the CBDC omnibus account. Upon completion 
of the settlement in RTGS, the KDR node on 
the wRD platform receives MT202 and MT900 
messages as confirmation.
In Kaleido Hyperledger Besu, which utilizes 
accounts, destruction is a transaction that reduces 
an account’s balance through an update world state. 
Transactions are made by calling the redemption 
function in Rupiah Digital smart contract. The 
illustration of the destruction flow in Kaleido 
Hyperledger Besu is depicted in Figure 20.
In R3 Corda, which utilizes the Unspent Transaction 
Output (UTXO) model, destruction is a transaction 
intended to delete a token. The transaction is 
executed through the redemption flow call in the 
Rupiah Digital CorDapps application. The illustration 
of the destruction flow in R3 Corda is depicted in 
Figure 19.
In Kaleido Hyperledger Besu, which utilizes the 
account model, the creation process involves 
a transaction that adds balance to an account 
by updating the world state. This transaction is 
executed by invoking the issuance flow through the 
KDR node to the Rupiah Digital smart contract. The 
In R3 Corda, which utilizes the Unspent Transaction 
Output (UTXO) model, the creation process involves 
a transaction that produces the Rupiah Digital 
token. This transaction is executed by invoking the 
issuance flow on the Rupiah Digital CorDapps. The 
illustration of the transaction creation process in R3 
Corda is depicted in Figure 17.
There are 4 (four) types of MT used for 
communication of the wRD platform with the BI-
RTGS system in Table 3. 
APPENDIX
B. IMPLEMENTATION DETAILS of the use   
 c a s e  l ay e r
illustration of the transaction creation process in 
Kaleido Hyperledger Besu is depicted in Figure 18.
24
Project Garuda: Proof of Concept Report   |  DECEMBER 2024
© Bank Indonesia 2024. All rights reserved.</x:v>
      </x:c>
    </x:row>
    <x:row r="103" ht="110" customHeight="1">
      <x:c r="A103" s="46" t="str">
        <x:v>PRD-0037-P0038-U01</x:v>
      </x:c>
      <x:c r="B103" s="46" t="str">
        <x:v>ID_Indonesia_2024</x:v>
      </x:c>
      <x:c r="C103" s="46" t="n">
        <x:v>38</x:v>
      </x:c>
      <x:c r="D103" s="46" t="str">
        <x:v>en</x:v>
      </x:c>
      <x:c r="E103" s="46" t="str">
        <x:v>text</x:v>
      </x:c>
      <x:c r="F103" s="46" t="str"/>
      <x:c r="G103" s="46" t="str">
        <x:v>3. Messaging Components In R3 Corda 
and Kaleido Hyperledger Besu
Event-driven architecture (EDA) is a software 
development approach where system components 
interact through the exchange of events. An event 
signifies a state change within the system, such 
as user input, data updates, or notifications from 
an external system. This pattern contrasts with the 
traditional request/response architecture, where 
services must wait for a reply before proceeding to 
the next task.
In EDA, components or services communicate 
asynchronously by reading or sending events, 
allowing them to react to changes flexibly and 
independently. Messaging is a crucial component in 
EDA, facilitating the sending and receiving of events. 
R3 Corda employs the Advanced Message 
Queuing Protocol (AMQP) 1.0 via Transport Layer 
Security (TLS) 1.2 between nodes. This is currently 
implemented using Apache Artemis, a message 
broker built on top of the MQ protocol. R3 Corda 
uses Artemis for communication across the DLT 
network, such as when executing transactions 
between nodes. Similarly, Kaleido Hyperledger 
Besu utilizes the FireFly Event Bus, a messaging 
system developed by Kaleido, enabling applications 
to receive events from all back-ends connected to 
FireFly, as illustrated in Figure 27.
Applications that subscribe to these events use 
protocols such as websocket and webhook. 
Additionally, plugins can connect to other transport 
protocols, including NATS, Kafka, and Java Message 
Services (JMS) Server.
Figure 27. Firefly Event Bus (Hyperledger Firefly, 2024)
4. Integration of the wRD platform 
with BI-RTGS
R3 Corda and Kaleido Hyperledger Besu, in general, 
have built-in interoperability features that enable the 
wRD platform to communicate with other payment 
systems, such as BI-RTGS, through standard 
communication protocols. This capability directly 
supports the creation of an integrated, interoperable, 
and interconnected (3i) digital ecosystem. 
In the PoC, both solutions were connected to 
the BI-RTGS using standard communication 
protocols and message formats defined by the 
existing BI-RTGS messaging standard. The wRD 
platform demonstrated that message formats and 
communication protocols could be configured to 
meet user requirements. Adjustments from the 
current message format standard to the ISO 20022 
standard are feasible, leveraging the Bank Indonesia 
3i standard of integration, interoperability and 
interconnection. 
The mapping of the current message format 
to the ISO 20022 format was carried out in the 
PoC and will serve as a reference point for future 
developments. Bank Indonesia chose ISO 20022 
because it is a globally recognized communication 
standard for financial transactions, including 
payments, remittances, and other transactions that 
support financial inclusion.
For R3 Corda solutions, a parser and file generator 
were developed, compatible with the current 
standard format, as illustrated in  
Figure 28. The application, built using Java Spring 
Boot, processes BI-RTGS message files and triggers 
an R3 Corda API in response. This application also 
generates message files for the emulated BI-RTGS 
systems, which are then uploaded into AWS S3. 
This approach simulates the existing file messaging 
exchanges in BI-RTGS. 
Project Garuda: Proof of Concept Report   |  DECEMBER 2024
29
© Bank Indonesia 2024. All rights reserved.</x:v>
      </x:c>
    </x:row>
    <x:row r="104" ht="110" customHeight="1">
      <x:c r="A104" s="46" t="str">
        <x:v>PRD-0037-P0042-U01</x:v>
      </x:c>
      <x:c r="B104" s="46" t="str">
        <x:v>ID_Indonesia_2024</x:v>
      </x:c>
      <x:c r="C104" s="46" t="n">
        <x:v>42</x:v>
      </x:c>
      <x:c r="D104" s="46" t="str">
        <x:v>en</x:v>
      </x:c>
      <x:c r="E104" s="46" t="str">
        <x:v>text</x:v>
      </x:c>
      <x:c r="F104" s="46" t="str"/>
      <x:c r="G104" s="46" t="str">
        <x:v>Figure 34. Consensus Mechanism in R3 Corda
2. Consensus Mechanism in Kaleido 
Hyperledger Besu
1. Consensus Mechanism in R3 Corda
The consensus mechanism in R3 Corda can be 
divided into 2 (two) main components: transaction 
validation and transaction uniqueness.
i. Transaction Validation      
Transaction validation ensures that all 
conditions required for a transaction are met 
(e.g., sufficient balance, participants acting 
within their authority). This process is performed 
by smart contracts (when executed) and the 
transaction participants. Every transaction 
must comply with the smart contract terms. 
Before sending the transaction to the notary 
(explained in section ii: Transaction Uniqueness), 
the participants must sign the transaction, 
indicating it has been validated. Before signing, 
participants review the transaction to ensure it 
adheres to the smart contract terms and meets 
all necessary requirements for validity.
ii. Transaction Uniqueness 
Transaction uniqueness prevents double-
spending by verifying that each transaction 
input has not been used in another transaction 
(ensuring uniqueness). This verification is 
performed by the notary. Once the transaction 
is signed by all relevant participants, it is sent 
to the notary. After the notary confirms the 
transaction’s uniqueness, it is considered final. 
This finality ensures that the transaction cannot 
be canceled or altered. 
Figure 35. Consensus Mechanism in  
Kaleido Hyperledger Besu
APPENDIX
E. IMPLEMENTATION DETAILS OF THE    
 CONSENSUS LA YER
QBFT is a proof of authority (PoA) consensus 
algorithm recommended for private networks in 
Kaleido Hyperledger Besu. In QBFT, participants 
designated as validators (referred to as trusted 
validators) are authorized to validate transactions 
and take turns in block creation within the network. 
A supermajority (more than 2/3) of the trusted 
validators who are not assigned to block creation 
must sign the transactions before the “created 
block” can be added to the blockchain.
Project Garuda: Proof of Concept Report   |  DECEMBER 2024
33
© Bank Indonesia 2024. All rights reserved.</x:v>
      </x:c>
    </x:row>
    <x:row r="105" ht="110" customHeight="1">
      <x:c r="A105" s="46" t="str">
        <x:v>PRD-0037-P0047-U01</x:v>
      </x:c>
      <x:c r="B105" s="46" t="str">
        <x:v>ID_Indonesia_2024</x:v>
      </x:c>
      <x:c r="C105" s="46" t="n">
        <x:v>47</x:v>
      </x:c>
      <x:c r="D105" s="46" t="str">
        <x:v>en</x:v>
      </x:c>
      <x:c r="E105" s="46" t="str">
        <x:v>text_and_render</x:v>
      </x:c>
      <x:c r="F105" s="46" t="str">
        <x:v>renders/PRD-0037-P0047.jpg</x:v>
      </x:c>
      <x:c r="G105" s="46" t="str">
        <x:v>APPENDIX
H. poc SCENARIO TOPICS
Table 4. PoC Scenario Topics
38
Project Garuda: Proof of Concept Report   |  DECEMBER 2024
© Bank Indonesia 2024. All rights reserved.</x:v>
      </x:c>
    </x:row>
    <x:row r="106" ht="110" customHeight="1">
      <x:c r="A106" s="46" t="str">
        <x:v>PRD-0038-P0007-U01</x:v>
      </x:c>
      <x:c r="B106" s="46" t="str">
        <x:v>IL_BoI_2024</x:v>
      </x:c>
      <x:c r="C106" s="46" t="n">
        <x:v>7</x:v>
      </x:c>
      <x:c r="D106" s="46" t="str">
        <x:v>en</x:v>
      </x:c>
      <x:c r="E106" s="46" t="str">
        <x:v>text</x:v>
      </x:c>
      <x:c r="F106" s="46" t="str"/>
      <x:c r="G106" s="46" t="str">
        <x:v>The Bank of Israel Steering Com mittee 
for the Potential Issuance of a Digital Shekel 
7 
means of payment – anyone will be able to pay anyone, and anyone will be able to receive 
payment from anyone, but with the convenience and advancement of a digital means of 
payment. Basic uses of the DS for private users will be free, and for businesses, the costs of 
using it are expected to be significantly lower than with existing digital payments. Payment 
with the DS is immediate and final, and the DS will also support offline payments, allowing 
smooth payment transactions even in situations without network connectivity. The level of 
privacy in the DS will be higher compared to existing digital payments, and similar to cash, it 
will also offer the possibility of anonymous payments in limited amounts. It will support 
advanced payment use cases that the private sector will be able to offer to all users – not just 
financial entities o r those operating in decentralis ed virtual asset – based on the secure 
infrastructure of the Bank of Israel, in a competitive and open environment that will prevent 
the creation of "walled gardens." The recently concluded " Digital Shekel Challenge" 
provided a glimpse into some of the advanced applications that can be offered with the DS, 
such as "Delivery versus Payment" and "Payment versus Payment," micro-payments, split 
payments, batch payments, sub -wallets, and wallet status management, among others. 
Additionally, the DS will be interoperable with other systems, allowing easy conversion 
between the DS and other means of payment, linking DS payments with trnasactions in other 
digital asset networks, and enabling users to receive or make payments in the digital shekel 
even if the other party to the payment does not use the DS. 
As the economy becomes digital, the decline in the usability of cash reaffirms the case for 
maintaining public access to central bank  money, in order to ensure the " singleness of 
money," financial stability, and public trust in "private money," as well as continued  
competition in the payments system. Issuing a digital shekel primarily addresses this case. 
Beyond that, it will address several motivations identified by the Bank of Israel in the past, 
which the design presented in the document supports: 
 Competition. The DS will allow a wide range of system participants to offer services 
in the digital s hekel and provide an alternative to existing and new means of 
payment, increasing competition and removing the risk of a "winner -takes-all" 
phenomenon in the payment s system. The possibility of paying interest from the 
Bank of Israel to DS holders could also increase competition in the deposits market.</x:v>
      </x:c>
    </x:row>
    <x:row r="107" ht="110" customHeight="1">
      <x:c r="A107" s="46" t="str">
        <x:v>PRD-0038-P0009-U01</x:v>
      </x:c>
      <x:c r="B107" s="46" t="str">
        <x:v>IL_BoI_2024</x:v>
      </x:c>
      <x:c r="C107" s="46" t="n">
        <x:v>9</x:v>
      </x:c>
      <x:c r="D107" s="46" t="str">
        <x:v>en</x:v>
      </x:c>
      <x:c r="E107" s="46" t="str">
        <x:v>text</x:v>
      </x:c>
      <x:c r="F107" s="46" t="str"/>
      <x:c r="G107" s="46" t="str">
        <x:v>The Bank of Israel Steering Com mittee 
for the Potential Issuance of a Digital Shekel 
9 
What is the Digital Shekel  
The digital shekel is a CBDC that is a liability of the Bank of Israel towards those who hold it, 
including individuals, businesses, various organisations, and the government. The DS will 
join physical cash and digital money in bank's reserves at the Bank of Israel, which together 
form "public money", will be legal tend er in Israel with a 1:1 conversion ratio to any other 
form of Shekel, and will operate alongside the existing range of means of payment. The DS 
will be usable by the general public (retail CBDC) and financial entities (wholesale CBDC) , 
making it a "multipurpose CBDC". 
The Digital Shekel Ecosystem  
The ecosystem includes various entities that will fulfil diverse roles. The Bank of Israel, 
beyond being the sole issuer of the DS, will serve as the system manager and would be setting 
system rules. The bank (or an entity on its behalf) will also serve as the system operator 
responsible for the proper functioning of the backend layer. In another role, the Bank of Israel 
will also act as the supervisor of the digital shekel system, as defined by the Bank of Israel 
Law: "to regulate the payment and clearing systems in the economy." Alongside the backend 
layer, several other central services will operate, such as an alias management system and a 
fraud monitoring system that will help identify and prevent fraud through  real-time data 
analysis. These systems will be designed to maintaining the DS's privacy principles  and 
operate accordingly. 
The DS will operate in a two -tier model. Private sector system participants include digital 
shekel Payment Service Providers (DS -PSPs or PSPs), Funding institutions ( FIs), and 
Additional Service Providers (ASPs). PSPs are responsible for connecting end -users to the 
digital shekel system and enabling them to make transactions. Without engaging a PSP, an 
end-user cannot operate in the digital shekel system. Since they do not hold the customer's 
funds, they do not create the financial risk associated with this, allowing a wide range of 
entities to operate in the field. FIs will need to enable funding and defunding DS wallets 
against the a ccount managed with them or against cash. ASPs will offer services such as 
budget management and advanced payment applications. 
The Basic User Journey in the Digital Shekel</x:v>
      </x:c>
    </x:row>
    <x:row r="108" ht="110" customHeight="1">
      <x:c r="A108" s="46" t="str">
        <x:v>PRD-0038-P0011-U01</x:v>
      </x:c>
      <x:c r="B108" s="46" t="str">
        <x:v>IL_BoI_2024</x:v>
      </x:c>
      <x:c r="C108" s="46" t="n">
        <x:v>11</x:v>
      </x:c>
      <x:c r="D108" s="46" t="str">
        <x:v>en</x:v>
      </x:c>
      <x:c r="E108" s="46" t="str">
        <x:v>text</x:v>
      </x:c>
      <x:c r="F108" s="46" t="str"/>
      <x:c r="G108" s="46" t="str">
        <x:v>The Bank of Israel Steering Com mittee 
for the Potential Issuance of a Digital Shekel 
11 
personal identifiable information about end -users or information about individual 
transactions. Alongside the main database, additional databases will exist for operational 
and statistical analysis, while maintaining privacy principles. 
Every transaction in the digital shekel system requires communication between the various 
entities in the ecosystem. The payment message will include the minimal information 
required to perform the payment transaction, but the message structure will be designed 
flexibly so that additional information can be added as needed. 
The digital shekel system will be available 24/7/365, with availability as close as possible to 
100%. The time to completion and finality of a payment will be no more than a few seconds. 
Performance requirements will be identical for all participants, so the end -user will enjoy 
optimal performance regardless of the participant serving them. The system will be designed 
to be scalable according to the growth in usage. 
Policy, Rules, and Regulation  
The digital shekel system will be designed with a privacy-by-design approach. The Bank of 
Israel or any other central entity will not have access to personal identifiable information 
about end-users' activities in the digital shekel. The level of privacy in the digital shekel will 
be higher than that of existing digital means of payment s but lower than that of cash. 
Participants will not be able to use the information accumulated about users and their 
activities in the digital shekel system for commercial purposes unless users give clear and 
informed consent. Anonymous payments, both online and offline, will be possible below 
thresholds that will be set and in accordance with relevant risk management rules. 
The cost of using  the digital s hekel for basic  activities should be low to negligible. 
Individuals will not pay fees for these activities. PSPs will be able to charge a fee for receiving 
payments from merchants and will pay an interchange fee to the PSP of the payer. The Bank 
of Israel will bear its own costs of managing and operating the system. 
Users of the digital shekel will enjoy consumer protection  similar to that provided with 
other digital means payment. PSPs will be responsible for preventing fraud and 
compensating customers in case of fraud, according to the rules in the Payment Services</x:v>
      </x:c>
    </x:row>
    <x:row r="109" ht="110" customHeight="1">
      <x:c r="A109" s="46" t="str">
        <x:v>PRD-0038-P0026-U01</x:v>
      </x:c>
      <x:c r="B109" s="46" t="str">
        <x:v>IL_BoI_2024</x:v>
      </x:c>
      <x:c r="C109" s="46" t="n">
        <x:v>26</x:v>
      </x:c>
      <x:c r="D109" s="46" t="str">
        <x:v>en</x:v>
      </x:c>
      <x:c r="E109" s="46" t="str">
        <x:v>text</x:v>
      </x:c>
      <x:c r="F109" s="46" t="str"/>
      <x:c r="G109" s="46" t="str">
        <x:v>The Bank of Israel Steering Com mittee 
for the Potential Issuance of a Digital Shekel 
26 
Below, we will review these motivations and briefly discuss how the design presented in this 
document supports them: 
1. Creating an efficient and secure alt ernative to existing and new means of 
payment in the digital age.  The digital shekel  has the potential to increase 
competition in the payment system and eliminate the fear of a "winner -takes-all" 
phenomenon in any part of the payment system, whether by an existing entity or by 
entities offering private money using new technologies. Since the DS is a liability of 
the Bank of Israel, a wide range of private sector system participants will be able to 
offer payment services using it, 7 without bearing the financ ial risk of holding the 
money. Therefore, they will be exempt from stringent re gulation in this area. 
Payment Service Providers can offer innovation in payments without compromising 
(and even enhancing) public confidence in money. Paying interest from the Bank of 
Israel to DS holders may also increase competition in the deposit market, as 
described in section 7.7 of the document. 
2. Creating an innovative infrastructure that ensures the payment system's 
adaptation to the needs of the future digital economy. The DS payment system is 
an innovative system built from scratch. Payments are immediate and final. Chapter 
6 of the document describes the extensive capabilities that will enable the system to 
support advanced payment applications, with interoperability with other payment 
systems as well as with other digital asset networks that are currently developing 
and w ill develop in the future. The Digital Shekel Challenge,8 which recently 
concluded, demonstrated several innovative use cases by private companies that 
the DS system will be able to support. The collaboration between the public sector, 
which will lay the infrastructure equally for all participants and ensure its availability 
and safety, and the private sector participants, who can offer innovative use cases, 
is a recipe for the system's success in offering innovation and progress while 
maintaining high standards of security and stability. 
3. Ensuring the redundancy of the payment system and its proper functioning in 
emergencies or failures.  The DS system will operate as an additional payment 
7 As described in Chapter 3 of this document.  
8 Bank of Israel – The Digital Shekel Challenge.</x:v>
      </x:c>
    </x:row>
    <x:row r="110" ht="110" customHeight="1">
      <x:c r="A110" s="46" t="str">
        <x:v>PRD-0038-P0041-U01</x:v>
      </x:c>
      <x:c r="B110" s="46" t="str">
        <x:v>IL_BoI_2024</x:v>
      </x:c>
      <x:c r="C110" s="46" t="n">
        <x:v>41</x:v>
      </x:c>
      <x:c r="D110" s="46" t="str">
        <x:v>en</x:v>
      </x:c>
      <x:c r="E110" s="46" t="str">
        <x:v>text</x:v>
      </x:c>
      <x:c r="F110" s="46" t="str"/>
      <x:c r="G110" s="46" t="str">
        <x:v>The Bank of Israel Steering Com mittee 
for the Potential Issuance of a Digital Shekel 
41 
A PSP is an essential participant from the perspective of any end user, as there is no way to 
connect to the digital shekel system without engaging with a PSP. The digital shekel will 
operate within a two-tier model – while the digital shekel is a liability of the Bank of Israel to 
the end user holding it, end users will not have a direct interface with the Bank of Israel, but 
only with the PSPs – the payment service providers. It should be emphasised that at no stag e 
do PSPs hold the end user's funds (this configuration was examined in "Project Sela"). 20 A 
digital shekel in the hands of the end user is always a financial liability of the Bank of Israel 
to the user, not of the PSP. 
The digital shekel system will also suppor t a model of an indirect PSP – an entity that 
provides end users with all the services that a PSP provides but is not directly connected 
technologically to the system , rather it  provides the services based on the technological 
connection of another PSP. 
PSPs will perform all the necessary  processes for end users – technological, business, and 
regulatory. They will handle the onboarding process of the end user to the system after a 
"know your customer" process, provide the end user with access technology (app, website, 
POS, smart card, etc., according to the standards defined by the system manager, see section 
4.2), transmit payment commands to the system on behalf of end users, support wallet 
funding/defunding processes, provide customer service, and more. 
PSPs will have several potential sources of income.21 One of these sources will be charging 
fees according to established rules, and for this purpose, the system will technologically 
support their ability to automatically charge fees from end users as part of the payment 
process. Private end users will not pay fees for basic payment activities (these will be part of 
the free basic package, as described in Box 1), so a mechanism  for an interchange fee 
payment in every merchant transaction will need to be established; the PSP of the merchant 
20 Bank for International Settlements, Bank o f Israel, &amp; Hong Kong Monetary Authority. (2023). An 
accessible and secure retail CBDC ecosystem :  Project Sela . 
21 See further in this section for details on the service baskets that a PSP will be required to provide 
for free and for a fee, and additional services for which they can charge a fee. See also section 7.2 
"Cost of Using the digital shekel."</x:v>
      </x:c>
    </x:row>
    <x:row r="111" ht="110" customHeight="1">
      <x:c r="A111" s="46" t="str">
        <x:v>PRD-0038-P0042-U01</x:v>
      </x:c>
      <x:c r="B111" s="46" t="str">
        <x:v>IL_BoI_2024</x:v>
      </x:c>
      <x:c r="C111" s="46" t="n">
        <x:v>42</x:v>
      </x:c>
      <x:c r="D111" s="46" t="str">
        <x:v>en</x:v>
      </x:c>
      <x:c r="E111" s="46" t="str">
        <x:v>text</x:v>
      </x:c>
      <x:c r="F111" s="46" t="str"/>
      <x:c r="G111" s="46" t="str">
        <x:v>The Bank of Israel Steering Com mittee 
for the Potential Issuance of a Digital Shekel 
42 
will transfer part of the merchant fee to the PSP of the payer, and the system will need to 
support this technologically as well.22 
To increase the ability of PSPs to develop a sustainable business model, they will not be 
required to onboard every end user who approaches them but will be allowed to specialise 
in certain user segments. Specialis ation will allow PSPs to focus on developing solutions 
suitable for th e sector in which they specialis e, establish a business model with cross -
subsidisation of act ivities from other areas they operate in, and reduce the cost and 
complexity of meeting "know your customer" obligations. Primarily, PSPs will be able to 
decide whether they choose to serve the private user sector, the business and organisational 
sector, or both. This choice will be recorded in the backend databases as it will be essential, 
for example, for the operation of fee collection mechanisms. Additionally, PSPs will be able 
to specialise in sub-sectors. For example, within the private user sector, a PSP could choose 
to specialis e in members of a certain consumer club, a certain age group, etc.  Within the 
business and organis ational sector, a PSP could choose to serve only businesses from a 
certain industry (e.g., catering or transportation businesses), and so on. 
One area where specialis ation may be reflected is the types of access technology that the 
PSP will provide to its end users. Thus, a PSP serving only private users may not need to offer 
the option of receiving payments via POS, whereas a PSP serving only businesses may not 
need to offer a mobile app. The digital shekel will operate on the principle of universality, 
whereby any end user can pay and receive payment from any other end user, regardless of 
the identity of the PSP of that user or the type of access technology the user employs.23 
Refusal to serve a customer must comply with regulatory provisions and not allow 
unreasonable refusal, particularly discrimination based on religion, race, gender, etc. Any 
end user eligible to connect to the digital shekel system will be able to do so. 24  As a result of 
allowing specialis ation, there may be situations where some end users find that no PSP is 
willing to serve them. The Bank of Israel will monitor the participation rates of the public in 
22 For example, through a technological mechanism that initiates an automatic payment from the 
business to its PSP and from there to the payer's PSP as a resu lt of each end user's payment 
transaction to a business. 
23 For further details, see section 4.2 "Access technology." 
24 See section 3.4.1 on "End Users".</x:v>
      </x:c>
    </x:row>
    <x:row r="112" ht="110" customHeight="1">
      <x:c r="A112" s="46" t="str">
        <x:v>PRD-0038-P0051-U01</x:v>
      </x:c>
      <x:c r="B112" s="46" t="str">
        <x:v>IL_BoI_2024</x:v>
      </x:c>
      <x:c r="C112" s="46" t="n">
        <x:v>51</x:v>
      </x:c>
      <x:c r="D112" s="46" t="str">
        <x:v>en</x:v>
      </x:c>
      <x:c r="E112" s="46" t="str">
        <x:v>text</x:v>
      </x:c>
      <x:c r="F112" s="46" t="str"/>
      <x:c r="G112" s="46" t="str">
        <x:v>The Bank of Israel Steering Com mittee 
for the Potential Issuance of a Digital Shekel 
51 
Any Israeli entity – an individual who is a resident of Israel, 29 a company incorporated  in 
Israel, a non-profit organisation, etc., is eligible to be an end user and hold a digital shekel 
wallet. The necessary condition for this is the ability to undergo a "know your customer" 
procedure by a PSP. The government, through its various entities, will also be an end user 
and hold digital shekel wallet(s). Participants in the system may also hold a wallet and 
operate as end users – for example, as mentioned in section 3.3.2, entities serving as FIs will 
be required to hold a wallet 30 to support their customers' ability t o fund and defund their 
wallets. As such, they can also operate as end users and perform transactions for themselves, 
make payments between them and other financial institutions, and between them and the 
Bank of Israel, including payments requiring final s ettlement (currently done in the RTGS 
system). Consequently, the digital shekel  will also meet the common definition of a 
wholesale CBDC. 
Box 2: Wholesale CBDC, Retail CBDC, and Multipurpose CBDC 
In the CBDC literature and practice, a distinction is commonly made between two types of 
CBDC: wholesale (wCBDC) and retail (rCBDC). In fact, a wCBDC has existed in Israel and many 
other countries for many years31  in the form of money in the current accounts of authorised 
entities in the RTGS system. In contrast, the idea of issuing an rCBDC – a central bank digital 
currency for retail use by the general public – is relatively new. Central banks began 
discussing it in the mid-2010s, partly in response to the emergence of cryptographic assets. 
These assets featured capabilities that were not present in most traditional payment 
systems, such as 24/7 availability, immediacy and finality, and the ability to perform "smart 
payments" based on the capabilities of these assets and the networks on which they operate. 
While, in its basic definition, all that is required for a financial asset to be characterised as a 
CBDC is that it constitutes a liquid digital liability of the central bank, regardless of the 
29 For minors, see section 3.4.2. 
30 Or operate through the wallet of another FI.  
31 Panetta, F. (2022). Demystifying wholesale central bank digital currency.  ECB Speeches, 26.. "There 
is a widespread misconception that wholesale CBDC does not yet exist. In fact, central bank money 
has been available in digital form for wholesale transactio ns between banks for decades. This 
misconception is fuelled by the commonly held assumption that wholesale CBDC needs to be 
operated using DLT. But wholesale CBDC is not synonymous with DLT, as it can be based on any 
digital technology."</x:v>
      </x:c>
    </x:row>
    <x:row r="113" ht="110" customHeight="1">
      <x:c r="A113" s="46" t="str">
        <x:v>PRD-0038-P0060-U01</x:v>
      </x:c>
      <x:c r="B113" s="46" t="str">
        <x:v>IL_BoI_2024</x:v>
      </x:c>
      <x:c r="C113" s="46" t="n">
        <x:v>60</x:v>
      </x:c>
      <x:c r="D113" s="46" t="str">
        <x:v>en</x:v>
      </x:c>
      <x:c r="E113" s="46" t="str">
        <x:v>text</x:v>
      </x:c>
      <x:c r="F113" s="46" t="str"/>
      <x:c r="G113" s="46" t="str">
        <x:v>The Bank of Israel Steering Com mittee 
for the Potential Issuance of a Digital Shekel 
60 
4. Cloud-based interface (cloud API), which will cater to e -commerce, government 
payments, business-to-business payments, etc. 
The backend layer will be indifferent to the type of access technology the end user uses, 
meaning all online payment transactions in the digital shekel system will be processed in the 
same manner, regardless of the type of access technology. Generally, transactions in the 
digital shekel can be performed between any two access technologies, of any type, in both 
Synchronous and Asynchronous manner. If a PSP wishes to offer an access technology where 
it is difficult to maintain this principle in synchronous transactions (for example, a PSP wants 
to offer an access technology in the form of a smart bracelet that does not interface with 
certain POS), the system manager will intervene, assist in finding a solution, and may decide 
to exempt the access technology from this principle if deemed appropriate. 
The access technology will, as much as possible, allow end users to use existing payment 
devices they already have, so they do not need to acquire new hardware. This is particularly 
important in the context of POS, where emphasis will be placed on ensuring that existing 
POS systems also support connection to the digital shekel  system. For this purpose, 
compatibility with the EMV protocol may be required. This will also ensure that the digital 
shekel access technologies are connected to the other operational systems of businesses, 
such as accounting, inventory management, etc. 
Generally, the PSPs will develop the access technologies (themselves or by purchasing them 
from suppliers who develop them) and offer them to end users. The system manager will 
define rules and standards for the access technology offered by the PSPs. Additionally, the 
system manager will define a standard for a basic and accessible access technology,38 which 
can meet the needs of people with disabilities, individuals whose digital literacy is 
insufficient to use access technology such as a smartphone, etc. Any PSP serving the private 
user sector will be required to provide this access technology to its users. If necessary, the 
subsidisation of this device by the Bank of Israel or other state authorities will be considered. 
38 The Bank of Canada coined the term "Universally Accessible Device" (UAD) in this context, see:  
Miedema, J., Minwalla, C., Warren, M., &amp; Shah, D.(2020).  Designing a CBDC for universal access  (No. 
2020-10). Bank of Canada.</x:v>
      </x:c>
    </x:row>
    <x:row r="114" ht="110" customHeight="1">
      <x:c r="A114" s="46" t="str">
        <x:v>PRD-0038-P0063-U01</x:v>
      </x:c>
      <x:c r="B114" s="46" t="str">
        <x:v>IL_BoI_2024</x:v>
      </x:c>
      <x:c r="C114" s="46" t="n">
        <x:v>63</x:v>
      </x:c>
      <x:c r="D114" s="46" t="str">
        <x:v>en</x:v>
      </x:c>
      <x:c r="E114" s="46" t="str">
        <x:v>text</x:v>
      </x:c>
      <x:c r="F114" s="46" t="str"/>
      <x:c r="G114" s="46" t="str">
        <x:v>The Bank of Israel Steering Com mittee 
for the Potential Issuance of a Digital Shekel 
63 
digital shekel wallet. The PSP will forward the request to the FI, and after the FI verifies the 
user's identity and receives their approval to link the account to the wallet, the link will be 
established. Now, the end user can contact the PSP through the user interface provided and 
request to perform the funding. The PSP will send the request to the FI, which will perform 
two actions: 1) Transfer the requested amount of digital shekels from the FI's digital shekel 
wallet (see section 3.3.2) to the end user's digital shekel wallet. 2) As a complementary 
process, the FI will debit the user's account with the funding amount. If the user does not 
have sufficient balance in the account with the FI (or the transaction would bring the user's 
account below the overdraft limit allowed by the FI), the FI will reject the funding request, 
and the user will receive a notification in the PSP interface that the funding was not 
completed. 
When the user has a positive balance in the wallet, they can defund the wallet, which is the 
reverse of the funding, by contacting the PSP, transferring digital shekels from the user's 
wallet to the FI's wallet, and crediting the user's account with the FI. 
A specific case of defunding is called a "Waterfall" operation, and a specific case of a funding 
is called a "Reverse Waterfall". In a case where, following a payment received into the wallet, 
the balance exceeds the allowed balance according to the holding limit39 (or a balance set by 
the user according to their preference), the waterfall mechanism will be activated, and an 
automatic defunding will be performed to bring the wallet balance back to the allowed 
balance. If the end user has not linked an FI acc ount to their wallet or has chosen not to 
activate the waterfall mechanism, the balance cannot exceed the holding limit, and an 
incoming payment transaction that would result in such a situation will be rejected. 
Conversely, the user can predefine that if they wish to make a payment but the wallet 
balance is insufficient (or the payment would bring the wallet balance below a threshold set 
by the user), the reverse waterfall mechanism will be activated, automatically funding the 
wallet from the FI account with the required amount to complete the payment transaction. 
39 See section 7.6.</x:v>
      </x:c>
    </x:row>
    <x:row r="115" ht="110" customHeight="1">
      <x:c r="A115" s="46" t="str">
        <x:v>PRD-0038-P0066-U01</x:v>
      </x:c>
      <x:c r="B115" s="46" t="str">
        <x:v>IL_BoI_2024</x:v>
      </x:c>
      <x:c r="C115" s="46" t="n">
        <x:v>66</x:v>
      </x:c>
      <x:c r="D115" s="46" t="str">
        <x:v>en</x:v>
      </x:c>
      <x:c r="E115" s="46" t="str">
        <x:v>text</x:v>
      </x:c>
      <x:c r="F115" s="46" t="str"/>
      <x:c r="G115" s="46" t="str">
        <x:v>The Bank of Israel Steering Com mittee 
for the Potential Issuance of a Digital Shekel 
66 
the ATM the user approached. 42 In the case of wallet defunding, the user will receive cash 
from the ATM, thereby authorising the mechanism to redeem digital shekels from their wallet 
and issue them to the wallet of the FI operating the ATM. 
In the described mechanism, the Bank of Israel acts as an intermediary between the end user 
and the FI operating the ATM. The possibility of settling the transaction as a transfer of digital 
shekels between the FI and the end user without involving the Bank of Israel was considered, 
but this configuration could raise issues  of privacy and (undesirable) obligations of the FI 
regarding anti-money laundering rules. In the described model, the responsibility for anti-
money laundering aspects lies entirely with the PSP, which has a relationship and business 
engagement with the end user, and the user's privacy vis-à-vis the FI is not compromised. 
If performing an issuance/redemption process for every cash-to-DS or vice versa conversion 
is operationally complex , additional practical solutions will be considered to maintain the 
separation principle between the FI and the end user, such as a temporary account manag ed 
by the central bank or the ATM switch operator. 
As an alternative to an ATM, end users will be able to perform the cash funding and defunding 
as described above at the service counters of any FI, including one where the user does not 
have an account, as long as it has physical branches and provides cash services at the 
counter. 
42 The mechanism can also operate if the ATM operator is not an FI, provided it has an agreement 
with an FI for this purpose.</x:v>
      </x:c>
    </x:row>
    <x:row r="116" ht="110" customHeight="1">
      <x:c r="A116" s="46" t="str">
        <x:v>PRD-0038-P0068-U01</x:v>
      </x:c>
      <x:c r="B116" s="46" t="str">
        <x:v>IL_BoI_2024</x:v>
      </x:c>
      <x:c r="C116" s="46" t="n">
        <x:v>68</x:v>
      </x:c>
      <x:c r="D116" s="46" t="str">
        <x:v>en</x:v>
      </x:c>
      <x:c r="E116" s="46" t="str">
        <x:v>text</x:v>
      </x:c>
      <x:c r="F116" s="46" t="str"/>
      <x:c r="G116" s="46" t="str">
        <x:v>The Bank of Israel Steering Com mittee 
for the Potential Issuance of a Digital Shekel 
68 
4.4. Online Payment Transactions 
An online payment transaction can be performed between any two end users in the 
digital shekel  system. Except in exceptional cases, a PSP cannot initiate a payment 
without explicit authoris ation from the end user. The system will support 
micropayments as well as very high-value payments (e.g., wholesale payments). 
A payment transaction in the digital shekel means reducing the balance in the payer's wallet 
while increasing the balance in the payee's wallet. A payment transaction can be an 
asynchronous – one where only the payer's user interface needs to be active, and no action 
is required of the payee's user interface for the transaction to proceed. Such a transaction 
does not require prior communication between the two end users. The paying end user will 
contact the PSP through the user interface, provide the alias or wallet address of the payee, 
and request to perform a payment for the specified amount to the payee. The payer's PSP 
will perform several necessary checks such as: (1) Ensuring sufficient balance – it will  check 
that the end user's wallet has sufficient balance to perform the payment, and if not, that the 
payer has defined a reverse waterfall mechanism to fund the missing amount from their FI 
account; depending on the transaction characteristics, it may also check (2) Payee identity 
verification – the alias will be presented to the payer to ensure the payment is being 
transferred to the correct payee (confirmation of payee); (3) Compliance with anti -money 
laundering and counter -terrorism financing rules – ensuring the payment does not raise 
concerns of violating anti -money laundering rules; (4) Fraud monitoring – checking the 
payment against the fraud monitoring system. Based on the results of these checks, the PSP 
will either forward the payment request to the settlement engine or reject it. The payee's PSP 
will ensure that the payment opertion does not pose a risk of violating any rules and will also 
ensure that receiving the payment does not push the payee's balance above the allowed 
holding limit,43 and if so, that the payee has defined a waterfall mechanism to receive funds 
into the wallet even if the balance exceeds the limit. If all these conditi ons are met, the 
payment will be executed, and the balances of both users will be updated immediately. 44 
43 This check may be performed by the settlement engine, and the payee's PSP may not be required 
to perform it. 
44 See section 4.5 "Immediacy and Finality" for more details.</x:v>
      </x:c>
    </x:row>
    <x:row r="117" ht="110" customHeight="1">
      <x:c r="A117" s="46" t="str">
        <x:v>PRD-0038-P0078-U01</x:v>
      </x:c>
      <x:c r="B117" s="46" t="str">
        <x:v>IL_BoI_2024</x:v>
      </x:c>
      <x:c r="C117" s="46" t="n">
        <x:v>78</x:v>
      </x:c>
      <x:c r="D117" s="46" t="str">
        <x:v>en</x:v>
      </x:c>
      <x:c r="E117" s="46" t="str">
        <x:v>text</x:v>
      </x:c>
      <x:c r="F117" s="46" t="str"/>
      <x:c r="G117" s="46" t="str">
        <x:v>The Bank of Israel Steering Com mittee 
for the Potential Issuance of a Digital Shekel 
78 
To enable these processes, the user interfaces offered by the PSPs should include the option 
to request a transfer to a bank account and allow entry of account details. Similarly, the user 
interfaces of the banks should include the option to transfer funds to a digital shekel wallet 
and allow the entry of the wallet's alias. The digital shekel will receive an identification code 
within the payment system,57 ensuring that the existing interface at the banks – based on the 
payment institution's identification code and account details or account alias – will be able 
to support these payments in their existing format. 
A special case of transfer between bank accounts and digital shekel wallets and vice versa is 
batch payments. MASAV allows various entities to make payments t o a large number of 
payees – for example, salary and pension payments, supplier payments, and more. Special 
connectivity between the digital shekel  system and MASAV will allow splitting these 
payments also to the payees' digital shekel wallets. For example , an employer paying 
salaries to employees' bank accounts or digital shekel wallets according to their choice 
through the MASAV batch payment system will be able to enter the digital shekel wallet 
details of their employees into the system. MASAV will manage the transfer of funds from the 
employer's bank account to the employees' bank accounts who chose to continue receiving 
their salary in the bank account, and simultaneously – to the digital shekel wallets of those 
who chose to receive the salary in digital shekels. The transfer can be made from both the 
employer's bank account and the employer's digital shekel wallet. This applies not only to 
salary payments but also to any other type of batch payments. For hybrid batch collection 
(debits of both bank acc ounts and digital shekel wallets), for example, a utility company's 
collection from its customers, MASAV will need to receive authoris ation from end users to 
debit their digital shekel wallets in some form. 
57 The identification code will be for the entire digital shekel system, allowing transfers to any wallet 
in the system, regardless of the specific PSP's identity.</x:v>
      </x:c>
    </x:row>
    <x:row r="118" ht="110" customHeight="1">
      <x:c r="A118" s="46" t="str">
        <x:v>PRD-0038-P0085-U01</x:v>
      </x:c>
      <x:c r="B118" s="46" t="str">
        <x:v>IL_BoI_2024</x:v>
      </x:c>
      <x:c r="C118" s="46" t="n">
        <x:v>85</x:v>
      </x:c>
      <x:c r="D118" s="46" t="str">
        <x:v>en</x:v>
      </x:c>
      <x:c r="E118" s="46" t="str">
        <x:v>text</x:v>
      </x:c>
      <x:c r="F118" s="46" t="str"/>
      <x:c r="G118" s="46" t="str">
        <x:v>The Bank of Israel Steering Com mittee 
for the Potential Issuance of a Digital Shekel 
85 
developing.63 Nevertheless, it is possible to outline the necessary features of the digital 
shekel to ensure it can participate in such arrangements if they develop in the future: 
 The messages in the digital shekel system should conform to an international 
standard. Currently, the most common standard is ISO 20022, but it is likely that 
adjustments to a dedicated CBDC standard will be needed. In this regard, it is worth 
noting FATF Recommendation 16, w hich sets "travel rules" for information about 
payment transactions. 
 It should be possible to identify wallets in the digital shekel system according to an 
international identification standard, such as BIC and IBAN. 
 When initiating a payment transaction in the digital shekel system, there should be 
an option to mark the transaction as one leg of a cross -border payment, so that 
relevant rules can be applied . Similarly, this should be possible  when receiving a 
cross-border payment into the digital shekel system. 
 The payment message should be able to include "proof of compliance" – a 
notification from the PSP that it has conducted the required checks regarding anti-
money laundering, counter -terrorism financing, and other checks. Without such 
proof, the payment transaction will not proceed.64 
 A PSP should be able to stop an incoming payment resulting from a foreign payment 
if it cannot verify that the foreign payment has passed the required checks and 
complied with the rules. 
 There should be a mechanism to ensure that the digital shekel payment is returned 
to the end user if the international payment transaction is not completed for reasons 
beyond the control of the digital shekel system. 
 The user should be able to see the exchange rate and the total fees that wil l be 
charged for the payment transaction before approving the transaction. 
 It should be possible to receive confirmation from the international system that the 
foreign payment has been completed and present it to the digital shekel end user. 
63 Connecting the digital shekel to wCBDC systems could also streamline these processes. 
64 See: Bank for International Settlements. (2024). Project Mandala: Streamlining cross -border 
transaction compliance .</x:v>
      </x:c>
    </x:row>
    <x:row r="119" ht="110" customHeight="1">
      <x:c r="A119" s="46" t="str">
        <x:v>PRD-0038-P0089-U01</x:v>
      </x:c>
      <x:c r="B119" s="46" t="str">
        <x:v>IL_BoI_2024</x:v>
      </x:c>
      <x:c r="C119" s="46" t="n">
        <x:v>89</x:v>
      </x:c>
      <x:c r="D119" s="46" t="str">
        <x:v>en</x:v>
      </x:c>
      <x:c r="E119" s="46" t="str">
        <x:v>text</x:v>
      </x:c>
      <x:c r="F119" s="46" t="str"/>
      <x:c r="G119" s="46" t="str">
        <x:v>The Bank of Israel Steering Com mittee 
for the Potential Issuance of a Digital Shekel 
89 
be harmed, the network effect will be reduced, and all these could also limit the innovation 
offered by the digital shekel system as a whole. 
Therefore, the digital shekel system will also offer advanced functionality at its core as a basis 
for supporting participants' ability to offer complex and advanced use cases, as detailed 
further below. This will allow the digital shekel system to enable various participants to 
operate within a 'level playing field.' Consequently, users will be able to enjoy advanced use 
cases even if they are not offered by the PSP managing their wallet (for example, by linking 
the wallet to an ASP), and without any dependence on the identity of the PSP of the end user 
with whom the transaction is conducted. 
5.2.1. Conditional Payments 
A conditional payment is the ability to initiate a payment when predefined conditions are 
met. The process for executing it includes the following steps: 
1. The business logic for performing the payment transaction is defined; 
2. Funds are locked in the payer's wallet (if necessary, depending on the business 
logic); 
3. The realization of the conditions for the payment transaction is monitored; 
4. If the conditions are met, the payment is executed. 
The business logic defined in step 1 above can be classified into three types (table 3): 
5.2.1.1. Time-Based Business Logic 
Initiates a payment transaction when the time condition is met. Given that some time -
sensitive payment transactions require very high precision — down to the second or even 
more precise—and considering potential time discrepancies between participants' systems, 
the system will provide a unified date and time as well as a timestamp on the payment 
transaction. Participants can define paym ent transactions based on the system time, 
ensuring they are triggered when the specified time condition is met.</x:v>
      </x:c>
    </x:row>
    <x:row r="120" ht="110" customHeight="1">
      <x:c r="A120" s="46" t="str">
        <x:v>PRD-0038-P0093-U01</x:v>
      </x:c>
      <x:c r="B120" s="46" t="str">
        <x:v>IL_BoI_2024</x:v>
      </x:c>
      <x:c r="C120" s="46" t="n">
        <x:v>93</x:v>
      </x:c>
      <x:c r="D120" s="46" t="str">
        <x:v>en</x:v>
      </x:c>
      <x:c r="E120" s="46" t="str">
        <x:v>text</x:v>
      </x:c>
      <x:c r="F120" s="46" t="str"/>
      <x:c r="G120" s="46" t="str">
        <x:v>The Bank of Israel Steering Com mittee 
for the Potential Issuance of a Digital Shekel 
93 
Table 4: Involvement of the Core System to Support Various Advanced Functionalities 
Topic Functionality 
Necessary 
Involvement of 
Core System? 
Explanation 
Secondary 
Wallet 
Linking a secondary 
wallet to the primary 
wallet 
No 
Based on the prop osed design of 
the backend layer, an end user can 
open multiple wallets at the 
central database, with the PSP 
managing the hierarchy between 
the wallets. 
Wallet Status 
Management 
Ability to freeze or 
temporarily disable a 
wallet 
Yes 
Given the approach whe re 
multiple PSPs can operate on a 
single wallet in the system, the 
wallet status needs to be managed 
centrally. 
Split Payment 
Split payment – a 
single payment 
transaction to 
multiple 
beneficiaries in one 
transaction 
Yes (partially) 
At a minimum, the system will 
need to support the PSPs ability to 
verify whether the payee are 
existing and valid, as if one 
payment cannot be completed the 
whole transaction needs to be 
aborted. 
Batch payment – a 
series of payments 
from a single entity to 
multiple 
independent 
beneficiaries 
No 
A sequence of payment 
transactions that the PSP can 
transmit independently of the 
system's support. 
Messages 
between 
Participants 
Request to lock / 
Request to Pay  No 
Participants can use existing  
infrastructures for bilatera l 
communication, such as the open 
banking infrastructure. 
 Funding and 
Defunding 
Waterfall Mechanism No 
PSPs will be able to support this 
functionality based on the logic 
defined with the user/system rules 
and the option to perform  
redemption, which will be 
available at core system. 
Reverse Waterfall 
Mechanism 
No 
Payment providers will be able to 
perform a funding (supported by 
the core system ) automatically 
ahead of a payment transaction.</x:v>
      </x:c>
    </x:row>
    <x:row r="121" ht="110" customHeight="1">
      <x:c r="A121" s="46" t="str">
        <x:v>PRD-0038-P0096-U01</x:v>
      </x:c>
      <x:c r="B121" s="46" t="str">
        <x:v>IL_BoI_2024</x:v>
      </x:c>
      <x:c r="C121" s="46" t="n">
        <x:v>96</x:v>
      </x:c>
      <x:c r="D121" s="46" t="str">
        <x:v>en</x:v>
      </x:c>
      <x:c r="E121" s="46" t="str">
        <x:v>text</x:v>
      </x:c>
      <x:c r="F121" s="46" t="str"/>
      <x:c r="G121" s="46" t="str">
        <x:v>The Bank of Israel Steering Com mittee 
for the Potential Issuance of a Digital Shekel 
96 
Expanding accessibility to these areas increases the usability and certainty of using 
the digital shekel  for the entire potential user population, enhancing its 
attractiveness. 
 Redundancy: In the event of an online system failure, the ability to make offline 
digital payments is a crucial component in creating a resilient and stable payment 
system. This reduces dependence on internet and cellular infrastructure and 
increases the overall resilience of the payment system in an era of declining cash 
usage. 
 System performance improvement: Supporting continuous payments, even when 
connectivity issues or disruptions in the central system may arise, will enhance the 
continuity and reliabili ty of the digital shekel system as a whole. Offline payments 
can help reduce the load on the central settlement engine and various system 
components (the weak links, especially during peak hours) and allow for emergency 
maintenance or upgrades to the centr al system without a complete shutdown of 
payment services. 
On the one hand, the use and holding of offline digital shekels reduce certain risks to the 
system by enabling payment capabilities anywhere, regardless of communication with the 
central system, in cluding in emergencies. On the other hand, this capability introduces 
additional risks: 
 Monitoring and enforcement challenges : Offline transactions cannot be 
monitored in real -time, limiting the ability to detect suspicious activities such as 
money laundering or financing of terrorism. Additionally, enforcing holding limits or 
other system policy restrictions is challenging. 
 Data loss and financial risk: In the event of loss or theft of the access technonlog y 
(e.g., a device with an offline digital wallet), there is a significant risk of losing funds. 
Transaction information since the last synchronisation with the PSP system cannot 
be recovered. 
 Vulnerability to physical attacks and counterfeiting: Offline transactions are not 
verified through central system clearing, increasing the risk of theft, robbery, or 
attempts to counterfeit and double spend.</x:v>
      </x:c>
    </x:row>
    <x:row r="122" ht="110" customHeight="1">
      <x:c r="A122" s="46" t="str">
        <x:v>PRD-0038-P0098-U01</x:v>
      </x:c>
      <x:c r="B122" s="46" t="str">
        <x:v>IL_BoI_2024</x:v>
      </x:c>
      <x:c r="C122" s="46" t="n">
        <x:v>98</x:v>
      </x:c>
      <x:c r="D122" s="46" t="str">
        <x:v>en</x:v>
      </x:c>
      <x:c r="E122" s="46" t="str">
        <x:v>text</x:v>
      </x:c>
      <x:c r="F122" s="46" t="str"/>
      <x:c r="G122" s="46" t="str">
        <x:v>The Bank of Israel Steering Com mittee 
for the Potential Issuance of a Digital Shekel 
98 
purpose, ATMs will hold an offline digital shekel wallet72 and allow cash withdrawals against 
offline digital shekels and cash deposits to the offline digital shekel wallet. ATMs will also 
enable software and wallet restrictions updates, among other things, for business continuity 
in case of network failure (assuming the ATM still has communication). Such funding will also 
be possible at some FI counters. 
Every offline wallet will be required to synchronize periodically with the PSP systems. An 
offline wallet that is not synchroni sed according to the rules will be frozen (cannot make 
payments; can receive funds, as long as it does not exceed the holding limit). The 
synchronization requirement will be determined by the volume of outgoing payments:73 The 
secure container will count the amounts of outgoi ng payments from the wallet. After 
reaching the limit, all outgoing payment transactions will be frozen until the wallet is 
synchronised. During synchronization, all transaction data (that is non-anonymous) will be 
uploaded to the PSP systems and deleted from the secure container (data may be saved on 
the user's end device). If necessary, the PSP will update the wallet with changes regarding 
restrictions and limits according to the system manager's instructions, with PSP rules or 
customer requests, software updates, lists of suspicious wallets (in the context of fraud or 
AML), and various other parameters. Merchant fees and other charges related to offline 
payment transactions will be locked in the secure container of the payer, and withdrawn for 
the beneficiary (in the case of merchant fees, the PSP, for example) automatically during the 
synchronization. 
To address various risks, the system can implement restrictions on offline activity 
(transactions and holding). These restrictions can vary by user types an d even at the 
individual user level. PSPs will have the option to set a transaction amount limit (per 
transaction/period) and a holding amount limit in wallets. The PSP will configure the offline 
wallet to prevent receiving amounts that exceed the defined limit, and a wallet in this state 
will not be able to receive funds. When opening any offline wallet, the user will be required 
to allocate part of their general holding limit 74 for the offline wallet. For this purpose, the 
72 Criteria will be set to de cide which ATM operators must provide this functionality and which do 
not. 
73 If a secure solution for using a time counter from the last synchronization will be available  in the 
future, this mechanism will be preferred.  
74 See section 7.6.</x:v>
      </x:c>
    </x:row>
    <x:row r="123" ht="110" customHeight="1">
      <x:c r="A123" s="46" t="str">
        <x:v>PRD-0038-P0118-U01</x:v>
      </x:c>
      <x:c r="B123" s="46" t="str">
        <x:v>IL_BoI_2024</x:v>
      </x:c>
      <x:c r="C123" s="46" t="n">
        <x:v>118</x:v>
      </x:c>
      <x:c r="D123" s="46" t="str">
        <x:v>en</x:v>
      </x:c>
      <x:c r="E123" s="46" t="str">
        <x:v>text</x:v>
      </x:c>
      <x:c r="F123" s="46" t="str"/>
      <x:c r="G123" s="46" t="str">
        <x:v>The Bank of Israel Steering Com mittee 
for the Potential Issuance of a Digital Shekel 
118 
Offline payment transactions and anonymous transactions will not be eligible for 
consumer protection. 
Holding and using cash does not include any consumer protection. In cases of loss, fraud, 
failure to supply the good or service , etc., the user is not entitled to any protection or 
compensation from the Bank of Israel as the issuer of the currency or from any other entity 
in relation to the use of cash as a means of payment. However, in digital payment systems, 
there are rules for the responsibility of service providers and the rights of users, and as a 
digital payment system, the digital shekel  system will be committed to providing 
comprehensive consumer protection to its users and maintaining the reliability and 
efficiency of the system. The purpose of consumer protection is to ensure a safe and reliable 
user experience that aligns with existing payment systems, to strengthen public trust in the 
system, and at the same time to maintain reasonable operating costs. 
PSPs will b ear the primary responsibility for consumer protection in the digital shekel  
system. They will be responsible for identifying and preventing fraud, as well as 
compensating users who have been harmed by misuse events. PSPs wil l be required to 
establish and operate advanced internal fraud detection and monitoring systems. They will 
also need to provide efficient customer service and a quick response to user complaints. 
Alongside the digital shekel  system, a central fraud monitor ing system 83 will operate, 
supporting the PSPs. This system will assist in identifying and preventing fraud at the system 
level, using its ability to analyse unusual activity patterns from a broad perspective. The 
system will enable PSPs to receive alerts about suspicious activity, but it will not replace their 
internal systems nor reduce their responsibility towards end users. Combining the PSP's 
information with the information received from the fraud monitoring system will provide the 
PSP with the ability  to form a holistic picture of the parties involved in the payment 
transaction. 
The responsibility of payment service providers in the digital shekel system will be in 
accordance with the provisions of the Payment Services Law, which applies to financial 
service providers in the existing financial system. In particular, in online transactions, PSP s 
83 For more details, see section 3.2.2.</x:v>
      </x:c>
    </x:row>
    <x:row r="124" ht="110" customHeight="1">
      <x:c r="A124" s="46" t="str">
        <x:v>PRD-0039-P0011-U01</x:v>
      </x:c>
      <x:c r="B124" s="46" t="str">
        <x:v>IL_Israel_#U05d0#U05e8#U05db#U05d9#U05d8#U05e7#U05d8#U05d5#U05e8#U05d4-#U05dc#U05d5#U05d2#U05d9#U05ea-#U05d0#U05e0#U05d2#U05dc#U05d9#U05ea.pdf</x:v>
      </x:c>
      <x:c r="C124" s="46" t="n">
        <x:v>11</x:v>
      </x:c>
      <x:c r="D124" s="46" t="str">
        <x:v>en</x:v>
      </x:c>
      <x:c r="E124" s="46" t="str">
        <x:v>text</x:v>
      </x:c>
      <x:c r="F124" s="46" t="str"/>
      <x:c r="G124" s="46" t="str">
        <x:v>The Bank of Israel Steering Committee 
on the Potential Issuance of a Digital Shekel 
11 
example, they will be able to act as a third party responsible for sending the "trigger" to lock or release funds 
in a conditional payment transaction. 
These entities will not be able to provide payment services based on direct access to the central bank (as 
PSPs can). However, it is not impossible that ASPs will be able to provide digital shekel payment initia tion 
services through the PSP chosen by the customer. The definition of this participant’s role raises the question 
of whether it should be allowed direct technological access to the digital shekel’s core system at the central 
bank, or perhaps to limit its access such that it is carried out only through the PSP in a manner similar to that 
emerging in Open Banking API (for further details on the means of communication between the system 
participants, see Box 1). Additionally, there is a question regarding th e impact of the involvement of this 
participant on the market’s structure (Will there be enough PSPs if it is possible to operate as an ASP? Is there 
a business model for this type of participant? etc.). Some of the issues relate to policy and regulatory 
decisions, rather than architectural implementation.  
Given that the ASP's access to the core system is limited to specific activities, the initial analysis conducted 
within the framework of this document raised the possibility that there may be a situation  in which the 
advantages and efficiency of providing it with direct access to the central bank outweigh the negative aspects 
of the resulting regulatory and technological burden. Therefore, we have chosen at this stage to assume the 
existence of this participant as part of the architecture, including its direct integration into the core system 
of the digital shekel, with the goal of ensuring architectural flexibility. However, this assessment will need to 
be re -examined and tested in the real world in light  of the aforementioned business and regulatory 
questions. In particular, it will need to be understood whether it is possible to achieve the threshold to justify 
the existence of such a "player", namely a regulatory and technological burden that is less than that of a PSP. 
Box 1 – The communication between participants in the digital shekel system 
The digital shekel system will need to support the activity of numerous types of entities, and 
will require two types of communication for proper functioning: 
 Communication between system participants in the private sector and the 
central bank – This communication can be implemented through participants’ direct 
access to the API layer, which is externalized by the central bank from the digital 
shekel platform. (See, for example, BIS, 2023 c). It is reasonable to assume that FIs and 
PSPs will be given the option to directly communicate with the digital shekel platform. 
For example, in order to initiate a payment instruction from an end user or to support 
funding/defunding operations. It is also possible that the activities of these entities 
will be allowed even without direct connection to the system in a configuration of 
indirect participants, but this will of course depend on the existence of participants 
connected directly to the platform.  
Unlike FIs and PSPs, direct communication between an ASP and the central bank is 
not essential, and ultimately the decision whether to allow direct access will depend 
on the existing infrastructure in the economy (for example, the existing and 
developing infrastructure for Open Banking).</x:v>
      </x:c>
    </x:row>
    <x:row r="125" ht="110" customHeight="1">
      <x:c r="A125" s="46" t="str">
        <x:v>PRD-0039-P0014-U01</x:v>
      </x:c>
      <x:c r="B125" s="46" t="str">
        <x:v>IL_Israel_#U05d0#U05e8#U05db#U05d9#U05d8#U05e7#U05d8#U05d5#U05e8#U05d4-#U05dc#U05d5#U05d2#U05d9#U05ea-#U05d0#U05e0#U05d2#U05dc#U05d9#U05ea.pdf</x:v>
      </x:c>
      <x:c r="C125" s="46" t="n">
        <x:v>14</x:v>
      </x:c>
      <x:c r="D125" s="46" t="str">
        <x:v>en</x:v>
      </x:c>
      <x:c r="E125" s="46" t="str">
        <x:v>text</x:v>
      </x:c>
      <x:c r="F125" s="46" t="str"/>
      <x:c r="G125" s="46" t="str">
        <x:v>The Bank of Israel Steering Committee 
on the Potential Issuance of a Digital Shekel 
14 
Table 2 – The functionality required of the digital shekel system 
Functionality Explanation 
CBDC account onboarding Connecting the end user to the digital shekel system. 
Access technology onboarding Provision of the technological means that enables 
access to execute digital shekel operations (smart 
card, telephone app, POS, etc.) 
KYC Procedure Carrying out the Know Your Customer procedure in 
the context of an AML/CFT regime. 
CBDC Issuance &amp; Redemption Issuing and redemption of digital shekels by the 
central bank. 
Settlement Settlement activities of various types: transfer 
between two end users, transfer between an FI and an 
end user as part of the funding stage, etc. 
AML/CFT screening A set of actions that the participant will need to 
perform in order to meet AML/CFT regulatory 
requirements and system rules.  
Fraud prevention A set of actions that the participant is required to 
perform in order to meet consumer protection 
regulatory requirements and system rules.  
Scheme limits enforcement Enforcement of limits, specifically, maximum balance 
holding limits. 
Advanced payments services Support the end user’s ability to carry out advanced 
payment transactions (conditional paym ents, 
periodical payment orders, batch payment, etc.).  
Advanced information services Support the end user’s ability to obtain advanced 
information services: budget management, business 
analysis, etc. 
User interface Support the end user’s ability to manage his digital 
shekel activity (to view his balance, the history of 
transactions, etc.).  
Access technology recovery Support the end user’s ability to recover the access 
technology (for example, the loss of a card or the 
erasure of the cellular device).  
CBDC balance recovery Provide a solution for a situation in which all means of 
access to the system are unavailable to the end user. 
For example, a situation in which a particular PSP is no 
longer active and the syste m will have to support the 
end user’s ability to connect his balance to a new 
payment provider.  
Access technology offboarding Abolish the connection of a particular access device to 
the system.  
CBDC account offboarding Removal of the end user from the digital shekel 
system, at his request.</x:v>
      </x:c>
    </x:row>
    <x:row r="126" ht="110" customHeight="1">
      <x:c r="A126" s="46" t="str">
        <x:v>PRD-0039-P0029-U01</x:v>
      </x:c>
      <x:c r="B126" s="46" t="str">
        <x:v>IL_Israel_#U05d0#U05e8#U05db#U05d9#U05d8#U05e7#U05d8#U05d5#U05e8#U05d4-#U05dc#U05d5#U05d2#U05d9#U05ea-#U05d0#U05e0#U05d2#U05dc#U05d9#U05ea.pdf</x:v>
      </x:c>
      <x:c r="C126" s="46" t="n">
        <x:v>29</x:v>
      </x:c>
      <x:c r="D126" s="46" t="str">
        <x:v>en</x:v>
      </x:c>
      <x:c r="E126" s="46" t="str">
        <x:v>text</x:v>
      </x:c>
      <x:c r="F126" s="46" t="str"/>
      <x:c r="G126" s="46" t="str">
        <x:v>The Bank of Israel Steering Committee 
on the Potential Issuance of a Digital Shekel 
29 
Figure 14 – Example of existing information in the database regarding the user Alice  
Figure 15 – General structure of the information model. 
Examples of model implementation: 
• Case A – To start with, end user Alice holds 20 digital shekels in a wallet provided by PSP A and she 
turns to PSP B (Stage 1, Figure 16) since she wants to onboard with them as well, and define B as the 
default wallet for receiving digital shekel payments. 22 PSP B turns to the digital shekel system (Stage 
2) and requests to establish an additional wallet for Alice's encrypted identity (Alice'). The digital 
shekel system establishes the additional wallet in the database (Stage 3). 
22 While the user can choose the PSP for carrying out any payment transaction, it will likely be necessary to define a PSP 
as the default in  the receipt of payments. In this way, the payer will only need to know the payee’s general address 
without having to know anything else about the various PSPs with which the payee is a customer.</x:v>
      </x:c>
    </x:row>
    <x:row r="127" ht="110" customHeight="1">
      <x:c r="A127" s="46" t="str">
        <x:v>PRD-0039-P0036-U01</x:v>
      </x:c>
      <x:c r="B127" s="46" t="str">
        <x:v>IL_Israel_#U05d0#U05e8#U05db#U05d9#U05d8#U05e7#U05d8#U05d5#U05e8#U05d4-#U05dc#U05d5#U05d2#U05d9#U05ea-#U05d0#U05e0#U05d2#U05dc#U05d9#U05ea.pdf</x:v>
      </x:c>
      <x:c r="C127" s="46" t="n">
        <x:v>36</x:v>
      </x:c>
      <x:c r="D127" s="46" t="str">
        <x:v>en</x:v>
      </x:c>
      <x:c r="E127" s="46" t="str">
        <x:v>text</x:v>
      </x:c>
      <x:c r="F127" s="46" t="str"/>
      <x:c r="G127" s="46" t="str">
        <x:v>The Bank of Israel Steering Committee 
on the Potential Issuance of a Digital Shekel 
36 
• The system will support the participation of various types of FIs, whether or not they are connected 
to the RTGS system. 
• The activity of an ASP participant on the basis of the proposed functionality in the digital shekel  
system will be limited to a small number of operations, with the goal of minimizing the regulatory 
and technological burden on such participants within the system. 
• The system will be designed in such a way that it strives, as much as possible, to establis h the 
necessary communication between system participants for preliminary or complementary activities 
to those carried out on the digital shekel platform (checking the balance in an FI account before 
funding, activating the Waterfall mechanism in case of a n operation causing a deviation from the 
holding limit, etc.) based on the existing (and future) infrastructure for communication between 
entities in the payment system, such as the Open Banking API. However, if it is found that the existing 
channels do no t allow for the required functionality and efficiency in this communication, 
alternatives will be considered (improving existing infrastructure and adapting it to the needs of the 
digital shekel system, communication via the digital shekel platform, etc.). 
The distribution model: 
• The Bank of Israel will utilize an indirect distribution model for distributing digital shekels to the 
public, through the FIs.  
• The digital shekel system will support a universal solution for converting between cash and digital 
shekels without relying on the end user's bank account or its existence in general. The thresholds for 
using this universal solution will need to be determined based on various business and regulatory 
considerations. Nevertheless, the system will also suppor t conversion based on a two-step process 
of depositing cash into the end user's bank account or withdrawing cash from it, followed by funding 
or defunding against the money in the account. 
Principles for designing the backend layer: 
• The backend layer will be designed with a clear distinction between the settlement engine and the 
broader database, which the central bank will decide whether and how to manage. 
• The system will support a configuration such that as a default the minimum information transferred 
from the participants to the central bank for operations in digital shekels will be that required for 
settlement by the central bank. 
• The system will also support a possible expansion whereby the central bank can decide that the 
message received from the PSP will also include additional characteristics of the transaction or the 
user, as long as these cannot be used to expose the user's identity. 
• Characteristics of the central database:  
 The central bank will have the exclusive authority to make changes to the central database, while 
participants from the private sector will have read -only access, according to end -user 
authorizations and the system’s rulebook. 
 The structure of the central database will include a unique identifier for each system user, along 
with all associated sub -accounts or indexes that belong to him, along with the value available 
for use in each index and in total.</x:v>
      </x:c>
    </x:row>
    <x:row r="128" ht="110" customHeight="1">
      <x:c r="A128" s="46" t="str">
        <x:v>PRD-0040-P0002-U01</x:v>
      </x:c>
      <x:c r="B128" s="46" t="str">
        <x:v>IN_RBI_2025</x:v>
      </x:c>
      <x:c r="C128" s="46" t="n">
        <x:v>2</x:v>
      </x:c>
      <x:c r="D128" s="46" t="str">
        <x:v>en</x:v>
      </x:c>
      <x:c r="E128" s="46" t="str">
        <x:v>text</x:v>
      </x:c>
      <x:c r="F128" s="46" t="str"/>
      <x:c r="G128" s="46" t="str">
        <x:v>2 
and by following the App instructions. Detailed instructions on using the e₹ wallet 
can be checked with the banks and non-banks providing the wallet. Payments to 
merchants can be made by scanning either the CBDC QR code or the UPI QR 
code available at the respective merchant location. 
3. What is an e₹ Wallet?  
e₹ wallet is a digital wallet that can be opened on one’s mobile phone/device.  e₹ 
wallet stores the Digital Rupee, similar to the physical wallet/purse that stores the 
physical currency. e₹ wallets are being currently provided by banks and non-banks, 
which are part of the retail CBDC pilot. 
4. Are e₹ wallets safe? 
e₹ wallets are  safe and secure. There is a robust cyber -security framework to 
ensure that e₹ is kept secure in the user’s wallet. The e₹ stored in the e₹ wallet is 
safe even if the mobile device on which the e₹ wallet is installed is lost . The e₹ 
wallet can be recovered using the same phone number  / SIM on a new mobile 
device. 
5. Which mobile operating system platform does e₹ wallet currently support? 
e₹ wallet is available and supported both on Android and iOS mobile devices.  
6. How is Digital Rupee created and issued? 
Creation and issuance of retail e₹ is identical to the arrangement for issuance of 
paper currency i.e. , RBI creates e₹ and issues them to banks  and non- banks 
electronically. Banks and non- banks, thereafter, are responsible for facilitating  
onboarding and opening e₹ wallets for their customers on their mobile phones. The 
e₹ issuance, distribution, and usage within the retail segment (for members of the 
public) is live in pilot mode with effect from December 1, 2022. The users and 
merchants of identified pilot banks and non-banks across the country can use e₹. 
7. What do the e₹ pilots aim to achieve? 
The e₹ pilot s are a limited scale, controlled roll-out, to test the technology , 
architecture, scalability, application , features, use-cases and acceptance of e₹. 
The pilot s aim to  test the robustness of the entire process of e₹  creation, 
distribution, usage, etc.</x:v>
      </x:c>
    </x:row>
    <x:row r="129" ht="110" customHeight="1">
      <x:c r="A129" s="46" t="str">
        <x:v>PRD-0040-P0004-U01</x:v>
      </x:c>
      <x:c r="B129" s="46" t="str">
        <x:v>IN_RBI_2025</x:v>
      </x:c>
      <x:c r="C129" s="46" t="n">
        <x:v>4</x:v>
      </x:c>
      <x:c r="D129" s="46" t="str">
        <x:v>en</x:v>
      </x:c>
      <x:c r="E129" s="46" t="str">
        <x:v>text</x:v>
      </x:c>
      <x:c r="F129" s="46" t="str"/>
      <x:c r="G129" s="46" t="str">
        <x:v>4 
15. Are there any charges/fees for using e₹? 
There are no charges or fees associated with using e₹ or e₹ wallets.  
16. Whom can one reach out to for support/disputes related to e₹? 
Users can raise disputes via their e₹ wallet app or reach out to their customer care 
centre.  
17. Will interest be paid on the ₹ balances in the e₹ wallet?  
Given the cash -like features of e₹, there is no interest payable on the wallet 
balances. 
18. Whether e₹ is legal tender?  
In terms of Section 26 of the Reserve Bank of India (RBI) Act, 1934, every e₹ bank 
note shall be legal tender at any place in India in payment or on account for the 
amount expressed therein and is guaranteed by the Central Government. e₹, being 
a digital form of the ₹ bank note, is legal tender and is the liability of Reserve Bank 
of India. 
19. Is there any difference between e₹ and UPI? 
e₹ is a digital form of ₹ whereas UPI is a means of payment. In addition to being 
used for payments, e₹ also serves as a ‘store of value’ , i.e., e₹ can be withdrawn 
from one’s bank account and kept separately in the e₹ wallet.  
In the case of P2P and P2M payments made at any CBDC QR, the transactions 
happen between two e₹ wallets, and are settled instantaneously without passing 
through user’s bank accounts. 
For P2P and P2M payments, the functionality of scanning a UPI QR from an e₹ 
app has also been enabled. In such cases, the settlement will be based on the UPI 
settlement timelines.  
20. What is offline feature of e₹?  
The offline feature of e₹ enables the user to transact in locations with limited or no 
internet connectivity. It is expected to mirror the advantages of physical cash, 
making it a reliable solution for usage in remote areas.  Currently, different 
solutions are being explored. One solution facilitates transactions without internet 
but still requires  telecom connectivity, while another solution facilitates 
transactions leveraging NFC communication on merchant POS terminals.</x:v>
      </x:c>
    </x:row>
    <x:row r="130" ht="110" customHeight="1">
      <x:c r="A130" s="46" t="str">
        <x:v>PRD-0041-P0011-U01</x:v>
      </x:c>
      <x:c r="B130" s="46" t="str">
        <x:v>IS_CBI_2018</x:v>
      </x:c>
      <x:c r="C130" s="46" t="n">
        <x:v>11</x:v>
      </x:c>
      <x:c r="D130" s="46" t="str">
        <x:v>en</x:v>
      </x:c>
      <x:c r="E130" s="46" t="str">
        <x:v>text</x:v>
      </x:c>
      <x:c r="F130" s="46" t="str"/>
      <x:c r="G130" s="46" t="str">
        <x:v>RAFKRÓNA?
11
II 1 Properties of the rafkróna
Technologically, there is little to prevent the Central Bank from issuing 
a rafkróna with the following properties:
• Available to the general public.
• Represents the holder’s claim against the Central Bank.
• Accessible 24/7/365, and in real time. 
This report discusses two different ways of issuing a rafkróna: 
a), as base money; b) as a registered, traceable deposit to a payment 
account with the Central Bank, hereinafter referred to as a rafkróna 
account. The rafkróna would be available to the public either year-
round or only in case of emergency, as an element in financial system 
contingency measures in response to a major interruption in the 
electronic payment service or to a financial crisis. It is likely that using 
the rafkróna as a prudential tool would be consistent with the Central 
Bank’s legal mandate.10 But the law should be interpreted with caution 
in this respect, as the ultimate design or technological execution could 
be a determining factor.
a) Electronic base money
A simple type of rafkróna that would have properties similar to those 
of conventional cash. Balances would be stored in a card or smart-
phone (some type of digital wallet). If the card or smartphone should 
be stolen or destroyed, the balance would be lost, just as it would be 
lost if an individual lost a wallet containing conventional cash. The 
rafkróna can be either anonymous or a traceable payment instrument. 
Giving it the status of legal tender would require a statutory amend-
ment. Rafkrónur issued in this manner would be a claim against the 
Central Bank.
b) Rafkróna accounts
Rafkrónur would be entered to rafkróna accounts with the Central 
Bank, in a manner similar to deposits with a commercial bank. Owners 
of rafkróna accounts with the Central Bank would have access to their 
funds through a payment instrument such as a card or smartphone. 
If the card or smartphone should be lost, stolen, or destroyed, the 
impact would be limited, as the account balance would be registered 
in the Central Bank database in the same manner as a deposit with a 
commercial bank. This would make rafkrónur traceable. The Central 
Bank itself could be a payment service provider in accordance with 
the Payment Services Act, or it could entrust other payment service 
providers with this task (banks, for example).  
Issuing the rafkróna on this basis would probably require more 
extensive amendments to the Act on the Central Bank of Iceland, no. 
36/2001, than issuing digital base money would.11 It can be assumed 
10.  See, for example, Article 4, Paragraph 2 and Article 5 of the Act on the Central Bank of 
Iceland, no. 36/2001, and Article 5, Item 8(c) of the Act on Issuance and Treatment of 
Electronic Money, no. 17/2013. It should be noted, however, that only banknotes and coin 
have the status of legal tender by law; cf. Article 5, Paragraph 2 of Act no. 36/2001 and 
Article 3 of the Act on Iceland’s Currency, no. 22/1968. 
11. Various substantive provisions of the law would have to be assessed in connection with 
rafkróna issuance. An example is Article 17, Paragraph 2, which states that the Central 
Bank may not undertake transactions with individuals or companies that, according to law, 
custom, or the nature of the case, are considered the function of others.</x:v>
      </x:c>
    </x:row>
    <x:row r="131" ht="110" customHeight="1">
      <x:c r="A131" s="46" t="str">
        <x:v>PRD-0041-P0024-U01</x:v>
      </x:c>
      <x:c r="B131" s="46" t="str">
        <x:v>IS_CBI_2018</x:v>
      </x:c>
      <x:c r="C131" s="46" t="n">
        <x:v>24</x:v>
      </x:c>
      <x:c r="D131" s="46" t="str">
        <x:v>en</x:v>
      </x:c>
      <x:c r="E131" s="46" t="str">
        <x:v>text</x:v>
      </x:c>
      <x:c r="F131" s="46" t="str"/>
      <x:c r="G131" s="46" t="str">
        <x:v>RAFKRÓNA?
24
The part of monetary policy that centres on liquidity manage-
ment could be profoundly affected by the issuance of rafkrónur, par -
ticularly during periods when uncertainty about financial institutions’ 
position led to capital outflows from them and to the Central Bank, as 
is discussed in Chapter V 3.
V 2 Impact of interest on rafkróna accounts 
If the Central Bank paid interest on individuals’ rafkróna account bal-
ances, it would be necessary to examine the impact on the commercial 
banks’ deposit and lending rates. The commercial banks could need 
to offer higher deposit rates so as to avoid losing deposit business to 
the Central Bank. The smaller the differential between interest rates 
on financial institutions’ deposit accounts with the Central Bank and 
the rates on rafkróna accounts, the greater than impact would be. On 
the other hand, it would be possible to impose a cap on individuals’ 
rafkróna account balances (a maximum balance). Such a provision 
could reduce the risk of a run on the banks, thereby mitigating the 
risk to financial stability, but it would also mean deviating from the 
custom of always satisfying demand for banknotes and coin.44 Higher 
commercial bank deposit rates could also prompt the banks to raise 
their lending rates in a bid to recoup the lost income from interest 
rate spreads. This, in turn, could have a dampening effect on demand 
for credit. Provisions on maximum balances and positive or negative 
financial shocks can also affect both demand for rafkrónur and the 
public’s willingness to keep money on deposit with the central bank 
rather than with commercial banks. 
Interest on rafkróna/e-currency accounts with the central bank 
could also function as a supplemental monetary policy instrument. It 
might be possible to achieve the same objectives with other conven-
tional central bank tools.
V 3 The rafkróna and financial stability 
Deposit institutions are vulnerable to shocks because they issue long-
term loans that they often fund to a large extent with short-term 
deposits. In other words, the duration of their liabilities is often shorter 
than the duration of their assets. In addition, the assets (i.e., the loans 
they grant) can often be illiquid during times of financial uncertainty. 
This can cause a deposit institution to suffer liquidity problems even if 
it is well run and financially strong. 45
Large financial institutions’ insolvency can trigger a chain 
reaction affecting assets and liability in the economy as a whole. 
In addition, it can disturb payment intermediation and cause chaos 
if members of the public have difficulty paying for goods and ser -
vices. These two factors are the core of what is meant by the term 
“systemically important” financial institutions. This can give rise to a 
general consensus or widely held belief that, if push comes to shove, 
the authorities will protect large deposit institutions from failing — in 
44. Sveriges Riksbank’s September 2017 report on e-currencies recommends against such 
restrictions on the grounds that they would complicate matters, particularly during times 
of financial uncertainty. 
45. See, for example, Diamond, D.W. and Dybvig, P .H. (June 1983), pp. 401-409.
Year
1. Weighted average duration of the systemically important banks’ 
assets and liabilities. Parent company figures are taken from monthly 
balance sheet summaries.
Source: Central Bank of Iceland.
Chart V-2
Weighted average duration of systemically 
important banks’ assets and liabilities1
Parent company liabilities
Parent company assets
0.0
0.5
1.0
1.5
2.0
2.5
3.0
3.5
2018201720162015</x:v>
      </x:c>
    </x:row>
    <x:row r="132" ht="110" customHeight="1">
      <x:c r="A132" s="46" t="str">
        <x:v>PRD-0042-P0015-U01</x:v>
      </x:c>
      <x:c r="B132" s="46" t="str">
        <x:v>IT_BdI_MISP_2021</x:v>
      </x:c>
      <x:c r="C132" s="46" t="n">
        <x:v>15</x:v>
      </x:c>
      <x:c r="D132" s="46" t="str">
        <x:v>en</x:v>
      </x:c>
      <x:c r="E132" s="46" t="str">
        <x:v>text</x:v>
      </x:c>
      <x:c r="F132" s="46" t="str"/>
      <x:c r="G132" s="46" t="str">
        <x:v>1312
to be thoroughly analysed as well. For example, a shift from commercial bank 
to D€ holdings might increase the cost of funding for banks and might result 
in higher interest rates on bank loans, potentially reducing the volume of bank 
credit to the economy.
In the context of the Eurosystem, Banca d’Italia, jointly with the other central 
banks, promotes the security and efficiency of payment systems by carrying 
out payment system oversight, directly provisioning payment clearing and 
settlement services (both in wholesale and retail scenarios) or performing the role 
of catalyst. According to the Eurosystem oversight policy framework, as payment 
instruments and payment schemes are an integral part of payment systems, the 
Eurosystem includes these in central bank oversight of payment systems.
With reference to the retail payments landscape, the rapid changes that 
characterize this sector require the Eurosystem to promote innovation, paying 
attention to the connected risk profiles and their mitigation. In this context, the 
issuance of the digital euro could increase the range of innovative payment 
services available to citizens, market operators and businesses, introducing a 
secure payment instrument that would complement cash and other existing 
electronic means of payment, without replacing them.
Cultural trends, such as the one that is being observed in northern European 
countries, or temporary shocks, such as the one caused by the COVID-19 
pandemic, push towards a shift in payment habits and represent a driver for 
the public to willingly substitute cash in favour of alternative electronic means 
of payment. The introduction of a D€ could represent an effective response in 
the face of a possible sharp decline in the usage of cash connected to structural 
or cyclical phenomena, 16 offering an additional form of public and risk-free 
money to European citizens.
Moreover, the D€ could enhance cross-border payments and allow smoother 
exchanges with other currency areas. However, should the D€ be made 
available for cross-border and cross-currency operations, one should keep in 
mind that this could affect financial stability in various ways, which would 
need to be properly investigated in order to prevent undesired spillovers and 
additional international linkages.
In addition to the effects on the main objectives of the Eurosystem described 
above, the D€ would have an impact on some other aspects that are not part 
of the traditional set of objectives of the Eurosystem. 
On the one hand, the D€ could give a major forward impulse to the digitalization 
of the European Union (EU), as its issuance could facilitate the development of 
16 See the HLTF Report on a digital Euro, European Central Bank (2020b) and Study on the payment attitudes of consumers 
in the euro area (SPACE), European Central Bank (2020a). According to the SPACE report, in 2019 adult consumers in 
the euro area used cash for 73% of their retail transactions (48% in value terms). Both figures declined with respect to 
2016, when, according to a previous ECB study (see European Central Bank, 2017: “The use of cash by households in the 
euro area”), cash accounted for 79% of transactions (54% in value terms). The gradual shift towards cashless payments 
has gained momentum due to the COVID-19 pandemic. According to an ad hoc survey carried out by the ECB in July 
this year, four out of ten respondents replied that they had used cash less often since the start of the pandemic.</x:v>
      </x:c>
    </x:row>
    <x:row r="133" ht="110" customHeight="1">
      <x:c r="A133" s="46" t="str">
        <x:v>PRD-0042-P0020-U01</x:v>
      </x:c>
      <x:c r="B133" s="46" t="str">
        <x:v>IT_BdI_MISP_2021</x:v>
      </x:c>
      <x:c r="C133" s="46" t="n">
        <x:v>20</x:v>
      </x:c>
      <x:c r="D133" s="46" t="str">
        <x:v>en</x:v>
      </x:c>
      <x:c r="E133" s="46" t="str">
        <x:v>text</x:v>
      </x:c>
      <x:c r="F133" s="46" t="str"/>
      <x:c r="G133" s="46" t="str">
        <x:v>18
The introduction of a limit on individual holdings could mitigate the risks 
of undesirable fallouts for the banking system and serve AML/CFT purposes. 
The implications of a tiered remuneration and/or limits to individual holdings 
are still being investigated by the HLTF-CBDC and the relevant Eurosystem 
Committees. Regardless of the conclusions of this investigation and the 
Eurosystem’s final decision, it is clear that the design of the D€ should allow 
for the possibility of applying limits to holdings and/or tiered remuneration.
The ever-rising use of electronic payments means that the Eurosystem should 
include cash-like features in the design of its digital currency, to ensure the 
financial inclusion of unbanked people (and possibly non EU-residents, too). 
The D€ should protect the privacy of transactions; at the same time it should 
comply with the existing regulations on anti-money laundering (AML) and 
combating the financing of terrorism (CFT), which includes the customer 
due-diligence (CDD) obligations. The design of the D€ should strike the right 
balance between privacy and AML/CFT compliance.
To ensure the proper functioning of the payment system, the D€ should be 
sheltered from cyber threats and other extreme events. It is therefore of the 
utmost importance to complement its infrastructure with advanced business
continuity solutions and innovative cyber resilience controls, while digital 
wallets, cards and other possible devices must be tamper-proof and protected
via cryptographic techniques to the extent possible.
Cost impacts and the ecological footprint of the D€ are two further aspects 
that should be kept in mind when designing any technological solution; as 
to the former, it may be desirable to “reuse” an already existing Eurosystem 
infrastructure; as to the latter, solutions such as the mining mechanism typical 
of some DLTs should be avoided.
2.2. two complementAry ApproAches: A centrAlized Account-
bAsed model And A token-bAsed model
The D€ design should take into account the characteristics 
described in the previous section and the results of the 
public consultation launched by the ECB at the end of 2020 
(European Central Bank, 2021a). 
While the intrinsic characteristics of the D€ should per se 
guarantee an efficient and secure means of payment, both at 
a national and a European level, regarding privacy, it must 
be pointed out that there could be different degrees of it in 
transactions. These include completely anonymous payments 
for cash transactions where there is no link between the identity 
of the payer and the possession of the banknotes, and electronic 
payments that are known only to the payer and payee, but that for 
purposes of verification by the judicial authorities could be possibly 
linked to the parties’ identities.
Scoring a record participation for 
an ECB public consultation of over 
8,200 responses, the consultation 
on a digital euro cast light on 
the main characteristics of the 
digital euro according to citizens 
and professionals: privacy (43%), 
followed by security (18%), pan-
European usability (11%), the 
absence of additional costs (9%) 
and availability offline (8%).
ECB PUBLIC 
CONSULTATION</x:v>
      </x:c>
    </x:row>
    <x:row r="134" ht="110" customHeight="1">
      <x:c r="A134" s="46" t="str">
        <x:v>PRD-0042-P0026-U01</x:v>
      </x:c>
      <x:c r="B134" s="46" t="str">
        <x:v>IT_BdI_MISP_2021</x:v>
      </x:c>
      <x:c r="C134" s="46" t="n">
        <x:v>26</x:v>
      </x:c>
      <x:c r="D134" s="46" t="str">
        <x:v>en</x:v>
      </x:c>
      <x:c r="E134" s="46" t="str">
        <x:v>text</x:v>
      </x:c>
      <x:c r="F134" s="46" t="str"/>
      <x:c r="G134" s="46" t="str">
        <x:v>24
disposal. The residual amount of D€ stored on the card may be converted back 
into the foreign currency. 
A public key identifies each position and users own a private key that makes it 
possible to sign operations and to prove the ownership of a position in the system. 
The use of a public key to reference a position implies that a pseudonym 40 in 
the central system is the only information that TIPS+ needs to work properly. 
Moreover, to effectively remunerate positions and set limits on holdings at 
the centralized level, one should make sure that users can only hold a single 
position in the system. This can be achieved, for instance, by enhancing the 
TIPS+ platform with a centralized directory used to identify the same entity 
across different gatekeepers.
TIPS+ does not place any technical constraint regarding forms of intermediation, 
such as settlement agents or gatekeepers. An intermediary organization 
can play the role of an access point for the CBDC: it may own a private 
registry of identities that maps positions in the TIPS+ system or provide a  
value-added service for the storage of private keys on users’ behalf. For instance, 
gatekeepers could create some technical positions linked to prepaid services 
(physical cards or token-based mechanisms). Customers can buy these prepaid 
services from their intermediaries or authorized shops (users’ identities may or 
may not be traceable, depending on the policymaker’s preferences). Services 
of this kind can favour the inclusion of the unbanked and allow the usage of 
the D€ by non-resident people in the euro zone, similar to current currency 
exchange offices. 
Intermediaries provide access to the central platform, however D€ is a central 
bank liability and the Eurosystem may be accountable to customers that are 
unable to access their positions in TIPS+. 41 For instance a gatekeeper may be 
unavailable or unexpectedly/suddenly quit the business. 
In these situations, customers might not be able to access their positions in 
TIPS+, so it is fundamental to consider solutions that allow them to access the 
central platform even in a contingency scenarios.
For example, the Eurosystem may provide a shared database 42 with customer 
information in order to enable the migration of end users from a previous 
unreachable gatekeeper to a new one.43
40 The pseudonym is an identifier for each end user from which it is impossible to derive any end user personal data. 
All the pseudonyms would be stored in a directory at Eurosystem level, while personal data would remain under the 
responsibility of the gatekeepers that are in charge of the onboarding and identification of the users (KYC). 
41 As previously said, the digital euro would be a central bank liability, issued by the Eurosystem as a digital representation 
of cash and therefore a risk-free form of central bank money, regardless of the technical solution chosen.
42 A database for customer data would be shared among gatekeepers. Each gatekeeper would be allowed to handle 
only the portion of information it owns. From a technical point of view, this database could be implemented with a 
blockchain technology, considering that the main requirements for such a service are resilience and security.
43 Eurosystem may reallocate, inside the shared database, customer information that belong to an unavailable gatekeeper 
to a new active gatekeeper.</x:v>
      </x:c>
    </x:row>
    <x:row r="135" ht="110" customHeight="1">
      <x:c r="A135" s="46" t="str">
        <x:v>PRD-0042-P0028-U01</x:v>
      </x:c>
      <x:c r="B135" s="46" t="str">
        <x:v>IT_BdI_MISP_2021</x:v>
      </x:c>
      <x:c r="C135" s="46" t="n">
        <x:v>28</x:v>
      </x:c>
      <x:c r="D135" s="46" t="str">
        <x:v>en</x:v>
      </x:c>
      <x:c r="E135" s="46" t="str">
        <x:v>text</x:v>
      </x:c>
      <x:c r="F135" s="46" t="str"/>
      <x:c r="G135" s="46" t="str">
        <x:v>26
UTXO-based data model, 45 the fee structure, the cryptographic primitives 
and the scripting capabilities are the same; (iii) ownership of the funds is 
attested by means of knowledge of some secret cryptographic information 
(e.g. private keys); in order to transfer ownership, it is necessary and 
sufficient to prove this knowledge to the ledger; (iv) the prototype does not 
implement remuneration (i.e., the interest rate is set to 0%).46
As in the case of the TIPS+ platform, Table 2 provides 
the facet-based classification of the D€ that circulates 
on itCoin, without addressing the issues linked with 
offline usage.
Thanks to the previously mentioned ecosystem of 
protocols and applications, the itCoin-based D€ 
would be able to offer, among others, the following 
key characteristics:
 – it would replicate some distinctive features 
of cash in the digital domain. In particular, and 
depending on certain policy design choices, 
the D€ could be designed to be easy to use for 
vulnerable groups, free of charge for basic use and, 
furthermore, it could provide a very high level of 
privacy protection;
 – much freedom could be left to market operators, 
such as supervised intermediaries and Fintech players, 
paving the way for the possibility of building high value-added 
services on top of the central bank core infrastructure, by means of 
a widely and directly accessible open ledger, that resorts to well-known
and state-of-the-art cryptographic technologies, inherited from Bitcoin.  
In this way, the D€ could have features that are at the technological frontier 
and offer the basis for providing functionalities that are at least as attractive 
as those of the payment solutions available in foreign currencies or through 
unregulated entities.
45 The Unspent Transaction Output data model is an abstraction to implement a token-based system. Each UTXO is 
analogous to a coin, and holds a certain amount of value. It also represents a chain of ownership implemented as a 
chain of digital signatures where the owner signs a transaction transferring ownership of their UTXO to the receiver's 
identifier. The term UTXO refers to the output of a blockchain transaction that has not been spent and can be used as 
an input in a new transaction.
46 In principle, other modifications to the protocol may be implemented, e.g. remuneration on a UTXO ledger 
could be theoretically envisioned. Nevertheless these changes are: i) incompatible with the ecosystem of 
applications that are already available in open-source, such as wallets, layer-2 nodes, etc., that in case of 
significant deviations will have to be heavily readapted; ii) an obstacle, and to some extent a “technical debt”, 
to the merging of new and innovative features that will be developed in the future with the original protocol. 
As long as itCoin maintains a high compatibility with the Bitcoin protocol, any technological innovation that is 
developed in open-source for the Bitcoin protocol may be easily ported to the itCoin solution, also thanks to the 
strong commitment to long-term backward-compatibility of the Bitcoin project. This would allow the itCoin D€ 
to stay at the technological frontier of crypto-assets and stable-coin while retaining technological control of the 
solution. For these reasons, the choice has been to reduce to the bare essentials the number of modifications of 
the itCoin prototype with respect to Bitcoin. 
A blockchain is an ordered list 
of append-only records that 
contain transaction data. The 
blocks are linked together using 
cryptography: each block has 
a reference to the previous 
one, thus forming a chain, and 
the link is implemented using 
a cryptographic hash function. 
The data contained in a block 
cannot be altered retroactively 
without altering all subsequent 
blocks. Each block also contains 
a timestamp, which can be used 
to prove that the transaction 
data existed when the block was 
added to the blockchain.
BLOCKCHAIN</x:v>
      </x:c>
    </x:row>
    <x:row r="136" ht="110" customHeight="1">
      <x:c r="A136" s="46" t="str">
        <x:v>PRD-0042-P0030-U01</x:v>
      </x:c>
      <x:c r="B136" s="46" t="str">
        <x:v>IT_BdI_MISP_2021</x:v>
      </x:c>
      <x:c r="C136" s="46" t="n">
        <x:v>30</x:v>
      </x:c>
      <x:c r="D136" s="46" t="str">
        <x:v>en</x:v>
      </x:c>
      <x:c r="E136" s="46" t="str">
        <x:v>text</x:v>
      </x:c>
      <x:c r="F136" s="46" t="str"/>
      <x:c r="G136" s="46" t="str">
        <x:v>28
iii) visible to any user of the ledger, including retail users; 
iv) supported only within transactional limits, i.e., there is only a limited 
number of on-ledger transactions per unit of time that can be processed, 
such as 50 TPS. Similarly to Bitcoin, in order to prevent overload or abuses 
of the system (e.g. denial of service attacks to the open ledger system), 
there is a transaction fee mechanism in place, whereby users will have to 
bid for on-ledger transactional capacity;49
v) used to transfer a particular form of itCoin D€, called “on-ledger liquidity”, 
i.e., the D€ variety that circulates on the itCoin ledger, the core back-end 
infrastructure operated by the Eurosystem.
Because of the above characteristics, the authors foresee that the on-ledger 
transactions would not be a convenient form of payment to be used in the retail 
market and would be typically employed by intermediaries for gross settlement 
of large-value payments, or for settling the final net positions of many small 
value payments. In particular, the limited throughput and high latency would 
make on-ledger transactions unsuitable for use in everyday payments. In 
addition, the ledger is public and readable by everyone, and for this reason the 
techniques needed to preserve privacy and confidentiality on a public ledger 
are sophisticated and would require ad-hoc technical skills,50 which are likely 
not present in an average retail user. Finally, the transaction fee mechanism 
would make this system unpalatable for the retail market.
In fact, the itCoin infrastructure would be one layer of the system, built by the 
Eurosystem for intermediaries, which in turn would be in charge of building, 
on top of it, a layer for retail users. It is crucially important to highlight that 
the itCoin ledger would offer programming capabilities, 51 paving the way for 
the development of innovative smart-contracts applications by the market, 
including, but not limited to, payment applications. Among many others, the 
programmability model of itCoin would support the development of applications 
that make use of multi-signature arrangements (e.g. multi-signature escrows, 
or shared wallet control) and applications for the synchronization of D€ 
payments with external events, including the delivery of securities or payments 
taking place on different platforms (e.g. via Hashed Timelock Contracts) 52  
or based on external data feeds that are communicated by third parties called 
“oracles” (e.g. future contracts based on Discreet Log Contracts). 53 But above 
all, the most significant application in the context of a retail D€ is the Payment 
49 See Annex 2 for a detailed description of itCoin’s on-ledger transaction capacity aspects.
50 See European Central Bank and Bank of Japan (2020) for a description of the most relevant techniques to preserve 
confidentiality in a DLT environment.
51 As mentioned, itCoin is based on the Bitcoin technology, i.e. a programmable platform. Nevertheless, its programmability 
is moderate in comparison with other crypto assets, such as, notably, Ethereum. Therefore, the choice of relying on 
Bitcoin-level programmability would restrict the attack surface, in order to better address the overall CBDC security 
requirements.
52 See European Central Bank and Bank of Japan (2018) (2019) and Bank of Canada and Monetary Authority of Singapore 
(2019).
53 See Dryja (2019).</x:v>
      </x:c>
    </x:row>
    <x:row r="137" ht="110" customHeight="1">
      <x:c r="A137" s="46" t="str">
        <x:v>PRD-0042-P0048-U01</x:v>
      </x:c>
      <x:c r="B137" s="46" t="str">
        <x:v>IT_BdI_MISP_2021</x:v>
      </x:c>
      <x:c r="C137" s="46" t="n">
        <x:v>48</x:v>
      </x:c>
      <x:c r="D137" s="46" t="str">
        <x:v>en</x:v>
      </x:c>
      <x:c r="E137" s="46" t="str">
        <x:v>text</x:v>
      </x:c>
      <x:c r="F137" s="46" t="str"/>
      <x:c r="G137" s="46" t="str">
        <x:v>46
The values reported in Table 4 were obtained:
3.3. i ntegrAtion between the Account-bAsed And token-bAsed components
Within Work Stream 2 – “Combined feasibility”, the “Flat approach” 
explored how the TIPS+ account-based platform (described in Section 
2.3) could be complemented by another platform, based on a Distributed 
Ledger Technology (DLT), which would provide some of the features that 
may be missing in the former. In particular, in order to show different 
combinations of systems aiming to solve different kinds of problems and 
to address different requirements, two versions of the combined feasibility 
model were explored: 
• the first version combines TIPS+ with itCoin, the token-based DLT described 
in Section 2.4, which enables the creation of an online bearer digital euro; 
this solution is best suited to addressing the requirements of cash-like 
features and competitive features of the HLTF report on the D€;72
• the second version combines TIPS+ with a permissioned and programmable 
DLT based on Ethereum technology, which will be described in Section 
3.3.2. This second DLT enables the creation of a programmable digital 
euro aimed at addressing requirements of enhanced digital efficiency and 
competitive features, as referred to in the HLTF report on the D€.
The fundamental idea of this combined feasibility model is that both the 
account-based and DLT-based platforms offer platform-specific functionalities, 
by means of platform-specific Application Programming Interfaces (APIs); they 
72 As highlighted in Section 2.6, a non-DLT platform based on the eCash scheme could also be used to complement 
TIPS+ in terms of cash-like features. This scheme has not been part of the experiments for two reasons: (i) The focus of 
Work Stream 2 was explicitly on the combination of centralized platforms with distributed ledger technologies, while 
the eCash scheme is not based on DLT; (ii) Banca d’Italia had already developed a first itCoin prototype at the end of 
2019, while no previous experience was available for the eCash payment scheme.
Table 4: Carbon footprint estimations
Total Electrical Power 
consumption per year
170.687 kWh/year This includes all Development, 
Test and Production servers needed 
including the ITSM1 tools.
Total Emitted CO2e per 
year
86.367 kgCO2e /year Assuming the system is running in the 
current Banca d'Italia Datacenter, i.e. 
using the current PUE2 value.
Emitted CO2e per 
single payment
0,00027 gC02e / payment3 Assuming a sustained rate of 10k 
payments per seconds for 1 year.
1) Information technology service management (ITSM) are the activities that are performed by an organization to design, build, deliver, 
operate and control information technology (IT) services offered to customers. – 2) Power Usage Effectiveness (PUE) is a measure of 
how efficient a data center is in using the electricity that powers it. It is a parameter that gives a figure of how much electrical power is 
dedicated to the power supply of IT equipment compared to auxiliary services such as air conditioning or UPS losses. – 3) According 
to many estimations publicly available on the web, this figure is about 6 orders of magnitude smaller than the carbon footprint of 
Bitcoin. More information can also be found in Tiberi, 2021: “The carbon footprint of Target Instant Payment Settlement (TIPS) system: 
a comparative analysis with Bitcoin and other infrastructures” . Markets, Infrastructures, Payment Systems, nos. 2021-5.</x:v>
      </x:c>
    </x:row>
    <x:row r="138" ht="110" customHeight="1">
      <x:c r="A138" s="46" t="str">
        <x:v>PRD-0042-P0054-U01</x:v>
      </x:c>
      <x:c r="B138" s="46" t="str">
        <x:v>IT_BdI_MISP_2021</x:v>
      </x:c>
      <x:c r="C138" s="46" t="n">
        <x:v>54</x:v>
      </x:c>
      <x:c r="D138" s="46" t="str">
        <x:v>en</x:v>
      </x:c>
      <x:c r="E138" s="46" t="str">
        <x:v>text</x:v>
      </x:c>
      <x:c r="F138" s="46" t="str"/>
      <x:c r="G138" s="46" t="str">
        <x:v>52
Rise of a new form of 
money replacing euro 
[Requirement 3 (R3): 
competitive features]
The integrated solution offers the combined features of two different 
models: 
• high speed payment platform and standard privacy features with 
the adoption of technical positions (TIPS+);
• enhanced cash-like features with the usage of token-based 
platform features (itCoin, eCash);
• programmability features with the usage of APIs (TIPS+) and Smart 
Contracts (itCoin, other programmable DLTs);
• with the introduction of technical positions in TIPS+, for instance 
used for pre-paid services.
Beneficial from a 
monetary policy 
perspective 
[Requirement 4 (R4): 
monetary policy option]
The integrated solution includes the possibility to remunerate 
accounts created in the account-based system.
Mitigation of the 
probability that a 
cyber-incident, natural 
disaster, pandemic or 
other extreme events 
could hinder the 
provision of payment 
services  
[Requirement 5 (R5): 
back-up system]
The integrated solution is based on two models that rely on distributed 
technologies that can be configured to implement a resilient solution. 
For instance, the adoption of geographical distribution is a powerful 
mitigation measure for a cyber incident or natural disaster.
The international 
role of the euro 
gains relevance as a 
Eurosystem objective 
[Requirement 6 (R6): 
international use]
Due to its intrinsic nature, both sides of the D€ integrated solution 
allow economic operators outside of the Eurosystem to have an 
easier and smoother access to central bank money for cross-border 
transactions, paving the way for a consolidation of the international 
role of the euro.
The Eurosystem decides 
to proactively support 
improvements in 
the overall costs and 
ecological footprint 
of the monetary and 
payment systems 
[Requirement 7a (R7a): 
cost saving] 
[Requirement 7b 
(R7b): environmentally 
friendly]
The integrated solution takes care of the ecological footprint: TIPS+ 
inherits the experience of TIPS in terms of low carbon emissions and 
itCoin does not use any mining mechanism typical of DLT private 
solutions.</x:v>
      </x:c>
    </x:row>
    <x:row r="139" ht="110" customHeight="1">
      <x:c r="A139" s="46" t="str">
        <x:v>PRD-0042-P0056-U01</x:v>
      </x:c>
      <x:c r="B139" s="46" t="str">
        <x:v>IT_BdI_MISP_2021</x:v>
      </x:c>
      <x:c r="C139" s="46" t="n">
        <x:v>56</x:v>
      </x:c>
      <x:c r="D139" s="46" t="str">
        <x:v>en</x:v>
      </x:c>
      <x:c r="E139" s="46" t="str">
        <x:v>text</x:v>
      </x:c>
      <x:c r="F139" s="46" t="str"/>
      <x:c r="G139" s="46" t="str">
        <x:v>54
Effects on the cross-
border use of the euro 
[Requirement 13 (R13): 
conditional use by non-
euro area residents]
It would be possible to apply limits and thresholds in TIPS+, 
depending on additional information collected by the platform 
and provided by gatekeepers, to set up accounts with specific 
characteristics for non-euro area residents.
Moreover, the use of technical positions paves the way for the 
adoption of pre-paid cards to be used also by non-euro area 
residents. For example, following a light identity verification 
process, unbanked users may be provided with a low-capacity 
itCoin payment channel or with a limited amount of e-cash tokens. 
Cyber risk  
[Requirement 14 (R14): 
cyber resilience]
By leveraging the experience of the Eurosystem in the operations of 
gross and retail payment systems, the integrated solution benefits 
from state-of-the-art methodologies and tools to ensure resilience 
to cyber threats.
At the central platform level, a continuous IT process is established 
that makes it possible to identify vulnerabilities and pays a great 
deal of attention to them with high level of in each part of the 
development phases and in the operations. 
Considering that the solution combines the features of a central 
platform with those of a public ledger, accessible online via internet, 
and the possibility to create smart contracts, how to ensure that the 
whole system is properly secured should be further investigated.
Such an integrated solution would be feasible, adaptable and open-ended. 
In fact, by combining the two components, it is technically possible to 
accommodate different end users with different needs in terms of privacy, 
inclusiveness, cash-likeness or programmability. The integrated solution would 
work as a bearer and a more private instrument as well as an account-based 
one closer to electronic money, shaped by what the market would value and 
demand. 
Thus, it would make it possible to modulate the features of the D€ according 
to the use cases, having a component that can be remunerated and whose 
individual holdings can be controlled, coupled with a more cash-like one and 
also offering innovative features, such as the programmability of the money. 
The latter would pave the way for the development of innovative applications 
by market players to quickly interact with and build value around the CBDC 
infrastructure. 
Using an open ledger for the DLT component would additionally broaden 
the openness towards Fintech companies, thereby fostering innovation and 
competition in the market, as they could perhaps implement additional 
solutions on top of the open ledger. 
The TIPS+/itCoin integration, while allowing for planning interoperability with 
other solutions, would also make it straightforward to explore, and possibly 
enhance, cross-border and/or cross-currency transactions. As a matter of fact,</x:v>
      </x:c>
    </x:row>
    <x:row r="140" ht="110" customHeight="1">
      <x:c r="A140" s="46" t="str">
        <x:v>PRD-0042-P0058-U01</x:v>
      </x:c>
      <x:c r="B140" s="46" t="str">
        <x:v>IT_BdI_MISP_2021</x:v>
      </x:c>
      <x:c r="C140" s="46" t="n">
        <x:v>58</x:v>
      </x:c>
      <x:c r="D140" s="46" t="str">
        <x:v>en</x:v>
      </x:c>
      <x:c r="E140" s="46" t="str">
        <x:v>text</x:v>
      </x:c>
      <x:c r="F140" s="46" t="str"/>
      <x:c r="G140" s="46" t="str">
        <x:v>56
Another critical aspect to address is how to reconcile privacy issues in transactions 
of a cash-like instrument with compliance to AML/CFT requirements. TIPS+ is 
less affected by this, as it allows for private transactions through the use of 
pseudonymous accounts. The Eurosystem would keep a register of transactions 
relating to the various accounts, without knowing the personal data of the 
account holders; however, with the support of the gatekeepers, it would 
always be possible to identify them, in case checks on suspicious operations 
need to be performed. Conversely, in itCoin, it is more complicated to track 
the money transfers within the PCN,79 thus allowing a certain degree of privacy 
and possibly anonymity. Even if it were not possible to check the transactions 
on the PCN, or to set holding limits on the wallet as a result of the transactions 
exchanged, it would still be possible to set limits on withdrawal or conversion 
into another type of money (banknotes, account-based D€, commercial bank 
money). These limits, which are similar to some of the regulatory restrictions 
currently in place for cash, would help the monitoring of illegal activities 
including terrorism financing and money laundering, while emphasizing the 
cash-like features of itCoin. As far as eCash is concerned, anonymity is of an 
asymmetric type and is guaranteed only in the phase of using tokens for the 
payer. During the withdrawal phase, the system is able to apply all the limits 
and controls typical of an account-based system.
Another attractive feature of this combined model is its flexibility and openness 
to other DLT solutions proposed by the private sector, as shown in Section 
3.3.2 (or even other token-based solutions as described in Section 2.6). It is 
undeniable that this is an advantage and a great stimulus for technological 
innovation, but there could also be some downsides. Indeed, if private 
operators offered incompatible technological products, a fragmentation of the 
market would ensue, potentially undermining the credibility of the whole D€, 
even though this risk might be mitigated by the need for such products to be 
interoperable with the TIPS+ platform. 
Furthermore, nowadays the Eurosystem puts great emphasis on the possible 
vulnerabilities of systems under its responsibility. For instance, the features 
of a public ledger, accessible online via internet, and the development of 
smart contracts, could increase the attack surface and vulnerability risks of 
the D€. Moreover, integration with other DLTs or interactions with technical 
components outside the Eurosystem’s control, pose other challenges from 
a cyber-security standpoint at the platform level and require an increase of 
defence mechanisms and protection of the D€ with ad hoc policies. 
Considering, instead, the integrated solution from a performance standpoint, 
although with different characteristics, both components would offer reliable 
but different solutions. TIPS+ guarantees high scalability and large transaction 
volumes that make it suitable for retail users’ needs, while itCoin, like many 
payment systems based on DLT, has reduced performance for on-ledger 
transactions (about 50 transactions per second), which could be significantly 
increased by resorting to off-ledger transactions supported by a Payment 
79 As stated above, intermediaries are only able to see only some metadata of the transactions and are therefore unable 
to track the payment activity.</x:v>
      </x:c>
    </x:row>
    <x:row r="141" ht="110" customHeight="1">
      <x:c r="A141" s="46" t="str">
        <x:v>PRD-0042-P0063-U01</x:v>
      </x:c>
      <x:c r="B141" s="46" t="str">
        <x:v>IT_BdI_MISP_2021</x:v>
      </x:c>
      <x:c r="C141" s="46" t="n">
        <x:v>63</x:v>
      </x:c>
      <x:c r="D141" s="46" t="str">
        <x:v>en</x:v>
      </x:c>
      <x:c r="E141" s="46" t="str">
        <x:v>text</x:v>
      </x:c>
      <x:c r="F141" s="46" t="str"/>
      <x:c r="G141" s="46" t="str">
        <x:v>61
An example of this kind is the Bitcoin DLT. 84 For each payment, a set of 
unspent tokens belonging to the payer is destroyed and (usually) two tokens 
with the same total value are created simultaneously: one going to the payee as 
payment and the other one being returned to the payer as exchange. 
In order to prevent double spending, in both the account-based and token-
based approaches, the accounts/tokens are stored on the ledger and updated 
by the ledger operator. In other words, neither tokens nor accounts are kept in 
the end user devices, which in general contains the cryptographic credentials 
that can be used to authorize transactions on the ledger. For this reason, 
neither the account-based nor the token-based approach refer to an offline and 
cash-like transfer, in which a payment is made without reference to any third 
party or intermediary.85 Unless other arrangements are in place, the end user is 
always required to have a connection to the ledger, in order to safely receive 
payments.
3. d istribution degrees of systems And infrAstructures
The modern applications’ architecture has led to a dualism between system 
and infrastructure architecture, where system depicts the business and 
organizational view, while infrastructure refers to the technological and 
architectural one. 
From a business and organizational point of view, three different system 
architectures exist: centralized, distributed and decentralized.
A centralized system is owned by a single entity or organization. In this case, 
users have to trust that the entity behaves correctly and in their interest. 
Currently, most of the internet applications are centralized (Amazon, Google, 
Facebook, etc.) and owned by a company or person that provides and 
maintains the source code to execute on a computer, server or even a cluster. 
As said, the centralized system concept regards a business view, irrespective 
of the actual technical infrastructure.
In the distributed systems, instead, the ownership is spread over some “well 
known” organizations. In this case, there are multiple central owners that have 
a part or a copy of the resources. With these systems the users don’t have to 
trust a single organization or entity, but have different choices. Domain Name 
System (DNS) is a great example of a distributed system. It maps hostname 
to IP addresses and is implemented as a distributed, hierarchical database. 
Focusing on the root server, one of the three classes of DNS servers, 13 root 
name servers are available worldwide, run by 12 organizations, which the user 
has to ultimately trust.
84 See Nakamoto (2008). 
85 See Bank of England (2020), Section 6.6.</x:v>
      </x:c>
    </x:row>
    <x:row r="142" ht="110" customHeight="1">
      <x:c r="A142" s="46" t="str">
        <x:v>PRD-0042-P0066-U01</x:v>
      </x:c>
      <x:c r="B142" s="46" t="str">
        <x:v>IT_BdI_MISP_2021</x:v>
      </x:c>
      <x:c r="C142" s="46" t="n">
        <x:v>66</x:v>
      </x:c>
      <x:c r="D142" s="46" t="str">
        <x:v>en</x:v>
      </x:c>
      <x:c r="E142" s="46" t="str">
        <x:v>text</x:v>
      </x:c>
      <x:c r="F142" s="46" t="str"/>
      <x:c r="G142" s="46" t="str">
        <x:v>64
choices that could reduce outsourcing risks to the intermediaries and potentially 
increase the safety of the CBDC for end users.
In the settlement agent intermediation, intermediaries own the keys to access 
and authorize the payment in D€93 and they execute transactions on behalf of 
their customers. As a result, a failure of the intermediary that acts as settlement 
agent, could result not only in the users being unable to access their CBDC 
balance and spend units, but also, potentially, in unauthorized transactions 
being sent to the CDBC ledger.
Unlike settlement agents, the gatekeepers are in charge of authenticating 
end users and of complying with the Know Your Customer (KYC), AML/CFT 
requirements; they also provide the technical connectivity between users 
and the payment system infrastructure. In this scenario, the gatekeepers may 
be technically unable to authorize transactions without cooperating with the 
end users. 94 This system avoids the case of unauthorized transactions being 
sent to the CBDC ledger when an intermediary, acting as a gatekeeper, 
defaults. 
For both the above intermediation types, it is also important to guarantee that 
the information on the CBDC balance that is presented to the end user has not 
been compromised. If the end users need to trust an intermediary to report 
a correct balance, then a failure of the intermediary could result in the user 
believing more funds to be available than there actually are in the central bank 
account.
Finally, if end user access to the ledger is not intermediated, then safety derives 
from the fact that information written on the ledger can be directly accessed by 
the end users. Nevertheless, the absence of intermediation entails problems of a 
different nature, which can make intermediated access to the CBDC altogether 
preferable.
 Annex 2: itcoin discussion topics
1. About on-ledger trAnsActionAl cApAcity 
The computational capacity of any payment system is a scarce resource because 
technological limits prevent it from being scaled indefinitely. In blockchain 
platforms like itCoin, this limit is related to two parameters: the amount of 
space available to describe new transactions per cycle (block space), and the 
period of the cycle itself (block time). 
Knowing what this limit is and working with a pseudonymous ledger – where 
there is no possibility of distinguishing a priori well-intentioned transactions 
93 See European Central Bank (2019).
94 For example, in order to authorize a transfer of CBDC units, the ledger may require that the end user explicitly provide 
a signature.</x:v>
      </x:c>
    </x:row>
    <x:row r="143" ht="110" customHeight="1">
      <x:c r="A143" s="46" t="str">
        <x:v>PRD-0043-P0007-U01</x:v>
      </x:c>
      <x:c r="B143" s="46" t="str">
        <x:v>JP_BoJ_2022</x:v>
      </x:c>
      <x:c r="C143" s="46" t="n">
        <x:v>7</x:v>
      </x:c>
      <x:c r="D143" s="46" t="str">
        <x:v>en</x:v>
      </x:c>
      <x:c r="E143" s="46" t="str">
        <x:v>text</x:v>
      </x:c>
      <x:c r="F143" s="46" t="str"/>
      <x:c r="G143" s="46" t="str">
        <x:v>5 
Bank of Japan 
differences and bottlenecks between the design alternatives. Specifically, for each of the 
designs, we created a “ base scenario” in which 500 transaction requests are injected over a 
second, being a level each design should be able to handle without any delay of process, and 
a “high-load scenario” in which 3,000 transaction requests are injected over a second, being a 
level that should affect each design’s processing performance. 
Measurements 
The following three measurements evaluate each design’s processing performance. 
(1) Throughput: the number of transaction requests that a CBDC ledger system could process 
per second (the number of transactions processed successfully per second by the application 
server’s application). 
(2) Latency: the time taken to process one transaction request (the sum of application and 
database processing times). 
(3) Resource utilization: CPU utilization rates for the application server and database server. 
2.3  Architecture evaluation  
In architecture evaluation, we evaluated the “performance expandability” of each design. 
Specifically, based on the results of performance evaluation in experimental work, we examined 
the strategies to achieve the processing performance in a production -ready system for each 
design, and the issues that would be faced. 
In addition, we compared and evaluated the reliability (resistance to security risks, fault 
tolerance, and availability) and ease of extension (ease of implementing additional functions) 
for each design of CBDC ledger systems. 
3. Main  results  
3.1  Results of performance evaluation  
Under the base scenario, each of the designs achieved a throughput of 500 transactions per 
second, which was the target we had set beforehand, a latency of roughly 10 milliseconds, and 
CPU utilization rates of 10 to 30% (Figure 3). Under the high-load scenario, Design 1 achieved 
a throughput of 3,000 transactions per second, which was equivalent to the target rate set for</x:v>
      </x:c>
    </x:row>
    <x:row r="144" ht="110" customHeight="1">
      <x:c r="A144" s="46" t="str">
        <x:v>PRD-0043-P0008-U01</x:v>
      </x:c>
      <x:c r="B144" s="46" t="str">
        <x:v>JP_BoJ_2022</x:v>
      </x:c>
      <x:c r="C144" s="46" t="n">
        <x:v>8</x:v>
      </x:c>
      <x:c r="D144" s="46" t="str">
        <x:v>en</x:v>
      </x:c>
      <x:c r="E144" s="46" t="str">
        <x:v>text</x:v>
      </x:c>
      <x:c r="F144" s="46" t="str"/>
      <x:c r="G144" s="46" t="str">
        <x:v>6 
Bank of Japan 
transaction requests, and latency was mostly unchanged from the base scenario. Designs 2 
and 3, however, saw the throughput drop by 18% and 4% , respectively, relative to the 
transaction requests, while latency at the 99 th percentile increased  significantly to 2,000 
milliseconds and 800 milliseconds, respectively.6 The utilization rates of the application server 
and database server were higher for all designs under the high-load scenario than the base 
scenario, and in Design 3, the database server’s CPU utilization rate approached the upper 
bound of 100%. 
Figure 3: Performance evaluation  results  
Below, we describe the source of the bottlenecks leading to performance declines in Designs 
2 and 3. 
Design 2 performance bottlenecks 
Looking in detail at the processing status of the database server in Design 2, we saw 
numerous occurrences of “concentration of processing in account-balance data” that we did 
not see in Designs 1 and 3. In the experimental environment we built, if there are multiple 
transaction requests that update account-balance data (records), records are locked so that a 
later transaction cannot be processed until the earlier transaction is complete (record locking). 
When the earlier process is complete, the record lock is lifted and the later process is executed. 
In Design 2, especially with requests for transfers across intermediaries (Figure 1, Step 4), 
processing will be concentrated around the aggregated user account at the corresponding 
6 Latency in the figure shows the sum of application and database server processing times, but looking at this in more detail, 
almost all of the increase takes place in database server processing times. 
1
10
100
1,000
10,000
Latency
Base High-load
milliseconds, log scale
0
10
20
30
40
50
60
70
80
90
100
CPU utilization
％
Base High-load
Note: Figures are average values for the measurement period. Latency shows ranges from the 1st to 99th percentiles,with averages indicated by ◇. CPU utilization is for 
the central bank's ledger, with bars indicating values for the database server and ◇ the application server.
0
500
1,000
1,500
2,000
2,500
3,000
Base High-load
Throughput
Design 1
Design 2
Design 3
transactions/second</x:v>
      </x:c>
    </x:row>
    <x:row r="145" ht="110" customHeight="1">
      <x:c r="A145" s="46" t="str">
        <x:v>PRD-0043-P0009-U01</x:v>
      </x:c>
      <x:c r="B145" s="46" t="str">
        <x:v>JP_BoJ_2022</x:v>
      </x:c>
      <x:c r="C145" s="46" t="n">
        <x:v>9</x:v>
      </x:c>
      <x:c r="D145" s="46" t="str">
        <x:v>en</x:v>
      </x:c>
      <x:c r="E145" s="46" t="str">
        <x:v>text</x:v>
      </x:c>
      <x:c r="F145" s="46" t="str"/>
      <x:c r="G145" s="46" t="str">
        <x:v>7 
Bank of Japan 
intermediaries. The processing delay incurred by this record locking increases latency for 
Design 2 compared to Design 1.7 
Record locking is one of the factors that led to the increased CPU utilization rate for the 
database server under the high-load scenario. In short, during the time that a record is locked, 
processing is paused on the database server, and the status of the record needs to be 
monitored constantly so that the later transaction is processed  as soon as the record lock is 
lifted. This means that the CPU utilization rate increases with the number of processes on hold 
for a single record. 
Design 3 performance bottlenecks 
Because the database server in Design 3 had a CPU utilization rate approaching 100% under 
the high-load scenario, we see that processing exhausted the available resources. The main 
factor behind this is that for each transaction instruction, holder ID updates were processed for 
multiple tokens, and because exchange processes happen for a constant fraction, the number 
of processes ballooned compared with the other designs. These resource constraints 
decreased throughput and increased latency. 
3.2  Performance issues towards achieving a production -ready system  
Based on the results of the performance evaluation reported in Section 3 .1 above, we 
examined the strategies to achieve the processing performance needed towards achieving a 
production-ready system and the issues that would be faced. 
The performance evaluation results showed that the record locking in Design 2 and the 
resource deficiency in Design 3 each brought about  performance bottlenecks (Figure 4). 
Record locking did not pose a problem  in Design 1, but it could arise in an account -based 
CBDC ledger system depending on the number of transaction requests. Similarly, the impact 
of resource constraints was most evident in Design 3, but a sufficient increase in the number 
of transaction requests could manifest this problem in Designs 1 and 2 as well. Coming up with 
solutions that remove these bottlenecks  is crucial if we are considering a production-ready 
system. 
7 For details on the impact of record locking, see Appendix 3.</x:v>
      </x:c>
    </x:row>
    <x:row r="146" ht="110" customHeight="1">
      <x:c r="A146" s="46" t="str">
        <x:v>PRD-0043-P0010-U01</x:v>
      </x:c>
      <x:c r="B146" s="46" t="str">
        <x:v>JP_BoJ_2022</x:v>
      </x:c>
      <x:c r="C146" s="46" t="n">
        <x:v>10</x:v>
      </x:c>
      <x:c r="D146" s="46" t="str">
        <x:v>en</x:v>
      </x:c>
      <x:c r="E146" s="46" t="str">
        <x:v>text</x:v>
      </x:c>
      <x:c r="F146" s="46" t="str"/>
      <x:c r="G146" s="46" t="str">
        <x:v>8 
Bank of Japan 
Figure 4: Relationship between the number of transaction request s and throughput  
One possible strategy for mitigating the impact of record locking is “record splitting,” where 
the account -balance data recorded in the CBDC ledger are split into multiple parts. For 
example, in Design 2, splitting the “ aggregated user account” account -balance data in the 
intermediaries by dividing end users affiliated with an intermediary into groups would reduce 
the processing c oncentration around a n aggregated user account. 8  Another option is to 
redesign the business process flow. For example, in Design 2, processing requests for CBDC 
transfers across intermediaries (Figure 1, Step 4) are currently designed as simultaneous 
account transfers on the central bank’s ledger and on the intermediary’s ledger, but relaxing 
this simultaneity requirement and allowing the two transfers to take place separately  can be 
considered to mitigate the impact of record locking, at least in a technical sense. 
8 Note that if account-balance records are split into too many groups, the number of records that would need to be added 
up for calculating account balances would also increase, possibly resulting in longer processing times. As such, it should be 
kept in mind that processing performance could decline depending on such factors as the record-splitting technique. 
Throughput /second
Design 1 Design 2 Design 3
Note 1: The graphs approximate the relationship between transaction requests and throughput. Design 2 is for the central bank's ledger.
Note 2: The shaded areas indicate where a bottleneck is causing throughput to decline relative to the number of transaction requests. The dotted 
lines show the extrapolated curve without the bottleneck.
Note 3: All graphs for A and B exclude any reciprocal effects.
A. Impact of record locking
B. Impact of resource constraints Transaction requests /second
Throughput /second
Transaction requests /second</x:v>
      </x:c>
    </x:row>
    <x:row r="147" ht="110" customHeight="1">
      <x:c r="A147" s="46" t="str">
        <x:v>PRD-0043-P0012-U01</x:v>
      </x:c>
      <x:c r="B147" s="46" t="str">
        <x:v>JP_BoJ_2022</x:v>
      </x:c>
      <x:c r="C147" s="46" t="n">
        <x:v>12</x:v>
      </x:c>
      <x:c r="D147" s="46" t="str">
        <x:v>en</x:v>
      </x:c>
      <x:c r="E147" s="46" t="str">
        <x:v>text</x:v>
      </x:c>
      <x:c r="F147" s="46" t="str"/>
      <x:c r="G147" s="46" t="str">
        <x:v>10 
Bank of Japan 
investigations showed no major differences between the design alternatives at the system level. 
In short, the constituent elements of a CBDC ledger —the application servers and database 
servers, along with the networks between them—each would need their own specific security 
strategies, which would be the same regardless of the design. Note that in Design 2, which 
splits ledger management, both the intermediaries and the central bank need to have 
appropriate security strategies in place for the CBDC ledger. 
In order for a CBDC to be secure, an adequate level of security would need to be assured 
regardless of the design, but this could make system processing performance lower or increase 
deployment/operating costs. To implement a production -ready system  and build a stable 
efficient settlement system, these tradeoffs would need to be carefully balanced. 
Second, regarding fault tolerance (the number of potential failure points and the scope of 
their impact), there are differences between design alternatives that depend on the differences 
in ledger management. For example, with Design 2, even if a fault occurs in a ledger managed 
by the central bank, a CBDC transfer between end users having accounts at the same 
intermediary would work, and the expected impact area would be relatively small. Conversely, 
because the ledger is split between the central bank and each intermediary, there are more 
potential points of failure than in Designs 1 and 3. Also, we anticipate that the integrity of 
restored data (reconciling changes in each ledger’s balances or deposits) is unlikely to hold. 
Implementing a production-ready system requires an investigation into the fault tolerance 
of not just the CBDC ledger but the CBDC system as a whole. For example, in both Designs 1 
and 3, there are parts where each intermediary handles operations and management of the 
system, for example, for providing the interface to end users and exchanging messages with 
the central bank. In terms of the differences between designs, production use will require a 
holistic assessment that takes these points into consideration. 
Third, regarding availability (instances of system downtime and their duration), we do not 
see major differences between the design alternatives. That is, preparing for a fault is assumed 
to require building multiple s ites in advance, and the ease of doing that would be the same 
regardless of the design. Note that in Design 2, since each intermediary keeps its own copy of 
the ledger in addition to the central bank, each intermediary would need to develop strategies 
to improve the availability of its own ledger. 
To implement a production -ready system, common consideration s for all of the  design 
alternatives would be avoiding or minimizing lag in failover during a fault and accommodating</x:v>
      </x:c>
    </x:row>
    <x:row r="148" ht="110" customHeight="1">
      <x:c r="A148" s="46" t="str">
        <x:v>PRD-0043-P0014-U01</x:v>
      </x:c>
      <x:c r="B148" s="46" t="str">
        <x:v>JP_BoJ_2022</x:v>
      </x:c>
      <x:c r="C148" s="46" t="n">
        <x:v>14</x:v>
      </x:c>
      <x:c r="D148" s="46" t="str">
        <x:v>en</x:v>
      </x:c>
      <x:c r="E148" s="46" t="str">
        <x:v>text</x:v>
      </x:c>
      <x:c r="F148" s="46" t="str"/>
      <x:c r="G148" s="46" t="str">
        <x:v>12 
Bank of Japan 
in terms of building a CBDC ledger that suits the specifications of a core banking system, or 
developing additional services in line with end -user needs. With Design 3 as well, we can 
imagine additional functions and services that would work by appending additional 
information to tokens. Thus, each design may offer advantages. 
Considering all of the above, while each design has different characteristics, we cannot go 
so far as to say that any of them stand out in terms of ease of extension. Additional functions 
that might be implemented in the future could take the forms of “limits on CBDC holdings,” 
“booking remittance transaction from end users,” “limits on CBDC transaction amounts,” etc. 
PoC Phase 2 and what follows will need to evaluate the technical feasibility of implementing 
these additional functions and their impact on processing performance in more detail. 
4. Key findings and next steps  
In PoC Phase 1, we compared and evaluated design alternatives to determine whether they 
could accurately process basic transactions related to CBDC, on the assumption  that in a 
production-ready system, processing performance would need to be on the order of tens of 
thousands of transactions per second typically, and 100,000 or more at peak, with latency of 
within a few seconds. 
The results of our experimental work showed that processing perform lower in Design 2 
compared with Design 1 due to the effects of record locking. That said, Design 1, which is also 
based on an account-based ledger system, could experience the similar lower performance 
depending on the number of transaction requests. In order to build a production-ready system, 
we would need to consider solutions such as split records and different business process flows 
to address these issues. 
Design 3 required more resources than Designs 1 and 2 to process the same transactions. 
Designs 1 and 2 will be constrained by resources if the number of transaction requests is up 
significantly. In a production-ready system, Design 3 in particular would need greatly expanded 
resources, either through scaling up or scaling out  of database servers , with the additional 
optimizations. 
Apart from these performance considerations, we also looked at resistance to security risks 
and availability, but did not see any significant differences arising from the variation in the 
designs. In terms of fault tolerance, Design 2 seems to have a relatively small expected impact 
area for faults, but at the same time there are many potential points of failure, and the integrity</x:v>
      </x:c>
    </x:row>
    <x:row r="149" ht="110" customHeight="1">
      <x:c r="A149" s="46" t="str">
        <x:v>PRD-0045-P0004-U01</x:v>
      </x:c>
      <x:c r="B149" s="46" t="str">
        <x:v>JP_BoJ_Pilot_JP</x:v>
      </x:c>
      <x:c r="C149" s="46" t="n">
        <x:v>4</x:v>
      </x:c>
      <x:c r="D149" s="46" t="str">
        <x:v>ja</x:v>
      </x:c>
      <x:c r="E149" s="46" t="str">
        <x:v>text</x:v>
      </x:c>
      <x:c r="F149" s="46" t="str"/>
      <x:c r="G149" s="46" t="str">
        <x:v>3 
2 実験用システムの構築と検証  
パイロット実験の１つの柱は、実験用システムを構築し 、性能試験等を行うこと、
実験用システムで実装しない機能を中心に各種机上検討を行うこと である。以下では、
実験用システムの概要と構築の状況および検証の概要とその状況について説明する。 
2.1 実験用システムの概要と構築作業の状況  
パイロット実験では、概念実証よりも実験の対象範囲を拡大している。すなわち、
概念実証では、主に中央システムの台帳部分を実験 の対象としていたが、パイロット
実験では、エンドポイントデバイスから中央システムまでを対象とする（図表２）。 
このため、パイロット実験における実験用システムとして、中央システムだけでは
なく、仲介機関システム、中央システムと各仲介機関システムを結ぶ「仲介機関ネッ
トワーク」や、エンドポイントデバイス（スマートフォンやタブレットを利用したア
プリ）までを構築する。その上で、エンドツーエンドでの処理フローの確認や、外部
システムとの接続に向けた課題・対応策の検討等を行う。 
図表２ 実験用システムと実験の対象 
現在、設計を進めている実験用システムの現時点でのイメージ（図表 ３）をみると、
構築する CBDC 台帳は、中央システムと仲介機関システムで台帳を分担管理する口座
型のデータモデル3とする。これは、この台帳設計は相対的にシステム構成が複雑で、
多くの項目を検証できると考えられるためであり、日本銀行として社会実装に相応し
3 これは、概念実証における台帳設計パターン２に相当する。 
仲介機関
システム
中央システム
エンドポイントデバイス（個人用・店舗用）
仲介機関
システム
仲介機関
システム
仲介機関ネットワーク
（階層型）
仲介機関
システム
概念実証
パイロット実験
実験の対象実験用システム</x:v>
      </x:c>
    </x:row>
    <x:row r="150" ht="110" customHeight="1">
      <x:c r="A150" s="46" t="str">
        <x:v>PRD-0045-P0005-U01</x:v>
      </x:c>
      <x:c r="B150" s="46" t="str">
        <x:v>JP_BoJ_Pilot_JP</x:v>
      </x:c>
      <x:c r="C150" s="46" t="n">
        <x:v>5</x:v>
      </x:c>
      <x:c r="D150" s="46" t="str">
        <x:v>ja</x:v>
      </x:c>
      <x:c r="E150" s="46" t="str">
        <x:v>text</x:v>
      </x:c>
      <x:c r="F150" s="46" t="str"/>
      <x:c r="G150" s="46" t="str">
        <x:v>4 
い台帳設計を現時点で特定している訳ではない。 実験用システムによる検証結果を踏
まえつつ、その他の台帳設計についても机上で検討する予定である。 
また、プライバシーに配慮し、仲介機関において顧客 の個人情報を扱う部分（顧客
管理部分）と、決済を扱う部分（CBDC 台帳部分）を分離して構築することを予定し
ている4。 
さらに、性能・事務量については、概念実証より高負荷に対応可能なシステム 5の構
築を目指し、仮に将来、社会実装することとなった場合の性能要件実現に向けた技術
的な留意点や解決策の洗い出し・評価を行う予定である。 
このほか、機能や性能を拡張しやすいような工夫を設計段階で組み込み、技術的な
留意点や解決策の洗い出しを行うことも予定している。 
図表３ 実験用システムの概要 
4 この点、他の先進国の中央銀行も同様の考え方で、例えば、2023 年1 月にECB が公表したデジタルユ
ーロ・マーケットリサーチでは、「ユーロシステムが個人の残高を監視したり、取引履歴を追跡したり、
支払いパターンを推測することができないようにする」ことを暫定要件としている。また、2023 年２月
にイングランド銀行（BOE）と英国財務省が共同で行った市中協議でも、「BOE がアクセス可能なあら
ゆる情報は有効に匿名化される」要件としている。 
5 概念実証では、将来、実際に CBDC を発行することとなった場合の環境で求められる処理性能を、通
常時 1 秒あたり数万件、ピーク時同 10 万件以上と想定した。 
日銀ネット
(疑似)
中央システム
中央システム
仲介機関Y
勘定系
システム
(疑似)
仲介機関ネットワーク
仲介機関システム
エンドポイントデバイス
（ウォレットアプリ等）
顧客管理部分
CBDC台帳部分
（各顧客分）
仲介機関X
勘定系
システム
(疑似)
仲介機関システム
顧客管理部分
CBDC台帳部分
（各顧客分）
CBDC台帳部分
（仲介機関分）
エンドポイントデバイス
（ウォレットアプリ等）</x:v>
      </x:c>
    </x:row>
    <x:row r="151" ht="110" customHeight="1">
      <x:c r="A151" s="46" t="str">
        <x:v>PRD-0045-P0007-U01</x:v>
      </x:c>
      <x:c r="B151" s="46" t="str">
        <x:v>JP_BoJ_Pilot_JP</x:v>
      </x:c>
      <x:c r="C151" s="46" t="n">
        <x:v>7</x:v>
      </x:c>
      <x:c r="D151" s="46" t="str">
        <x:v>ja</x:v>
      </x:c>
      <x:c r="E151" s="46" t="str">
        <x:v>text</x:v>
      </x:c>
      <x:c r="F151" s="46" t="str"/>
      <x:c r="G151" s="46" t="str">
        <x:v>6 
図表４ 基本機能と周辺機能 
機能 検討テーマ 
基
本
機
能 
①発行 仲介機関 X の日銀当座預金を減額して、同CBDC を増額 
②払出 ユーザーA の銀行預金などを減額して、仲介機関 X からユーザーA に CBDC を振替 
③送金 
ユーザー間の取引などに伴い、CBDC を移転 
・オートスウィング、オートチャージ 
・各種制限（保有額制限など）チェック 
④受入 ユーザーB から仲介機関 Y にCBDC を振替し、ユーザーB の銀行預金などを増額 
⑤還収 仲介機関 Y の CBDC を減額して、同日銀当預口座を増額 
周
辺
機
能 
⑥予約送金 
（一括送金） 
将来実行される予定の送金指示を登録し、指定日到来時に自動的に指図を実行する機能 
（一括送金は、複数件の取引指図を一括して実行する機能） 
⑦逆引送金 
送金先のユーザーが、送金元のユーザーの事前承諾を前提に、逆引送金を行うための取
引指示を送金元の CBDC 口座に対して送付し、当該指示とおりの逆引送金を実行 
⑧残高・ 
明細照会 
仲介機関システムにおいて管理されている CBDC の現在残高や過去の取引履歴などの
明細を照会 
日銀ネット(疑似)中央システム
中央システム
仲介機関X
勘定系
システム
(疑似)
仲介機関
システム
ユーザーA
①発行 ⑤還収
②払出 ④受入
③送金
⑥予約送金（一括送金）
⑧残高・明細照会
⑦逆引送金
仲介機関Y
勘定系
システム
(疑似)
仲介機関
システム
ユーザーB
⑧残高・明細照会</x:v>
      </x:c>
    </x:row>
    <x:row r="152" ht="110" customHeight="1">
      <x:c r="A152" s="46" t="str">
        <x:v>PRD-0045-P0026-U01</x:v>
      </x:c>
      <x:c r="B152" s="46" t="str">
        <x:v>JP_BoJ_Pilot_JP</x:v>
      </x:c>
      <x:c r="C152" s="46" t="n">
        <x:v>26</x:v>
      </x:c>
      <x:c r="D152" s="46" t="str">
        <x:v>ja</x:v>
      </x:c>
      <x:c r="E152" s="46" t="str">
        <x:v>text</x:v>
      </x:c>
      <x:c r="F152" s="46" t="str"/>
      <x:c r="G152" s="46" t="str">
        <x:v>25 
4 おわりに 
パイロット実験では、「実験用システムの構築と検証」と「 CBDC フォーラム」を
両輪とした多角的な検証と議論を行っている。 
今後は、CBDC フォーラムでの議論等を踏まえながら、実験用システムの構築に向
けた作業をさらに進めていく。また、CBDC フォーラムでは、電子マネー等との交換
等について検討するWG（仮称：他の決済手段との水平的共存WG）、基本的な機能の
事務フローや現金との交換について検討する WG（仮称：基本機能の事務フローWG）
の設置を想定している（前掲図表 ６参照）。基本的な機能の事務フローWG について
は、WG１における検討との連続性を意識しながら設置・運営する予定である。 
わが国で CBDC を導入するかどうかは、現時点では決定しておらず、今後の国民的
議論のなかで決まっていくものだが、日本銀行としては、議論の前提となるように、
CBDC に関する検討を引き続きしっかりと進めてまいりたい。 
以   上</x:v>
      </x:c>
    </x:row>
    <x:row r="153" ht="110" customHeight="1">
      <x:c r="A153" s="46" t="str">
        <x:v>PRD-0046-P0008-U01</x:v>
      </x:c>
      <x:c r="B153" s="46" t="str">
        <x:v>JP_BoJ_PoC2</x:v>
      </x:c>
      <x:c r="C153" s="46" t="n">
        <x:v>8</x:v>
      </x:c>
      <x:c r="D153" s="46" t="str">
        <x:v>en</x:v>
      </x:c>
      <x:c r="E153" s="46" t="str">
        <x:v>text</x:v>
      </x:c>
      <x:c r="F153" s="46" t="str"/>
      <x:c r="G153" s="46" t="str">
        <x:v>6 
As in Phase 1, the design of the intermediary system and the user’s wallet application was 
simplified to only submit transaction instructions, and the performance evaluation focused on the 
system’s processing from start to completion after receiving the tr ansaction instructions from the 
mockup (see Figure 4 for the architecture and Appendix 2 for details of the performance evaluation 
test including the server specifications used). 
Implementation method  in an experiment al environment  
Under the above architecture, each additional function was implemented in the experimental 
environment as follows. 
Various limits 
The orchestration system conducts the process while referring to the information  in other 
systems for limit checking (i.e., the CBDC balance managed by the ledger system and the 
transaction record managed by the transaction record management system). After the 
checking process, the same remittance processing as the basic function implemented in 
Phase 1 is performed on the ledger, and the transaction record is updated after the ledger is 
updated. 
Swing 
After the orchestration system calculates the amount in excess of the holding limit s and 
identifies user attributes, such as corporate or individual, it sends an automatic acceptance 
instruction to convert the subject amount to bank deposits, etc., to the ledger and the 
intermediary mockup. 
Interest application 
Interest receipt and payment are exempted from the transaction amount /number limits. 
Therefore, it is set to proceed without checking whether there is a violation of the transaction 
amount/number limits and is implemented using the scheduled remittance mechanism 
described below.7  
Scheduled remittance 
The implementation is based on the premise that the remittance instructions to be executed 
in the future are registered in advance in the scheduled transaction management system. The 
remittance instructions are sent one by one from the scheduled transaction management 
7 The implementation is based on the premise that, for each account, the amount of interest applied is calculated based on its CBDC balance 
within a certain period of time and on a predetermined interest rate. Further, a CBDC account at the central bank has been established; it is 
used to receive and pay CBDC of interest amounts through the user’s account (treated as a transfer between accounts in the system). There 
are alternative  methods like directly increasing or decreasing the CBDC balance in user accoun ts (treated i n the system as issuing or 
redeeming CBDC to each account), without the involvement of the central bank account.</x:v>
      </x:c>
    </x:row>
    <x:row r="154" ht="110" customHeight="1">
      <x:c r="A154" s="46" t="str">
        <x:v>PRD-0046-P0011-U01</x:v>
      </x:c>
      <x:c r="B154" s="46" t="str">
        <x:v>JP_BoJ_PoC2</x:v>
      </x:c>
      <x:c r="C154" s="46" t="n">
        <x:v>11</x:v>
      </x:c>
      <x:c r="D154" s="46" t="str">
        <x:v>en</x:v>
      </x:c>
      <x:c r="E154" s="46" t="str">
        <x:v>text</x:v>
      </x:c>
      <x:c r="F154" s="46" t="str"/>
      <x:c r="G154" s="46" t="str">
        <x:v>9 
Scheduled remittance 
Instructions are sent from the scheduled t ransaction management system to the 
orchestration system one by one at a specified time, after which the same process as for a 
standard remittance is executed. The latency is higher by a few mse c than for a standard 
remittance only for the portion starting from the scheduled transaction management system. 
Interest application 
Although implemented using the scheduled remittance mechanism, the latency is slightly 
higher than that of  a scheduled remittance because it is not subject to transaction 
amount/number limit. 
Swing 
The latency is slightly higher than that of a standard remittance because of the additional 
converting process to bank deposits and so on.10 
Performance prediction of Design 2  
Given that the architecture in Design 2 is so designed that user accounts are managed in each 
intermediary’s ledger, user limits and transaction record, which are necessary for the various limit 
checking processes, could also be managed by the intermediaries ( see Figure 6).11 In this case, the 
various limit checking processes performed in the central bank system in Design 1 are assumed to 
be performed in the system of the respective intermediaries in Design 2.12 
10 The latency of swing function according to user attributes was slightly lower than the one of swing function if holding limit is exceeded due 
to the absence of a calculation process for the amount exceeding the upper limit. 
11 In this case, the central bank’s orchestration system will retain only the point -of-contact function as a facade between the systems. In the 
central bank’s ledger system, as in Phase 1, the update process occurs only when the user accounts (the aggregated CBDC balances of users 
per intermediary) change mainly because of transactions between users across intermediar ies (in the case of  remittances within the same 
intermediary, the update process does not happen because the user accounts of the intermediary on the ledger does not change). 
12 In the case of remittances between different intermediaries, each of the payer's/payee's intermediaries performs its own transaction  
amount/number limit check processing, and only the payee's intermediary does the holding limit check processing.</x:v>
      </x:c>
    </x:row>
    <x:row r="155" ht="110" customHeight="1">
      <x:c r="A155" s="46" t="str">
        <x:v>PRD-0046-P0017-U01</x:v>
      </x:c>
      <x:c r="B155" s="46" t="str">
        <x:v>JP_BoJ_PoC2</x:v>
      </x:c>
      <x:c r="C155" s="46" t="n">
        <x:v>17</x:v>
      </x:c>
      <x:c r="D155" s="46" t="str">
        <x:v>en</x:v>
      </x:c>
      <x:c r="E155" s="46" t="str">
        <x:v>text</x:v>
      </x:c>
      <x:c r="F155" s="46" t="str"/>
      <x:c r="G155" s="46" t="str">
        <x:v>15 
CBDC System
Other Asset System (DLT Platform)
User A
account
User B
account
User A
account
User B
account
Reserve
account
Reserve
account
(1) Reserve
(2) Transfer
(2) Release
(1) Reserve
(2) Release 
(2) Transfer
 Assume that users A and B hold CBDC accounts and 
other asset accounts; A transfers CBDC to B, and B 
transfers other asset to A.
 To prevent a situation where only one transfer succeeds 
and the other fails, the following is implemented:
(1) Only the amount of A’s CBDC and B’s other asset to be 
transferred should be set aside to avoid transfer failures 
due to insufficient balances, etc.
(2)
・ Transfer the reserved portion only if the process in (1) is 
successful for both CBDC and the other asset.
・ If either CBDC or the other asset fails to process in (1), return 
to the original state (release reserved amount).
Figure 10: Example of a linkage processing 
A possible method for implementing a linkage processing is for the system that manages the 
assets to be exchanged to have an application that issues asset transfer instructions and to connect 
them indirectly via a connection system that is independent of both systems (the connection system 
would have an application that triggers transfer instructions at the appropriate time; see Figure 11). 
Regarding the application of the respective systems that perform the co nnection function (the 
transfer instruction function and the connection function portion in Figure 11), the system performing 
the connection function can also perform the transfer instruction function; further, other connection 
methods are conceivable because the architecture and characteristics of the DLT platform vary. 
Figure 11: Example of a system architecture 
Regarding such interoperability with external systems, one option would be to make effective use 
of existing system infrastructure and technological connection methods. The external system could 
be assumed to belong to either the competitive or non -competitive area, depending on their 
function. Therefore, it is also important to explore this from a variety of perspectives, including those 
on institutional arrangement. 
CBDC System
Other Asset System(DLT Platform)
CBDC ledger Transfer instruction function
Other asset ledger Transfer instruction function
Connection function</x:v>
      </x:c>
    </x:row>
    <x:row r="156" ht="110" customHeight="1">
      <x:c r="A156" s="46" t="str">
        <x:v>PRD-0046-P0025-U01</x:v>
      </x:c>
      <x:c r="B156" s="46" t="str">
        <x:v>JP_BoJ_PoC2</x:v>
      </x:c>
      <x:c r="C156" s="46" t="n">
        <x:v>25</x:v>
      </x:c>
      <x:c r="D156" s="46" t="str">
        <x:v>en</x:v>
      </x:c>
      <x:c r="E156" s="46" t="str">
        <x:v>text</x:v>
      </x:c>
      <x:c r="F156" s="46" t="str"/>
      <x:c r="G156" s="46" t="str">
        <x:v>23 
Environment 1: Central Bank ledger in Design 1 
(Without concentration of updating process)
Environment 2: Central Bank ledger in Design 2
(With concentration of updating process)
Note: All figures are at high load (3,000 transaction requests/second).
・ Throughput reduction rate is expressed as the rate of
decline in the number of transaction requests processed
relative to the number of transaction requests injected over
a second.
・ Latency is AP processing time + DB processing time.
・ All values are averages for the evaluated period.
0
5
10
15
20
Environment 1 Environment 2
Throughput reduction rate
RDB Example NoSQL DB
（%）
Higher performance
1
10
100
1,000
Environment 1 Environment 2
Latency
RDB Example NoSQL DB
（milliseconds, log scale）
Figure 17: Test results 
The architecture evaluation based on the test results suggests the possibility that some databases 
could maintain high-performance scalability even under the load expected in the possible event of 
social implementation, implying that they could be used in ledger systems.27 The use of transaction 
functions may hinder performance scalability through restrictions on sharding, and some databases 
may require further refinement for use in ledgers. However, the evaluation also suggest that even 
such databases have the potential for use as databases for CBDC systems that handle data where 
transaction functions are not required (e.g., account transaction status management for the 
implementation of additional functions, replica databases for balance inquiries). 
There are many other types of NoSQL databases in addition to those evaluated in this PoC, and 
even RDBs are now beginning to emerge as high -performance databases. Depending on the 
expected volume of transactions, there may be more advantages to build a stable system using 
traditional databases. The possibility of using new databases needs to be explored from perspectives 
other than performance (e.g., ensuring data integrity in case of failure in an in-memory database28). 
Going forward, the ever -evolving database technologies should be explored from a broad 
perspective continuously, considering the requirements of anticipated transactions and other factors. 
27 The experimental work was conducted on an account-based ledger system. It may be more difficult to accurately estimate the total number 
of database records required for social implementation of a token -based ledger system than an account -based system, because of the 
exchange, merging, and splitting processes involved. From this perspective, the ease with which the  performance of NoSQL databases  is 
enhanced suggests that a token-based type model may be more advantageous than an account-based type. 
28 A common approach to enhancing data integrity is to record data in some form of data  storage. Some measures come with potential 
performance tradeoffs including additional processing time.</x:v>
      </x:c>
    </x:row>
    <x:row r="157" ht="110" customHeight="1">
      <x:c r="A157" s="46" t="str">
        <x:v>PRD-0046-P0029-U01</x:v>
      </x:c>
      <x:c r="B157" s="46" t="str">
        <x:v>JP_BoJ_PoC2</x:v>
      </x:c>
      <x:c r="C157" s="46" t="n">
        <x:v>29</x:v>
      </x:c>
      <x:c r="D157" s="46" t="str">
        <x:v>en</x:v>
      </x:c>
      <x:c r="E157" s="46" t="str">
        <x:v>text</x:v>
      </x:c>
      <x:c r="F157" s="46" t="str"/>
      <x:c r="G157" s="46" t="str">
        <x:v>27 
Orchestration System Ledger System
CBDC ledger
Orchestration
Try
Confirm
Cancel
Holding limit check
Insufficient balance check
Balance decrease
schedule
Balance increase
schedule
Holding limit
Schedule erasure 
&amp; ledger updates
Schedule erasure
TX Record Management System
Try
Confirm
Cancel
Intermediary X
Upper limit scheduled 
to increase
Upper limit scheduled 
to decrease
(Omitted)
：
Orchestration System Ledger System
Orchestration
Try
Confirm
Cancel
TX Record Management System
Intermediary Y
(Omitted)
Upper limit scheduled 
to decrease
：
：
Each Intermediary may still execute 
requests that do not exceed the 
maximum holding limit allocated on a 
per-account basis.
If there are requests that exceed the 
holding limit assigned on a per-
account basis, a quota is transferred 
from the limit of the same user’s other 
accounts managed by other 
Intermediary. In the figure on the left, 
the “Upper limit scheduled 
to increase” of the account at 
Intermediary X is updated, and the 
“Upper limit scheduled 
to decrease” of the account at 
Intermediary Y is updated by the same 
amount.
(Omitted)
Note: TX=transaction
limits, it is possible to decentralize processing equivalent to the limit -check process on a per-user 
basis as a result, without having to consolidate user balance information, etc., in a separate system. 
However, there is a possibility that other intermediaries may find out that the user has exceeded the 
upper limit in one of the other accounts when making the margin allowance available to the user. 
Appendix  Figure  1.3: Example of TCC model in  Design 2  
In the case of the above configuration, compared with a case in which account transaction status 
management is performed within the orchestration system, in terms of performance, the processing 
load may be reduced because the upper-limit determination process can be closed to each system, 
while the processin g load may increase because more data is newly updated, such as balance 
increase schedules and upper-limit flexibility processing. However, it is unclear which factor will have 
a stronger effect on performance. In terms of maintenance and operation, the same system covers 
related tasks; this may facilitate easier modification of the applications that complete each task. 
The system architectures discussed here have extra functions in the ledger system. This is a 
different concept from the idea (3.1.1) that i t is appropriate to have the ledger system perform as 
little processing as possible other than updating balances, given the possibility of a high update 
load required for social implementation.</x:v>
      </x:c>
    </x:row>
    <x:row r="158" ht="110" customHeight="1">
      <x:c r="A158" s="46" t="str">
        <x:v>PRD-0048-P0001-U01</x:v>
      </x:c>
      <x:c r="B158" s="46" t="str">
        <x:v>MG_BFM_OP_2023</x:v>
      </x:c>
      <x:c r="C158" s="46" t="n">
        <x:v>1</x:v>
      </x:c>
      <x:c r="D158" s="46" t="str">
        <x:v>es</x:v>
      </x:c>
      <x:c r="E158" s="46" t="str">
        <x:v>text</x:v>
      </x:c>
      <x:c r="F158" s="46" t="str"/>
      <x:c r="G158" s="46" t="str">
        <x:v>Un écosystème en pleine effervescence 
Avec l'essor des moyens de paiements électroniques, l’avènement des cryptomonnaies, l'émergence de 
nouveaux acteurs et l'urgence induite par la pandémie du covid-19, le paysage mondial des paiements 
prend un nouveau tournant. La recrudescence des initiatives privées est, certes, porteuse d’opportunités 
pour le développement du secteur financier mais elle est, également, parsemée de risques et de subtilités 
qu’il convient d’évaluer et de gérer avec soin.  
La considération de l’émission d’un CBDC vient en réponse aux défis imposés par ce nouveau contexte. 
Le CBDC (Central Bank Digital Currency) est une nouvelle forme numérique de monnaie de 
banque centrale, qui ne peut être émise ou détruite que par cette dernière et qui doit être distinguée 
des réserves ou des soldes de règlement détenus auprès des banques centrales. Le CBDC est garanti 
par la banque centrale et présente ainsi un risque de liquidité et de crédit a priori réduit.
LE PROJET e-ARIARY EN QUELQUES LIGNES
Des objectifs ambitieux 
A l'instar des tendances 
internationales, le projet e-Ariary 
s’inscrit dans une perspective 
visant, notamment, à affirmer 
la souveraineté de la monnaie 
nationale, à assurer l’intégrité et 
la stabilité du système financier, 
à s o u t e n i r l e s o b j e c t i f s 
d’inclusion financière, à  
maîtriser l’expansion de la 
circulation fiduciaire et  
permettre la mise en place d’un 
système national de paiement 
moderne,  dynamique  et  
sécurisé. 
Des défis et des arbitrages 
incontournables 
L’introduction de l’e-Ariary 
pourrait avoir des implications 
significatives, notamment sur 
la stabilité financière et 
monétaire. De ce fait, BFM est 
entièrement consciente des 
arbitrages à faire afin que 
l’émission de l’e-Ariary 
n’entrave la capacité de BFM à 
s’acquitter de son mandat et 
que l’e-Ariary puisse permettre 
des paiements plus résilients, 
efficaces, inclusifs et innovants. 
Une démarche prudente et 
réfléchie 
Le projet sera conduit en  deux 
phases distinctes. La première 
phase consiste à conduire des 
travaux d'analyse, de conception 
et d'expérimentation. La 
deuxième phase du projet porte 
sur le déploiement et la mise en 
production. La réalisation de 
cette deuxième phase est 
conditionnée par les résultats de 
la phase expérimentale. 
L’e-Ariary, dans la vision de BFM 
L’e-Ariary serait un instrument important qui permettrait à BFM d’évoluer au rythme de la 
digitalisation. Ainsi, si l’expérimentation s’avère positive, l’e-Ariary serait déployée et se présenterait 
sous la forme d’une monnaie digitale mise à la disposition du public, en complément des billets de 
banque, en tant que moyen de paiement sécurisé, facile d’utilisation, accessible et ayant cours légal sur le 
territoire national. Par ailleurs, l’e-Ariary présenterait les avantages offerts par les solutions de paiement 
privées, tout en bénéficiant de la régulation et du contrôle de l’Autorité monétaire.</x:v>
      </x:c>
    </x:row>
    <x:row r="159" ht="110" customHeight="1">
      <x:c r="A159" s="46" t="str">
        <x:v>PRD-0050-P0022-U01</x:v>
      </x:c>
      <x:c r="B159" s="46" t="str">
        <x:v>MO_AMCM_eMOP_WP</x:v>
      </x:c>
      <x:c r="C159" s="46" t="n">
        <x:v>22</x:v>
      </x:c>
      <x:c r="D159" s="46" t="str">
        <x:v>en</x:v>
      </x:c>
      <x:c r="E159" s="46" t="str">
        <x:v>text</x:v>
      </x:c>
      <x:c r="F159" s="46" t="str"/>
      <x:c r="G159" s="46" t="str">
        <x:v>18181818PB
White Paper on Macao Special Administrative Region’s e-MOP
Macao’s role as a “Commercial and Trade Co-operation Service 
Platform between China and Portuguese-speaking Countries”.
B. Potential Benefits
3.5. The introduction of e-MOP is envisaged to yield unique benefits to 
the existing payment ecosystem in Macao.  The distinctive features of 
e-MOP, like programmability, account-based and value-based hybrid 
models offering immediate settlement upon payment, are poised to 
create an environment conducive to more efficient, cost-effective 
and inclusive financial transactions and trade flows.  This will, in turn, 
stimulate the emergence of novel economic endeavours and establish 
a strong foundation towards high-quality economic development in 
the SAR.
3.6. As a digital form of legal tender, e-MOP may draw on the acceptance 
basis of “Simple Pay” by leveraging wallet application software (apps) 
and physical carriers (such as cards or smart devices), rendering 
efficient, convenient and cost-effective payment services to residents 
and tourists.  For merchants, given the distinct feature of settlement 
upon payment of e-MOP, as opposed to other electronic payment 
instruments with delayed settlements, this settlement efficiency of 
e-MOP may enhance cash flow efficiency for SMEs.  At the same 
time, apart from local retail payment scenarios, e-MOP can be 
deployed in a wide range of applications, such as public transport, 
parking facilities and e-government services, thereby contributing</x:v>
      </x:c>
    </x:row>
    <x:row r="160" ht="110" customHeight="1">
      <x:c r="A160" s="46" t="str">
        <x:v>PRD-0050-P0025-U01</x:v>
      </x:c>
      <x:c r="B160" s="46" t="str">
        <x:v>MO_AMCM_eMOP_WP</x:v>
      </x:c>
      <x:c r="C160" s="46" t="n">
        <x:v>25</x:v>
      </x:c>
      <x:c r="D160" s="46" t="str">
        <x:v>en</x:v>
      </x:c>
      <x:c r="E160" s="46" t="str">
        <x:v>text</x:v>
      </x:c>
      <x:c r="F160" s="46" t="str"/>
      <x:c r="G160" s="46" t="str">
        <x:v>2121
White Paper on Macao Special Administrative Region’s e-MOP
3.11. Currently, the acquiring services offered by local financial institutions 
to merchants cover a variety of domestic and international payment 
instruments, including QR code payment tools commonly used by 
tourists from Mainland China and Hong Kong, as well as relevant 
payment services of international card organisations.  However, 
certain foreign payment instruments (particularly those associated 
with international card organisations) are not accepted by some 
merchants in the local community or in specific payment scenarios 
due to concerns about transaction fees,  affecting visitors’ 
consumption experience to a certain extent.  Looking ahead, e-MOP 
can provide an efficient and convenient payment experience to 
visitors.  Together with its recognition as a legal tender, the adoption 
of e-MOP is envisaged not only to enhance the payment experience 
for inbound visitors, but also to strengthen Macao’s strategic 
positioning as a  “world centre of tourism and leisure”.
3.12. The day-to-day operation of e-MOP will encompass multiple 
professional areas, including currency issuance, financial 
infrastructure, cybersecurity, financial technology and legal 
compliance.  This will create a diverse array of specialised roles in 
the local job market, attracting young individuals who are aspired to 
pursuing careers in these fields.  The adoption of e-MOP will benefit 
the nurturing of professional talents and generate new impetus for the 
sustainable growth of Macao’s economy.</x:v>
      </x:c>
    </x:row>
    <x:row r="161" ht="110" customHeight="1">
      <x:c r="A161" s="46" t="str">
        <x:v>PRD-0050-P0032-U01</x:v>
      </x:c>
      <x:c r="B161" s="46" t="str">
        <x:v>MO_AMCM_eMOP_WP</x:v>
      </x:c>
      <x:c r="C161" s="46" t="n">
        <x:v>32</x:v>
      </x:c>
      <x:c r="D161" s="46" t="str">
        <x:v>en</x:v>
      </x:c>
      <x:c r="E161" s="46" t="str">
        <x:v>text</x:v>
      </x:c>
      <x:c r="F161" s="46" t="str"/>
      <x:c r="G161" s="46" t="str">
        <x:v>28282828PB
White Paper on Macao Special Administrative Region’s e-MOP
4.10. The design of e-MOP will carefully cater to the needs of different 
user groups.  The e-MOP project will explore the use of various 
technologies to enrich products adaptable to different application 
scenarios, offering services across multiple platforms.  In retail 
scenarios, research will focus on replicating certain convenient 
features of physical cash, such as the ability to function without a 
bank account or internet connection, so as to enhance payment 
inclusivity.
4.11. The design of e-MOP aims to facilitate faster and more cost-
effective cross-border payments, in alignment with the principles and 
recommendations advocated by international organisations regarding 
exchange measures and regulations for CBDCs.  Concurrently, as a 
fully convertible currency, the design of e-MOP respects the policies 
and legal frameworks, as well as the monetary sovereignty, exchange 
rate regimes, and relevant exchange and remittance rules of other 
jurisdictions, in an endeavour to fulfill their regulatory and compliance 
requirements.
4.12. e-MOP supports financial inclusion.  e-MOP can seamlessly 
interoperate with electronic payment systems, enabling connectivity 
between wallet apps of designated authorised operators, e-MOP 
wallets and bank accounts, with an overarching vision to foster 
financial inclusion.</x:v>
      </x:c>
    </x:row>
    <x:row r="162" ht="110" customHeight="1">
      <x:c r="A162" s="46" t="str">
        <x:v>PRD-0050-P0039-U01</x:v>
      </x:c>
      <x:c r="B162" s="46" t="str">
        <x:v>MO_AMCM_eMOP_WP</x:v>
      </x:c>
      <x:c r="C162" s="46" t="n">
        <x:v>39</x:v>
      </x:c>
      <x:c r="D162" s="46" t="str">
        <x:v>en</x:v>
      </x:c>
      <x:c r="E162" s="46" t="str">
        <x:v>text</x:v>
      </x:c>
      <x:c r="F162" s="46" t="str"/>
      <x:c r="G162" s="46" t="str">
        <x:v>3535
White Paper on Macao Special Administrative Region’s e-MOP
architectural design of the e-MOP system.  Furthermore, a defense-
in-depth strategy will be rigorously implemented for system security, 
along with a set of operational maintenance measures on data 
security, encryption and auditing.
5.8. On the front of cybersecurity, the operation of the e-MOP system 
adheres to the highest level of security standards outlined in 
the “Cybersecurity - Management Standards” set forth by the 
Cybersecurity Incident Alert and Response Centre as per Law No. 
13/2019 (Cybersecurity Law).  The system will be monitored 24/7 by a 
team of specialists.
5.9. Regarding information security, it is necessary for both the AMCM and 
designated authorised operators to establish personal information 
protection regimes and internal control management mechanisms 
that comply with the legal requirements.
5.10. e-MOP will support the feature of managed anonymity, where privacy 
and data protection are important aspects of its design.  The e-MOP 
system offers privacy to consumers, strictly protecting personal 
information and data security.  Concurrently, the system ensures 
that e-MOP transactions comply with recommendations and best 
practices advocated by the Financial Action Task Force (FATF).  In 
addition, the e-MOP system fulfills the AML/CFT regulations and 
supervisory requirements in Macao SAR, effectively combating illicit 
transactions and tax evasion.</x:v>
      </x:c>
    </x:row>
    <x:row r="163" ht="110" customHeight="1">
      <x:c r="A163" s="46" t="str">
        <x:v>PRD-0050-P0040-U01</x:v>
      </x:c>
      <x:c r="B163" s="46" t="str">
        <x:v>MO_AMCM_eMOP_WP</x:v>
      </x:c>
      <x:c r="C163" s="46" t="n">
        <x:v>40</x:v>
      </x:c>
      <x:c r="D163" s="46" t="str">
        <x:v>en</x:v>
      </x:c>
      <x:c r="E163" s="46" t="str">
        <x:v>text</x:v>
      </x:c>
      <x:c r="F163" s="46" t="str"/>
      <x:c r="G163" s="46" t="str">
        <x:v>36363636PB
White Paper on Macao Special Administrative Region’s e-MOP
5.11. e-MOP will support programmability.  On the premise of preserving 
the functions of currency, smart contracts with tamper-proof features 
and mechanisms to guarantee execution will be embedded into the 
system.  Smart contracts are system protocols whose conditions 
are pre-determined, which are immutable during execution.  The 
system is able to automatically conduct compliance checks and 
verify the terms specified in the contract, while transactions may 
be automatically completed without human intervention.  Given the 
merits of smart contracts, including transparency, trustworthiness, 
automatic execution and obligatory performance, they are well suited 
to facilitate the monetary functions of e-MOP, fostering ongoing 
innovation in business and payment models.</x:v>
      </x:c>
    </x:row>
    <x:row r="164" ht="110" customHeight="1">
      <x:c r="A164" s="46" t="str">
        <x:v>PRD-0050-P0055-U01</x:v>
      </x:c>
      <x:c r="B164" s="46" t="str">
        <x:v>MO_AMCM_eMOP_WP</x:v>
      </x:c>
      <x:c r="C164" s="46" t="n">
        <x:v>55</x:v>
      </x:c>
      <x:c r="D164" s="46" t="str">
        <x:v>en</x:v>
      </x:c>
      <x:c r="E164" s="46" t="str">
        <x:v>text</x:v>
      </x:c>
      <x:c r="F164" s="46" t="str"/>
      <x:c r="G164" s="46" t="str">
        <x:v>5151
White Paper on Macao Special Administrative Region’s e-MOP
8.3. The second phase entails internal and closed trials.  Following a 
whitelist approach, e-MOP will undergo validation across various 
application scenarios through internal and closed trials (“sandbox 
testing”), progressively covering scenarios including retail payments, 
large enterprises and government payments.  During this phase, 
outcomes and validation from the closed trials will inform actions 
in four key areas: advancing the legislation of relevant regulations, 
formulating supervisory guidelines, introducing additional authorised 
operators, as well as building an additional data centre.
8.4. The third phase then moves on to comprehensive public testing.  
Given established regulations, guidelines and standards, and on the 
premise of a stable high-availability service system, pilot points for 
public testing will gradually be expanded, integrating e-MOP into 
payment scenarios of the public in an orderly manner.  On top of this, 
a study on wholesale e-MOP will be launched to investigate extending 
its adoption to cross-border payments.
8.5. So far, the AMCM has completed the prototype design of the system 
as outlined in the first phase of the project.  This involved a series 
of tasks, such as establishing the technical architecture, specifying 
the functional scope and formulating the product requirement 
documents of e-MOP, as well as designing its user interface.  These 
developments will lay a solid foundation for subsequent phases of the 
project.
8.6. The introduction of e-MOP will certainly be a key milestone in the 
history of Macao SAR’s monetary development.  While e-MOP is set to</x:v>
      </x:c>
    </x:row>
    <x:row r="165" ht="110" customHeight="1">
      <x:c r="A165" s="46" t="str">
        <x:v>PRD-0050-P0058-U01</x:v>
      </x:c>
      <x:c r="B165" s="46" t="str">
        <x:v>MO_AMCM_eMOP_WP</x:v>
      </x:c>
      <x:c r="C165" s="46" t="n">
        <x:v>58</x:v>
      </x:c>
      <x:c r="D165" s="46" t="str">
        <x:v>en</x:v>
      </x:c>
      <x:c r="E165" s="46" t="str">
        <x:v>text</x:v>
      </x:c>
      <x:c r="F165" s="46" t="str"/>
      <x:c r="G165" s="46" t="str">
        <x:v>54545454PB
White Paper on Macao Special Administrative Region’s e-MOP
Foreign Exchange, and the People’s Government of Guangdong 
province, jointly issued the “Opinions on Financial Support for the 
Development of the Guangdong-Macao In-Depth Cooperation Zone 
in Hengqin” (“the Opinions”).  The Opinions have outlined policy 
measures to promote appropriate economic diversification in Macao, 
strengthening ties between the financial markets of Macao and 
the In-Depth Cooperation Zone, as well as establishing a financial 
ecosystem facilitating Macao residents to live and work in the In-
Depth Cooperation Zone.  In particular, the Opinions indicated 
conducting feasibility studies to explore the use of MOP or renminbi in 
payment transactions by market entities in the In-Depth Cooperation 
Zone and gradually extending such usage scenarios.  Provided that 
the associated risks are manageable, the MOP will be permitted 
progressively to be used in small-value transactions in the In-Depth 
Cooperation Zone.
8.9. Since the launch of the e-CNY pilot programme by the PBOC 
in 2019, pilots have been carried out not only in Mainland cities 
such as Shenzhen in the GBA, but also cross-border payment 
pilots in Hong Kong SAR.  The GBA possesses unique institutional 
advantages of “one country, two systems, three customs zones 
and three legal tenders”, not to mention the Central Government’s 
policy support for financial development in the In-Depth Cooperation 
Zone.  In the future, the AMCM will prioritise initiating trials of cross-
border payments between Macao and the Mainland in the In-Depth 
Cooperation Zone.  This endeavour aims to explore the use of e-MOP 
in Hengqin, creating a financial environment facilitating Macao 
residents to live and work in the In-Depth Cooperation Zone.</x:v>
      </x:c>
    </x:row>
    <x:row r="166" ht="110" customHeight="1">
      <x:c r="A166" s="46" t="str">
        <x:v>PRD-0051-P0003-U01</x:v>
      </x:c>
      <x:c r="B166" s="46" t="str">
        <x:v>NA_BoN_2022</x:v>
      </x:c>
      <x:c r="C166" s="46" t="n">
        <x:v>3</x:v>
      </x:c>
      <x:c r="D166" s="46" t="str">
        <x:v>en</x:v>
      </x:c>
      <x:c r="E166" s="46" t="str">
        <x:v>text</x:v>
      </x:c>
      <x:c r="F166" s="46" t="str"/>
      <x:c r="G166" s="46" t="str">
        <x:v>3 
October 2021 and the Bahamian sand dollar which was launched in October 2020  (IMF, 
2022). Countries have different motivations  for exploring and issuing CBDCs including financial 
stability, payment safety and robustness, financial inclusion, payment efficiency domestically and 
cross border and monetary policy implementation (Codruta Boar, 2021). 
In the context of  Namibia, the motivation  for a possible CBDC lies in further extending 
financial inclusion. Financial inclusion may be defined as the delivery of financial services and 
products that are available, accessible, and affordable to all segments of the population . Access 
to finance remains a bottleneck for the rural population , which faces considerable hurdles. 
Although access to mobile phones, which is a key enabler, is relatively high, network / internet 
connectivity remains a challenge for most households in rura l areas . Electricity coverage 
throughout the country is a further notable constraint. In addition,  numerous households face 
challenges from a transportation perspective accessing the ATMs and other infrastructure that 
facilitate payments and economic participation . These challenges result in high costs and 
inconvenience for the already less privileged. The introduction of CBDC could therefore enhance 
financial inclusion through improving access to digital financial services, enhancing the efficiency 
of national payment systems, encouraging the broad digitisation of traditionally cash -based 
segments of the population, and reducing cost. The technology will particularly enable people with 
access to mobile phones and remote digital money outlets to access basic financial services, such 
as sending and receiving money in a convenient manner.    
The latest results from the N amibia Financial Inclusion Survey (NFIS)  indicate that the 
country’s banked population stood at 78.0% in 2017, an increase from 69.0% reported in 
2011 and 49.0% reported in 2007. The state of financial inclusion in Namibia could be considered 
high and commendable compared to other developing countries. The current level of 78.0% also 
exceeds the objective set out in the Namibia Financial Sector Strategy (NFSS) ahead of time (the 
NFSS had set a target of 74.0% inclusion by 2021) , and this was achieved without jeopardising 
financial stability, particularly in the banking industry. However, while most of the adult population 
is financially included (access), there is room for continuous improvement and deepening. These 
improvements ensure higher levels of access, and reasonable levels of affordability and availability 
of payments services, particularly for the informal sector and in rural Namibia. 
Electronic money has contributed significantly to the improvement of financial inclusion.  
In Namibia’s case, the penetration of electronic mone y through mobile wallets in the financial 
sector has been a success story. Limitations experienced by the end-users include having to 
commute to an ATM and withdrawing banknotes before being able to transact. However, despite 
these limitations, there has been considerable growth in the volume of e-money transactions and 
number of e-money issuers (the latter including banks and non-banks) over the years.</x:v>
      </x:c>
    </x:row>
    <x:row r="167" ht="110" customHeight="1">
      <x:c r="A167" s="46" t="str">
        <x:v>PRD-0052-P0017-U01</x:v>
      </x:c>
      <x:c r="B167" s="46" t="str">
        <x:v>NO_Norway_nb_memo_2_19_dsp</x:v>
      </x:c>
      <x:c r="C167" s="46" t="n">
        <x:v>17</x:v>
      </x:c>
      <x:c r="D167" s="46" t="str">
        <x:v>en</x:v>
      </x:c>
      <x:c r="E167" s="46" t="str">
        <x:v>text</x:v>
      </x:c>
      <x:c r="F167" s="46" t="str"/>
      <x:c r="G167" s="46" t="str">
        <x:v>17 
NORGES BANK MEMO 
NR 2 | 2019 
DIGITALE SENTRALBANKER 
2. RAPPORT FRA 
ARBEIDSGRUPPEN 
DSP må utformes i samsvar med gode IT-arkitekturprinsipper. Overordnet 
innebærer dette krav om skalerbarhet, tilgjengelighet, sikkerhet, teknologinøytralitet 
og tilpasningsdyktighet. Veiledning kan hentes fra Difis overordnede IT-
arkitekturprinsipper.  
Det vil også være et krav at DSP utformes slik at det tilfredsstiller krav til teknisk 
uavhengighet. Nivået på teknisk uavhengighet vil bero på behovet for DSP som en 
uavhengig beredskapsløsning. Vi legger til grunn at løsningen for DSP skal være 
uavhengig av bankenes elektroniske betalingsløsninger.  
I Norges Bank (2018) ble det vurdert som hensiktsmessig at kundekommunikasjon 
og -kontroll foretas av tredjeparter. Avhengig av design kan dette være parter 
Norges Bank har avtale med eller som kan gjøre dette på bakgrunn av annet 
regulatorisk grunnlag. Det er usikkert i hvilken grad Norges Bank kan fraskrive seg 
ansvar etter andre regelverk, slik som finansregulatoriske og personvernregulatoriske 
forpliktelser. Det er derfor neppe et realistisk krav at tredjeparter kan overta alt ansvar 
overfor kunder. Det er likevel ønskelig at slikt ansvar i størst mulig grad ligger hos 
tredjepartene som utfører oppgavene.          
De nødvendige egenskapene er dermed: 
- Fordring på Norges Bank 
- Par verdi mot bankpenger og kontanter  
- Kunderettet fokus  
- Tilstrekkelig friksjon mot bankpenger 
- Kontrollert av Norges Bank  
- Skal kunne fungere som tvungent betalingsmiddel 
- Samsvar med EØS-rettslige forpliktelser 
- Betalinger med DSP skal være umiddelbare og endelige 
- I samsvar med gode IT-arkitekturprinsipper  
- Tilfredsstiller krav til teknisk uavhengighet  
- Kundekommunikasjon og -kontroll foretas av tredjeparter 
Ønskelige egenskaper  
I tillegg til de nødvendige egenskapene DSP må ha, kan det være en rekke 
egenskaper DSP bør ha eller som det er ønskelig at DSP skal ha. Nedenfor følger en 
ikke-uttømmende gjennomgang av ønskede egenskaper.  
DSP bør ha tilstrekkelig fleksibilitet til å kunne gi ønsket grad av personvern.  
Personvernet må som et minstekrav være i samsvar med kravene i EØS-regelverket, 
siden dette er en nødvendig egenskap. Det vurderes ikke som nødvendig at DSP skal 
gi samme grad av anonymitet som kontanter.  
Mulighet for offline-betalinger er ønskelig. Avhengig av kravet til teknisk 
uavhengighet vil dette kunne være en nødvendig egenskap, men mulighet for offline -
betalinger vurderes uansett som ønskelig. Mulighet for offline-betalinger kan 
gjennomføres på flere måter. Det kan være innebygget i løsningen, eller systemet kan 
designes slik at tredjepartsaktører kan tilby løsninger for offline-betalinger på toppen 
av DSP.  
Det er ønskelig at DSP kan utgjøre en plattform for tredjepartstilbydere. Formålet 
er at tredjepartsaktører skal kunne innovere og bygge tjenester på toppen av DSP. 
Dette kan for eksempel være betalingsapplikasjoner, løsninger basert på såkalte 
smart-kontrakter og offline-løsninger.  
Dersom det er mulig å sette rente på DSP, kan DSP tjene som verktøy i 
pengepolitikken.</x:v>
      </x:c>
    </x:row>
    <x:row r="168" ht="110" customHeight="1">
      <x:c r="A168" s="46" t="str">
        <x:v>PRD-0052-P0027-U01</x:v>
      </x:c>
      <x:c r="B168" s="46" t="str">
        <x:v>NO_Norway_nb_memo_2_19_dsp</x:v>
      </x:c>
      <x:c r="C168" s="46" t="n">
        <x:v>27</x:v>
      </x:c>
      <x:c r="D168" s="46" t="str">
        <x:v>en</x:v>
      </x:c>
      <x:c r="E168" s="46" t="str">
        <x:v>text</x:v>
      </x:c>
      <x:c r="F168" s="46" t="str"/>
      <x:c r="G168" s="46" t="str">
        <x:v>27 
NORGES BANK MEMO 
NR 2 | 2019 
DIGITALE SENTRALBANKER 
2. RAPPORT FRA 
ARBEIDSGRUPPEN 
4.3. Veksling mot bankpenger 
For hovedløsningen vil det være mest praktisk at kundene anskaffer tokenpenger 
etter samme prinsipper som anskaffelse av kontanter i dag, dvs. gjennom banker. Det 
kan vurderes om andre, for eksempel e-pengeforetak, også kan få en slik rolle. I 
praksis kan dette gjøres ved at Norges Bank selger tokenpenger til banker, som kan 
opprette registeradresser for pengene til sine kunder. Dette vil beskrives nærmere 
under teknologivalg nedenfor.   
For alternativ løsning vil det mest praktiske være at kunden veksler om til DSP «e-
penger» på samme måte som for e-penger i dag, dvs. ved overføring direkte fra 
bankkonto, bruk av debetkort eller med kredittkort. Oppgjøret mellom bankene og 
DSP-foretaket skjer gjennom respektive kontoer i sentralbanken.     
4.4. Begrense store fall i etterspørselen etter 
bankinnskudd 
For hovedløsningen kan det være utfordringer knyttet til å unngå store fall i 
etterspørselen etter bankpenger. Ved kontanter ligger det en begrensning i at de kan 
mistes eller gå tapt på annen måte. Et spørsmål er om tilsvarende begrensninger vil 
gjøre seg gjeldende for registerbaserte tokenpenger.  
Hvis tokene kan oppbevares relativt trygt i oppbevaringsløsninger, vil friksjonen kunne 
bli mindre enn for kontanter. Et eksempel på det er lagring av disponeringskodene i et 
sikret datasenter tilbudt av private aktører (såkalt «cold-storage»). Dette er en 
oppbevaringsløsning som i dag brukes av eiere av kryptoaktiva. 
Det vil være høye kostnader forbundet med å lagre kryptografiske koder sikkert i 
«cold-storage». I tillegg til de direkte kostnadene og behovet for tillit til privat aktør, vil 
det være administrative kostnader knyttet til forvaltning ved arv osv. At man vil ta på 
seg alle disse kostnadene for kryptovalutaer, som man planlegger å holde i lang tid 
mens man tror de skal stige i verdi, kan virke rasjonelt, mens det kan være mindre 
attraktivt for en DSP med nokså stabil verdi. Ut fra en nytte-kostnadsvurdering finnes 
det nok bedre alternativer for verdioppbevaring.   
Videre kan man trues til å gi fra seg koder osv., som i verste fall kan innebære at man 
må gi fra seg alt man har, noe man er delvis sikret mot i banksystemet. For å hindre 
dette i et registerbasert DSP må man konstruere likheter med banksystemet. 
I et registerbasert system vil det være mulig å sette renter (potensielt negative) og 
justere transaksjonsgebyrer. Dette vil kunne være virkemidler for å begrense 
dramatiske endringer i etterspørselen etter bankpenger. Kvantumsrestriksjoner vil 
kunne true par verdi mot bankpenger.  
Den alternative løsningen vil være et svakere substitutt til bankpenger enn en åpen 
fullverdig bankkontobasert løsning. I betalingssituasjonen vil kontoen bare kunne 
benyttes til betalinger mellom personer som har en konto i DSP-systemet. En kunde 
vil i praksis måtte ha en bankkonto i tillegg til en DSP-konto for å kunne gjennomføre 
alle betalinger, for eksempel kjøp fra utlandet og for å kunne benytte et debet-
betalingskort tilbudt av bankene.   
I en krise vil kontoløsningen kunne bli attraktiv til verdioppbevaring. I en lukket løsning 
vil det være enklere å benytte andre virkemidler i tillegg til rente for å hindre store 
overføringer fra bankene, for eksempel ved å sette grenser på hvor store beløp som 
kan overføres til kontoen eller oppbevares i kontoen. Det må utredes nærmere om 
beløpsbegrensninger på DSP-konto vil kunne utgjøre en trussel mot par verdi mellom 
DSP og bankpenger. Gitt innskuddsgaranti og annen sikring av bankpenger vil trolig</x:v>
      </x:c>
    </x:row>
    <x:row r="169" ht="110" customHeight="1">
      <x:c r="A169" s="46" t="str">
        <x:v>PRD-0052-P0028-U01</x:v>
      </x:c>
      <x:c r="B169" s="46" t="str">
        <x:v>NO_Norway_nb_memo_2_19_dsp</x:v>
      </x:c>
      <x:c r="C169" s="46" t="n">
        <x:v>28</x:v>
      </x:c>
      <x:c r="D169" s="46" t="str">
        <x:v>en</x:v>
      </x:c>
      <x:c r="E169" s="46" t="str">
        <x:v>text</x:v>
      </x:c>
      <x:c r="F169" s="46" t="str"/>
      <x:c r="G169" s="46" t="str">
        <x:v>28 
NORGES BANK MEMO 
NR 2 | 2019 
DIGITALE SENTRALBANKER 
2. RAPPORT FRA 
ARBEIDSGRUPPEN 
DSP være lite attraktiv som verdioppbevaringsløsning, men kunne være attraktiv som 
en reserveløsning for betalinger for perioden en kunde må vente på tilgang til penger 
sikret med innskuddsgaranti.     
4.5. Brukergrensesnitt og tredjepartstilgang 
For hovedløsningen legges det til grunn at Norges Bank står for administrasjon av 
registeret og har «grossistkundekontakt» med banker (og evt. andre) som kan selge 
token til sine kunder. Systemet kan lages slik at hvem som helst eller aktører med 
tillatelse kan lage brukergrensesnitt for disponering av DSP, herunder løsninger for 
butikker og andre bedrifter. Videre kan systemet designes slik at tredjeparter kan tilby 
ulike løsninger basert på smartkontrakter, DLT, IoT-betalinger, offline-betalinger osv.  
Alternativ løsning vil i utgangspunktet være en lukket løsning tilbudt av Norges Bank 
eller en enhet kontrollert av Norges Bank. Butikker og utsalgssteder kan knytte se g til 
løsningen og eventuelt tilby terminaler for bruk av fysisk lagrede penger. Gjennom 
API’er i samsvar med prinsippene i PSD2 kan tredjeparter utvikle løsninger både til 
forbrukere og bedrifter, og det kan legges til rette for konkurranse om forsyning a v 
terminalinfrastruktur. Dette innebærer at aktører kan tilby egne løsninger og 
brukergrensesnitt for disponering av DSP.    
4.6. Uavhengig beredskapsløsning  
I hovedløsningen vil registerbaserte tokenpenger kunne fungere uavhengig av 
bankenes betalingssystem. DSP vil utgjøre et selvstendig register som valideres og 
oppdateres uten involvering av bankenes løsninger. Brukerne vil imidlertid være 
avhengig av bankene eller andre tredjeparter for å anskaffe DSP. Brukere som 
benytter brukergrensesnitt fra bankene for å disponere over DSP, kan bli rammet 
dersom det oppstår svikt i bankenes systemer. Et system kan imidlertid designes slik 
at en bruker ikke er avhengig av en spesifikk aktørs grensesnitt for å få tilgang til DSP 
på registeret.  
Som nevnt over vil et system for registerbaserte tokenpenger i prinsippet basere seg 
på at brukerne har tilgang til internett (er online) og at sentralbankens 
valideringssystem er operativt. Det kan imidlertid bygges tredjepartsløsninger på 
toppen av systemet som kan avhjelpe slike krav – i alle fall for en periode – for 
eksempel gjennom offline-løsninger eller DLT-systemer som ligger på siden av DSP-
registeret. Slike løsninger vil innebære at det kan gjøres transaksjoner i DSP eller 
DSP-baserte tokener uten kontinuerlig tilgang til registeret og uten at det oppstår 
kredittrisiko på foretaket som tilbyr løsningen. Dette vil for eksempel kunne fungere 
ved at et bestemt beløp tidsbegrenset låses i registeret til bruk for løsningen, og 
konsolidering mot registeret skjer i ettertid. Bare den som kan presentere kryptografisk 
gyldige koder kan få overført penger fra det beløpet som er avsatt i registeret. Basert 
på dette prinsippet kan det tilbys hardware-baserte løsninger eller «skrapelodd»-
liknende løsninger som kan tjene som betaling med DSP i offline-situasjonen.  
I den alternative løsningen vil lagring på fysisk enhet gjøre det mulig med 
desentralisert oppgjør, slik at brukerne blir uavhengige av bankene i 
betalingssituasjonen. En vil heller ikke være avhengig av oppkobling mot internett. 
Som for hovedløsningen vil brukerne være avhengige av bankene eller andre aktører 
for å skaffe seg DSP.</x:v>
      </x:c>
    </x:row>
    <x:row r="170" ht="110" customHeight="1">
      <x:c r="A170" s="46" t="str">
        <x:v>PRD-0052-P0031-U01</x:v>
      </x:c>
      <x:c r="B170" s="46" t="str">
        <x:v>NO_Norway_nb_memo_2_19_dsp</x:v>
      </x:c>
      <x:c r="C170" s="46" t="n">
        <x:v>31</x:v>
      </x:c>
      <x:c r="D170" s="46" t="str">
        <x:v>en</x:v>
      </x:c>
      <x:c r="E170" s="46" t="str">
        <x:v>text</x:v>
      </x:c>
      <x:c r="F170" s="46" t="str"/>
      <x:c r="G170" s="46" t="str">
        <x:v>31 
NORGES BANK MEMO 
NR 2 | 2019 
DIGITALE SENTRALBANKER 
2. RAPPORT FRA 
ARBEIDSGRUPPEN 
regelverket i PSD2. Det samme gjelder den alternative løsningen, siden løsningen 
som foreslås er et lukket system med begrenset anvendelsesområde.   
Begge løsningene vil som utgangspunkt falle innenfor legaldefinisjonen av e-penger i 
finansforetaksloven § 2-4 annet ledd første pkt: 
«Med elektroniske penger menes en elektronisk lagret pengeverdi representert ved en 
fordring på utstederen, som er utstedt etter mottak av midler for å utføre 
betalingstransaksjoner, og som er anerkjent som betalingsmiddel av andre foretak 
enn utstederen.» 
Dersom en ikke skulle vurdere tilbudet av DSP som en myndighetsfunksjon, må det 
derfor gjøres en nærmere vurdering av tilpasning til e-pengeregelverket.  
Tilbudet av DSP må være i samsvar med personvernregelverket. Ansvaret kan ikke 
utkontrakteres. I hovedløsningen vil Norges Bank eller enhet som driver DSP i liten 
grad måtte behandle personopplysninger. DSP vil utstedes til banker eller andre 
aktører som har tillatelse til å sette DSP ut i sirkulasjon, og det vil være disse som 
behandler personopplysninger knyttet til denne oppgaven. I den alternative 
løsningen vil Norges Bank eller enheten kontrollert av Norges Bank nødvendigvis 
måtte tilby kobling med identitet og konto og vil få opplysninger om de transaksjon ene 
som må gjennomføres. Dette vil kunne innebære omfattende oppgaver etter 
personvernregelverket.     
Dersom DSP blir innført, vil disse få en relativt sentral rolle i betalingssystemet og noe 
av hensynet bak DSP vil være å skape konkurranse i betalingssystemet. EØS-avtalen 
og konkurranseregelverket vil imidlertid kunne legge noen begrensninger for å hindre 
at DSP ikke begrenser konkurransen eller vrir konkurransen unødig. Dette innebærer 
at Norges Bank ikke må utforme vilkår for tredjepartstilgang til systemet som skaper 
unødige konkurransevridninger og gir enkeltaktører særlige fordeler.    
5.2. Behov for endringer i sentralbankloven 
Dersom lovgiver mener at Norges Bank skal ha en plikt til å utstede digitale 
sentralbankpenger, må sentralbankloven justeres i samsvar med dette. Dersom DSP 
skal være tvungent betalingsmiddel, må loven også tilpasses dette, jf. ny lov § 3-5.  
Dersom DSP vurderes som innskudd i Norges Bank, vil innføring av DSP kreve 
endringer i sentralbankloven jf. ny sentralbanklov § 3-1, som i hovedsak avgrenser 
innskuddsadgangen til banker og foretak i finansiell sektor. Vi vil bare drøfte 
sistnevnte problemstilling nærmere her.  
I hovedløsningen vil token i registeret være en fordring på Norges Bank. Disse kan 
rettslig sett sammenliknes med kontanter.  Disse vil derfor ikke anses som innskudd i 
Norges Bank. Løsningen vil derfor ikke kreve endringer i sentralbanklovens regulering 
av hvem som kan ha innskudd i Norges Bank.  
Den alternative løsningen er basert på samme prinsipper som gjeldende konto baserte 
e-pengeløsninger. E-penger i rettslig forstand innebærer at pengene utstedes av et e-
pengeforetak, og at brukerne er kunder hos foretaket. Kundene disponerer så konti 
hos foretaket. Betalinger med e-penger skjer til og fra konti i systemet til e-
pengeforetaket. En e-pengebasert DSP-løsning vil innebære at Norges Bank direkte 
eller indirekte fungerer som et e-pengeforetak, og at betalinger med DSP skjer med 
kontooverføringer innenfor systemet til Norges Bank. Slike betalinger/ 
kontooverføringer vil skje uavhengig av bankenes alminnelige betalingssystemer. 
En slik DSP-løsning vil som utgangspunkt falle innenfor legaldefinisjonen av e-penger, 
som omtalt over. Spørsmålet er om DSP i den alternative løsningen vil være innskudd 
etter ny sentralbanklov § 3-1. Det finnes ingen alminnelig legaldefinisjon av 
«innskudd», men som utgangspunkt må et innskudd anses som en enkel fordring fra</x:v>
      </x:c>
    </x:row>
    <x:row r="171" ht="110" customHeight="1">
      <x:c r="A171" s="46" t="str">
        <x:v>PRD-0053-P0009-U01</x:v>
      </x:c>
      <x:c r="B171" s="46" t="str">
        <x:v>NO_Norway_nbmemo-1-2018</x:v>
      </x:c>
      <x:c r="C171" s="46" t="n">
        <x:v>9</x:v>
      </x:c>
      <x:c r="D171" s="46" t="str">
        <x:v>en</x:v>
      </x:c>
      <x:c r="E171" s="46" t="str">
        <x:v>text</x:v>
      </x:c>
      <x:c r="F171" s="46" t="str"/>
      <x:c r="G171" s="46" t="str">
        <x:v>9 
NORGES BANK MEMO 
NR 1 | 2018 
DIGITALE 
SENTRALBANKPENGER 
Norges Banks rolle 
Norges Bank skal ha kontroll over og hovedansvaret for et eventuelt DSP-system. For 
et verdibasert system bør det vurderes om ansvaret kan defineres på samme måte som 
på kontantområdet i dag. For et kontobasert system vil Norges Bank trolig måtte ha 
det endelige ansvaret for den sentrale infrastrukturen, men ikke nødvendigvis for 
betalingstjenestene som kan bygges på toppen av den. 
Ingen av hovedmodellene fordrer at Norges Bank har direkte kundekontakt. Det er 
flere forhold som kan tilsi at Norges Bank operativt sett ikke skal stå for den tekniske 
utviklingen og daglige driften av et eventuelt DSP-system. 
Flere typer leverandører er aktuelle. Det kan kun være én leverandør av kjernen i 
løsningen, siden det kun kan finnes én kontostruktur eller ett register for DSP. For 
tjenestene ut mot kundene kan det være mange leverandører. 
Publikums etterspørsel etter DSP 
For at et betalingssystem3 skal kunne opprettholdes, kreves en viss utbredelse og bruk. 
Allmennheten må være tilstrekkelig kjent med DSP til å kunne bruke det, for 
eksempel den dagen en beredskapssituasjon oppstår.  
Det vil være brukernes vurderinger av DSP i forhold til andre betalingsmidler – og 
tilknyttede betalingsinstrumenter – som bestemmer etterspørselen og dermed volumet 
av DSP. Brukerne vil trolig legge vekt på tilliten til betalingsmidlene, funksjonalitet 
og de samlede kostnadene for brukeren selv. Dette betyr også at etterspørselen vil 
kunne endres vesentlig dersom det oppstår situasjoner som endrer på disse 
vurderingene. Etterspørselen påvirkes også av hva som er brukernes formål med å 
benytte DSP. 
Faktorer som kan påvirke etterspørselen etter DSP for betalingsformål: 
- Hvilke behov løsningen dekker, hvilke betalingssituasjoner løsningen kan 
benyttes til og dens utbredelse.  
- Hvor god funksjonalitet den har og om den oppleves som attraktiv og sikker.  
- Hvor enkelt og billig det er å flytte penger fra og til bankinnskudd. 
- Hvilke aktører som gis tilgang.  
Faktorer som kan påvirke etterspørselen etter DSP for verdioppbevaringsformål: 
- Om det er begrensninger i mengden av midler det er mulig å plassere. 
- Relativ avkastning på plasseringene.  
- Sikkerheten ved plasseringen – operasjonell risiko/tyverifare. 
- Hvor enkelt og billig det er å flytte midler fra og til bankinnskudd. 
- Hvilke aktører som gis tilgang.  
3 Betalingssystemet omfatter alle måter, ordninger og innretninger som kan benyttes til å utføre eller formidle 
betalinger.</x:v>
      </x:c>
    </x:row>
    <x:row r="172" ht="110" customHeight="1">
      <x:c r="A172" s="46" t="str">
        <x:v>PRD-0053-P0024-U01</x:v>
      </x:c>
      <x:c r="B172" s="46" t="str">
        <x:v>NO_Norway_nbmemo-1-2018</x:v>
      </x:c>
      <x:c r="C172" s="46" t="n">
        <x:v>24</x:v>
      </x:c>
      <x:c r="D172" s="46" t="str">
        <x:v>en</x:v>
      </x:c>
      <x:c r="E172" s="46" t="str">
        <x:v>text</x:v>
      </x:c>
      <x:c r="F172" s="46" t="str"/>
      <x:c r="G172" s="46" t="str">
        <x:v>24 
NORGES BANK MEMO 
NR 1 | 2018 
DIGITALE 
SENTRALBANKPENGER 
infrastruktur eller en ordning for å overføre penger mellom det private 
bankkontosystemet og DSP-systemet. 
Publikum må kunne disponere midlene de har på sine DSP-kontoer i sentralbanken. 
Det trengs trolig en form for nettbank for regningsbetalinger og andre større betalinger 
konto-til-konto. Det trengs også instrumenter for betalinger til brukersteder og 
overføringer mellom privatpersoner. Betalingskort og betalingsapplikasjoner til 
mobiltelefoner kan være velegnede instrumenter for slike formål. For betalinger på 
brukersteder må det dessuten undersøkes om det er mulig å benytte allerede 
eksisterende infrastruktur (kortterminaler o.l.) eller om det er nødvendig eller ønskelig 
(for eksempel i beredskapsøyemed) å utvikle parallell og uavhengig 
betalingsinfrastruktur. 
Det må avgjøres hvor stor rolle Norges Bank skal ha i et slikt system, både når det 
gjelder utviklingen av løsningene og den påfølgende driften. Én løsning kan være at 
Norges Bank står for selve kontostrukturen og eventuelt også for en helt 
grunnleggende og enkel kundeinfrastruktur, og at andre aktører får muligheten til å 
koble seg på og bygge ut egne kunderettede løsninger på toppen av sentralbankens 
kjernesystem. Figur 1 sammenligner oppsettet for kontobaserte og verdibaserte 
modeller. 
Figur 1</x:v>
      </x:c>
    </x:row>
    <x:row r="173" ht="110" customHeight="1">
      <x:c r="A173" s="46" t="str">
        <x:v>PRD-0053-P0030-U01</x:v>
      </x:c>
      <x:c r="B173" s="46" t="str">
        <x:v>NO_Norway_nbmemo-1-2018</x:v>
      </x:c>
      <x:c r="C173" s="46" t="n">
        <x:v>30</x:v>
      </x:c>
      <x:c r="D173" s="46" t="str">
        <x:v>en</x:v>
      </x:c>
      <x:c r="E173" s="46" t="str">
        <x:v>text</x:v>
      </x:c>
      <x:c r="F173" s="46" t="str"/>
      <x:c r="G173" s="46" t="str">
        <x:v>30 
NORGES BANK MEMO 
NR 1 | 2018 
DIGITALE 
SENTRALBANKPENGER 
3.2. Designprinsipper  
Egenskaper og funksjonalitet for DSP har stor betydning for utforming av arkitektur 
og teknisk løsning. De overordnede IT-arkitekturprinsippene fra Difi23 skal fungere 
som et sett med felles retningslinjer for alt arbeid med IT i offentlig sektor og vil 
legges til grunn for videre arbeid. Mulige løsninger for DSP skal vurderes opp mot 
følgende IT-arkitekturprinsipper: 
- Skalerbarhet: En løsning for DSP skal kunne skaleres ved endringer i 
bruken, både med tanke på antall brukere, endrede brukergrupper, volum og 
responstider, gjennom hele livsløpet av løsningen. Løsningen må være delt 
opp på en slik måte at det er mulig å opp- og nedskalere hele løsningen eller 
enkelte komponenter.  
- Interoperabilitet: En løsning for DSP skal kunne benyttes uavhengig av type 
enheter og operativsystem for brukeren, og den må så langt som mulig kunne 
tilpasses fremtidige teknologiske endringer. Løsningen skal benytte offentlig 
godkjente standarder og formater for å fremme samarbeid, innovasjon og 
informasjonsutveksling. 
- Tilgjengelighet: En løsning for DSP skal tilby tjenester som er tilgjengelige 
når brukerne trenger dem, lette å finne frem til, brukervennlige og universelt 
utformet. DSP skal være tilgjengelig for alle relevante brukergrupper 
uavhengig av alder og funksjonsevne, slik at ingen brukergrupper blir 
diskriminert. Løsningen skal være tilgjengelig 24 timer i døgnet, 365 dager i 
året. 
- Sikkerhet: IT-løsningen for DSP skal etterleve risikobaserte krav til 
driftssikkerhet, sikring mot brudd på konfidensialitet, integritet og 
tilgjengelighet, samt beskyttelse mot cyberangrep. Løsningen må etterleve alle 
lovpålagte krav som følger av for eksempel sikkerhetsloven og 
personopplysningsloven, samt internasjonale retningslinjer og standarder der 
dette er aktuelt.  
- Fleksibilitet: En løsning for DSP skal være utformet slik at den ikke fremstår 
som begrensende for endringer i funksjonalitet, organisering, eierskap og 
infrastruktur. Det skal ta høyde for endringer i leverandørmarkedet, lover og 
regler som påvirker ansvar og eierskap eller endringer i standarder for 
informasjonsutveksling.   
Arbeidet med DSP er på et tidlig stadium. Basert på en overordnet teknisk vurdering 
vil det være mulig å realisere både en kontobasert og verdibasert DSP-løsning basert 
på IT-arkitekturprinsippene nevnt over. Videre arbeid med egenskaper og 
funksjonalitet for DSP vil danne grunnlag for å lage konkrete løsningsalternativer.    
De finansielle kostnadene ved begge hovedmodellene ville være betydelige, både med 
tanke på etablering og drift. Kostnader avhenger blant annet av teknologi, 
funksjonalitet og sikkerhet, samt organisatoriske forhold som utkontraktering og 
eierskap til løsningen. Kostnadsanslag kan først gjøres når slike forhold er avklart.   
23 https://www.difi.no/fagomrader-og-tjenester/digitalisering-og-samordning/nasjonal-arkitektur/prinsipper. Se også 
Scorer (2017) for en drøfting av IT-arkitekturprinsipper sett fra Bank of England.</x:v>
      </x:c>
    </x:row>
    <x:row r="174" ht="110" customHeight="1">
      <x:c r="A174" s="46" t="str">
        <x:v>PRD-0053-P0032-U01</x:v>
      </x:c>
      <x:c r="B174" s="46" t="str">
        <x:v>NO_Norway_nbmemo-1-2018</x:v>
      </x:c>
      <x:c r="C174" s="46" t="n">
        <x:v>32</x:v>
      </x:c>
      <x:c r="D174" s="46" t="str">
        <x:v>en</x:v>
      </x:c>
      <x:c r="E174" s="46" t="str">
        <x:v>text</x:v>
      </x:c>
      <x:c r="F174" s="46" t="str"/>
      <x:c r="G174" s="46" t="str">
        <x:v>32 
NORGES BANK MEMO 
NR 1 | 2018 
DIGITALE 
SENTRALBANKPENGER 
DSP til verdioppbevaringsformål 
Dersom det viktigste formålet med å etterspørre DSP er verdioppbevaring, vil det 
være et annet sett med momenter som er sentrale for mengden som vil bli etterspurt: 
- Om det er begrensninger i mengden av midler det er mulig å plassere. 
- Relativ avkastning på plasseringene.  
- Sikkerheten ved plasseringen – kredittrisiko (hvor innskuddssikring spiller 
inn) og operasjonell risiko/tyverifare. 
- Hvor enkelt og billig det er å flytte midler til og fra bankinnskudd. 
- Hvilke aktører som gis tilgang.  
- Hvilke andre offentlig utstedte verdipapirer/aktiva som finnes, som er likvide 
og enkelt kan benyttes til verdioppbevaring.</x:v>
      </x:c>
    </x:row>
    <x:row r="175" ht="110" customHeight="1">
      <x:c r="A175" s="46" t="str">
        <x:v>PRD-0053-P0039-U01</x:v>
      </x:c>
      <x:c r="B175" s="46" t="str">
        <x:v>NO_Norway_nbmemo-1-2018</x:v>
      </x:c>
      <x:c r="C175" s="46" t="n">
        <x:v>39</x:v>
      </x:c>
      <x:c r="D175" s="46" t="str">
        <x:v>en</x:v>
      </x:c>
      <x:c r="E175" s="46" t="str">
        <x:v>text</x:v>
      </x:c>
      <x:c r="F175" s="46" t="str"/>
      <x:c r="G175" s="46" t="str">
        <x:v>39 
NORGES BANK MEMO 
NR 1 | 2018 
DIGITALE 
SENTRALBANKPENGER 
kan gi verdifull informasjon om kundenes sparing, likviditet og risiko. Redusert 
informasjon om kundene vil kunne øke risikoen for bankene når de gir lån og 
dermed kunne redusere kredittgivningen. 
I etterkant av finanskrisen har det blitt fremmet ulike forslag for å redusere 
risikoeksponeringen i banker som tar innskudd. Disse forslagene har i hovedsak 
gått ut på å begrense bankenes mulighet til å gjøre risikable 
verdipapirinvesteringer, slik det ble gjort i Glass-Steagall Act.37 Det har ikke 
blitt fremmet konkrete forslag gjennom politiske organer om å begrense 
bankenes mulighet til å finansiere utlån med innskudd. 
4.2.3. Betydning av DSP for pengepolitikken38 
Innføring av DSP vil kunne få konsekvenser for pengepolitikken. Det gjelder særlig 
ved valg av den kontobaserte modellen med få friksjoner mellom DSP og 
bankinnskudd. Basert på en stilisert modell har arbeidsgruppen identifisert noen 
sentrale sammenhenger mellom DSP og pengepolitikken, se vedlegg.  Noen tentative 
konklusjoner vi kan trekke er at: 
- Renten på DSP kan danne et gulv for styringsrenten og renten på kontopenger 
i en kontobasert modell. 
- DSP med fast lav rente (f. eks null) kan dempe gjennomslaget til 
pengepolitikken og skape et nytt dilemma for rentesettingen i urolige tider. 
Grunnen til det er at DSP med fast rente vil fremstå mer attraktivt i forhold til 
andre plasseringer jo lavere styringsrenten settes (rentetapet ved å holde DSP i 
stedet for andre aktiva blir lavere). Volumet på DSP kan derfor øke når 
styringsrenten settes ned. Ekspansiv pengepolitikk kan derved utløse tap av 
bankinnskudd, høyere behov for markedsfinansiering i bankene og høyere 
risikopremier.  
- En fast og tilstrekkelig stor margin mellom styringsrenten og DSP-renten vil 
derimot trolig gjøre pengepolitikken nokså uberørt av innføring av DSP også i 
en kontobasert modell. Grunnen til det er at med fast margin frikobles 
etterspørselen etter DSP fra beslutninger i pengepolitikken: Hvis DSP-renten 
følger styringsrenten både opp og ned, vil ikke rentetapet (kostnaden) ved å 
plassere penger i DSP endre seg når styringsrenten endres. Volumet på DSP 
vil være mer stabilt enn diskutert i punktet over, og etterspørselen kan være 
stabilt lav dersom den faste rentemarginen er stor nok. Også bankenes tilgang 
på innskuddsfinansiering vil da antakelig være mer stabil og uberørt av DSP i 
normale tider.  
- En ekstra lav rente på DSP (større margin) i urolige tider kan være et 
virkemiddel til å begrense konkurransen mellom DSP og bankinnskudd i 
spesielle situasjoner. 
37 Se Independent Commission on Banking for forslag i Storbritannia, Volcker Rule i USA og Liikanen-rapporten i EU. 
Glass-Steagall Act ble avviklet i USA i 1999. 
38 Samspill mellom DSP og pengepolitikken er mest relevant å diskutere dersom DSP blir kontobasert. Dersom ikke 
etterspørselen etter DSP klart avhenger av renteforskjeller mellom DSP og andre plasseringsalternativer, men DSP i 
stedet ligner på kontanter, er antakelig diskusjonen i dette avsnittet mindre relevant. Se også diskusjon av etterspørsel 
etter DSP i kapittel 3.3.</x:v>
      </x:c>
    </x:row>
    <x:row r="176" ht="110" customHeight="1">
      <x:c r="A176" s="46" t="str">
        <x:v>PRD-0054-P0010-U01</x:v>
      </x:c>
      <x:c r="B176" s="46" t="str">
        <x:v>NO_Norway_norges-bank-memo-1-2021</x:v>
      </x:c>
      <x:c r="C176" s="46" t="n">
        <x:v>10</x:v>
      </x:c>
      <x:c r="D176" s="46" t="str">
        <x:v>en</x:v>
      </x:c>
      <x:c r="E176" s="46" t="str">
        <x:v>render</x:v>
      </x:c>
      <x:c r="F176" s="46" t="str">
        <x:v>renders/PRD-0054-P0010.jpg</x:v>
      </x:c>
      <x:c r="G176" s="46" t="str"/>
    </x:row>
    <x:row r="177" ht="110" customHeight="1">
      <x:c r="A177" s="46" t="str">
        <x:v>PRD-0054-P0013-U01</x:v>
      </x:c>
      <x:c r="B177" s="46" t="str">
        <x:v>NO_Norway_norges-bank-memo-1-2021</x:v>
      </x:c>
      <x:c r="C177" s="46" t="n">
        <x:v>13</x:v>
      </x:c>
      <x:c r="D177" s="46" t="str">
        <x:v>en</x:v>
      </x:c>
      <x:c r="E177" s="46" t="str">
        <x:v>text</x:v>
      </x:c>
      <x:c r="F177" s="46" t="str"/>
      <x:c r="G177" s="46" t="str">
        <x:v>13 
NORGES BANK MEMO 
NR 1 | 2021 
DIGITALE 
SENTRALBANKPENGER 
3. RAPPORT FRA 
ARBEIDSGRUPPEN 
situasjon der innskyterne er usikre på soliditeten og likviditeten til hele den 
private banksektoren. Da kan innskyterne ønske å flytte sine midler ut av 
banksystemet og inn i DSP. DSP fremstår som mer attraktivt enn 
bankinnskudd og kan få høyere markedsverdi i et «skyggemarked». Effekten 
på markedsverdi kan forsterkes dersom tilbudet av DSP er begrenset gjennom 
ulike former for volumbegrensninger, se avsnitt 2.4. Veksling fra bankinnskudd 
til DSP vil være praktisk enklere og innebære mindre tyveri-/tapsrisiko enn ved 
veksling fra bankinnskudd til kontanter.  
Det er samtidig forhold som kan fremme paritet:  
- Bankene kan øke innskuddsrentene slik at innskyterne kompenseres 
for det de oppfatter som økt kreditt- og likviditetsrisiko. I en stor krise 
kan rentedifferansen mot DSP bli betydelig.  
- Innskuddsgarantiordningen garanterer for innskudd opp til 2 millioner 
kroner per innskyter per bank. Beløpet skal gjøres tilgjengelig for 
innskyterne innen syv arbeidsdager. God informasjon om garantien 
kan begrense innskuddsflukt til DSP og press på pariteten.  
Det oppfattes ikke som nødvendig at kravet til par verdi mellom DSP og 
bankinnskudd skal gi noen sterkere beskyttelse enn det som gjelder mellom 
kontanter og bankinnskudd i dag. Ellers ville løsningen innebære at det ikke 
var noe kredittrisiko knyttet til bankinnskudd.  
Paritet mellom DSP og bankinnskudd er en egenskap som er krevende å 
teste. Vi kan simulere et brudd på pariteten og gjøre antakelser om atferd, 
blant annet basert på historiske erfaringer fra kriser i banksystemet.  
2.3. Kunderettet fokus 
DSP skal ha et kunderettet fokus. Dette innebærer at DSP må være 
tilgjengelig for et bredt publikum og at det må foreligge en infrastruktur slik at 
DSP egner seg for kunderettede betalinger, herunder krav til brukervennlighet 
og sikkerhet. 
For at DSP-løsningen skal kunne oppfylle formålene om å fungere som 
beredskapsløsning og bidra til konkurranse er det viktig at bruken er over det 
minimumsnivået som er nødvendig for at løsningen reelt sett er både 
tilgjengelig og anvendelig. For å oppnå en viss bruk må brukergrensesnittene 
som betalere og betalingsmottakere står overfor, være attraktive.  
Kjerneinfrastrukturen7 bør konstrueres slik at den er kompatibel med ulike 
betalingsinstrumenter og ulike betalingssituasjoner (for eksempel fysisk 
handel, netthandel og overføringer mellom privatpersoner). Ut fra formålet om 
beredskap er det et krav at det skal kunne betales med DSP i «fysisk» handel 
med varer og tjenester.  
For å sikre en viss bruk er det trolig nødvendig å overlate til tredjeparter å 
utvikle nye attraktive brukergrensesnitt, eller å knytte infrastrukturen til 
allerede eksisterende betalingsløsninger. I en eventuell testfase bør det 
undersøkes om infrastrukturen kan knyttes opp mot ulike 
7 Kjernen av DSP-systemet består i første rekke av pengeutstedelse og -destruksjon, IT-arkitektur for blant 
annet registeret/kontosystemet og regler/«protokoll» for systemet.</x:v>
      </x:c>
    </x:row>
    <x:row r="178" ht="110" customHeight="1">
      <x:c r="A178" s="46" t="str">
        <x:v>PRD-0054-P0017-U01</x:v>
      </x:c>
      <x:c r="B178" s="46" t="str">
        <x:v>NO_Norway_norges-bank-memo-1-2021</x:v>
      </x:c>
      <x:c r="C178" s="46" t="n">
        <x:v>17</x:v>
      </x:c>
      <x:c r="D178" s="46" t="str">
        <x:v>en</x:v>
      </x:c>
      <x:c r="E178" s="46" t="str">
        <x:v>text</x:v>
      </x:c>
      <x:c r="F178" s="46" t="str"/>
      <x:c r="G178" s="46" t="str">
        <x:v>17 
NORGES BANK MEMO 
NR 1 | 2021 
DIGITALE 
SENTRALBANKPENGER 
3. RAPPORT FRA 
ARBEIDSGRUPPEN 
rette for det. Dette har sammenheng med at DSP bør kunne være en 
nisjeløsning for enkelte typer betalinger, se avsnitt 2.17. 
Hvis DSP skal gis status som tvungent betalingsmiddel, må det lovendringer 
til, primært en endring av sentralbankloven § 3-5 første ledd. Som 
utgangspunkt er en slik lovendring uproblematisk. Det må videre gjøres 
enkelte tilpasninger i finansavtaleloven § 1-5 (4) som definerer 
«betalingsmidler», § 2-1 om oppgjørsmåte og § 2-2 om tid og sted for 
betaling.10 Vi antar at det også bør gjøres endringer i finansforetaksloven § 16-
4, slik at det fremgår at banker har plikt til å motta og gjøre kundeinnskudd 
tilgjengelige i DSP i tillegg til kontanter. Hvis DSP skal kunne brukes ved 
statlige og kommunale inn- og utbetalinger, for eksempel ved skatte- og 
avgiftskrav, vil det kreves flere endringer i ulike lover og forskrifter, siden 
regelverket i dag i det alt vesentlige tar sikte på at slike betalinger skal gjøres 
med bankinnskudd.  
Hvis DSP skal kunne fungere som tvungent betalingsmiddel, må det være 
allment og enkelt tilgjengelig, og det må videre være forholdsvis enkelt og 
billig å bruke. En løsning som er teknisk komplisert å bruke, eller som krever 
anskaffelse av avansert eller kostbart ekstrautstyr, vil medføre at DSP ikke blir 
allment tilgjengelige penger, og vil ikke kunne oppfylle en fall-backfunksjon der 
partene i et betalingsoppgjør ikke blir enige om oppgjørsmåte. 
Brukervennlighet til tekniske løsninger er drøftet i avsnitt 2.3 og kapittel 3 og 
bør belyses med testing.  
DSP vil for praktiske formål kreve at pengene tas ut av en bankkonto før bruk, 
og settes inn på en annen bankkonto på et senere tidspunkt. Men selve 
betalingene vil skje uavhengig av bankkonti, og slik sett vil det ikke være noe 
krav om at betaler og betalingsmottaker har bankkonti. Dette er parallelt med 
kontanter. Vi antar at det for selve betalingssituasjonen spiller mindre rolle om 
DSP-løsningen er registerbasert eller en lukket kontoløsning.11 
Hvis DSP skal være tvungent betalingsmiddel sammen med kontanter, bør det 
fastsettes om innehaver av DSP skal kunne kreve dem vekslet om til 
kontanter, eller motsatt. Vi antar at en hensiktsmessig løsning kan være en 
vekslingsplikt som går begge veier, dvs. at Norges Bank får en plikt til å veksle 
kontanter til DSP og vice versa. Det er nærliggende å tenke seg en tilsvarende 
plikt for banker ut fra prinsippet om at bankene skal gjøre tvungne 
betalingsmidler tilgjengelige for sine kunder, jf. finansforetaksloven § 16-4. 
Men det bør ikke etableres et rangforhold mellom DSP og kontanter, slik at 
innehavere at DSP kan kreve dem vekslet til kontanter, mens innehavere av 
kontanter ikke kan kreve dem vekslet til DSP, eller motsatt. 
2.7. Samsvar med EØS-rettslige forpliktelser 
Norge er bundet av EØS-avtalen, og DSP må utformes i samsvar med de 
grunnleggende prinsippene her, for eksempel de fire friheter, 
statsstøttereglene og konkurransereglene. Det er likevel vår vurdering at disse 
10 Ny finansavtalelov ble vedtatt den 1.12.2020, og sanksjonert den 18.12.2020. Det er ennå ikke klart når 
den vil tre i kraft. Vi har l kevel funnet det riktig å henvise til den nye loven. Loven erstatter finansavtaloven 
av 1999 (LOV-1999-06-25-46), som fortsatt er i kraft. De bestemmelsene det er vist til her, er materielt en 
uendret videreføring av hhv. § 12 bokstav d, § 38 og § 39 i finansavtaleloven av 1999. 
11 Enkelte registerbaserte løsninger som baseres på åpne blokkjeder vil riktignok kunne kreve at det skjer 
en veksling mellom NOK og en særskilt kryptovaluta, men denne vekslingen vil foretas av Norges Bank, og 
vil være uvedkommende den enkelte betaling.</x:v>
      </x:c>
    </x:row>
    <x:row r="179" ht="110" customHeight="1">
      <x:c r="A179" s="46" t="str">
        <x:v>PRD-0054-P0024-U01</x:v>
      </x:c>
      <x:c r="B179" s="46" t="str">
        <x:v>NO_Norway_norges-bank-memo-1-2021</x:v>
      </x:c>
      <x:c r="C179" s="46" t="n">
        <x:v>24</x:v>
      </x:c>
      <x:c r="D179" s="46" t="str">
        <x:v>en</x:v>
      </x:c>
      <x:c r="E179" s="46" t="str">
        <x:v>text</x:v>
      </x:c>
      <x:c r="F179" s="46" t="str"/>
      <x:c r="G179" s="46" t="str">
        <x:v>24 
NORGES BANK MEMO 
NR 1 | 2021 
DIGITALE 
SENTRALBANKPENGER 
3. RAPPORT FRA 
ARBEIDSGRUPPEN 
2.12. Fleksibilitet for ulike personvernløsninger 
Fleksibiliteten til å tilpasse et DSP-system til ulike grader av personvern er 
begrenset av personvernregler som setter minimumskrav til personvernet, og 
begrensninger som følge av blant annet regelverk skal overvåke og motvirke 
betalinger knyttet til kriminelle aktiviteter. Personvernreglene gjennomfører en 
rekke prinsipper som DSP må følge.18 I tillegg gir regelverket brukerne 
rettigheter slik som rett til informasjon, innsigelser/klage, tilgang, sletting og 
dataportabilitet.  
En lukket kontoløsning innebærer kobling av identitet og beholdninger. Dette 
innebærer at løsningen utvilsomt vil omfatte personopplysninger.  
En tokenbasert løsning vil gi mer fleksibilitet knyttet til personvern enn en 
lukket kontoløsning. I en lukket kontoløsning vil enhver beholdning være 
knyttet til en identifiserbar person. Norges Bank kan styre hvilken informasjon 
ulike aktører har, men det vil ikke være noen iboende anonymitet. Siden 
løsningen er kombinert med lokal lagring, kan anonyme forhåndsbetalte kort gi 
anonymitet innenfor rammene av tillatt omfang.  
I en tokenbasert løsning vil det ikke være noen direkte kobling mellom identitet 
og pengebeholdninger. Registeret vil koble kryptografiske adresser med 
penger som kan disponeres over ved kryptografiske koder. En slik løsning vil 
være såkalt «pseudo-anonym» ved at det ikke er noen direkte kobling mellom 
personer og penger.  
Krav til kundekontroll19 vil likevel innebære at det må gjøres koblinger mellom 
«tokens» og identitet, for eksempel ved on-boarding av nye brukere, store 
transaksjoner og mistenkelige transaksjoner. Dette vil også måtte innebære at 
koblingen mellom identitet og «tokens» vil registreres og ligge i registre. Ulike 
organiseringer av slike registre er beskrevet i omtalen av kundekontroll i 
avsnitt 2.11.  
Selv om det ikke skulle være noen registre som direkte kobler identitet og 
«tokens», kan ulike kvantitative teknikker, slik som nettverksanalyse, likevel 
benyttes til å koble personer med beholdninger. Dette kan brukes for 
etterlevelse-formål, men kan også innebære at registeret indirekte kan 
inneholde personopplysninger som kan utløse GDPR-krav. Dette vil avhenge 
av konkret design og kan tilpasses hva som er ønskelig. Teknisk testing kan 
belyse koblingen mellom DSP-registeret og personopplysninger nærmere.  
Ulike tekniske løsninger kan imidlertid legge til rette for anonymitet ved å 
vanskeliggjøre koblinger mellom identitet og «tokens». Kryptografiske 
teknikker kan benyttes til å skjule både avsender og mottaker, samt beløp. 
Dette er nærmere beskrevet i omtalen av teknologi i kapittel 3. Slike løsninger 
må belyses nærmere gjennom teknisk testing.  
18 Slik som behandlingsgrunnlag, transparens, dataminimering, nøyaktighet, begrensning i tid og mengde, 
integritet og konfidensialitet (sikkerhet, «privacy by design» etc.) samt styring og kontroll. 
19 Når det gjelder begrensninger i adgangen til å tilby anonyme betalinger, gjelder EUs 
hvitvaskingsregelverk i hovedsak ikke for sentralbanker. Vi følger det likevel etter nasjonale føringer, se 
omtale i avsnitt 2.7. Tredjeparter som tilbyr DSP-relaterte tjenester vil kunne være underlagt regelverk, for 
eksempel banker, e-pengetilbydere og tjenestetilbydere for virtuelle valutaer.</x:v>
      </x:c>
    </x:row>
    <x:row r="180" ht="110" customHeight="1">
      <x:c r="A180" s="46" t="str">
        <x:v>PRD-0054-P0028-U01</x:v>
      </x:c>
      <x:c r="B180" s="46" t="str">
        <x:v>NO_Norway_norges-bank-memo-1-2021</x:v>
      </x:c>
      <x:c r="C180" s="46" t="n">
        <x:v>28</x:v>
      </x:c>
      <x:c r="D180" s="46" t="str">
        <x:v>en</x:v>
      </x:c>
      <x:c r="E180" s="46" t="str">
        <x:v>text</x:v>
      </x:c>
      <x:c r="F180" s="46" t="str"/>
      <x:c r="G180" s="46" t="str">
        <x:v>28 
NORGES BANK MEMO 
NR 1 | 2021 
DIGITALE 
SENTRALBANKPENGER 
3. RAPPORT FRA 
ARBEIDSGRUPPEN 
2.15. Relevant informasjon i Norges Banks 
makroøkonomiske overvåking 
Det er ønskelig at DSP-systemet kan gi relevant informasjon i Norges Banks 
makroøkonomiske overvåking. Dersom DSP har lite volum, og særlig hvis 
DSPs «markedsandel» i betalingsmarkedet endrer seg mye fra år til år, kan 
informasjonen ha begrenset verdi for dette formålet.  
Mest relevant informasjon vil være antall og verdi av betalinger, totalt og 
fordelt på betalinger mellom forskjellige typer aktører (privatpersoner, 
bedrifter, offentlig sektor). For makroovervåking er kanskje betalinger fra 
privatpersoner til bedrifter og betalinger mellom bedrifter mest interessant. 
Gjennom opplegget for transaksjonsregistering i systemet vil vi blant annet 
kunne sikre oss tilgang på sektorkoder for betaler og mottaker.  
Aktuelle anvendelser kan være «nowcasting» - anslag på den økonomiske 
utviklingen nå og i nær fremtid - og informasjon om økonomiske reaksjoner på 
renteendringer. Store overføringer inn i DSP kan være en indikator for 
finansiell uro.   
En forutsetning for å kunne analysere data er at DSP-systemet har en 
statistikkmodul eller i det minste et verktøy for å hente ut informasjon på egnet 
form for analyse i andre program. Videre må DSP-regelverket inkludere 
bestemmelser om bruk, rettigheter og sikkerhet for DSP-data.  
I forlengelsen av dette må det også være et opplegg for kundenes tilgang til 
data og for tredjepartsaktørers tilgang til kunders data via API, dersom kunder 
ønsker dette. DSP-regelverket må inneholde vilkår og krav til standarder for 
tredjepartsaktører, samt opplegg for håndtering av situasjoner der kunder 
mener at data i DSP-systemet er feil, se også avsnitt 2.12 om personvern.  
I en registerbasert løsning vil det ikke være identitet i kjerneregisteret, dette vil 
eventuelt ligge i et ekstra register med identitet som knyttes til kjerneregisteret. 
Det innebærer at en kan gjøre analyser av data i kjerneregisteret uten å 
kjenne navn.   
2.16. DLT-kompatibelt 
Det finnes ulike varianter av DLT. Det skilles ofte mellom såkalte åpne og 
lukkede systemer. I åpne systemer er det ikke er formelle restriksjoner på 
hvem kan hente informasjon fra registeret som kan utføre funksjoner, som for 
eksempel å validere transaksjoner. Systemer kan være lukket i betydningen 
av at funksjoner kan være forbeholdt visse aktører og det er restriksjoner på 
hvilke aktører som har tilgang til ulik informasjon i registeret. DLT-teknologien 
er nærmere beskrevet i kapittel 3.  
DSP-piloter i mange sentralbanker, herunder Riksbanken, er basert på 
varianter av lukkede DLT-systemer. Et spørsmål i lukkede systemer er hvilke 
roller som eventuelt kan legges til andre deltakere enn Norges Bank, og risiko 
knyttet til dette. Dette vil kunne belyses nærmere ved teknisk testing og 
validering av konkrete tekniske løsninger.</x:v>
      </x:c>
    </x:row>
    <x:row r="181" ht="110" customHeight="1">
      <x:c r="A181" s="46" t="str">
        <x:v>PRD-0054-P0034-U01</x:v>
      </x:c>
      <x:c r="B181" s="46" t="str">
        <x:v>NO_Norway_norges-bank-memo-1-2021</x:v>
      </x:c>
      <x:c r="C181" s="46" t="n">
        <x:v>34</x:v>
      </x:c>
      <x:c r="D181" s="46" t="str">
        <x:v>en</x:v>
      </x:c>
      <x:c r="E181" s="46" t="str">
        <x:v>text</x:v>
      </x:c>
      <x:c r="F181" s="46" t="str"/>
      <x:c r="G181" s="46" t="str">
        <x:v>34 
NORGES BANK MEMO 
NR 1 | 2021 
DIGITALE 
SENTRALBANKPENGER 
3. RAPPORT FRA 
ARBEIDSGRUPPEN 
«overlay»-registre for tjenester der DSP er integrert. Dette er også en utvikling 
som en bør følge med på for å gjøre en kontinuerlig vurdering av om ulike 
åpne systemer kan være aktuelle som infrastruktur for DSP.    
Utviklingen innen sikkerhet, anonymitet og funksjonalitet mer generelt har mer 
direkte relevans for DSP. Utvikling innen ulike typer konsensusmekanismer 
kan gjøre det mer aktuelt at DSP-arkitekturen utnytter varianter av lukkede 
desentrale systemer. Teknologi som bidrar til sikkerhet i brukergrensnittene 
kan også være nyttig for DSP.  Når det gjelder anonymitet, kan ulike måter for 
å fasilitere anonymitet tjene som inspirasjon for personvernløsninger i DSP, jf. 
omtalen av kryptografi over. Utvikling innen former for programmerbarhet og 
mulighet for å bygge broer mellom ulike registre kan være relevant for DSP, 
særlig dersom disse kan bidra til at Norges Bank kan ha tilstrekkelig kontroll 
samtidig som mulighetene ved programmerbarhet utnyttes. 
Organisatoriske oppsett i ulike kryptovalutasystemer som skal bidra til 
etterlevelse av regulatoriske krav og utnytte et økosystem av tredjeparter, kan 
også gi inspirasjon til hvordan et DSP skal organiseres. For eksempel har 
Libra Association i sitt reviderte White Paper27 gitt en oversikt over 
organiseringen av distribusjon av Libra (senere døpt om til Diem) og 
regulatoriske sider ved slik organisering.  
3.1.3. Lukkede kontoløsninger med lokal lagring 
En bankkonto er en løpende oversikt over en kundes fordring eller gjeld 
overfor banken. Saldoen eller balansen på kontoen oppdateres med inn- og 
utbetalinger i kronologisk rekkefølge. Bankkontoen er tilknyttet kundens 
identitet og tilordnet et kontonummer for identifikasjon. Et kontosystem i en 
bank er per definisjon lukket – fordringer på én bank kan ikke uten videre 
byttes med fordringer på en annen bank. I Norge skjer oppgjøret mellom de 
ulike lukkede kontosystemene via oppgjørskontoer i Norges Bank eller andre 
oppgjørsbanker.  
I systemet må det være mulig å overføre midler mellom egne ordinære 
bankkontoer og egne DSP-kontoer. Dette vil kunne skje enkelt gjennom 
Norges Banks oppgjørssystem. Det bør imidlertid ikke være mulig å overføre 
penger mellom ordinære bankkontoer og DSP-kontoer som ikke har samme 
eier. Dette for å sikre at DSP-systemet ikke blir altfor likt det ordinære 
betalingssystemet, slik at DSP kan oppnå formålene om uavhengig beredskap 
og konkurranse og slik at det er mulig å påvirke DSP-volumet blant annet av 
hensyn til finansiell stabilitet.     
Et kontosystem med slike restriksjoner vil ha mye til felles med et e-
pengesystem, der det kun er mulig å betale mellom kontoer i systemet. 
Eksempler på slike systemer er PayPal og AliPay.  
Vi ser for oss at kontosystemet kombineres med en modul for lokal lagring. 
Hovedformålet med en slik modul er å sikre at det er mulig å gjennomføre 
betalinger og oppgjør når det ikke er mulig å bruke det sentraliserte 
kontosystemet, altså i praksis for beredskapsformål. En slik modell kan 
karakteriseres som en hybridmodell, med et kontobasert hovedsystem (som 
27 Se Libra Association Members (2020).</x:v>
      </x:c>
    </x:row>
    <x:row r="182" ht="110" customHeight="1">
      <x:c r="A182" s="46" t="str">
        <x:v>PRD-0054-P0036-U01</x:v>
      </x:c>
      <x:c r="B182" s="46" t="str">
        <x:v>NO_Norway_norges-bank-memo-1-2021</x:v>
      </x:c>
      <x:c r="C182" s="46" t="n">
        <x:v>36</x:v>
      </x:c>
      <x:c r="D182" s="46" t="str">
        <x:v>en</x:v>
      </x:c>
      <x:c r="E182" s="46" t="str">
        <x:v>text</x:v>
      </x:c>
      <x:c r="F182" s="46" t="str"/>
      <x:c r="G182" s="46" t="str">
        <x:v>36 
NORGES BANK MEMO 
NR 1 | 2021 
DIGITALE 
SENTRALBANKPENGER 
3. RAPPORT FRA 
ARBEIDSGRUPPEN 
Selv om et DSP-register i seg selv ikke er basert på desentralisert teknologi, 
utelukker ikke dette at DSP kan utnytte fordeler ved DLT. Såkalte 
«overlay»,«layer 2» eller «side-chain»-løsninger innebærer at enheter i et 
basisregister «låses inn» til bruk i et annet register for bruk der og for senere 
konsolidering med basisregisteret etter fastsatte regler.29 En kunne tenke seg 
en løsning der brukerne kan låse DSP fra basisregisteret i Norges Bank inn i 
et DLT «overlay»-register for å benytte tjenestene i dette registeret. Aktiviteter 
i et «overlay»-register vil ikke nødvendigvis utelukke ansvar eller 
omdømmerisiko for Norges Bank knyttet til disse aktivitetene. Dette innebærer 
at Norges Bank må benytte tekniske løsninger og/eller utvikle regelverk for 
bruk av DSP eller DSP-representasjoner i eksterne registre. 
Dersom DLT benyttes enten for basisregisteret eller indirekte gjennom andre 
DLT- plattformer, vil interoperabilitet være et sentralt spørsmål. Det er i dag 
ingen standardisering av DLT-systemer, og ulike systemer opererer med ulike 
prinsipper for dataprosessering og -representasjon. Dette kan til en viss grad 
bety at man blir lukket til teknologi, og at en ved valg av teknologi ikke kan 
realisere gevinster som ligger i andre teknologiløsninger. Det pågår 
standardiseringsarbeid i privat og offentlig regi. Samarbeidsflater mellom 
sentralbanker kan også bidra til standardisering. Utvikling av ulike 
overbygningsløsninger kan gjøre systemer mer interoperatible. Dette arbeidet 
bør følges i det videre DSP-arbeidet, og teknisk testing vil gi ytterligere 
informasjon om interoperabilitet.   
3.2.2. Programmerbare penger  
En tema nært knyttet til DLT er muligheten for «programmerbare» penger 
(gjennom «smartkontrakter») - selv om programmerbare penger ikke er 
avhengig av DLT. Programmerbare penger innebærer at det kan legges 
programmeringsfunksjonalitet på toppen av registeret slik at transaksjoner kan 
gjøres avhengig av visse hendelser, for eksempel at minst to av tre personer 
må signere en transaksjon for at den skal være gyldig.  
Programmeringsmulighetene kan være mer eller mindre omfattende. Det kan 
tilbys et komplett generelt programmeringsspråk (såkalt turing-kompletthet) på 
toppen av registeret eller avgrensede programmeringsfunksjoner. 
Programmeringsfunksjonalitet bidrar til oppfyllelse av egenskapene. For 
eksempel kan det legge til rette for at tredjeparter kan tilby løsninger for 
offline-betalinger, betalinger med ulik grad av personvern, og utvikling av 
nisjeløsninger. Det kan legge til rette for tokenisering ved at visse typer aktiva, 
for eksempel aksjer, kan gis en digital representasjon i registeret.  
Programmeringsfunksjonalitet kan gi gevinster, men kan også innebære risiko 
og andre utilsiktede virkninger. Dersom det tilbys omfattende programmerings-
alternativer på toppen av DSP, som for eksempel legger til rette for 
tokenisering av aktiva på toppen av DSP-registeret, vil det i praksis kunne gi 
Norges Bank ansvar utover oppgavene etter sentralbankloven. Det vil også 
innebære at mange typer aktører og myndigheter utenfor betalingssystemet vil 
kunne ha synspunkter på arkitekturen i registeret og hvordan registeret drives, 
som potensielt kan komme i konflikt med Norges Banks arbeid med å fremme 
et effektivt og sikkert betalingssystem.   
29 Se Gudgeon m.fl. (2020) og Bank of England (2020).</x:v>
      </x:c>
    </x:row>
    <x:row r="183" ht="110" customHeight="1">
      <x:c r="A183" s="46" t="str">
        <x:v>PRD-0054-P0039-U01</x:v>
      </x:c>
      <x:c r="B183" s="46" t="str">
        <x:v>NO_Norway_norges-bank-memo-1-2021</x:v>
      </x:c>
      <x:c r="C183" s="46" t="n">
        <x:v>39</x:v>
      </x:c>
      <x:c r="D183" s="46" t="str">
        <x:v>en</x:v>
      </x:c>
      <x:c r="E183" s="46" t="str">
        <x:v>text</x:v>
      </x:c>
      <x:c r="F183" s="46" t="str"/>
      <x:c r="G183" s="46" t="str">
        <x:v>39 
NORGES BANK MEMO 
NR 1 | 2021 
DIGITALE 
SENTRALBANKPENGER 
3. RAPPORT FRA 
ARBEIDSGRUPPEN 
implementere en slik løsning. Det er flere utfordringer knyttet til grensesnitt for 
lokal lagring, jf. omtalen av offline-løsninger under. Den tekniske løsningen for 
lokal lagring og regelverket må legge til rette for at en kunde ikke vil være 
avhengig av en spesifikk leverandørs brukergrensesnitt for å få tilgang til lokalt 
lagrede løsninger.    
Det finnes to former for wallets i en registerbasert tokenløsning.33 Den ene 
løsningen innebærer at brukeren selv oppbevarer koder nødvendig for å 
gjennomføre transaksjoner. Typisk vil brukergrensesnittet/walleten holde 
orden på brukerens kryptografiske koder og kommunikasjon med DSP-
registeret. Dette kan innebære at tredjeparter vil bruke proprietære løsninger 
for å representere data som gir brukeren tilgang til DSP. Dette kan medføre at 
det blir vanskelig for en bruker å disponere over DSP dersom løsningen til 
denne aktøren svikter eller brukeren av annen grunn vil velge et annet 
brukergrensesnitt. Det finnes mange standardiserte løsninger for å holde 
orden på kryptografiske koder, for eksempel ved bruk av standardiserte 
«seeds».34 En DSP-løsning bør teknisk og regulatorisk legge til rette for at en 
bruker ikke blir låst inne til et brukergrensesnitt.  
Denne løsningen har også svakheter. Hvis brukeren mister tilgangen til koden 
eller blir utsatt for ondsinnet programvare, vil brukeren kunne miste eller bli 
frastjålet midlene sine. Det finnes ulike løsninger for å redusere denne 
sårbarheten. Kunden kan velge å lagre kodene på enheter som ikke er online, 
og med jevne mellomrom overføre mindre beløp til online bruk. Kunden kan 
også benytte sikker hardware, dvs. at enkelte hardware-komponenter på 
brukerens utstyr er isolerte, som vanskeliggjør tilgang for ondsinnet 
programvare.  
Den andre løsningen for wallets er såkalte «custodial wallets». Dette 
innebærer at en tredjepartsaktør oppbevarer brukerens kryptografiske goder. 
Brukeren kan disponere over sine midler ved å logge inn på 
tredjepartsaktørens brukergrensesnitt. En ulempe ved denne løsningen er at 
brukeren er sårbar for å miste tilgang til DSP ved svikt hos og angrep mot 
denne aktøren. Brukeren kan ikke enkelt bytte til en annen tilbyder. Det kan 
også oppstå problemstillinger knyttet til hvem som eier DSP’ene som er 
beskyttet av nøklene, hvis dette ikke er tilstrekkelig regulert. Dersom en slik 
tredjepartsaktør blir stor, kan slik svikt i tillegg få systemiske konsekvenser 
siden mange ikke vil få tilgang til sine DSP.         
Dersom en ønsker å benytte desentralisert teknologi, kan ulike løsninger for 
«wallets» for kryptovalutaer tjene som inspirasjon.35 I utgangspunktet er 
kryptovalutaer basert på at hver «node» i systemet sitter på en oppdatert full 
versjon av registeret. En wallet tjener som brukergrensesnitt mot dette 
registeret. Walleten gir brukeren mulighet til å se sin egen beholdning og 
annen informasjon i registret, og kan generere/signere transaksjoner som 
sendes ut i nettverket etter autorisering av brukeren. Det virker lite 
hensiktsmessig at hver bruker sitter på hele registeret i en DSP-løsning. Dette 
har også blitt mindre vanlig for kryptovaluta-løsninger. Det har blitt mer vanlig 
at brukerne har en såkalt «light-wallet» der walleten kommuniserer og henter 
informasjon fra noder som sitter på hele registeret eller informasjon nødvendig 
for å vise at en transaksjon er gjennomført i registeret. Dette må også 
33 Se Karantias (2020) og Allen m. fl. (2020).  
34 En sl k løsning er at alle brukerens nøkler kan genereres fra en sammensetning av forskjellige ord. 
Brukeren må da benytte denne ordrekken for å regenerere sine nøkler i en ny «wallet».   
35 Se Karantias (2020) for en oversikt over tekniske løsninger.</x:v>
      </x:c>
    </x:row>
    <x:row r="184" ht="110" customHeight="1">
      <x:c r="A184" s="46" t="str">
        <x:v>PRD-0054-P0046-U01</x:v>
      </x:c>
      <x:c r="B184" s="46" t="str">
        <x:v>NO_Norway_norges-bank-memo-1-2021</x:v>
      </x:c>
      <x:c r="C184" s="46" t="n">
        <x:v>46</x:v>
      </x:c>
      <x:c r="D184" s="46" t="str">
        <x:v>en</x:v>
      </x:c>
      <x:c r="E184" s="46" t="str">
        <x:v>text</x:v>
      </x:c>
      <x:c r="F184" s="46" t="str"/>
      <x:c r="G184" s="46" t="str">
        <x:v>46 
NORGES BANK MEMO 
NR 1 | 2021 
DIGITALE 
SENTRALBANKPENGER 
3. RAPPORT FRA 
ARBEIDSGRUPPEN 
En registerbasert tokenløsning krever i utgangspunktet kommunikasjon med 
et register for å validere, prosessere og registrere transaksjoner, og slik 
kommunikasjon vil i utgangspunktet være nødvendig for at betalinger er 
endelige. Det finnes i dag til en viss grad teknologi og konsepter for såkalte 
off-chain- betalinger i «overlay»-løsninger, som innebærer at betalinger kan 
skje utenfor registeret og senere konsolideres mot registeret, og som også 
kan inkludere offline-betalinger. I sistnevnte kan såkalt sikker hardware 
benyttes. Dette er imidlertid relativt umoden teknologi. Teknisk testing kan gi 
ytterligere innsikt i denne teknologien. Løsninger basert på senere 
konsolidering mot et DSP-register innebærer at betalinger ikke er endelige. 
Det må vurderes nærmere om det er akseptabelt at betalinger ikke er endelige 
i en offline-situasjon, eller om det må utvikles et regelverk som gjør at slike 
betalinger er endelige.  
En tokenbasert registerløsning er i utgangspunktet basert på at det er tilgang 
til kryptografiske koder og ikke identifisering som benyttes for å disponere over 
penger. Det må likevel gjøres koblinger med identitet og registeroppføringer i 
forbindelse med oppfyllelse av regulatoriske krav. Denne identifiseringen kan 
være mer eller mindre direkte og mer eller mindre omfattende, blant annet 
avhengig av hvordan ulike egenskaper veies mot hverandre. For eksempel vil 
større grad av identifisering legge til rette for ulike friksjoner mot 
bankinnskudd, slik som renter og beløpsgrenser, men kan redusere det 
opplevde personvernet og bidra til at muligheten for å miste penger i mindre 
grad tjener som friksjon.  
Det vil også oppstå spørsmål om hvilke identifiseringsløsninger som skal 
brukes. En kan basere seg på tredjeparters egne eksisterende løsninger eller 
en kunne tenke seg at en la til rette for effektivitetsgevinster ved bruk av ny 
reguleringsteknologi. I prinsippet kunne en tenke seg en fullstendig kobling 
mellom registerenheter og identifiserte personer. Det vil i praksis være veldig 
likt en kontobasert løsning. Dette illustrerer også at grensen mellom 
registerbaserte tokenløsninger og kontoløsninger er flytende. Det vurderes 
derfor som hensiktsmessig å ikke opprettholde dette skillet i det videre 
valideringsarbeidet, se også avsnitt 5.3.          
5.2. Validering av lukket kontoløsning med lokal 
lagring 
På et overordnet nivå har ikke valideringsgruppen gjort noen funn som skulle 
tilsi at prinsippene for en kontobasert modell ikke er kompatible med 
egenskapene DSP må ha. 
Det er noen tilfeller der en kontobasert modell trolig i mindre grad enn en 
registerbasert modell vil oppfylle egenskapen. Dette er beskrevet nærmere i 
kapittel 2 om egenskaper og gjelder særlig egenskapen om DSP som 
plattform for tredjeparter og egenskapen om personvern. En lukket 
kontoløsning vil ikke legge til rette for innovasjon fra tredjeparter utover det en 
allerede kan forvente fra PSD2. En kontobasert modell vil trolig også gi mindre 
fleksibilitet knyttet til personvern, blant annet gjennom at det er vanskelig(ere) 
å tilby anonymitet. Det er også usikkerhet knyttet til hvorvidt et kontobasert 
system er kompatibelt med DLT.</x:v>
      </x:c>
    </x:row>
    <x:row r="185" ht="110" customHeight="1">
      <x:c r="A185" s="46" t="str">
        <x:v>PRD-0054-P0055-U01</x:v>
      </x:c>
      <x:c r="B185" s="46" t="str">
        <x:v>NO_Norway_norges-bank-memo-1-2021</x:v>
      </x:c>
      <x:c r="C185" s="46" t="n">
        <x:v>55</x:v>
      </x:c>
      <x:c r="D185" s="46" t="str">
        <x:v>en</x:v>
      </x:c>
      <x:c r="E185" s="46" t="str">
        <x:v>text</x:v>
      </x:c>
      <x:c r="F185" s="46" t="str"/>
      <x:c r="G185" s="46" t="str">
        <x:v>55 
NORGES BANK MEMO 
NR 1 | 2021 
DIGITALE 
SENTRALBANKPENGER 
3. RAPPORT FRA 
ARBEIDSGRUPPEN 
Figur 10. Publikum tar ut innskudd fra bankene og veksler til DSP 
Sentralbankens balanse må øke dersom DSP ikke erstatter kontanter eller 
andre eksisterende krav private ellers har på sentralbanken. Men 
sentralbankens balanse kan forberedes slik at utlånene til bankene ikke 
nødvendigvis øker. Sentralbanken kan kjøpe aktiva slik at bankenes reserver 
er større enn det de trenger å være i forkant. Da kan bankene i stedet for å 
låne mer fra sentralbanken tære på sine innskudd i sentralbanken (reserver). 
Uansett om sentralbanken velger å låne ut mer til bankene, eller kjøpe andre 
papirer, vil imidlertid sentralbankens balanse øke. Hvordan dette skal 
gjennomføres er ikke vurdert i denne rapporten. 
Lån fra sentralbanken til bankene ytes mot sikkerhet, og bankene har 
begrenset beholdning av statspapirer og andre aktiva som lett kan pantsettes. 
Men hvis Norges Bank kjøper papirer av andre, vil ikke bankenes 
beholdninger av aktiva som ikke er stilt som sikkerheter være samme knappe 
faktor, Bindseil (2020).  
7.2. Virkningene på bankenes 
finansieringskostnader 
Den direkte virkningen på bankenes finansieringskostnader av at publikum 
erstatter noe bankinnskudd med DSP, er lik differansen mellom den renten 
bankene betaler på innskudd og renten de vil betale på lån i sentralbanken, jf 
figur 10. Historisk har denne differansen vært liten eller til og med negativ. 
Hvis sentralbanken tar en normal rente på lån blir virkningen av at innskudd 
erstattes av sentralbanklån derfor nokså begrenset. Trolig vil renten på 
sentralbanklån måtte settes høyere enn normalt blant annet på grunn av 
løpetider og sikkerheter som stilles. Se Bindseil (2020) for et konkret 
regneeksempel basert på europeiske banker og Alstadheim og Søvik (2021) 
for en tilsvarende utregning for norske rentedifferanser. 
De gjenværende innskuddene kan bli mer rentesensitive og derved dyrere for 
bankene enn før. Imidlertid vil samlet volum på innskudd + DSP ikke være 
høyere enn det tidligere totale volumet på innskudd (se figur 10), slik at 
likviditetspremien publikum er villig til å betale på de gjenstående innskuddene 
trolig er nokså uendret,  
Høy rente på DSP kan likevel presse ned rentemarginen på gjenstående 
innskudd. Høy rente på DSP tilsvarer en situasjon der den oransje linjen i figur 
7 ligger langt ned mot X-aksen, noe som setter et lavt tak på den 
innskuddsmarginen (blå linje i figur 7) som bankene kan beregne seg. Juks</x:v>
      </x:c>
    </x:row>
    <x:row r="186" ht="110" customHeight="1">
      <x:c r="A186" s="46" t="str">
        <x:v>PRD-0054-P0059-U01</x:v>
      </x:c>
      <x:c r="B186" s="46" t="str">
        <x:v>NO_Norway_norges-bank-memo-1-2021</x:v>
      </x:c>
      <x:c r="C186" s="46" t="n">
        <x:v>59</x:v>
      </x:c>
      <x:c r="D186" s="46" t="str">
        <x:v>en</x:v>
      </x:c>
      <x:c r="E186" s="46" t="str">
        <x:v>text</x:v>
      </x:c>
      <x:c r="F186" s="46" t="str"/>
      <x:c r="G186" s="46" t="str">
        <x:v>59 
NORGES BANK MEMO 
NR 1 | 2021 
DIGITALE 
SENTRALBANKPENGER 
3. RAPPORT FRA 
ARBEIDSGRUPPEN 
8. Risikoen for løp mot banker og 
«friksjoner» 
8.1. Hva vet vi om faren for løp? 
Innføring av DSP kan lede til løp mot banker. Det innebærer stor etterspørsel 
etter DSP og at sentralbanken kan måtte stå for en stor del av bankenes 
finansiering (potensielt tilsvarende hele deres innskuddsfinansiering). Det vil 
være destabiliserende for det finansielle systemet og øker risikoen på 
sentralbankens balanse.  
Hvor stor er faren for løp? Dette er svært vanskelig å anslå siden vi ikke har 
erfaringer med DSP. Spørsmålet om løp er berørt i litteraturen om 
etterspørselen etter penger,48 og vi vil fremheve følgende forhold: 
- Eksistensen av løp er veldokumentert, men er vesentlig begrenset av 
innskuddssikring særlig i de siste 10-årene og i land der statens 
finanser understøtter troverdigheten av innskuddssikringsordningen. 
- Under finanskrisen så vi en omfordeling av innskudd mellom banker i 
Norge motivert av å komme innenfor innskuddssikringsbeløpet. Det 
tyder på at den norske innskuddssikringsordningen er troverdig. 
- Det var ingen betydelige bevegelser i bankenes innskudd under 
koronakrisen våren 2020. 
Som hovedantakelse vil vi derfor legge til grunn at det er liten fare for løp mot 
bankenes sikrede innskudd. Det er allikevel sannsynlig at faren for løp mot 
bankene øker ved innføring av DSP. Overflytting og oppbevaring av midler i 
DSP kan bli langt enklere og mer sikkert enn for kontanter. Selv om den 
norske innskuddssikringsordningen er troverdig, kan innskudd utover sikret 
beløp bli flyttet til DSP, for eksempel fordi den omfordelingen som tidligere har 
blitt gjort inn i sikrede innskudd går til DSP. DSP kan også bli mer attraktivt 
enn sikrede innskudd, særlig i en situasjon der mange banker får problemer 
samtidig, slik at innskuddssikringsfondet blir eller står i fare for å bli tømt. 
Denne økte faren for løp mot bankene kan tilsi at bankene bør holde høyere 
likviditetsbuffere enn i dag.  
Hvis det oppstår et løp mot bankene må sentralbanken yte lån til bankene for 
at de ikke skal bli betalingsudyktige. Hvis sentralbanken tar en normal premie 
for disse lånene vil den direkte virkningen på bankenes finansiering være 
begrenset. Siden bankene ikke kan skaffe nye sikkerheter under et løp, vil 
sentralbanken måtte godta utvidede sikkerheter i en slik situasjon. Det kan 
tale for at et høyere påslag på disse lånene enn normalt. Bankenes tilgang til 
markedsfinansiering vil også påvirkes i en slik situasjon, og det er ikke 
usannsynlig at bankene vil stå ovenfor prohibitive priser på 
markedsfinansiering. Hvis sentralbanken ikke trer inn under et løp vil bankene 
bli betalingsudyktige og enten måtte krisehåndteres eller settes under offentlig 
administrasjon.  
48 Se Müller (2020).</x:v>
      </x:c>
    </x:row>
    <x:row r="187" ht="110" customHeight="1">
      <x:c r="A187" s="46" t="str">
        <x:v>PRD-0054-P0062-U01</x:v>
      </x:c>
      <x:c r="B187" s="46" t="str">
        <x:v>NO_Norway_norges-bank-memo-1-2021</x:v>
      </x:c>
      <x:c r="C187" s="46" t="n">
        <x:v>62</x:v>
      </x:c>
      <x:c r="D187" s="46" t="str">
        <x:v>en</x:v>
      </x:c>
      <x:c r="E187" s="46" t="str">
        <x:v>text</x:v>
      </x:c>
      <x:c r="F187" s="46" t="str"/>
      <x:c r="G187" s="46" t="str">
        <x:v>62 
NORGES BANK MEMO 
NR 1 | 2021 
DIGITALE 
SENTRALBANKPENGER 
3. RAPPORT FRA 
ARBEIDSGRUPPEN 
DEL III: Anbefalinger 
10. Videre arbeid med DSP i Norges Bank  
Arbeidet med DSP i Norges Bank har pågått parallelt med en rask 
internasjonal utvikling. Holdningen til DSP blant sentralbanker har generelt blitt 
mer positiv, se Auer, Cornelli og Frost (2020).50 Mange sentralbanker har utgitt 
rapporter om formål, konsekvenser og utforming av DSP. Flere sentralbanker 
er i gang med piloter og annen teknisk testing, og nye samarbeidsflater 
mellom sentralbanker har oppstått.  
Samtidig har konteksten rundt DSP utviklet seg. Nye private digitale 
pengealternativer er under utvikling, og teknologien som kan være relevant for 
DSP har utviklet seg raskt. Kontantbruken i Norge har falt ytterligere. Andelen 
kontantbetalinger er nå på 3-4 prosent. Dette er trolig lavest i verden.   
Da Norges Bank startet arbeidet med DSP, var hovedmotivasjonen 
sentralbankens formål med å legge til rette for et sikkert og effektivt 
betalingssystem, uten å virke negativt for de andre formålene i 
sentralbankloven. Vårt eget arbeid og internasjonalt arbeid kan tilsi at DSP 
også kan brukes som virkemiddel for å fremme andre formål i 
sentralbankloven. Disse sidene ved DSP kan med fordel gis økt 
oppmerksomhet i videre arbeid.  
Samlet sett mener derfor arbeidsgruppen at motivasjonen for å utrede DSP 
videre er styrket.  
Prosjektfase 3 har gitt økt kunnskap om egenskapene DSP bør ha, 
konsekvensene av DSP og hvordan DSP kan utformes. Prosjektfase 3 har 
således gitt resultater som ønsket. Vi har likevel - som forventet - behov for 
mer innsikt i hvordan tekniske løsninger kan oppfylle egenskapene og om 
motivasjonen for og konsekvensene (herunder konsekvenser av ulike 
designvalg) av innføring av DSP. Dette er nødvendig for å få et godt nok 
grunnlag for å kunne beslutte om Norges Bank skal innføre DSP.  
Som det fremgår av del I, er det mange sider ved de teknologiske løsningene 
som kan belyses nærmere ved teknisk testing. Dette omfatter ikke bare innsikt 
i de tekniske sidene ved løsningene, men testing vil også gi informasjon om 
økonomiske, finansielle og juridiske problemstillinger som genereres av de 
ulike løsningene. Dette er kunnskap vi må ha for å kunne gi en mer presis 
anbefaling om hvilken løsning som bør benyttes ved en eventuell innføring av 
DSP, og om DSP bør innføres.  
Testing kan gjennomføres i faser. I første omgang synes eksperimentell 
testing mest hensiktsmessig. Det foreslås derfor at det i en periode på inntil to 
år gjennomføres eksperimentell testing. Lengden på to år er en avveining 
mellom den minste tiden det tar å trekke inn ekstern kompetanse på ulike 
måter og å gjennomføre og rapportere fra testing, og et ønske om ikke å vente 
for lenge før vi er i posisjon til å vurdere om Norges Bank bør arbeide videre 
50 For mer informasjon om bakgrunnen for hvorfor sentralbanker utreder DSP, se for eksempel Armelius et. 
al. (2020), Panetta (2020) og Kiff et. al. (2020).</x:v>
      </x:c>
    </x:row>
    <x:row r="188" ht="110" customHeight="1">
      <x:c r="A188" s="46" t="str">
        <x:v>PRD-0054-P0066-U01</x:v>
      </x:c>
      <x:c r="B188" s="46" t="str">
        <x:v>NO_Norway_norges-bank-memo-1-2021</x:v>
      </x:c>
      <x:c r="C188" s="46" t="n">
        <x:v>66</x:v>
      </x:c>
      <x:c r="D188" s="46" t="str">
        <x:v>en</x:v>
      </x:c>
      <x:c r="E188" s="46" t="str">
        <x:v>text</x:v>
      </x:c>
      <x:c r="F188" s="46" t="str"/>
      <x:c r="G188" s="46" t="str">
        <x:v>66 
NORGES BANK MEMO 
NR 1 | 2021 
DIGITALE 
SENTRALBANKPENGER 
3. RAPPORT FRA 
ARBEIDSGRUPPEN 
- Prototype  
- Pilot  
- Sandkasse/testnettverk  
- Simulering/modellering  
Proof-of-Concept (PoC) innebærer å teste ut om ulike løsninger konseptuelt 
kan oppfylle spesifikasjoner/egenskaper. Dette kan gjøres på mer abstrakt 
nivå, slik som det valideringsarbeidet som allerede er gjennomført, og kan 
suppleres med teknisk testing. Teknisk testing vil gi ytterligere innsikt i om 
tekniske løsninger kan oppfylle egenskapene.  
En prototype er en avgrenset teknisk løsning som kan brukes til å teste 
enkelte egenskaper eller enkelte moduler av et system. I motsetning til ved 
PoC, som gir informasjon om en egenskap kan oppfylles for en teknisk 
løsning, vil en prototype gi mer informasjon om hvordan egenskapen 
oppfylles. En kunne for eksempel tenke seg at en lagde prototyper for 
kjerneinfrastruktur for å teste sikkerhets- og kapasitetsegenskaper, uten at det 
samtidig ble testet konkrete brukerløsninger basert på disse infrastrukturene. 
På samme måte kan en lage en avgrenset løsning for brukergrensesnitt uten 
bakenforliggende infrastruktur, for å teste brukervennligheten til disse 
løsningene. Dette kan gi informasjon, men en vil ikke nødvendigvis teste om 
egenskapene oppfylles i en fullverdig løsning med samvirke mellom moduler. 
Det er derfor viktig å gjøre vurderinger av for hvilke egenskaper og moduler 
det er nødvendig å teste samvirke.   
I en pilot vil man typisk bygge en mer fullverdig løsning der alle eller de fleste 
egenskaper kan testes samtidig for den samme løsningen. Blant andre 
Riksbanken og den kinesiske sentralbanken utvikler piloter for DSP.  
Ofte benyttes sandkasser/testnettverk for å involvere et mangfold av aktører 
som tester ut nye innovative løsninger.  
For teknisk testing av DSP vil dette typisk innebære at sentralbanken setter 
noen grunnleggende forutsetninger for deltakelse. Dette kan være relevante 
test-caser som gir innsikt i løsninger som kan oppfylle egenskapene DSP må 
ha, og visse forutsetninger om teknologien som skal brukes, for eksempel at 
de skal baseres på åpen kildekode. I motsetning til en regulatorisk sandkasse, 
vil en slik sandkasse være en rent teknisk sandkasse som bare gjennomføres 
i et testmiljø. Det vil derfor ikke være «ekte DSP» som testes. For å gi 
insentiver til slik deltakelse kan det tilbys finansiering etter forhåndssatte 
kriterier og det kan arrangeres «hackatons», konkurranser eller liknende 
potensielt med pengepremier.  
Enkelte egenskaper vil være vanskelige å teste gjennom en prototype/pilot 
eller sandkasse, fordi de er knyttet til begivenheter som er vanskelige å 
gjenskape i et testmiljø, slik som hvordan friksjonene virker ved finansiell 
ustabilitet eller ved andre stressituasjoner. I slike situasjoner kan modellering 
og simulering supplere andre testmetoder. Matematiske representasjoner av 
de tekniske løsningene kan brukes til å analysere blant annet sikkerhet. Ved 
agentbasert simulering kan man knytte atferdsmodeller til de tekniske 
løsningene. Virtuell virkelighet eller augmentert virkelighet kan også tjene 
visse funksjoner. For eksempel kan man lage «spill» der brukere kan teste ut 
løsninger i et virtuelt miljø. Modellering og simulering vil antakeligvis være et 
supplement til andre metoder for teknisk testing.</x:v>
      </x:c>
    </x:row>
    <x:row r="189" ht="110" customHeight="1">
      <x:c r="A189" s="46" t="str">
        <x:v>PRD-0055-P0004-U01</x:v>
      </x:c>
      <x:c r="B189" s="46" t="str">
        <x:v>NO_Norway_norges-bank-memo-2_2020-eng</x:v>
      </x:c>
      <x:c r="C189" s="46" t="n">
        <x:v>4</x:v>
      </x:c>
      <x:c r="D189" s="46" t="str">
        <x:v>en</x:v>
      </x:c>
      <x:c r="E189" s="46" t="str">
        <x:v>text</x:v>
      </x:c>
      <x:c r="F189" s="46" t="str"/>
      <x:c r="G189" s="46" t="str">
        <x:v>4 
NORGES BANK PAPERS 
NO 2 | 2020 
STATUS REPORT –  
NORGES BANK’S  
CENTRAL BANK  
DIGITAL CURRENCY 
PROJECT 
3. International trends 
Central banks worldwide are working increasingly on CBDCs. Boar et al 
(2020) documents a survey on work on CBDCs in 2019 in which 66 central 
banks responded: 
- A good 80 percent of the central banks were working on a CBDC, 
compared with a good 70 percent in 2018. 
- Most were working on a variant of a CBDC for general purpose users. 
Many also looked at a CBDC for settlement between financial 
institutions.  
- Only 10 percent of the central banks had technical solutions under 
development or in pilot testing. Most were working on analyses and 
proofs of concept that (for the time being) did not involve development 
and testing. 
The Riksbank is currently pilot testing a technical solution for an e-krona (see 
Riksbank (2020)). Other countries that have tested or are about to test 
technical solutions for a CBDC for general purpose users include China, 
Uruguay, Ecuador, the Bahamas and Ukraine.  
4. Validation of solutions 
The characteristics of a CBDC were outlined in Norges Bank (2019): 
Necessary characteristics  Desirable characteristics  
Claim on Norges Bank  Can provide the desired degree of data 
protection (beyond requirements under 
EEA law)  
Value parity with bank money/cash Offline payment functionality  
Customer orientation  Platform for third-party providers  
Adequate frictions vis-à-vis bank money  Monetary policy instrument 
Controlled by Norges Bank  Provide information relevant to Norges 
Bank’s macroeconomic monitoring 
Capable of functioning as legal tender  DLT compatibility  
Compliant with obligations under EEA law Attractive niche solution 
Settlement of payments immediately and 
with finality 
Compliant with sound IT architecture 
principles 
Satisfy requirements related to technical 
autonomy 
Customer communication and due diligence 
undertaken by third parties</x:v>
      </x:c>
    </x:row>
    <x:row r="190" ht="110" customHeight="1">
      <x:c r="A190" s="46" t="str">
        <x:v>PRD-0055-P0007-U01</x:v>
      </x:c>
      <x:c r="B190" s="46" t="str">
        <x:v>NO_Norway_norges-bank-memo-2_2020-eng</x:v>
      </x:c>
      <x:c r="C190" s="46" t="n">
        <x:v>7</x:v>
      </x:c>
      <x:c r="D190" s="46" t="str">
        <x:v>en</x:v>
      </x:c>
      <x:c r="E190" s="46" t="str">
        <x:v>text</x:v>
      </x:c>
      <x:c r="F190" s="46" t="str"/>
      <x:c r="G190" s="46" t="str">
        <x:v>7 
NORGES BANK PAPERS 
NO 2 | 2020 
STATUS REPORT –  
NORGES BANK’S  
CENTRAL BANK  
DIGITAL CURRENCY 
PROJECT 
Bank has not taken a position on a preferred technology for a CBDC system if 
implemented.  
User representatives are typically organisations representing users and 
representatives of parties that would be affected by a CBDC. Government 
authorities can be relevant both as users and as regulators. 
The working group has been in contact with the Riksbank and the Central 
Bank of Iceland to discuss technical solutions, among other topics.  
The working group has also reported on – and received comments on and 
suggestions for - its work on a CBDC at a number of conferences and 
seminars.  
The working group is planning an external seminar in autumn 2020 about user 
needs and technical solutions.  
4.3. Technology 
The purpose has been to gain more insight into relevant technical solutions for 
CBDC systems and how they can be tested. The working group has reviewed 
different elements of the relevant technologies and solutions chosen for pilot 
testing in other countries.  
4.4. Some preliminary assessments 
The work on validation has taken place in parallel with pilot testing carried out 
by a number of central banks,4 and several publications by central banks and 
other parties have come out that go into more detail on design and technical 
solutions.5  
A common feature of the international work seems to be that CBDCs in the 
form of register-based token money (including the use of variants of DLT 
technology) appear to be a more viable alternative than previously. For 
example, the Riksbank has chosen a technical design based on DLT to pilot 
test (see Riksbank (2020)). Our assessment in phases 1 and 2 was that DLT 
was not mature enough and that considerable development was necessary for 
it to be relevant for a CBDC. We assume that a number of central banks would 
have focused more on account solutions if time had been a constraint. 
Even though most of the focus in validation work has so far been on DLT, the 
design and characteristics of some existing account systems have been 
assessed, such as the Octopus system in Hong Kong.  
The impression is that DLT requires more detailed specification of 
characteristics than account-based solutions, in part because there may be 
cases of doubt as to whether the characteristics have been fulfilled. 
Furthermore, there are not as many market-tested DLT solutions to choose 
from as there are account-based solutions.  
4 See, eg, Riksbank (2020), National Bank of Ukraine (2019) and Central Bank of the Bahamas (2019). 
5 See, eg, Bank of England (2020), Auer and Boehme (2020), WEF (2020), Consensys (2020) and Allen 
et.al (2020).</x:v>
      </x:c>
    </x:row>
    <x:row r="191" ht="110" customHeight="1">
      <x:c r="A191" s="46" t="str">
        <x:v>PRD-0056-P0016-U01</x:v>
      </x:c>
      <x:c r="B191" s="46" t="str">
        <x:v>NO_Norway_norges-bank-papers-2---phase-4---final-report</x:v>
      </x:c>
      <x:c r="C191" s="46" t="n">
        <x:v>16</x:v>
      </x:c>
      <x:c r="D191" s="46" t="str">
        <x:v>en</x:v>
      </x:c>
      <x:c r="E191" s="46" t="str">
        <x:v>text</x:v>
      </x:c>
      <x:c r="F191" s="46" t="str"/>
      <x:c r="G191" s="46" t="str">
        <x:v>16 
the Ministry of Finance's circular on cost-benefit analysis and the cost-benefit analysis guide drawn up 
by the Norwegian Agency for Public and Financial Management (DFØ). The report should be available so 
that it can be considered by the Executive Board by the end of 2025. 
Important part deliveries should be:  
• A proposal for the potential design of a full-scale retail CBDC solution. The solution consists of a 
technical infrastructure and a regulatory framework. This means:  
• Analyse, identify and determine fundamental requirements and characteristics of a 
Norwegian CBDC solution. 
• Develop a requirement specification (functional, security-related and technical 
requirements) for the infrastructure, which includes, among other things: 
• Core infrastructure (primarily ledger/account system, schemes for issuing and 
confiscating CBDC and interfaces with, inter alia, Norges Bank's settlement 
system). 
• Link to payment services from private banks and other suppliers to end 
customers. 
• At least one dedicated payment service that is independent of banks' systems.  
• Develop a regulation/framework ("scheme") for a full-scale CBDC solution. One should 
develop a set of rules, guidelines, requirements for/approval of service providers (possibly a 
requirement to have a relevant licence and be subject to supervision) and agreements 
describing the roles of the actors involved in a CBDC solution, rights and obligations and set 
standards for payment notifications, among other things. The framework shall provide an 
appropriate incentive structure for the stakeholders involved and must be based on an 
assessment of business models. The framework is also intended to give Norges Bank 
necessary control over relevant parts of the solution and provide an appropriate division of 
roles between Norges Bank and private financial actors. This framework comes as an 
addition to necessary legislative amendments, see below. 
• Assess how an introduction can be implemented, both for the core infrastructure and for 
those parts of a full-scale solution that must be facilitated by parties other than Norges 
Bank.  
• A proposal for how a potential full-scale solution for wholesale CBDC should be designed. To the 
extent relevant, the proposal should, in the same way as for retail CBDC, describe the technical 
infrastructure, basic requirements and characteristics of the solution and associated regulations. 
Various forms of central bank settlement of payments with tokenised bank deposits and the money-
related aspect of trades in tokenised assets should be examined. The study should cover 
opportunities and challenges related to this within Norges Bank's areas of responsibility. This 
includes examining whether the introduction of wholesale CBDC can help support the development 
of tokenised private bank money and assets. Such money could potentially offer attractive new 
functionality for payments in NOK and thus reduce the precautionary approach motivating the 
introduction of retail CBDC. At the same time, the introduction of wholesale CBDC will have 
implications for, among other things, Norges Bank's liquidity management.</x:v>
      </x:c>
    </x:row>
    <x:row r="192" ht="110" customHeight="1">
      <x:c r="A192" s="46" t="str">
        <x:v>PRD-0057-P0016-U01</x:v>
      </x:c>
      <x:c r="B192" s="46" t="str">
        <x:v>NZ_RBNZ_CBDCIssuesPaper_2021</x:v>
      </x:c>
      <x:c r="C192" s="46" t="n">
        <x:v>16</x:v>
      </x:c>
      <x:c r="D192" s="46" t="str">
        <x:v>en</x:v>
      </x:c>
      <x:c r="E192" s="46" t="str">
        <x:v>text</x:v>
      </x:c>
      <x:c r="F192" s="46" t="str"/>
      <x:c r="G192" s="46" t="str">
        <x:v>16  
16  Future of Money – Central Bank Digital Currency  
3.1 Process and scope for our CBDC investigation 
The Reserve Bank expects to take a multi-stage approach to considering and developing a CBDC 
that includes assessments of the policy opportunities, risks, use cases and design options as 
illustrated in Figure 8 Future stages of work are likely to involve designing a prototype, assessing 
the prototype, seeking feedback, redesigning if necessary and undertaking practical trials. Any 
decision to issue a CBDC would only be made following consultation with the Government, the 
public and other stakeholders.  
Figure 8: A multi-stage approach to CBDC 
3.2 Focusing on a general-purpose CBDC 
A CBDC can take many forms, but this issues paper focuses on a CBDC that would be issued to 
any individual or business that wants to use it. Such a ‘general-purpose’ CBDC27 would be closer in 
function to cash and better placed to fulfil the role of central bank money than a ‘wholesale’ CBDC. 
The rest of this paper refers to CBDC and general-purpose CBDC interchangeably. 
A general-purpose CBDC is digital money issued by a central bank that is available to any 
individual or business that chooses to use it. 
Future work (outside the scope of this paper) will consider whether a new type of ‘wholesale’ CBDC 
is needed. The distinction here is that a general-purpose CBDC could be used by anyone in New 
Zealand, conceptually, whereas a wholesale CBDC would only be available to certain large financial 
institutions that deal directly with the Reserve Bank. For example, the reserves held in the Reserve 
Bank’s Exchange Settlement Account System (ESAS) to settle interbank payments and implement 
monetary policy represent a conventional wholesale CBDC.28 Future investigations can consider 
____________ 
27  Also referred to as a ‘retail CBDC’. 
28  This paper takes the approach of earlier Reserve Bank work and considers the funds currently issued by the Reserve Bank via Exchange Settlement Accounts as a conventional 
wholesale CBDC.</x:v>
      </x:c>
    </x:row>
    <x:row r="193" ht="110" customHeight="1">
      <x:c r="A193" s="46" t="str">
        <x:v>PRD-0057-P0026-U01</x:v>
      </x:c>
      <x:c r="B193" s="46" t="str">
        <x:v>NZ_RBNZ_CBDCIssuesPaper_2021</x:v>
      </x:c>
      <x:c r="C193" s="46" t="n">
        <x:v>26</x:v>
      </x:c>
      <x:c r="D193" s="46" t="str">
        <x:v>en</x:v>
      </x:c>
      <x:c r="E193" s="46" t="str">
        <x:v>text</x:v>
      </x:c>
      <x:c r="F193" s="46" t="str"/>
      <x:c r="G193" s="46" t="str">
        <x:v>26  
26  Future of Money – Central Bank Digital Currency  
5 Challenges and risks of a CBDC 
A CBDC is not without its challenges, of which some are inherent and some are more likely to 
relate to design decisions that could affect particular stakeholders.  
This section describes, at a high level, the challenges and risks that a CBDC, or its implementation, 
could present. As a CBDC has yet to be designed and tested, it is not possible to quantify exactly 
the potential costs of a CBDC, therefore this section also outlines the areas that will need further 
exploration.  
The key challenge is to ensure that a CBDC will not be compromised operationally by, for example, 
cyber-attacks. Another important challenge that is often cited is that the implementation of a 
CBDC could be destabilising to the financial system if not managed correctly. Finally, the 
development of a CBDC would present operational costs and complexity. These policy costs and 
risks are explored in more detail below. 
5.1 Operational complexities and risks 
A CBDC, like all electronic payment systems, would be exposed to cyber security threats, 
operational outages and data privacy breaches. These risks could be elevated if the CBDC were 
built on a new or untested system, such as a distributed ledger, or if it became a target of cyber 
criminals. The realisation of any of these risks could have significant impacts on public trust in the 
CBDC and the Reserve Bank. The Reserve Bank has high requirements for the reliability, scalability, 
throughput and resilience of its existing systemically important payments and settlement systems, 
and these would also apply to a CBDC. 
As a form of digital currency, a CBDC should not be able to be ‘double-spent’. This means people 
should only be able to spend the CBDC that they own and it should not be possible to 
manufacture fraudulent CBDC balances. This is similar to existing expectations of bank transaction 
accounts and cash.  
A CBDC would also need to comply with relevant regulations and restrictions. In particular, the 
distribution of a CBDC would need to comply with AML/CFT requirements as well as financial 
market infrastructure and consumer protection regulations.</x:v>
      </x:c>
    </x:row>
    <x:row r="194" ht="110" customHeight="1">
      <x:c r="A194" s="46" t="str">
        <x:v>PRD-0057-P0029-U01</x:v>
      </x:c>
      <x:c r="B194" s="46" t="str">
        <x:v>NZ_RBNZ_CBDCIssuesPaper_2021</x:v>
      </x:c>
      <x:c r="C194" s="46" t="n">
        <x:v>29</x:v>
      </x:c>
      <x:c r="D194" s="46" t="str">
        <x:v>en</x:v>
      </x:c>
      <x:c r="E194" s="46" t="str">
        <x:v>text</x:v>
      </x:c>
      <x:c r="F194" s="46" t="str"/>
      <x:c r="G194" s="46" t="str">
        <x:v>29  
29  Future of Money – Central Bank Digital Currency  
One important design and calibration issue for future consideration is whether and by how much 
the Reserve Bank may want to limit the volume of CBDC that can be issued to wholesale 
customers, to reduce the possibility of a wholesale run on banks to a CBDC. In crisis scenarios we 
would be able to quickly detect a run to a CBDC and halt these flows to provide stability to the 
banking system if needed.  
Alternatively, the Reserve Bank could impose negative interest rates on large holdings of CBDC. 
This might replicate the storage costs of cash and reduce the attractiveness of switching money 
from transaction accounts to a CBDC in large quantities. 
These are just some high-level examples of the types of mitigant that will need to be thought 
through in the next stage(s) of CBDC development. 
(b) Reserve Bank balance sheet 
In addition to giving proper attention and consideration to the impacts of a CBDC on private-
sector financial intermediaries, it is necessary to think through the impacts of the issuance of a 
CBDC on the Reserve Bank’s balance sheet. This includes impacts on the size of the balance sheet 
and on our monetary policy settings, which would depend on how great the demand for a CBDC 
was, where it came from (i.e. cash, transaction accounts or other assets), and whether we satisfied 
the demand for a CBDC (see Annex C).  
These considerations are not new; the Reserve Bank already makes decisions on the supply of 
money (in terms of cash in circulation and liquidity in the financial system), monetary policies and 
financial stability policies that all affect the value anchor and the financial system – it is just that the 
current calibration, relationships, processes and policies of existing roles are more established than 
those for a CBDC.  
5.3 Design complexities 
The development of a CBDC would require a significant investment in technology and systems to 
engage in experimentation and, if a CBDC were to be issued, support a new CBDC payments 
infrastructure.  
As stated, the consideration of the form a CBDC should take includes whether it is token or 
account based, whether it uses distributed ledger technology or conventional infrastructure, how it 
can safely support offline payments, who can access it and how much can be made available.  
Further consideration would also need to be given to its distribution. For example, there is a 
spectrum of distribution models to consider, ranging from a CBDC that could be distributed via a 
direct model, whereby the Reserve Bank would provide end-to-end infrastructure and services, to 
a CBDC distributed via an intermediated model, in which the Reserve Bank would provide only 
legal issuance and the private sector would provide all other services and infrastructure. There are 
many possible variants along the spectrum (e.g. the central bank may provide core back-end 
infrastructure and outsource the front-end services). The particular objectives of a CBDC and the 
design choices would all have a bearing on the array of distribution choices. Figure 11 illustrates 
three stylised operating models. Most central banks are considering a model where the central 
bank issues a CBDC and the private sector provides front-end and some back-end services.54  
____________ 
54  Auer, R and R Böhme (2020).</x:v>
      </x:c>
    </x:row>
    <x:row r="195" ht="110" customHeight="1">
      <x:c r="A195" s="46" t="str">
        <x:v>PRD-0057-P0034-U01</x:v>
      </x:c>
      <x:c r="B195" s="46" t="str">
        <x:v>NZ_RBNZ_CBDCIssuesPaper_2021</x:v>
      </x:c>
      <x:c r="C195" s="46" t="n">
        <x:v>34</x:v>
      </x:c>
      <x:c r="D195" s="46" t="str">
        <x:v>en</x:v>
      </x:c>
      <x:c r="E195" s="46" t="str">
        <x:v>text</x:v>
      </x:c>
      <x:c r="F195" s="46" t="str"/>
      <x:c r="G195" s="46" t="str">
        <x:v>34  
34  Future of Money – Central Bank Digital Currency  
7 Conclusion and next steps 
As steward of money and cash, the Reserve Bank is considering the opportunities and challenges 
of a CBDC that is issued to all.  
This Issues paper describes how a CBDC could contribute to the Reserve Bank’s stewardship 
objectives but how it could also present several significant risks and challenges. The opportunities 
and challenges of an abstract CBDC have led the Reserve Bank towards a set of high-level design 
principles. These principles provide an indication of what a future CBDC might need to look like 
and can be used as a guide for future investigations. The principles are summarised below. 
Table 4: CBDC design principles 
CBDC design principles 
1. Uniform: A CBDC should be exchanged 1:1 with cash and support the NZD as our single unit of 
account. 
2. Universal: A CBDC should provide low-cost, basic saving and payments to all households, including 
those that are financially and digitally excluded.  
3. Cash-like: A CBDC should facilitate autonomy and privacy in paying and saving, provide a personal 
back-up form of payment, and enable peer-to-peer payments. 
4. Innovative: A CBDC should be modern, be interoperable and drive innovation in New Zealand’s 
money and payments ecosystem, and provide a potential new monetary policy tool. 
5. Integrity: A CBDC should be unquestionably operationally resilient, avoid double-spending, provide 
near-instant final settlement and comply with all regulations. 
6. Managed issuance: A CBDC should be issued and governed by the Reserve Bank in a manner that 
avoids unnecessary disruption to the cash system, the wider financial system and monetary policy 
settings 
Note: The shaded rows denote principles that on balance address the opportunities of a CBDC, and the white area 
denotes principles that on net address the challenges of a CBDC. In practice, some principles address both opportunities 
and challenges raised in this paper. 
We are seeking public feedback on the opportunities, challenges and indicative design principles. 
Following public engagement on the issues outlined in this paper, and subject to that feedback, we 
will conduct a detailed design and scenario analysis to understand the performance and impacts 
of different CBDC designs. This analysis will help us identify how the opportunities and challenges 
identified in this paper might play out in practice and how the risks could be mitigated.</x:v>
      </x:c>
    </x:row>
    <x:row r="196" ht="110" customHeight="1">
      <x:c r="A196" s="46" t="str">
        <x:v>PRD-0058-P0045-U01</x:v>
      </x:c>
      <x:c r="B196" s="46" t="str">
        <x:v>NZ_RBNZ_cbdc-insights-dossier-for-public-1</x:v>
      </x:c>
      <x:c r="C196" s="46" t="n">
        <x:v>45</x:v>
      </x:c>
      <x:c r="D196" s="46" t="str">
        <x:v>en</x:v>
      </x:c>
      <x:c r="E196" s="46" t="str">
        <x:v>text</x:v>
      </x:c>
      <x:c r="F196" s="46" t="str"/>
      <x:c r="G196" s="46" t="str">
        <x:v>9. INTEROPERABILITY WITH EXISTING PAYMENT SYSTEMS 
Stand alone ecosystemDeeply integrated with other payment ecosystems via APIs Harmonised with existing payment systems
Rationale:RBNZ’s initial preference is interoperability with existing payments systems. A standalone CBDC ecosystem may inhibit competition and may not help RBNZ’s objective of market-led innovation for the CBDC system.The following scenarios could be explored to enable interoperability between a CBDC system and existing payments systems:•Integrating with existing payment systems via APIs.•An intermediary institution required to integrate between the CBDC system and the existing payments ecosystem.
10. REVERSALS WHEN USING CBDCCBDC Platform allows users to carry out reversals Reversals are not possible - but tools are used to minimise user errors
Rationale:CBDC settlement is, by its very nature, final and irrevocable. If reversals were possible within the system, this would destroy user trust.Similar to real time payment systems, tools should be employed to help and assist the user in not making errors, but if one occurs, then providing a customer service to assist users who have problems recovering their funds.
5.3 – Initiative level
Insights:Interoperability is generally seen by Central Banks globally as a primary requirement for future CBDC ecosystemsas part of the wider payments landscape, ensuring seamless transactions and payments across systems.
Insights:Globally, we see CBDCs designed with atomic settlement at its heart, with the finality of payments at the point of value transfer. In cases where reversals are required for erroneous transactions, an equal and opposite transaction can be made to reverse the initial transaction.
05 – Design Options: Preferences, Rationales &amp; Insights
WORKSHOPPED PREFERENCE
WORKSHOPPED PREFERENCE
The exercises conducted during the definition workshops helped to identify the design options for the strategic questions, and generated the initial RBNZ preferences for these design options. Further work will be required in subsequent phases before any decision is made.</x:v>
      </x:c>
    </x:row>
    <x:row r="197" ht="110" customHeight="1">
      <x:c r="A197" s="46" t="str">
        <x:v>PRD-0058-P0046-U01</x:v>
      </x:c>
      <x:c r="B197" s="46" t="str">
        <x:v>NZ_RBNZ_cbdc-insights-dossier-for-public-1</x:v>
      </x:c>
      <x:c r="C197" s="46" t="n">
        <x:v>46</x:v>
      </x:c>
      <x:c r="D197" s="46" t="str">
        <x:v>en</x:v>
      </x:c>
      <x:c r="E197" s="46" t="str">
        <x:v>text</x:v>
      </x:c>
      <x:c r="F197" s="46" t="str"/>
      <x:c r="G197" s="46" t="str">
        <x:v>12. OFFLINE CAPABILITY Enduring OfflineNo OfflineIntermittent Offline
11. REFUNDS WHEN USING CBDCCBDC platform will supportrefunds in the event of user error
5.3 – Initiative level
Rationale:As with reversals, the concept of the core system providing refunds is not compatible with the final and irrevocable nature of CBDC.Individual intermediaries may adopt a customer service position that may providing refunds to customers in the event of a situation in which goods have not been received.Insights:Similar to item 10, CBDCs have been designed with atomic settlement functionality. For refunds, an equal and opposite transaction can be made to refund the initial transaction in the event of an unfulfilled order, for example.
Rationale:Offline capability will be an important feature of a NZ CBDC, as users will be able to spend/transfer/ receive CBDC without access to the internet or cellular data.The following offline capability options could be explored further:•Intermittent offline•Enduring offlineEnduring offline is considered as a desirable end-state, subject to an understanding and management of risk, and the capabilities required.Insights:Many Central Banks consider offline capability as a key component of a retail CBDC strategy and is currently an area of intense exploration and PoC's to establish the best options for implementation. The recent CBDC Offline Handbook (known as project Polaris) published by the Bank for International Settlements provides the most in-depth analysis to date on this subject.
05 – Design Options: Preferences, Rationales &amp; Insights
WORKSHOPPED PREFERENCE
Refunds may befacilitated and at the discretion of the intermediaries
WORKSHOPPED PREFERENCE
The exercises conducted during the definition workshops helped to identify the design options for the strategic questions, and generated the initial RBNZ preferences for these design options. Further work will be required in subsequent phases before any decision is made.</x:v>
      </x:c>
    </x:row>
    <x:row r="198" ht="110" customHeight="1">
      <x:c r="A198" s="46" t="str">
        <x:v>PRD-0058-P0052-U01</x:v>
      </x:c>
      <x:c r="B198" s="46" t="str">
        <x:v>NZ_RBNZ_cbdc-insights-dossier-for-public-1</x:v>
      </x:c>
      <x:c r="C198" s="46" t="n">
        <x:v>52</x:v>
      </x:c>
      <x:c r="D198" s="46" t="str">
        <x:v>en</x:v>
      </x:c>
      <x:c r="E198" s="46" t="str">
        <x:v>text</x:v>
      </x:c>
      <x:c r="F198" s="46" t="str"/>
      <x:c r="G198" s="46" t="str">
        <x:v>5.3 – Initiative level
24. AVAILABILITY OF RBNZ CBDC SYSTEMSDistributed model with different availability Every component is highly availableOnly core components highly available to manage cost
Rationale Initial position yet to be selected for this strategic choice - to be made in the next phase.
Insights:Initial position yet to be selected for this strategic choice - to be made in the next phase.
05 – Design Options: Preferences, Rationales &amp; InsightsThe exercises conducted during the definition workshops helped to identify the design options for the strategic questions, and generated the initial RBNZ preferences for these design options. Further work will be required in subsequent phases before any decision is made.
WORKSHOPPED PREFERENCE
23. SUPPORT OF ALIAS/PROXY IDENTITIES FOR USERS
Proxy identities centrally managed by RBNZProxy identities managed by trusted third partiesUsers create and manage their own proxy identities
Rationale RBNZ’s initial preference is for CBDC users to use proxy identities to protect their privacy in the system.A balance between strong data control of proxy identities whilst allowing the option for the user to manage their proxy identities themselves.
Insights:This is the recommended approach under the two-tier model. Please note that initiative 1 has a preference for the option of an account-based model in which there is a second RBNZ preference as proxy identities would need to be centrally managed.</x:v>
      </x:c>
    </x:row>
    <x:row r="199" ht="110" customHeight="1">
      <x:c r="A199" s="46" t="str">
        <x:v>PRD-0059-P0006-U01</x:v>
      </x:c>
      <x:c r="B199" s="46" t="str">
        <x:v>PE_Peru_cbdc-presentation</x:v>
      </x:c>
      <x:c r="C199" s="46" t="n">
        <x:v>6</x:v>
      </x:c>
      <x:c r="D199" s="46" t="str">
        <x:v>en</x:v>
      </x:c>
      <x:c r="E199" s="46" t="str">
        <x:v>text</x:v>
      </x:c>
      <x:c r="F199" s="46" t="str"/>
      <x:c r="G199" s="46" t="str">
        <x:v>6 CBDC: Promoting digital payments in Peru 
milestones; hence, both options could be valuable strategies to overcome existing problems in the 
NPS and provide unbanked people with access to digital payments. 
Careful CBDC design may help reduce some of the barriers to financial inclusion and 
interoperability of digital payments in Peru. Further studies are envisaged to identify the conditions 
for a CBDC to:  i) provide the public with access to payment services that meet their needs; ii) offer  
other financial services , such as  savings or budgeting capabilities ; iii) generate transactional 
information that may enable users to be identified as credit subjects ; and iv) provide the ability to 
digitally send and receive funds from other agents in the economy , regardless of their payment service 
providers. 
The issuance of a CBDC is not intended to compete with existing digital payment services, but 
to expand access to payment services by unbanked people (and other segments of the 
population who only pay by cash) . For a CBDC to meet this objective, an appropr iate design is 
required to offer payment services like those offered by cash, but with the advantage of providing 
secure and efficient access to the digital payment ecosystem. In sum, a digital currency would be 
expected to join Peru’s payment landscape. To this end, a CBDC in Peru should be characterized by: 
• Instantaneous and final payments, at low or no cost, and geared to small-ticket transactions. 
• Universally accessible, easy to use, and able to operate on- and offline. 
• Multiple use cases, allow ing person-to-person (P2P), person-to- business (P2B) , and 
government-to-person (G2P) payments, and vice versa. 
• Interoperability with bank accounts, e-money accounts, and other payment options. 
• Application of limits on balances and transaction values. 
While promoting financial inclusion is a major reason for exploring and potentially deploying a 
CBDC, it may also have positive impacts on several areas of interest for the BCRP. For instance, 
the CBDC issuance could also support payment efficiency, reduce cash management costs, improve 
competition and innovation,  foster the monetary transmission mechanism , enhance financial stability, 
and strengthen the preference for local currency as a means of payment among Peruvians. 
However, in no case, the CBDC adoption would imply stopping the issuance of physical money. 
The public would have at its disposal the two forms of money issued by the central bank, i.e., a CBDC 
would complement the means of payment that the central bank makes available to the public. In 
addition, it should fulfill a complementary role to the electronic payment instruments  offered by the 
private sector in such a way that there is an adequate balance between the role of the central bank as 
issuer of legal tender and the innovations that the private sector can offer. 
The CBDC adoption would not require changes to the Central Bank Act . However, considering 
that a CBDC is a digital form of banknotes and coins, it would be necessary to align BCRP norms with 
regulations on anti-money laundering/combating the financing of terrorism  (AML/CFT), data privacy 
and protection, KYC requirements, and digital identification, among others. 
The initial analysis and ongoing studies show that CBDC issuance involves challenges and 
risks that should be considered from the design stage. Some potential risks are : i) financial 
disintermediation (i.e., if people prefer a CBDC over bank deposits ), risk that is low as long as the 
design of CBDC considers similar features as cash and value limits ; ii) digital runs (as a CBDC may 
facilitate cash withdrawals and bank transfers during economic crises), which could be also mitigated 
with an adequate design of CBDC; iii) reputational risks to the central bank in case the operational and 
cybersecurity risks involved in the issuance of a CBDC materialize. 
If it is decided that the issuance  of a CBDC is desirable, the process of its introduction and 
scalability must be gradual, evaluating its benefits and potential costs or risks at each stage. It 
should be initially centered on unbanked people in large cities, based on mobile phones, geared to all 
gender and age groups, based on an intuitive and friendly inter face, and available at low or no cost. It</x:v>
      </x:c>
    </x:row>
    <x:row r="200" ht="110" customHeight="1">
      <x:c r="A200" s="46" t="str">
        <x:v>PRD-0059-P0008-U01</x:v>
      </x:c>
      <x:c r="B200" s="46" t="str">
        <x:v>PE_Peru_cbdc-presentation</x:v>
      </x:c>
      <x:c r="C200" s="46" t="n">
        <x:v>8</x:v>
      </x:c>
      <x:c r="D200" s="46" t="str">
        <x:v>en</x:v>
      </x:c>
      <x:c r="E200" s="46" t="str">
        <x:v>text</x:v>
      </x:c>
      <x:c r="F200" s="46" t="str"/>
      <x:c r="G200" s="46" t="str">
        <x:v>8 CBDC: Promoting digital payments in Peru 
I. INTRODUCTION 
This document presents the key issues considered by the Central Reserve Bank of Peru 
(BCRP) in exploring the adoption of a Central Bank Digital Currency (CBDC). A CBDC is defined 
as a digital liability of a central bank that can be used as money by the public. Currently, most central 
banks are considering the issuance of a CBDC for different purposes. Alfonso et al. (2022) show the 
results of a survey conducted by the Bank for International Settlements (BIS), which indicates that 
central banks in Latin America and the Caribbean (LAC), as well as in other emerging econom ies, are 
evaluating the issuance of a CBDC with an aim to increase inclusion, efficiency, and security of the 
domestic payment system. A CBDC can be complementary to the set of existing payment instruments, 
including banknotes and coins issued by the BCRP, leading to a more efficient, inclusive, and safer 
payment system. 
Like other LAC countries, Peru is still in transition from a cash-based economy to a more digital 
payments-oriented one. Cash-based payments involve costs and risks related to the transportation 
and management of banknotes and coins. While the adoption of a variety of digital payment means 
has grown rapidly
1, the number and value of digital payments remain low in Peru compared to other 
LAC countries. In this regard, low financial inclusion confines large segments of the population to 
transact within a cash ecosystem.2 As NPS regulator, the BCRP is determined to lead the shift towards 
greater digitalization, with CBDC adoption as a policy option. 
Around 50% of Peru’s adult population is unbanked. In this group, 76.6% live in urban areas,  
and 27.6% live in Metropolitan Lima.  The main age group includes people 41-64  years old, which 
accounts for 38.3% of unbanked people. In addition, 47.5% of financially excluded people have a high-
school education. Unbanked people are divided almost 
evenly between women and men. Regarding 
the type of job, unbanked people are almost entirely informal workers (95.7%). Moreover, the 
agriculture and trade sectors account for 38.5% and 20.6% of people who do not hold an account, 
respectively. 
A careful CBDC design may contribute to fostering digital payments, helping to reduce some of 
the barriers to financial inclusion,  and interoperability of digital payments in Peru. Further 
studies are envisaged to identify the conditions for a CBDC to: i) provide the public with access to a 
payment service that meets their needs; ii) offer other financial services, such as savings or budgeting 
capabilities; iii) generate transactional information that can enable users to be identified as credit 
subjects; and iv) provide the ability to digitally send and receive funds from other agents in the 
economy.  
While promoting access to digital payments is a major reason for studying CBDC adoption, it 
may also have positive impacts on several areas of interest for the BCRP . A CBDC issuance 
could also support payment efficiency, reduce cash management costs, foster competition, and 
innovation, improve the monetary transmission mechanism, enhance financial stability, and strengthen 
the preference for local currency as a means of payment among Peruvians. 
The CBDC issuance is not intended to compete with existing digital payment services, but to 
expand unbanked people’s access to payment services . Appropriate design is required to enable a 
CBDC to provide payment services like those offered by cash, with the advantage of secure and 
efficient access to the digital payment ecosystem. It is envisaged that the digital currency will dov etail 
1 For example, electronic transfers, digital wallets, and payment cards. 
2 In Peru, financial inclusion is defined as access to,  and use of, quality financial services by all segments of the 
population.</x:v>
      </x:c>
    </x:row>
    <x:row r="201" ht="110" customHeight="1">
      <x:c r="A201" s="46" t="str">
        <x:v>PRD-0059-P0009-U01</x:v>
      </x:c>
      <x:c r="B201" s="46" t="str">
        <x:v>PE_Peru_cbdc-presentation</x:v>
      </x:c>
      <x:c r="C201" s="46" t="n">
        <x:v>9</x:v>
      </x:c>
      <x:c r="D201" s="46" t="str">
        <x:v>en</x:v>
      </x:c>
      <x:c r="E201" s="46" t="str">
        <x:v>text</x:v>
      </x:c>
      <x:c r="F201" s="46" t="str"/>
      <x:c r="G201" s="46" t="str">
        <x:v>9 CBDC: Promoting digital payments in Peru 
with Peru’s current payments  landscape. To this end, a CBDC for Peru should include the following 
features: 
• Instant and final payments, at low or no cost, and enabling small-ticket transactions. 
• Universally accessible, easy to use, and able to operate on- and offline. 
• Multiple use cases for allowing person-to-person (P2P) and person-to-business (P2B) transfers. 
• Interoperability with bank accounts, e-money accounts, and other payment options. 
• Adequate application of holding and transaction limits for targeted customer segments. 
In no case, the CBDC adoption would imply stopping the issuance of physical money by the 
BCRP. The public would have at its disposal the two forms of money issued by the central bank, i.e., a 
CBDC would complement the means of payment that the BCRP  makes available to the public by 
offering a public service to those who cannot be served by existing payment options. 
The CBDC adoption must be gradual, assessing changes in the legal and regulatory framework,  
as well as benefits and potential costs and risks, at every stage. Adoption should be initially 
centered in large cities, based on penetration of mobile phones, and geared towards all gender and 
age groups ; and us e an intuitive and friendly inter face at low or no cost. It can also be targeted to 
people working as street vendors, in transportation, and as construction workers. Learning from 
technology adoption in other countries, there may also be reasons to target businesses and citizens 
that are digitally enabl ed as “early adopters” to encourage faster adoption by other segments of the 
population.
The remainder of the paper is organized as follows: the next section discusses the main short-run 
challenges in completing the necessary NPS improvements before a final decision to issue a CBDC; 
section III presents the Strategic Plan for developing digital payments; section IV discusses options for 
CBDC issuance; section V d escribes CBDC design issues relevant for Peru; and section VI presents 
the concluding remarks.</x:v>
      </x:c>
    </x:row>
    <x:row r="202" ht="110" customHeight="1">
      <x:c r="A202" s="46" t="str">
        <x:v>PRD-0059-P0016-U01</x:v>
      </x:c>
      <x:c r="B202" s="46" t="str">
        <x:v>PE_Peru_cbdc-presentation</x:v>
      </x:c>
      <x:c r="C202" s="46" t="n">
        <x:v>16</x:v>
      </x:c>
      <x:c r="D202" s="46" t="str">
        <x:v>en</x:v>
      </x:c>
      <x:c r="E202" s="46" t="str">
        <x:v>text</x:v>
      </x:c>
      <x:c r="F202" s="46" t="str"/>
      <x:c r="G202" s="46" t="str">
        <x:v>16 CBDC: Promoting digital payments in Peru 
BOX 1 
SUMMARY OF “RETAIL PAYMENTS IN LATIN AMERICA AND THE CARIBBEAN: PRESENT 
AND FUTURE” (Alfonso et al., 2020) 
Retail payment services in LAC countries are characterized by high costs and insufficient access 
for large swathes of the population. To overcome these limitations, some of the major  LAC central 
banks have taken the lead in introducing fast retail payments and developing an open banking 
ecosystem. Several others have launched central bank digital currency pilots. This  shift towards  
digital payments is likely to receive further momentum from the Covid-19 pandemic. 
Relative to other regions, retail payment services in LAC continue to involve high costs for end-
users and be of subpar efficiency, partly reflecting low competition among financial institutions and 
limited compatibility among payment solutions. Along with low-income levels, high informality, and 
reduced financial literacy, high costs contribute to limiting access to electronic and digital payments 
for large swathes of the region’s population. 
However, central banks and other public authorities have recently launched important initiatives to 
improve national payment systems, which complement developments in the private sector. In 
recent years, the region has seen a sharp rise in the number of F intech firms offering more 
convenient ways to pay ; and Big Tech firms have begun to integrate payment services into their e-
commerce or social media platforms. However, private sector incentives are not always aligned 
with the need of expand payment services among all the segments of the population. 
Central banks are the ultimate source of trust in money and payments, and therefore play a key role 
in maintaining the safety and integrity of payment systems , as well as ensuring that private sector 
innovation is channeled towards improving competition, securing consumer protection, enhancing 
financial inclusion, and preserving financial stability.</x:v>
      </x:c>
    </x:row>
    <x:row r="203" ht="110" customHeight="1">
      <x:c r="A203" s="46" t="str">
        <x:v>PRD-0059-P0027-U01</x:v>
      </x:c>
      <x:c r="B203" s="46" t="str">
        <x:v>PE_Peru_cbdc-presentation</x:v>
      </x:c>
      <x:c r="C203" s="46" t="n">
        <x:v>27</x:v>
      </x:c>
      <x:c r="D203" s="46" t="str">
        <x:v>en</x:v>
      </x:c>
      <x:c r="E203" s="46" t="str">
        <x:v>text</x:v>
      </x:c>
      <x:c r="F203" s="46" t="str"/>
      <x:c r="G203" s="46" t="str">
        <x:v>27 CBDC: Promoting digital payments in Peru 
4. Government-to-person payments (G2P payments) 
Social transfers issued by the government  are deposited into  bank accounts or digital wallets 
that are not commonly used for purchases,  so the beneficiaries tend to cash-out  all the funds.  
People without access to bank accounts or digital wallets can only withdraw these transfers  at Banco 
de la Nacion’s  branches, which prevents them from having the money immediately. They also incur 
transportation and time costs to find an  agent or that Banco de la Nación’s branch. For their part, non-
contributory pension payments aimed at poor people with disabilities  can be collected at Banco de la 
Nación or its agents. In some cases, depending on the type of disability, pensions  can be delivered in 
cash to beneficiaries’ homes (implying the same costs and risks as in the previous case). By offering a 
payment instrument that is accepted in the same places that cash is accepted, a CBDC can help keep 
money flows received in money transfers primarily in the financial system. 
Despite the government has begun to open DNI Accounts, its usage to make payments is still limited  
(Box 6). 
BOX 6 
DNI ACCOUNTS 
A DNI account is a basic savings account offered by Banco de la Nación (BN) and linked to an 
account holder’s national identity document ( DNI) and cell phone. Activation and use are digital. DNI 
accounts can be used to receiv e government bonuses and make payments throughout the national 
territory. They are being opened progressively , following government instructions , in favor of 
beneficiaries of social programs. 
Current functionalities 
DNI account users can perform the following operations: 
• Withdraw cash at ATMs and BN agents using a collection code sent to the cell phone. 
• Recharge Bim wallets (e-money wallets) and perform operations with them ; i.e., send money 
to other Bim wallets; recharge cell phones; and pay for (i) government fees (at Págalo.pe); (ii) 
loans (from eight financial institutions); (iii) QR-code purchases via the Izipay and Niubiz POS 
systems; and (iv) purchases via the GoPay and Red Digital networks. 
5. Person-to-government payments (P2G payments) 
Currently, the Pagalo.pe platform allows individuals to pay electronically for government 
services. Transactions can be made with debit/credit cards and electronic money , which excludes 
those unbanked of this payment facility . In this context, unbanked people must pay in cash and incur 
transportation costs and risks. Managing queues and cash also involves high costs. A CBDC would be 
accepted in the government’s payment platform, so the unbanked would significantly reduce the costs 
and risks mentioned above. 
F. Towards an implementation strategy 
At the first stage of CBDC  implementation, P2P and P2B payments should be prioritized . At this 
early stage, the target population is made up of unbanked citizens , mainly street vendors and 
transportation and construction workers, who make payments to other persons (P2P payments) and 
merchants (P2B payments) by cash. They live in urban or near -rural areas where Internet connectivity 
is poor or non-existent, but they have basic mobile phone access to SMS/USSD services. A dditionally, 
the unbanked usually distrust the financial system; perceive financial products as expensive; and find it 
costly to open a bank account and access ATMs or bank agents. They seek a digital payment method 
to meet their P2P (e.g., money transfers to their famil ies in rural areas or other cities) and P2B (e.g., 
purchases to small-size merchants) payment needs.</x:v>
      </x:c>
    </x:row>
    <x:row r="204" ht="110" customHeight="1">
      <x:c r="A204" s="46" t="str">
        <x:v>PRD-0060-P0005-U01</x:v>
      </x:c>
      <x:c r="B204" s="46" t="str">
        <x:v>PH_Philippines_EFLP2024_1_2c</x:v>
      </x:c>
      <x:c r="C204" s="46" t="n">
        <x:v>5</x:v>
      </x:c>
      <x:c r="D204" s="46" t="str">
        <x:v>en</x:v>
      </x:c>
      <x:c r="E204" s="46" t="str">
        <x:v>text</x:v>
      </x:c>
      <x:c r="F204" s="46" t="str"/>
      <x:c r="G204" s="46" t="str">
        <x:v>Through CBDC, the wholesale payments in the country may
significantly improve in at least the following areas*:
• Cross-border payments
• Settlement of financial securities
• Liquidity Management
* These areas include settlement, liquidity and default management, and effectiveness
Assessing the value of CBDC In Summary
Wholesale Payments Retail Payments
• Account-based CBDCs may not yield much value compared
to current retail payment instruments in the Philippines.
• Broader payments digitalization and financial inclusion are 
being achieved by the National Retail Payment System, 
similar to the expected benefits of a retail CBDC.
• Other potential rCBDC applications include: offline 
payments, 24/7 payments
• Potential legal concern on retail CBDC issuance
Classification: GENERAL</x:v>
      </x:c>
    </x:row>
    <x:row r="205" ht="110" customHeight="1">
      <x:c r="A205" s="46" t="str">
        <x:v>PRD-0060-P0009-U01</x:v>
      </x:c>
      <x:c r="B205" s="46" t="str">
        <x:v>PH_Philippines_EFLP2024_1_2c</x:v>
      </x:c>
      <x:c r="C205" s="46" t="n">
        <x:v>9</x:v>
      </x:c>
      <x:c r="D205" s="46" t="str">
        <x:v>en</x:v>
      </x:c>
      <x:c r="E205" s="46" t="str">
        <x:v>text</x:v>
      </x:c>
      <x:c r="F205" s="46" t="str"/>
      <x:c r="G205" s="46" t="str">
        <x:v>Classification: GENERAL
Project Agila
The eagle's outstretched wings and tail 
feathers symbolize the BSP's balanced, 
inclusive approach to growth and 
development, while also conveying the 
central monetary authority's mastery over 
its field.
CBDC development balances public and 
private sector broad stakeholder 
collaboration
The eagle's head and eyes expressing the 
BSP's vigilance and readiness to seize 
challenges and opportunities that rise over 
the horizon.
CBDC shall be designed taking into account 
the risks, challenges and opportunities for 
payments innovation in a manner that 
serves the evolving needs of the national 
payment system
The talons represent the strong will, resolve, 
and the monetary and financial tools that 
the central bank uses in discharging its 
mandates.
CBDC journey shall ensure that the BSP has 
strong institutional prerogative and 
maintain credibility in order to deliver a 
safe, efficient and inclusive national 
payment system.
CBDC Pilot Project</x:v>
      </x:c>
    </x:row>
    <x:row r="206" ht="110" customHeight="1">
      <x:c r="A206" s="46" t="str">
        <x:v>PRD-0061-P0003-U01</x:v>
      </x:c>
      <x:c r="B206" s="46" t="str">
        <x:v>PW_Palau_Phase1_Report</x:v>
      </x:c>
      <x:c r="C206" s="46" t="n">
        <x:v>3</x:v>
      </x:c>
      <x:c r="D206" s="46" t="str">
        <x:v>en</x:v>
      </x:c>
      <x:c r="E206" s="46" t="str">
        <x:v>text</x:v>
      </x:c>
      <x:c r="F206" s="46" t="str"/>
      <x:c r="G206" s="46" t="str">
        <x:v>Ministry of Finance Republic of Palau Stablecoin Program: Phase 1 Report                         3
1.   Introduction 
The Ministry of Finance (MOF) of the Republic of Palau recently completed Phase 1 of the Palau Stablecoin 
(PSC) Program focusing on a Solution Design Pilot and Research and Development Project in partnership 
with Ripple’s Central Bank Digital Currencies (CBDC) and Central Bank Engagements team and using the 
Ripple CBDC platform. The primary objective of the PSC Pilot Project was to assess different use cases 
and proposed benefits brought by the PSC, in a controlled environment and during a determined period, 
where up to 200 volunteers from among the Palau government’s executive branch employees would making 
purchases at a select number of retailers onboarded in this project. 
Upon successful testing of the PSC solution design, the long-term objective was to promote the use of the 
PSC at a national level and make it a convenient and cost -effective way of payment, giving people 
innovative and secure ways to access &amp; transact with their money without physically going to a bank, 
handling fiat cash, or paying higher fees associated with credit cards &amp; other electronic payment systems. 
This report presents an overall evaluation of the pilot program through the various feedback and lessons 
learned gathered from the various volunteers. This document includes an assessment of the benefits and 
challenges encountered, with a view to bringing forward the recommendations for a national deployment 
of the PSC in the Republic of Palau through a determined scope and continued phased approach. 
This report will first summarize the PSC pilot project structure and timeline and present the overall survey 
statistics and results with the volunteer’s feedback. Next, it outlines the technology and benefits that the 
stablecoin is expected to bring in the Palau payment and economy, while highlighting the various legal, 
socioeconomic and policy considerations the Palau government should prioritize during such deployment. 
Finally, the report details the scope and recommended approach to be considered for a gradual 
implementation of stablecoin technology to augment Palau’s financial system. Critical to supporting any 
future national deployment of PSC, the risks and mitigation strategies are identified. Potential partnerships 
with private sectors and international organizations to support the PSC deployment are key.</x:v>
      </x:c>
    </x:row>
    <x:row r="207" ht="110" customHeight="1">
      <x:c r="A207" s="46" t="str">
        <x:v>PRD-0061-P0007-U01</x:v>
      </x:c>
      <x:c r="B207" s="46" t="str">
        <x:v>PW_Palau_Phase1_Report</x:v>
      </x:c>
      <x:c r="C207" s="46" t="n">
        <x:v>7</x:v>
      </x:c>
      <x:c r="D207" s="46" t="str">
        <x:v>en</x:v>
      </x:c>
      <x:c r="E207" s="46" t="str">
        <x:v>text</x:v>
      </x:c>
      <x:c r="F207" s="46" t="str"/>
      <x:c r="G207" s="46" t="str">
        <x:v>Ministry of Finance Republic of Palau Stablecoin Program: Phase 1 Report                         7
The creation of the wallet address to receive and transact with PSC was done using the wallet app. Early 
feedback led to establishing a one -time, single-use access code to restrict creation of a single wallet by 
authorized individuals, only.  Once created, those wallets were then registered in the CBDC Platform (i.e. 
the PSC issuer &amp; distribution system) with both user registration and PSC distribution managed by the 
MOF staff. 
A detailed solution design captured the overall process, key volunteers, and the PSC pilot lifecycle aligned 
amongst the pilot project volunteers. The below diagram summarizes the overall workflow: 
5. Program Management Team 
The following is a list of key personnel and their respective roles: 
Palau Government Team 
● Minister of Finance / Project Sponsor: Kaleb Udui Jr. 
● Program Director / PSC Distribution: Jay Anson</x:v>
      </x:c>
    </x:row>
    <x:row r="208" ht="110" customHeight="1">
      <x:c r="A208" s="46" t="str">
        <x:v>PRD-0061-P0010-U01</x:v>
      </x:c>
      <x:c r="B208" s="46" t="str">
        <x:v>PW_Palau_Phase1_Report</x:v>
      </x:c>
      <x:c r="C208" s="46" t="n">
        <x:v>10</x:v>
      </x:c>
      <x:c r="D208" s="46" t="str">
        <x:v>en</x:v>
      </x:c>
      <x:c r="E208" s="46" t="str">
        <x:v>text</x:v>
      </x:c>
      <x:c r="F208" s="46" t="str"/>
      <x:c r="G208" s="46" t="str">
        <x:v>Ministry of Finance Republic of Palau Stablecoin Program: Phase 1 Report                         10
Local WI-FI 
network or 
broadband 
connection to 
remote digital 
currency manager 
nodes unavailable 
Low or no WI-FI 
signal or loss of 
connectivity to 
digital currency 
manager nodes 
can cause 
transaction 
failures due to 
timeouts 
High; Palau’s 
internet is reliable 
but local WI-FI is 
not available or 
consistent 
throughout the 
country 
Participating 
vendors will have 
WI-FI service 
available; set 
sufficient 
transaction time 
limits and adjust 
as necessary 
Medium: WI-FI 
service will be 
available at 
participating 
vendors; quality of 
service depends  
on national 
infrastructure and 
subject to outages 
7. Project Execution &amp; Statistics 
The Palau Stablecoin Pilot Phase 1 officially launched March 1, 2023, with distribution of the stablecoin 
commencing June 30, 2023. Volunteers were gradually onboarded based on wallet account readiness and 
signing of the MOF legal agreement. A weekly batch upload and distribution of 100 PSC to each approved 
user account was scheduled and executed by the MOF. Once each volunteer received PSC, they could freely 
use the wallet and make purchases at the participating retailers. Those retailers were then free to request a 
redemption of the PSC received for Fiat USD disbursement from the MoF custody funds.  
Below a statistical overview of the pilot execution from 30th June 2023 to 29th September 2023 
● Number of end-user volunteers: 168 
● Total PSC minted: 20,000 
● Total amount PSC distributed (100 PSC per user wallets): 16,900 
● Total number of PSC transactions: 729 
➢ MOF Internal Payments: 17 
➢ Distribution Payments: 168 
➢ P2P Payments: 64 
➢ Merchant Payments: 463 
➢ Merchant Refunds: 4 
➢ Redemption Payments: 13 
➢ Unknown Payments: 0 
● Total number of redemptions: 13 
● Total amount of redeemed funds: 14,533.86 
● Total amount of rounding contributions for redemptions: 1.14 
● Total amount of PSC non-distributed: 3,100 
● Total amount of unused PSC (post distribution): 2,366.14 
● Total amount of PSC destroyed/burnt: 14,534 
● Total amount of unused PSC frozen: 5,466 
8. Project Survey Results 
Introduction &amp; Objectives</x:v>
      </x:c>
    </x:row>
    <x:row r="209" ht="110" customHeight="1">
      <x:c r="A209" s="46" t="str">
        <x:v>PRD-0061-P0013-U01</x:v>
      </x:c>
      <x:c r="B209" s="46" t="str">
        <x:v>PW_Palau_Phase1_Report</x:v>
      </x:c>
      <x:c r="C209" s="46" t="n">
        <x:v>13</x:v>
      </x:c>
      <x:c r="D209" s="46" t="str">
        <x:v>en</x:v>
      </x:c>
      <x:c r="E209" s="46" t="str">
        <x:v>text</x:v>
      </x:c>
      <x:c r="F209" s="46" t="str"/>
      <x:c r="G209" s="46" t="str">
        <x:v>Ministry of Finance Republic of Palau Stablecoin Program: Phase 1 Report                         13
● Ease of use, Speed and Freedom from carrying cash were the 3 key convenience factors reported 
by the respondents 
● The top 3 use cases found most valuable for future deployment of the PSC were: 
○ Retail purchases, selected by 87.8% of the respondents 
○ Wallet to Wallet transfer (Peer to Peer), selected by 67.1% of respondents 
○ Cross border transfers (i.e. remittances), selected by 61% of respondents 
● Among the top 3 use cases above, A significant portion of the respondents would be willing to pay 
a transaction fee for: 
○ Remittances (66.7%) 
○ Online purchases (55.1%) 
○ Retail purchases (50%) 
● 81.3% of the respondents find ATM withdrawals the most valuable savings in using PSC. 55% 
consider other transactions fees savings most valuable 
● Most respondents (79.6%) were reasonably concerned to very concerned about the security and 
privacy of their information when using mobile wallets 
● The top 3 reported incentives that would drive the national adoption of the PSC are: 
○ Availability at a wide range of merchants (72.5%) 
○ Discounts and cashbacks (66.3%) 
○ Education and Training (56.3%) 
● The top 3 selected features to be available in the next deployment phase of the PSC: 
○ Banking Services (link between wallet and online account) (70.4%) 
○ QR Code payments (74.1%) 
○ Online payments (67.9%) 
Volunteers Survey - Detailed Responses</x:v>
      </x:c>
    </x:row>
    <x:row r="210" ht="110" customHeight="1">
      <x:c r="A210" s="46" t="str">
        <x:v>PRD-0061-P0018-U01</x:v>
      </x:c>
      <x:c r="B210" s="46" t="str">
        <x:v>PW_Palau_Phase1_Report</x:v>
      </x:c>
      <x:c r="C210" s="46" t="n">
        <x:v>18</x:v>
      </x:c>
      <x:c r="D210" s="46" t="str">
        <x:v>en</x:v>
      </x:c>
      <x:c r="E210" s="46" t="str">
        <x:v>text_and_render</x:v>
      </x:c>
      <x:c r="F210" s="46" t="str">
        <x:v>renders/PRD-0061-P0018.jpg</x:v>
      </x:c>
      <x:c r="G210" s="46" t="str">
        <x:v>Ministry of Finance Republic of Palau Stablecoin Program: Phase 1 Report                         18</x:v>
      </x:c>
    </x:row>
    <x:row r="211" ht="110" customHeight="1">
      <x:c r="A211" s="46" t="str">
        <x:v>PRD-0063-P0008-U01</x:v>
      </x:c>
      <x:c r="B211" s="46" t="str">
        <x:v>RU_Russia_concept_08042021</x:v>
      </x:c>
      <x:c r="C211" s="46" t="n">
        <x:v>8</x:v>
      </x:c>
      <x:c r="D211" s="46" t="str">
        <x:v>ru/uk</x:v>
      </x:c>
      <x:c r="E211" s="46" t="str">
        <x:v>text</x:v>
      </x:c>
      <x:c r="F211" s="46" t="str"/>
      <x:c r="G211" s="46" t="str">
        <x:v>7 Концепция цифрового рубля
Введение цифрового рубля обеспечивает следующие преимущества для граждан, бизнеса, 
участников финансового рынка и государства.
Для граждан и бизнеса
1. Доступ к  кошельку через любую финансовую организацию, в  которой обслуживается 
клиент. Клиент может получить доступ к своему кошельку на платформе цифрового рубля 
через инфраструктуру любой финансовой организации, в которой у него открыт счет.
2. Снижение затрат на проведение операций. Операции с цифровым рублем будут тарифици-
роваться по единым правилам1.
3. Повышение доступности финансовых услуг на отдаленных и малонаселенных террито -
риях за счет наличия возможности расчетов между физическими лицами и оплаты товаров 
и услуг без доступа к сети Интернет (офлайн-режим).
4. Высокий уровень сохранности средств.  Цифровой рубль является обязательством Банка 
России.
5. Расширение линейки инновационных сервисов и  продуктов и  улучшение условий кли -
ентского обслуживания вследствие усиления конкуренции на финансовом рынке.
6. Повышение уровня безопасности за счет наличия уникальных номеров цифровых рублей, 
позволяющих отследить их движение и упростить восстановление нарушенных прав вла -
дельца в случае их утраты или хищения.
Для финансового рынка
1. Повышение конкуренции на финансовом рынке. Возможность доступа клиентов к своим 
кошелькам через любую финансовую организацию будет способствовать усилению конку-
ренции между высокотехнологичными сервисами на финансовом рынке.
2. Создание инновационных финансовых сервисов. Применение технологии распределен -
ных реестров позволит участникам рынка создавать и предлагать клиентам новые техноло-
гичные сервисы (смарт-контракты, маркирование платежей).
3. Развитие новой платежной инфраструктуры для участников финансового рынка.
Для государства
1. Контроль за расходованием бюджетных средств. Платформа цифрового рубля обеспечит 
гарантированную адресную доставку целевых выплат гражданам и бизнесу.
2. Снижение издержек на  администрирование бюджетных платежей.  Применение смарт-
контрактов позволит автоматизировать и значительно упростить процессы администрирова-
ния бюджетных средств, повысить их эффективность и минимизировать операционные риски.
3. Потенциал для упрощения проведения трансграничных платежей. Запуск платформы 
цифрового рубля может стать первым шагом на пути к повышению эффективности транс -
граничных платежей и расчетов посредством ее дальнейшей интеграции с аналогичными 
платформами цифровой валюты центральных банков других стран.
1  Планируется установление тарифов на проведение операций в цифровых рублях на уровне не выше, чем в Сис теме 
быстрых платежей.
II. КЛЮЧЕВЫЕ ПРЕИМУЩЕСТВА ЦИФРОВОГО РУБЛЯ</x:v>
      </x:c>
    </x:row>
    <x:row r="212" ht="110" customHeight="1">
      <x:c r="A212" s="46" t="str">
        <x:v>PRD-0063-P0015-U01</x:v>
      </x:c>
      <x:c r="B212" s="46" t="str">
        <x:v>RU_Russia_concept_08042021</x:v>
      </x:c>
      <x:c r="C212" s="46" t="n">
        <x:v>15</x:v>
      </x:c>
      <x:c r="D212" s="46" t="str">
        <x:v>ru/uk</x:v>
      </x:c>
      <x:c r="E212" s="46" t="str">
        <x:v>text</x:v>
      </x:c>
      <x:c r="F212" s="46" t="str"/>
      <x:c r="G212" s="46" t="str">
        <x:v>14 Концепция цифрового рубля
V. Примеры операций с цифровым рублем
Перевод средств между кошельками клиентов – физических лиц 
(онлайн)
Для перевода цифрового рубля клиент А в мобильном приложении кредитной организа -
ции А, используя идентификатор получателя (например, номер телефона), отправляет поруче-
ние в кредитную организацию А на перевод цифровых рублей клиенту Б.
Кредитная организация А  выполняет процедуры, предусмотренные законодательством 
в сфере ПОД / ФТ / ФРОМУ, валютным законодательством, и осуществляет по поручению кли -
ента А перевод цифровых рублей с его кошелька на кошелек клиента Б на платформе цифро-
вого рубля.
Платформа цифрового рубля через мобильные приложения кредитных организаций А и Б 
направляет клиентам уведомления о зачислении и списании цифровых рублей.
При переводе средств между кошельками клиентов – физических лиц на пассивной сторо-
не баланса Банка России средства перемещаются с цифрового кошелька клиента А на циф -
ровой кошелек клиента Б. Балансы кредитных организаций не задействованы при переводе 
средств между кошельками клиентов.
Цифровой 
кошелек
клиента АКЛИЕНТ А
Цифровой 
кошелек 
клиента Б
ПОД/ФТ/ФРОМУ
Клиент А через мобильное приложение кредитной организации А направляет поручение 
в кредитную организацию А на перевод цифровых рублей другому физическому лицу (клиенту Б)
Кредитная организация А выполняет процедуры, предусмотренные законодательством в сфере ПОД/ФТ/ФРОМУ , 
валютным законодательством, и переводит цифровые рубли с кошелька клиента А на кошелек клиента Б 
на платформе цифрового рубля
Платформа цифрового рубля направляет клиенту А через мобильное приложение кредитной организации А 
уведомление о списании цифровых рублей с его кошелька 
Платформа цифрового рубля направляет клиенту Б через мобильное приложение кредитной организации Б 
уведомление о зачислении цифровых рублей на его кошелек 
1
2
3
4
КРЕДИТНАЯ ОРГАНИЗАЦИЯ А ПЛАТФОРМА ЦИФРОВОГО РУБЛЯ
1
Поручение 
на перевод 
цифровых рублей
Мобильное 
приложение кредитной 
организации А
2
Перевод 
цифровых рублей
на платформе 
цифрового рубля
Уведомление о списании 
цифровых рублей 
с кошелька клиента А
3
КЛИЕНТ Б
ПОД/ФТ/ФРОМУ
КРЕДИТНАЯ ОРГАНИЗАЦИЯ Б
Мобильное 
приложение кредитной 
организации Б Уведомление о зачислении 
цифровых рублей 
на кошелек клиента Б
4
2
СХЕМА ПЕРЕВОДА СРЕДСТВ МЕЖДУ КОШЕЛЬКАМИ КЛИЕНТОВ – ФИЗИЧЕСКИХ ЛИЦ (ОНЛАЙН) Рис. 4</x:v>
      </x:c>
    </x:row>
    <x:row r="213" ht="110" customHeight="1">
      <x:c r="A213" s="46" t="str">
        <x:v>PRD-0063-P0019-U01</x:v>
      </x:c>
      <x:c r="B213" s="46" t="str">
        <x:v>RU_Russia_concept_08042021</x:v>
      </x:c>
      <x:c r="C213" s="46" t="n">
        <x:v>19</x:v>
      </x:c>
      <x:c r="D213" s="46" t="str">
        <x:v>ru/uk</x:v>
      </x:c>
      <x:c r="E213" s="46" t="str">
        <x:v>text</x:v>
      </x:c>
      <x:c r="F213" s="46" t="str"/>
      <x:c r="G213" s="46" t="str">
        <x:v>18 Концепция цифрового рубля
V. Примеры операций с цифровым рублем
Офлайн-переводы
Офлайн-переводы – платежи в цифровых рублях, осуществляемые клиентами без доступа 
к сети Интернет посредством специальных цифровых кошельков, размещенных на мобильных 
устройствах.
Использование офлайн-режима планируется реализовать в рамках дальнейшего развития 
цифрового рубля в связи с необходимостью проработки технологических и правовых вопро-
сов, а также вопросов информационной безопасности.
Возможность офлайн-переводов предполагается обеспечить для С2С-, С2В-, В2С-операций.
Для совершения офлайн-операций, помимо онлайн-кошелька, клиенту будет открыт второй 
кошелек в цифровых рублях непосредственно на мобильном устройстве. Пополнение офлайн-
кошелька будет осуществляться клиентом путем перевода цифровых рублей с его онлайн-ко-
шелька при наличии доступа к сети Интернет.
Планируется, что офлайн-перевод может выполняться с использованием технологии бес -
проводной передачи данных малого радиуса действия (например, Bluetooth, NFC).
При платежах в офлайн-режиме клиент-отправитель должен будет ввести сумму перево -
да, а затем подтвердить перевод. При достаточности средств в офлайн-кошельке клиента-от-
правителя осуществляется перевод необходимой суммы цифровых рублей на офлайн-коше -
лек клиента-получателя.
Банк России рассматривает вопрос об установлении лимитов при проведении офлайн-опе-
раций. Среди возможных вариантов – лимиты по сумме остатка на офлайн-кошельке, лимиты 
на сумму одной транзакции и лимиты на количество операций в офлайн-режиме. Окончатель-
ное решение будет принято по результатам пилотирования офлайн-режима.
В рамках офлайн-режима прорабатывается возможность реализации механизма восстанов-
ления цифровых рублей, находящихся в офлайн-кошельке, при утрате мобильного устройства. 
Внедрение указанного сервиса предполагается одновременно с введением офлайн-режима.
КЛИЕНТ ПЕРЕВОДИТ 
ЦИФРОВЫЕ РУБЛИ
С ОНЛАЙН-КОШЕЛЬКА 
НА ОФЛАЙН-КОШЕЛЕК
Онлайн
Кошелек 
физического 
лица 
на платформе 
цифрового 
рубля
Офлайн-кошелек 
физического 
лица
на мобильном 
устройстве
Офлайн-кошелек 
физического 
лица
на мобильном 
устройстве
Офлайн-кошелек 
физического 
лица
на мобильном 
устройстве
Офлайн- 
кошелек 
юридического 
лица 
на мобильном 
устройстве
1
КЛИЕНТ ОСУЩЕСТВЛЯЕТ ПОКУПКИ 
И ПЕРЕВОДЫ БЕЗ ДОСТУПА 
К ИНТЕРНЕТУ С ПОМОЩЬЮ 
ОФЛАЙН-КОШЕЛЬКА
2
ПОЛУЧАТЕЛЬ СРЕДСТВ ПЕРЕВОДИТ 
ЦИФРОВЫЕ РУБЛИ С ОФЛАЙН-
КОШЕЛЬКА НА ОНЛАЙН-КОШЕЛЕК 
НА ПЛАТФОРМЕ ЦИФРОВОГО РУБЛЯ
3
Офлайн Онлайн
Онлайн
Кошелек 
юридического 
лица
на платформе 
цифрового рубля
Кошелек 
физического лица
на платформе 
цифрового рубля
ОФЛАЙН-ПЕРЕВОДЫ Рис. 6</x:v>
      </x:c>
    </x:row>
    <x:row r="214" ht="110" customHeight="1">
      <x:c r="A214" s="46" t="str">
        <x:v>PRD-0063-P0026-U01</x:v>
      </x:c>
      <x:c r="B214" s="46" t="str">
        <x:v>RU_Russia_concept_08042021</x:v>
      </x:c>
      <x:c r="C214" s="46" t="n">
        <x:v>26</x:v>
      </x:c>
      <x:c r="D214" s="46" t="str">
        <x:v>ru/uk</x:v>
      </x:c>
      <x:c r="E214" s="46" t="str">
        <x:v>text</x:v>
      </x:c>
      <x:c r="F214" s="46" t="str"/>
      <x:c r="G214" s="46" t="str">
        <x:v>25 Концепция цифрового рубля
Запуск цифрового рубля1 потенциально может оказать влияние на трансмиссионный меха-
низм денежно-кредитной политики, финансовую стабильность, ликвидность и прибыльность 
банковского сектора. Банк России располагает необходимым набором инструментов, позво -
ляющих эффективно ограничивать масштаб такого влияния.
Балансы и ликвидность кредитных организаций
Цифровой рубль как третья форма денег, вероятно, частично заместит как наличные сред-
ства, так и безналичные деньги банков.
Частичное замещение цифровым рублем наличных денег в обращении окажет влияние лишь 
на структуру пассивов Банка России: уменьшится доля выпущенных наличных денег и увели-
чится доля выпущенных цифровых рублей. При этом балансы кредитных организаций не из -
менятся.
Частичное замещение цифровым рублем безналичных денег окажет влияние на балансы 
кредитных организаций: уменьшится объем остатков средств на счетах клиентов и одновре -
менно сократится объем средств на корреспондентских счетах банков в Банке России. Это 
в  свою очередь повлияет на ликвидность банковского сектора, что, в частности, приведет 
к снижению текущего объема структурного профицита и даже, возможно, к переходу к струк-
турному дефициту ликвидности.
Однако возможное влияние на  ликвидность банков будет постепенным и  растянутым 
во времени по мере распространения в обращении цифрового рубля. А действующая система 
инструментов денежно-кредитной политики позволит обеспечить требуемый банкам уровень 
ликвидности (посредством стандартных операций Банка России по предоставлению и абсор-
бированию ликвидности), тем самым создавая условия для формирования ставок денежного 
рынка вблизи ключевой ставки. Таким образом, введение цифрового рубля значимо не повли-
яет на достижение операционной цели денежно-кредитной политики.
Финансовая стабильность
Система инструментов денежно-кредитной политики, микро- и макропруденциальной по -
литики в сочетании с имеющимися у Банка России механизмами поддержки отдельных кре -
дитных организаций, испытывающих временные трудности, позволит исключить риски для 
финансовой стабильности, а также минимизировать риски ликвидности отдельных кредитных 
организаций. Гипотетически такие риски могли бы возникнуть в случае значительного оттока 
ликвидности из безналичных рублей в цифровой рубль.
В целях ограничения рисков ликвидности Банк России также рассмотрит возможность ис-
пользования банками лимитных механизмов при операциях с цифровым рублем.
При этом в среднесрочной перспективе введение цифрового рубля может дополнительно 
способствовать поддержанию финансовой стабильности. Так, создание дополнительной пла-
тежной инфраструктуры для цифрового рубля будет способствовать устойчивости, надежно-
сти и  бесперебойности функционирования платежной системы и  осуществления денежных 
расчетов в стране и сыграет важную роль в поддержании финансовой стабильности в целом.
1 В статистике денежной массы цифровой рубль будет учитываться в агрегате М0.
VIII. ВЛИЯНИЕ ЦИФРОВОГО РУБЛЯ НА ДЕНЕЖНО-
КРЕДИТНУЮ ПОЛИТИКУ И ФИНАНСОВУЮ 
СТАБИЛЬНОСТЬ</x:v>
      </x:c>
    </x:row>
    <x:row r="215" ht="110" customHeight="1">
      <x:c r="A215" s="46" t="str">
        <x:v>PRD-0063-P0027-U01</x:v>
      </x:c>
      <x:c r="B215" s="46" t="str">
        <x:v>RU_Russia_concept_08042021</x:v>
      </x:c>
      <x:c r="C215" s="46" t="n">
        <x:v>27</x:v>
      </x:c>
      <x:c r="D215" s="46" t="str">
        <x:v>ru/uk</x:v>
      </x:c>
      <x:c r="E215" s="46" t="str">
        <x:v>text</x:v>
      </x:c>
      <x:c r="F215" s="46" t="str"/>
      <x:c r="G215" s="46" t="str">
        <x:v>26 Концепция цифрового рубля
VIII. Влияние цифрового рубля на денежно-кредитную 
политику и финансовую стабильность
Т рансмиссионный механизм денежно-кредитной политики
Влияние цифрового рубля на денежно-кредитную политику Банка России в среднесроч -
ной перспективе будет незначительным. При введении цифрового рубля возможен времен -
ный рост неопределенности для кредитных организаций относительно потоков клиентских 
средств, а также потенциального изменения структуры их балансов. Это может способство -
вать краткосрочному увеличению волатильности ставок денежного рынка.
Введение цифрового рубля также может привести к  некоторому росту стоимости 
фондирования для отдельных банков, для которых остатки на неоплачиваемых расчетных сче-
тах являются важным источником пассивов2. Для компенсации возросших процентных расхо-
дов эти банки могут заложить возросшие издержки в ценообразование кредитных продуктов.
В свою очередь, Банк России, принимая решение об уровне ключевой ставки, будет учи -
тывать влияние этих факторов на  денежно-кредитные условия. Таким образом, денежно-
кредитная политика Банка России по -прежнему будет направлена на формирование ставок 
в  экономике на  уровне, обеспечивающем достижение цели по  инфляции в  среднесрочной 
перспективе.
2  См. Грищенко В., Морозов А., Петренева Е., Синяков А. Что изменится для банков и их клиентов с введением 
цифрового рубля? Банк России. Январь 2021 года.</x:v>
      </x:c>
    </x:row>
    <x:row r="216" ht="110" customHeight="1">
      <x:c r="A216" s="46" t="str">
        <x:v>PRD-0064-P0004-U01</x:v>
      </x:c>
      <x:c r="B216" s="46" t="str">
        <x:v>RU_Russia_consultation_paper_201013</x:v>
      </x:c>
      <x:c r="C216" s="46" t="n">
        <x:v>4</x:v>
      </x:c>
      <x:c r="D216" s="46" t="str">
        <x:v>en</x:v>
      </x:c>
      <x:c r="E216" s="46" t="str">
        <x:v>text</x:v>
      </x:c>
      <x:c r="F216" s="46" t="str"/>
      <x:c r="G216" s="46" t="str">
        <x:v>3
A Digital Ruble
October 2020
Money plays an essential role in the economic life of society. As the economy evolves and 
technologies advance, the forms of money also change. In recent years, both Russia and the world 
have been experiencing fundamental shifts in the area of money circulation. Today, alongside cash, 
Russians increasingly opt for non-cash funds to purchase goods and services and make other 
payments and money transfers. The use of bank cards and mobile devices in money transactions 
has already become commonplace. Moreover, economic agents increasingly demand improvements 
in the speed, convenience and safety of these transactions and a reduction in fees, which is 
only possible through the implementation of cutting-edge technologies. Concurrently, banks, 
businesses, and government authorities are actively expanding the implementation of digital 
financial technologies. This makes it critical to evaluate the rationale for Russia to introduce a 
central bank digital currency as an additional form of money capable of addressing the current 
demands of the financial system.
The Bank of Russia intends to enhance the money circulation so that it meets the changing needs 
of individuals and businesses and promotes the deployment of innovations in both the financial 
market and the economy in general. Therefore, the Bank of Russia is exploring the possibilities and 
prospects of the introduction of a digital ruble – the digital form of the Russian national currency.
No decision has been made yet to introduce a digital ruble, and it is premature to specify a 
definitive timeline for its launch. However, we believe that this topic requires an extensive and 
deep study already now, in terms of both economic and technological implications. The Bank of 
Russia will carry out this work closely communicating with the public, experts, and financial market 
participants. The publication of this consultation paper is just the first step in this direction and 
is intended to initiate a comprehensive and broad discussion of this subject. It is vital for us to be 
prepared for the timely launch of a digital ruble if such a launch becomes necessary for the Russian 
economy.
What is the concept of a digital ruble? What are its role and place in today’s monetary system? 
How can it help individuals, businesses, and society in general? What aspects are to be taken into 
consideration in the course of its implementation?
A digital ruble will remain the Russian ruble which will be issued by the Bank of Russia in digital 
form in addition to the existing forms of money. Individuals will be able to transfer digital rubles 
to their electronic wallets and use them through their mobile and other devices both online and 
offline (that is without access to the Internet and mobile communication). A digital ruble will be an 
additional form of money and will be used alongside individuals’ and businesses’ cash rubles and 
funds in their commercial bank accounts. Depending on their needs, individuals and companies will 
be able to exchange their money from one form to another, i.e. from the digital form to cash or non-
cash funds in their bank accounts, and back. This requires special-purpose technologies that would 
enable the offline usage of a digital ruble. A digital ruble will combine the advantages of both cash 
and non-cash money.
The unified monetary system embracing the three forms of the Russian ruble, specifically the 
cash, non-cash and digital forms, will fully meet the current needs of the economy and create new 
opportunities for a faster implementation of innovations in the financial and real sectors.
It is essential to design a digital ruble so as to make payments secure, protected, fast, convenient, 
and accessible for any individual anywhere across Russia. Cutting-edge technologies applied to 
develop a digital ruble will help reduce payment costs and increase financial inclusion, as well 
as create new opportunities to improve financial services and instruments meeting the needs 
of the new digital economy. The launch of a digital ruble will provide an additional opportunity 
INTRODUCTION</x:v>
      </x:c>
    </x:row>
    <x:row r="217" ht="110" customHeight="1">
      <x:c r="A217" s="46" t="str">
        <x:v>PRD-0064-P0009-U01</x:v>
      </x:c>
      <x:c r="B217" s="46" t="str">
        <x:v>RU_Russia_consultation_paper_201013</x:v>
      </x:c>
      <x:c r="C217" s="46" t="n">
        <x:v>9</x:v>
      </x:c>
      <x:c r="D217" s="46" t="str">
        <x:v>en</x:v>
      </x:c>
      <x:c r="E217" s="46" t="str">
        <x:v>text</x:v>
      </x:c>
      <x:c r="F217" s="46" t="str"/>
      <x:c r="G217" s="46" t="str">
        <x:v>8
A Digital Ruble
October 2020
1. The role of a digital ruble  
in money circulation
for consumers, promote competition among credit institutions and their fight for clients through 
offering more convenient services for households and businesses. It will also serve as a stimulus for 
companies to develop and implement innovative products and technologies.
For cross-border payments, the digital ruble platform can be integrated with CBDC platforms 
of other countries and international organisations, which will speed up and reduce the cost of 
payments for consumers.
Box 1 
The forms of money that currently exist
These days, the functions of money such as being a medium of exchange, a unit of account, and a 
store of value can be performed by cash and non-cash funds issued by a central bank as well as funds in 
accounts with commercial banks.
Cash (banknotes and coins) is bearer money on a protected medium issued by a central bank. It 
circulates through the exchange of the medium from one person to another. Its protection is its owner’s 
responsibility, and forging it  is prohibited by law.
Non-cash central bank money is funds in commercial banks’ accounts with a central bank (bank 
reserves1).
An account with a commercial bank is a record in its owner’s personal account with a commercial bank. 
The bank where such accounts are opened is responsible for their maintenance and operations with the 
records in such accounts.
Currently, only cash in circulation and funds in accounts with commercial banks are formally considered 
money in terms of statistics (they are included in monetary aggregates). 2 The reason is that they can be 
directly accessed by households, businesses and non-bank financial intermediaries whereas only banks can 
access bank reserves at a central bank. Cash in circulation and bank reserves are ‘money issued by a central 
bank’, or monetary base.3 Funds in accounts with banks are simultaneously assets (of banks’ clients) and 
liabilities (of banks themselves).
Only a central bank is entitled to issue cash and create bank reserves. Deposits for households, 
businesses and non-bank financial intermediaries can be created by commercial banks (they do it mainly as 
part of lending or purchasing assets).
1 It is important to distinguish between bank reserve assets (today, these are banks’ funds in accounts with a central bank), which are 
a form of money, and loan loss provisions (liabilities), which are a deduction from profit, a reflection of the risk of potential losses and 
are not money in any way. This consultation paper covers exclusively the former (bank reserve assets). In Russia, they include funds in 
banks’ correspondent accounts with the Bank of Russia.
2 ‘Broad money’ in the terminology of the IMF Monetary and Financial Statistics Manual (IMF 2000, IMF 2008).
3 ‘In the terminology of the IMF Monetary and Financial Statistics Manual (IMF 2000, IMF 2008).</x:v>
      </x:c>
    </x:row>
    <x:row r="218" ht="110" customHeight="1">
      <x:c r="A218" s="46" t="str">
        <x:v>PRD-0064-P0015-U01</x:v>
      </x:c>
      <x:c r="B218" s="46" t="str">
        <x:v>RU_Russia_consultation_paper_201013</x:v>
      </x:c>
      <x:c r="C218" s="46" t="n">
        <x:v>15</x:v>
      </x:c>
      <x:c r="D218" s="46" t="str">
        <x:v>en</x:v>
      </x:c>
      <x:c r="E218" s="46" t="str">
        <x:v>text</x:v>
      </x:c>
      <x:c r="F218" s="46" t="str"/>
      <x:c r="G218" s="46" t="str">
        <x:v>14
A Digital Ruble
October 2020
2. Applicability  
of a digital ruble
2.2. A DIGITAL RUBLE FOR HOUSEHOLDS
Digital ruble transactions for households might be similar to using electronic wallets or payment 
apps (pay services) and might be performed via a special app or the existing remote banking 
channels (online or mobile banks). Moreover, as it has been already mentioned, it must be possible 
to use a digital ruble offline, which will allow payments to be made irrespective of being connected 
to the Internet or a mobile network.
Households will be able to:
• promptly credit funds to their digital ruble accounts (with the funds from a bank account or a 
card, salary, pension, etc.);
• transfer digital rubles to other individuals;
• make payments in digital rubles to enterprises and the state, pay for transactions in financial 
instruments and digital financial assets, including with the use of smart contracts;
• easily convert digital rubles into cash and non-cash funds in bank accounts and back;
• use their wallets with digital rubles via various financial intermediaries without tying it to a 
single financial intermediary where it was opened (subject to adequate user identification).
Box 4 
Offline use of a digital ruble
Offline mode provides an opportunity to make payments in a CBDC without access to the Internet, 
including in remote and hard-to-reach regions of the country.
Offline payments are similar to cash payments as they do not require the involvement of intermediaries 
and are final. In order to make such payments, the user needs to transfer a CBDC from his online wallet to 
a device such as a mobile phone or another device that supports offline CBDC payments.
If it is necessary to withdraw a CBDC from the device on which it is stored, the user must connect it to 
the Internet and transfer a CBDC to his online wallet.
For users to be able to transfer funds to each other in offline mode, they need to activate the possibility 
of making offline transfers and crediting a CBDC using wireless technologies on their devices.
The provision of offline payments in a CBDC may be an advantage for users in comparison with the 
existing payment systems as they do not require users to be connected to the Internet. It is also necessary 
to assess the demand for offline payments in the medium and long term, taking into account the Internet 
coverage across the entire territory of the country and its availability to every Russian citizen, as well as 
the high share of users of cashless payment technologies.
At the same time, offline settlements are considered as an additional option to the main online CBDC 
payment system.
The ability to perform offline payments will require serious research and development of technologies 
and solutions to enable such payments to be performed without access to the Internet, to ensure the 
ability to restore a CBDC if the device on which it is stored is lost, and to ensure a high level of information 
security when performing such payments. Moreover, it is necessary to consider AML/CFT issues related to 
offline CBDC transactions.
If the possibility of offline digital ruble payments for legal entities and transfers between users is 
implemented, specific measures should be considered to ensure the protection of digital rubles and users’ 
interests. These measures might include:
 ‒ the introduction of a limit on the amount of a single transaction, as well as on the total amount of 
transactions within a specified period;
 ‒ the introduction of a limit on the number of transactions / operations that can be performed within 
a specified period;
 ‒ the introduction of a limit on the amount of funds to be transferred between an online wallet and 
an offline device;
 ‒ the introduction of a requirement to provide for the possibility of transferring a CBDC to a device 
that allows offline payments to only be made to users that have online wallets.</x:v>
      </x:c>
    </x:row>
    <x:row r="219" ht="110" customHeight="1">
      <x:c r="A219" s="46" t="str">
        <x:v>PRD-0064-P0016-U01</x:v>
      </x:c>
      <x:c r="B219" s="46" t="str">
        <x:v>RU_Russia_consultation_paper_201013</x:v>
      </x:c>
      <x:c r="C219" s="46" t="n">
        <x:v>16</x:v>
      </x:c>
      <x:c r="D219" s="46" t="str">
        <x:v>en</x:v>
      </x:c>
      <x:c r="E219" s="46" t="str">
        <x:v>text</x:v>
      </x:c>
      <x:c r="F219" s="46" t="str"/>
      <x:c r="G219" s="46" t="str">
        <x:v>15
A Digital Ruble
October 2020
2. Applicability  
of a digital ruble
Complementing the existing forms of money, a digital ruble will offer households new channels 
to receive financial services and increase financial inclusion through lifting financial and temporal 
limitations on payments. When used offline, a digital ruble may become a new convenient means 
of payment for both buyers and sellers in remote, scarcely populated and hard-to-reach territories, 
which will positively influence the overall level of financial inclusion.
Due to the fact that a digital ruble is a new phenomenon in the payment industry, it will take 
time for users to familiarise themselves with it. At the same time, using a digital ruble must be 
simple enough for the general public. Owing to the competition among financial intermediaries 
providing access to electronic wallets, it will be possible to create user-friendly wallet interfaces for 
consumers using modern technologies, such as voice recognition or biometric identification.
The interfaces for digital ruble devices and apps must support simple and user-friendly complaint 
procedures. It is necessary to establish a transparent complaint review procedure with fixed time 
frames to analyse complaints and send responses in a convenient form.
2.3. A DIGITAL RUBLE FOR BUSINESSES
For customers to be able to pay for goods, works and services using digital rubles, the same as 
with payment cards or instant payment services, enterprises need to offer them such an opportunity.
Customer operations in digital rubles might be processed using the existing bank and POS 
infrastructure. For instance, digital rubles might be used to make contactless payments which are 
supported by over 90% of POS terminals and nearly 50% of all ATMs in Russia. Transfers in digital 
rubles might also be made using QR codes or biometric identification which are currently used for 
payment cards, electronic money and instant payments.
Businesses will be able to use a digital ruble in addition to the existing system of cashless 
payments with the state, counterparties, financial institutions, and employees. At the same time, 
the introduction of a digital ruble will enable companies to automate control and settlements under 
contracts and financial market transactions with the help of smart contracts, which are special 
applications that contain settlement instructions in the form of digital code automatically executed 
in the digital system of financial operations. The digitalisation of agreements in the form of smart 
contracts allows for the objective and impartial execution of their terms and conditions, while 
the introduction of a digital ruble may contribute to establishing a secure environment for the 
functioning of smart contracts and settlements without the use of surrogates.
2.4. A DIGITAL RUBLE FOR GOVERNMENT PAYMENTS
In addition to the existing cashless payments, the state will be able to use a digital ruble to 
process settlements, accept payments, and make transfers to households and businesses. This will 
expand the possibilities for automating and increasing the efficiency of payments and settlements 
with the help of smart contracts which can be used for public procurement. Due to the fact that the 
Federal Treasury keeps its accounts with the Bank of Russia, it will not be bound by any restrictions 
to convert non-cash rubles into digital ones, therefore it will possible to use digital rubles to make 
salary, benefit and other social payments along with cash and non-cash money. This might be 
especially important when an individual does not have access to a bank account for some reason. At 
the same time, the Bank of Russia assumes that people must be able to select the preferable form 
of money to receive such payments themselves.
In addition, a digital ruble expands the possibilities for the government to control the targeted 
expenditure of funds, including those received by economic agents to execute government contracts. 
This mechanism will function as follows.</x:v>
      </x:c>
    </x:row>
    <x:row r="220" ht="110" customHeight="1">
      <x:c r="A220" s="46" t="str">
        <x:v>PRD-0064-P0019-U01</x:v>
      </x:c>
      <x:c r="B220" s="46" t="str">
        <x:v>RU_Russia_consultation_paper_201013</x:v>
      </x:c>
      <x:c r="C220" s="46" t="n">
        <x:v>19</x:v>
      </x:c>
      <x:c r="D220" s="46" t="str">
        <x:v>en</x:v>
      </x:c>
      <x:c r="E220" s="46" t="str">
        <x:v>text</x:v>
      </x:c>
      <x:c r="F220" s="46" t="str"/>
      <x:c r="G220" s="46" t="str">
        <x:v>18
A Digital Ruble
October 2020
2. Applicability  
of a digital ruble
• providing for the ability to easily apply to or file a complaint with the supervisory and monitoring 
authorities via a user-friendly and convenient interface, including one adapted for people with 
disabilities.
As with other forms of money, consumers must be provided with a simple and accessible dispute 
resolution policy to handle situations, such as:
• losing access to devices or payment applications to manage funds in digital rubles (how to 
restore access and confirm one’s rights to their own funds);
• disagreement with operations (transactions) performed;
• disagreement among participants in digital ruble settlements.
The system of digital ruble settlements must provide for a multilevel framework for protection 
against unauthorised (fraudulent) transactions, including mechanisms for the automatic detection 
of such transactions for the purpose of their additional investigation, confirmation or suspension, 
as well as the possibility of setting limits on operations in digital rubles, including those set by 
consumers themselves. When implementing the offline digital ruble mode, special attention should 
be paid to confirming the paying capacity of digital rubles offered as payment in this mode.
In addition, the format of the system for processing individuals’ inquiries on all issues related to 
the use of a digital ruble, including unauthorised transactions, must be considered.
Topics for discussion:
1. Which key properties from among those listed in Section 2 should a digital ruble as a form 
of money have in order to be useful to society? What other properties are important?
2. In your opinion, will the introduction of a digital ruble provide significant advantages over 
existing payment and settlement forms?
3. Do you consider it a prerequisite for the successful implementation of a digital ruble that 
all trade and service companies accept it?
4. How important is the ability to use a digital ruble in offline mode? What is the optimal 
limit on the amount of digital rubles to be used in offline mode? Should there be a limit on the 
maximum time for a digital ruble wallet to remain offline without synchronising it with the online 
digital ruble infrastructure?
5. Are offline payments in digital rubles necessary in the event that the entire country is 
covered by the Internet and every person has access to it?
6. Should it be possible to restore digital rubles stored on users’ devices intended for offline 
payments if they are lost?
7. At the first stage of the launch of a digital ruble, would it be advisable to provide for offline 
payments?
8. Is it necessary to provide for offline payments in digital rubles between legal entities?
9. Which specific consumer protection measures do you consider necessary to implement 
if a digital ruble is introduced? What means of controlling digital ruble transactions should be 
entrusted to consumers?
10. What impact do you think the introduction of a digital ruble will have on competition in 
the financial market and on the business models of banks and other financial intermediaries?
11. Who do you think should perform the AML/CFT/CFPWMD functions with respect to the 
circulation of a digital ruble: the central bank or financial intermediaries?</x:v>
      </x:c>
    </x:row>
    <x:row r="221" ht="110" customHeight="1">
      <x:c r="A221" s="46" t="str">
        <x:v>PRD-0064-P0020-U01</x:v>
      </x:c>
      <x:c r="B221" s="46" t="str">
        <x:v>RU_Russia_consultation_paper_201013</x:v>
      </x:c>
      <x:c r="C221" s="46" t="n">
        <x:v>20</x:v>
      </x:c>
      <x:c r="D221" s="46" t="str">
        <x:v>en</x:v>
      </x:c>
      <x:c r="E221" s="46" t="str">
        <x:v>text</x:v>
      </x:c>
      <x:c r="F221" s="46" t="str"/>
      <x:c r="G221" s="46" t="str">
        <x:v>19
A Digital Ruble
October 2020
• Since the introduction of a digital ruble will have an impact on money circulation and the financial 
sector, the Bank of Russia will take this into account when pursuing its monetary and financial 
stability policies.
• The advent of a digital ruble will result in the redistribution of funds of households and businesses 
between cash, bank accounts, and electronic wallets in digital rubles. This will influence banks’ 
needs with regard to transactions with the central bank, which will have to be taken into account 
when tuning the operational procedure of monetary policy and in order to ensure financial stability.
• Over time, the introduction of a digital ruble may help improve the monetary policy transmission 
mechanism, given that the spread of a digital ruble may increase financial accessibility and 
financial inclusion for a wider range of users.
• The introduction of a digital ruble also increases the stability and reliability of the money 
circulation system, which is important both for achieving monetary policy objectives and for 
ensuring financial stability.
3.1. A DIGITAL RUBLE AND MONETARY POLICY
Through its monetary policy, the Bank of Russia maintains the purchasing power of the ruble in all 
its forms, i.e. ensures price stability, or stable low inflation. Monetary policy influences the economy 
and inflation through the financial sector. Given that the possible introduction of a digital ruble will 
primarily influence money circulation and the financial sphere of the economy, it is important to 
assess the potential effects of the introduction of a central bank digital currency on monetary policy 
conditions.
With the introduction of a digital ruble, households will distribute their money based on their 
needs between cash, accounts with commercial banks, and electronic wallets in digital rubles in the 
same way as they currently distribute it between cash and bank accounts.
Banks will act as intermediaries in transferring funds between cash and digital rubles, and these 
transactions will not affect the size of their balances. The redistribution of funds between banks’ 
deposits and the central bank digital currency will have an impact on banks’ balance sheets and 
their need to use the operations they conduct with the central bank (see Box 5) and may also exert 
upward pressure on the formation of bank deposit and loan rates. This must also be taken into 
account when implementing monetary policy.
Achieving the operational objective of monetary policy
The Bank of Russia will take into account the effects of the introduction of a central bank 
digital currency to ensure the achievement of the operational objective of monetary policy, 
which is maintaining money market rates close to the key rate. This is important for the effective 
implementation of monetary policy as a whole.
The introduction of a digital ruble will influence the operational procedure of the central bank’s 
monetary policy, i.e. the terms and procedure for conducting transactions with banks for monetary 
policy purposes. The redistribution of funds between digital rubles and bank accounts will be an 
additional factor in the formation of banking sector liquidity similar to cash circulation.1 The central 
bank will need to forecast and account for the expected dynamics of this factor when determining 
the volume of liquidity management operations with the banking sector. Banks, in turn, will have 
1 Credit institutions will receive the CBDC for further distribution among their customers by paying funds from their 
correspondent accounts.
3. THE IMPORTANCE OF A DIGITAL RUBLE FOR  
THE CENTRAL BANK’S POLICY TO MAINTAIN PRICE  
AND FINANCIAL STABILITY</x:v>
      </x:c>
    </x:row>
    <x:row r="222" ht="110" customHeight="1">
      <x:c r="A222" s="46" t="str">
        <x:v>PRD-0064-P0021-U01</x:v>
      </x:c>
      <x:c r="B222" s="46" t="str">
        <x:v>RU_Russia_consultation_paper_201013</x:v>
      </x:c>
      <x:c r="C222" s="46" t="n">
        <x:v>21</x:v>
      </x:c>
      <x:c r="D222" s="46" t="str">
        <x:v>en</x:v>
      </x:c>
      <x:c r="E222" s="46" t="str">
        <x:v>text</x:v>
      </x:c>
      <x:c r="F222" s="46" t="str"/>
      <x:c r="G222" s="46" t="str">
        <x:v>20
A Digital Ruble
October 2020
3. The importance of a digital ruble for the central bank’s  
policy to maintain price and financial stability
to take into account the potential redistribution of funds between digital rubles and customer 
accounts in their internal liquidity management practices at the level of credit institutions.
The redistribution of funds from bank accounts to a CBDC at the initial stage of its implementation 
will have an impact on banking sector liquidity, and a significant change in the structural balance 
of liquidity may occur. The Bank of Russia will take these changes into account when determining 
the parameters of its monetary policy operational procedure so that they do not interfere with the 
achievement of the Bank of Russia’s operational objective of maintaining overnight money market 
rates close to the Bank of Russia’s key rate.
Monetary policy transmission mechanism
A distinction should be made between the possible impact of the introduction of a digital ruble 
on the monetary policy transmission mechanism at the initial stage of the introduction of a CBDC, 
i.e. at the stage when the financial sector is adapting to it, and later, after the financial system has 
adjusted to the appearance of an additional form of money.
At the introduction stage of a digital ruble, when economic agents have just started using it and 
there will be a redistribution of funds between bank accounts and electronic wallets, it will take time 
for banks to update their approaches to liquidity management and asset and liability management. 
Banks may seek to influence the process of redistribution of funds by changing rates on customer 
accounts, which, in turn, may affect the formation of loan rates and lending dynamics. This may lead 
to changes in consumption and savings even if the central bank’s key rate remains unchanged. The 
Bank of Russia will assess and account for such potential effects in its monetary policy.
Over a longer term horizon, as the banking system adapts to the new reality, the effects of the 
short-term adjustment will be exhausted and the spread of a CBDC may strengthen the transmission 
of monetary policy solutions through the financial sector to the economy. This will be facilitated 
by increasing the accessibility and coverage of financial services for households and businesses 
through the use of a digital ruble by a wide range of users. In addition, the introduction of a digital 
ruble may also limit the risks of economic agents redistributing funds into the digital currencies of 
other central banks, thus contributing to the attractiveness of the national currency.
The Bank of Russia will need to assess the impact of the introduction of a digital ruble on the 
monetary policy transmission mechanism, which includes on rates and volumes of deposits and 
loans, when preparing macroeconomic forecasts, on the basis of which key rate decisions are made.
Box 5 
On the impact of the redistribution of funds from cash and bank accounts into central bank digital 
currency
The redistribution of funds from cash into a CBDC (Table 1) will influence the structure of funds in the 
balance sheets of the central bank and the CBDC user, but the size of their assets and liabilities will remain 
unchanged. At the same time, the balance sheet of a commercial bank will not change, given that the bank 
may have an operational role in transferring funds from cash to digital rubles. The tables below give an 
example of an individual performing such a transaction in the amount of 100 rubles.1
If the user replenishes his or her electronic wallet in a CBDC with funds from his or her account with 
a commercial bank (Table 2), the bank’s assets and liabilities will decrease. The bank’s liabilities will 
decline due to a reduction in the balance on the user’s bank deposit and the bank’s assets – due to 
a corresponding one-time reduction in its correspondent account with the central bank. Therefore, the 
size of the commercial bank’s balance sheet will decrease. As in the first example, the user will have a 
redistribution of funds within assets and the central bank – within liabilities.
If necessary, the bank may replace the ‘retired’ part of deposits with the central bank’s funds using its 
liquidity provision operations (Table 3). In this case, the share of the central bank’s funds received as part of 
1 For simplicity, the example assumes that a commercial bank deposits cash rubles received from an individual with the central bank.</x:v>
      </x:c>
    </x:row>
    <x:row r="223" ht="110" customHeight="1">
      <x:c r="A223" s="46" t="str">
        <x:v>PRD-0064-P0032-U01</x:v>
      </x:c>
      <x:c r="B223" s="46" t="str">
        <x:v>RU_Russia_consultation_paper_201013</x:v>
      </x:c>
      <x:c r="C223" s="46" t="n">
        <x:v>32</x:v>
      </x:c>
      <x:c r="D223" s="46" t="str">
        <x:v>en</x:v>
      </x:c>
      <x:c r="E223" s="46" t="str">
        <x:v>text</x:v>
      </x:c>
      <x:c r="F223" s="46" t="str"/>
      <x:c r="G223" s="46" t="str">
        <x:v>31
A Digital Ruble
October 2020
4. Models and mechanisms for implementing  
a central bank digital currency
4.3. CONFIDENTIALITY
Confidentiality requires persons who have access to certain information not to pass such 
information to third parties without the consent of its owner.
When clients make payments on the CBDC platform, confidentiality restrictions may be established 
which imply that banks / financial intermediaries (models C and D) only have access to identification 
information about customers’ wallets and not about the purpose and destination of payments made 
by customers using their CBDC wallets.
The CBDC infrastructure guarantees the confidentiality of information for users but does not imply 
the anonymity of transactions. They require identification, and the data is recorded on the central 
bank’s platform. Payments and settlements in the CBDC system are not completely anonymous 
in the sense of anonymity of cash: for example, when cash changes hands or is used for payment 
in a shop (in this case, the personal information about the payer is not present anywhere). In this 
context, payments with a CBDC are similar to the already very common cashless payments using 
accounts with commercial banks. They do not provide complete anonymity as well, given that they 
require customer identification, however the confidentiality of customer information is ensured and 
the protection of customers’ personal data is guaranteed by law.
As with cashless payments, the monitoring of data on payments with a CBDC will be carried out 
to counteract illegal activities that pose a threat to society, including AML/CFT/CFPWMD purposes.
Topics for discussion:
1. Which models of implementation of a digital ruble, in your opinion, can improve the efficiency 
of payments and settlements, and promote competition and innovation?
2. Which technological innovations, in your opinion, should be taken into account when 
designing a digital ruble in order to meet the needs of society?
3. What degree of confidentiality at the level of the central bank and commercial banks 
should be ensured when opening wallets for customers and making payments in digital rubles?</x:v>
      </x:c>
    </x:row>
    <x:row r="224" ht="110" customHeight="1">
      <x:c r="A224" s="46" t="str">
        <x:v>PRD-0065-P0007-U01</x:v>
      </x:c>
      <x:c r="B224" s="46" t="str">
        <x:v>RU_Russia_digital_ruble_30062025</x:v>
      </x:c>
      <x:c r="C224" s="46" t="n">
        <x:v>7</x:v>
      </x:c>
      <x:c r="D224" s="46" t="str">
        <x:v>ru/uk</x:v>
      </x:c>
      <x:c r="E224" s="46" t="str">
        <x:v>text</x:v>
      </x:c>
      <x:c r="F224" s="46" t="str"/>
      <x:c r="G224" s="46" t="str">
        <x:v>6
Цифровой рубль: 
текущий статус проекта
1. Цифровой рубль как следующий  
этап эволюции денег
Финансовая доступность
Цифровой рубль призван предоставить всем пользователям возможности нового современного 
платежного инструмента вне зависимости от уровня их дохода, технической грамотности 
и географического расположения.
Открыть счет цифрового рубля (цифровой кошелек) и в дальнейшем пользоваться им можно 
будет через мобильное приложение любого банка, клиентом которого является человек 
или компания. Сам счет цифрового рубля находится на платформе цифрового рубля Банка России 
и не привязан к какому-то конкретному банку.
Важным элементом финансовой доступности для граждан являются нулевые комиссии 
при проведении операций с использованием мобильных приложений банков. Это не только 
снижает финансовую нагрузку, но и стимулирует активное использование цифрового рубля в тех 
населенных пунктах, где количество представленных банков ограничено.
Трансграничные расчеты
Цифровой рубль открывает принципиально новые возможности для трансграничных расчетов, 
устраняя многие барьеры, характерные для традиционных международных платежей. Его 
использование позволит проводить операции напрямую между контрагентами из разных 
стран, минуя сложные цепочки посредников. Это сократит время проведения транзакций 
с нескольких дней до минут, а также снизит комиссии.
	 1.3.		Модель	цифрового	рубля	Банка	России
На платформе цифрового рубля реализована розничная двухуровневая схема: взаимодействие 
пользователей с платформой цифрового рубля осуществляется через инфраструктуру участников 
рынка, а не напрямую с оператором платформы.
Оператором платформы является Банк России. Он устанавливает правила, стандарты и тарифы 
на операции с цифровыми рублями.
Взаимоотношения между оператором платформы, участниками платформы (банками) 
и пользователями платформы осуществляются на основе договоров оператора с участником 
платформы (банком) и оператора с пользователем платформы.
ДОГОВОРНАЯ МОДЕЛЬ НА ПЛАТФОРМЕ ЦИФРОВОГО РУБЛЯ Рис. 2
УЧАСТНИК	
ПЛАТФОРМЫ 
(БАНК)
ПОЛЬЗОВАТЕЛИ 
ФЛ/ЮЛ
Договор 
оператора 
с	участником
Договор 
оператора	
с	пользователем
БАНК	
РОССИИ</x:v>
      </x:c>
    </x:row>
    <x:row r="225" ht="110" customHeight="1">
      <x:c r="A225" s="46" t="str">
        <x:v>PRD-0065-P0016-U01</x:v>
      </x:c>
      <x:c r="B225" s="46" t="str">
        <x:v>RU_Russia_digital_ruble_30062025</x:v>
      </x:c>
      <x:c r="C225" s="46" t="n">
        <x:v>16</x:v>
      </x:c>
      <x:c r="D225" s="46" t="str">
        <x:v>ru/uk</x:v>
      </x:c>
      <x:c r="E225" s="46" t="str">
        <x:v>text</x:v>
      </x:c>
      <x:c r="F225" s="46" t="str"/>
      <x:c r="G225" s="46" t="str">
        <x:v>15
Цифровой рубль: 
текущий статус проекта
2. Пилотный проект  
цифрового рубля
Операционная поддержка
С начала тестирования прототипа платформы цифрового рубля Банк России выстраивает 
бизнес-процессы, связанные с операционной поддержкой. В настоящее время она включает 
информационную и операционную поддержку банков – участников пилота и пользователей.
Банк России запустил работу центров для обеспечения обслуживания пользователей платформы 
цифрового рубля (хабов) в городах с разными часовыми поясами – в Самаре, Иркутске 
и Хабаровске. Указанные хабы выполняют функции по обработке операций пользователей 
на платформе цифрового рубля, их расчетному обслуживанию, обеспечивают выполнение 
требований1 ПОД/ФТ/ФРОМУ2, помогают в решении технических вопросов пользователей, 
предоставляют различную информацию и документы, связанные с обслуживанием счетов 
цифрового рубля.
Уже сейчас граждане и бизнес могут обратиться по номерам круглосуточного контактного 
центра Банка России для получения оперативной информации по общим вопросам, связанным 
с цифровым рублем.
Также Банк России запустил специальный портал поддержки банков – участников платформы, 
функционирующий в круглосуточном режиме.
Использование цифрового рубля в бюджетном процессе и развитие смарт-
контрактов
В условиях активной цифровизации финансовой системы и трансформации бюджетных 
процессов внедрение цифрового рубля открывает новые возможности для повышения 
прозрачности, скорости и безопасности операций.
В 2024 г. совместно с Федеральным казначейством были успешно проведены тестовые 
операции в цифровых рублях по выплате стипендий из федерального бюджета и оплате штрафов 
в федеральный бюджет, для переводов использовались тестовые цифровые рубли.
Одновременно Банк России, представители исполнительной власти ряда регионов, банки – 
участники платформы совместно работают над реализацией задачи по использованию цифровых 
рублей в региональном бюджетном процессе, в том числе с использованием смарт-контрактов. 
В частности, идет проработка процессов использования смарт-контрактов для контроля 
целевого использования бюджетных средств совместно с правительствами Республики 
Татарстан и Чувашской Республики.
Кроме того, использование смарт-контрактов возможно и в расчетах между юридическими 
лицами. Примером такого смарт-контракта является «безопасная сделка» – гарантированная 
автоматическая оплата услуги после подтверждения ее выполнения.
1	 	В случаях,	когда	выполнение	данных	требований	возложено	на оператора	платформы	цифрового	рубля	согласно	
действующему	законодательству.
2	 	Противодействие	легализации	(отмыванию)	доходов,	полученных	преступным	путем,	финансированию	терроризма	
и финансированию	распространения	оружия	массового	уничтожения.</x:v>
      </x:c>
    </x:row>
    <x:row r="226" ht="110" customHeight="1">
      <x:c r="A226" s="46" t="str">
        <x:v>PRD-0065-P0018-U01</x:v>
      </x:c>
      <x:c r="B226" s="46" t="str">
        <x:v>RU_Russia_digital_ruble_30062025</x:v>
      </x:c>
      <x:c r="C226" s="46" t="n">
        <x:v>18</x:v>
      </x:c>
      <x:c r="D226" s="46" t="str">
        <x:v>ru/uk</x:v>
      </x:c>
      <x:c r="E226" s="46" t="str">
        <x:v>text</x:v>
      </x:c>
      <x:c r="F226" s="46" t="str"/>
      <x:c r="G226" s="46" t="str">
        <x:v>17
Цифровой рубль: 
текущий статус проекта
2. Пилотный проект  
цифрового рубля
Использование существующей инфраструктуры НСПК
В 2024 г. на платформе цифрового рубля была реализована возможность оплаты товаров и услуг 
с использованием QR-кодов, формируемых на базе существующей инфраструктуры АО «НСПК». 
Такой подход позволяет минимизировать издержки торгово-сервисных предприятий для приема 
оплаты в цифровых рублях.
Использование инфраструктуры АО «НСПК» для платежей по QR-коду в магазине 
или в интернете позволяет сделать платеж безопасным и привычным для пользователей. 
При этом такой платеж будет осуществляться внутри платформы цифрового рубля.
Совместно с участниками платежного рынка Банк России проводит работу по внедрению 
универсального QR-кода – единого технологического стандарта, обеспечивающего гражданам 
возможность после его сканирования самостоятельно выбирать платежный инструмент: Систему 
быстрых платежей, pay-сервис любого банка. Использовать универсальный QR-код уже можно 
и для платежей в цифровых рублях. Это позволит расширить возможности расчетов для граждан 
при оплате в безналичном порядке товаров и услуг. Внедрение универсального QR-кода будет 
направлено на решение одновременно нескольких задач:
•	 повышение удобства совершения гражданами безналичных платежей в торговых точках 
и предотвращение введения их в заблуждение при оплате товаров, работ (услуг);
•	 обеспечение равноудаленного доступа к платежной инфраструктуре для всех участников 
платежного рынка, что позволит исключить зависимость небольших банков от одного 
или нескольких крупных игроков и тем самым повысит конкуренцию;
•	 ускорение сроков развертывания в платежной инфраструктуре новых методов оплаты, в том 
числе с использованием цифрового рубля.
Международное сотрудничество в области ЦВЦБ
Развитие ЦВЦБ как инструмента трансграничных расчетов стимулирует активное международное 
сотрудничество.
Так, в целях проработки концептуальных вопросов трансграничных расчетов с использованием 
ЦВЦБ, в том числе цифрового рубля, Банк России развивает взаимодействие с иностранными 
регуляторами финансового рынка. Так, с рядом дружественных стран обсуждаются возможные 
варианты двусторонней интеграции национальных платформ ЦВЦБ. Кроме того, в рамках 
многостороннего сотрудничества, например по линии БРИКС, прорабатываются вопросы 
использования ЦВЦБ в трансграничных расчетах.
При этом важно подчеркнуть, что для реализации проектов таких расчетов необходимо наличие 
у зарубежных партнеров технических возможностей, а также их готовность к взаимодействию 
в этой области.
Учитывая общемировой интерес к развитию проектов в сфере ЦВЦБ и их интеграции 
для повышения скорости, снижения стоимости и упрощения проведения международных 
расчетов, а также важность вопроса создания независимых каналов обмена финансовой 
информацией, Банк России планирует продолжить работу в этом направлении.</x:v>
      </x:c>
    </x:row>
    <x:row r="227" ht="110" customHeight="1">
      <x:c r="A227" s="46" t="str">
        <x:v>PRD-0065-P0023-U01</x:v>
      </x:c>
      <x:c r="B227" s="46" t="str">
        <x:v>RU_Russia_digital_ruble_30062025</x:v>
      </x:c>
      <x:c r="C227" s="46" t="n">
        <x:v>23</x:v>
      </x:c>
      <x:c r="D227" s="46" t="str">
        <x:v>ru/uk</x:v>
      </x:c>
      <x:c r="E227" s="46" t="str">
        <x:v>text</x:v>
      </x:c>
      <x:c r="F227" s="46" t="str"/>
      <x:c r="G227" s="46" t="str">
        <x:v>22
Цифровой рубль: 
текущий статус проекта
3. Технологическая платформа  
и инфраструктура
Механизмы исполнения смарт-контрактов на платформе цифрового рубля функционируют 
с применением процедур контроля целостности смарт-контрактов и разграничения прав доступа 
к возможности их запуска.
Для защиты информации на платформе цифрового рубля используется система удостоверяющих 
центров, созданных на основе отечественных средств криптографической защиты информации 
(СКЗИ), сертифицированных ФСБ России.
Для обеспечения безопасности и надежности функционирования платформы цифрового рубля 
используются специализированные системы мониторинга информационной безопасности, 
позволяющие оперативно реагировать на любые попытки компьютерных атак и проводить 
обработку инцидентов информационной безопасности с целью защиты финансовых средств 
пользователей и участников платформы цифрового рубля и конфиденциальности информации.
Для подготовки инфраструктуры участников платформы к обеспечению защиты информации 
при совершении операций с цифровыми рублями Банк России издал Положение № 833-П2, 
исполнение которого проверяется при подключении участника к платформе цифрового рубля 
в соответствии с Условиями по защите информации для участников платформы цифрового рубля, 
опубликованными на официальном сайте Банка России.
Пользователи и участники взаимодействуют с платформой цифрового рубля по защищенным 
каналам связи с использованием СКЗИ, сертифицированных ФСБ России.
Все сообщения пользователей, направленные на платформу цифрового рубля, подписываются 
их электронными подписями и хранятся на платформе, что обеспечивает их целостность, 
возможность проверки авторства и проведения объективных претензионных процедур (при 
необходимости).
По результатам анализа лучших практик обеспечения информационной безопасности 
в мобильных приложениях Банком России была реализована концепция специализированного 
программного модуля, встраиваемого в мобильные приложения участников платформы, 
обеспечивающего криптографическую защиту информации. Использование программного модуля 
также обеспечивает надежное подтверждение личности владельца счета цифрового рубля.
В соответствии с требованиями Банка России ведущие специалисты по СКЗИ разных компаний 
разработали три программных модуля, содержащих сертифицированные СКЗИ, готовые 
к встраиванию в мобильные приложения участников платформы. Одновременно с этим 
для регулярного обновления мобильных приложений участников платформы при встраивании 
в них СКЗИ Банк России совместно с ФСБ России выпустил стандарт платформы цифрового 
рубля, содержащий упрощенный порядок проведения работ по оценке влияния среды 
функционирования на СКЗИ, используемые в мобильном приложении участника платформы3.
С учетом накопленного опыта по эксплуатации программных модулей Банк России выпустил 
стандарт4 платформы цифрового рубля, предназначенный для использования в качестве 
руководства при самостоятельном проектировании программных модулей со встроенными 
сертифицированными СКЗИ разработчиками мобильных приложений.
2	 	Положение	Банка	России	от 07.12.2023	№ 833‑П	«О требованиях	к обеспечению	защиты	информации	для	участников	
платформы	цифрового	рубля».
3  Стандарт	платформы	цифрового	рубля	«Порядок	проведения	работ	по оценке	влияния	аппаратных,	программно‑
аппаратных	и программных	средств	сети	(системы)	конфиденциальной	связи,	совместно	с которыми	предполагается	
штатное	функционирование	программного	модуля	Банка	России,	на выполнение	предъявленных	к входящему	в его	
состав	средству	криптографической	защиты	информации	требований».
4  Стандарт	платформы	цифрового	рубля	«Спецификация	на программный	модуль».</x:v>
      </x:c>
    </x:row>
    <x:row r="228" ht="110" customHeight="1">
      <x:c r="A228" s="46" t="str">
        <x:v>PRD-0065-P0024-U01</x:v>
      </x:c>
      <x:c r="B228" s="46" t="str">
        <x:v>RU_Russia_digital_ruble_30062025</x:v>
      </x:c>
      <x:c r="C228" s="46" t="n">
        <x:v>24</x:v>
      </x:c>
      <x:c r="D228" s="46" t="str">
        <x:v>ru/uk</x:v>
      </x:c>
      <x:c r="E228" s="46" t="str">
        <x:v>text</x:v>
      </x:c>
      <x:c r="F228" s="46" t="str"/>
      <x:c r="G228" s="46" t="str">
        <x:v>23
Цифровой рубль: 
текущий статус проекта
3. Технологическая платформа  
и инфраструктура
Банк России занимается дальнейшим развитием программного модуля для поддержания 
высокого уровня информационной безопасности при появлении новых видов операций 
с цифровыми рублями.
Реализация указанных выше подходов позволяет обеспечить целостность и конфиденциальность 
информации при проведении пользователями операций с цифровыми рублями. Под защитой 
находятся сведения о средствах на счетах цифрового рубля, о транзакциях с цифровыми 
рублями и информация, необходимая для авторизации и идентификации пользователей, включая 
персональные данные.
Для противодействия переводам цифровых рублей без добровольного согласия пользователя 
платформы реализованы меры защиты, в том числе антифрод-контроль, как на уровне участников 
платформы, так и на уровне оператора платформы.
Основная цель антифрод-контроля – выявление и предотвращение мошеннических операций 
для защиты средств пользователей платформы. Для этого каждая операция с цифровыми 
рублями проверяется в режиме реального времени. При выявлении подозрительной операции 
участник платформы приостанавливает операцию до выяснения обстоятельств и при 
необходимости вводит период охлаждения, а оператор платформы вправе отказать в совершении 
подозрительной операции.</x:v>
      </x:c>
    </x:row>
    <x:row r="229" ht="110" customHeight="1">
      <x:c r="A229" s="46" t="str">
        <x:v>PRD-0065-P0025-U01</x:v>
      </x:c>
      <x:c r="B229" s="46" t="str">
        <x:v>RU_Russia_digital_ruble_30062025</x:v>
      </x:c>
      <x:c r="C229" s="46" t="n">
        <x:v>25</x:v>
      </x:c>
      <x:c r="D229" s="46" t="str">
        <x:v>ru/uk</x:v>
      </x:c>
      <x:c r="E229" s="46" t="str">
        <x:v>text</x:v>
      </x:c>
      <x:c r="F229" s="46" t="str"/>
      <x:c r="G229" s="46" t="str">
        <x:v>24
Цифровой рубль: 
текущий статус проекта
4.	 	ПЕРСПЕКТИВЫ 	И ДАЛЬНЕЙШИЕ 	ШАГИ
В настоящее время ключевым направлением развития цифрового рубля является 
масштабирование пилотного проекта – поэтапное увеличение числа участников и пользователей 
пилота, а также расширение перечня доступных сервисов.
В ходе пилотного проекта цифрового рубля продолжается изучение эффективности различных 
экономических моделей обращения цифрового рубля. В России в системе розничных платежей 
уже эффективно функционируют платежная система «Мир», Система быстрых платежей 
и другие инструменты, позволяющие удобно и оперативно осуществлять платежи гражданам 
и принимать оплату за товары бизнесу. В ходе пилота проводится дополнительное обсуждение 
экономической модели, в том числе оптовой составляющей цифрового рубля. Особое внимание 
уделяется определению приоритетных направлений развития сервисов на базе цифрового рубля.
Параллельно с этим ведется работа, направленная на взаимодействие с государственными 
структурами, банками и коммерческими компаниями: прорабатываются наиболее востребованные 
кейсы, исследуются сценарии использования цифрового рубля, которые позволят 
продемонстрировать наибольший потенциал для повышения экономической эффективности.
С запуском цифрового рубля Россия станет одной из первых стран, у которых есть весь комплекс 
компонентов платежной инфраструктуры: Национальная система платежных карт, Система 
быстрых платежей, Система передачи финансовых сообщений и цифровая национальная валюта.
В перспективе платформа цифрового рубля может стать не только централизованной 
платформой для платежей и переводов, но и основой для внедрения инноваций во многих 
отраслях экономики. Мы рассчитываем, что привычным способом расчетов, как и безналичные 
рубли, цифровой рубль станет на горизонте 5 – 7 лет. Это стратегический проект, способный 
трансформировать экономику России, усилив ее устойчивость к внешним шокам, успешное 
внедрение которого возможно только при взаимодействии Банка России с государством, 
бизнесом и обществом.</x:v>
      </x:c>
    </x:row>
    <x:row r="230" ht="110" customHeight="1">
      <x:c r="A230" s="46" t="str">
        <x:v>PRD-0067-P0017-U01</x:v>
      </x:c>
      <x:c r="B230" s="46" t="str">
        <x:v>SE_Riksbank_2017</x:v>
      </x:c>
      <x:c r="C230" s="46" t="n">
        <x:v>17</x:v>
      </x:c>
      <x:c r="D230" s="46" t="str">
        <x:v>en</x:v>
      </x:c>
      <x:c r="E230" s="46" t="str">
        <x:v>text</x:v>
      </x:c>
      <x:c r="F230" s="46" t="str"/>
      <x:c r="G230" s="46" t="str">
        <x:v>THE RIK SBANK’S E-KRON A PROJEC T 15 
would stop. Access to cash through ATMs and withdrawals in shops is still relatively good. The 
increased demand for digital forms of payment is instead driven by new technology and new 
consumer goods. On the other hand, there may be reason to actively support cash usage in 
certain areas or for certain groups in society during a possible transition towards the cashless 
society. Such support already exists today, to a certain extent, through the Swedish Post and 
Telecom Authority and the County Administrative Boards.25 
The large-scale subsidising of cash usage would probably entail considerable costs in 
relation to the benefit of the subsidy, particularly as the development towards a cashless 
society will probably continue regardless. 
1.2.2 Alternative courses of action: increased regulation and supervision 
The Riksbank could also take a legislative route to strengthen the position of cash as legal 
means of payment, which would involve forcing traders and banks always to accept cash as a 
means of payment. At present, this obligation is not binding in most cases26. Such a measure 
would have to be combined with an increased obligation for the banks to also provide cash 
and the price regulation of the banks’ cash services.  
However, the fact is that, to a great extent, it is consumers who are abandoning cash, in 
addition to which most shops, restaurants and so on still accept cash as a means of payment. 
Consequently, it is not likely that measures like this would significantly slow down or stop the 
development. On the other hand, it would probably mitigate the problems that some groups 
of consumers  and business operators are experiencing. It could also make it simpler to use 
cash as means of payment in a crisis situation, as the capacity to distribute cash and accept 
cash payments would, in such a case, be greater than otherwise. The access of the general 
public to central bank money would also be secured. 
The costs that increased regulation and an increasing supervision would entail for each 
retailer, restaurant, bank branch and so on, would need to be weighed against the usefulness 
of the regulation for the groups one is trying to help.  
1.2.3 Alternative courses of action: providing a digital means of payment 
A digital central bank currency, here called an e-krona, has the following basic 
characteristics:27  
 It is specified in the national value unit, the Swedish krona.  
 It constitutes a claim on the central bank (the Riksbank). 
 It is electronically available 24 hours a day, 7 days a week, 365 days a year and available in 
real time or close to real time. 
 It is available to the general public, i.e. is more broadly available than traditional central 
bank deposits in RIX, to which only the banks have access. 
Like cash, an e-krona is a direct claim on the Riksbank, and both a means of payment and a 
form of savings. In addition, it can, like RIX, be seen as a payment system, in that a technical 
infrastructure is required to give the general public access to the e-krona and to initiate and 
carry out transactions in real time around the clock.28 
How effective an e-krona would be in confronting the potential problems we currently 
see on the payment market and what consequences an e-krona could entail for society will 
depend on how it is designed, which characteristics it has and how it is provided.  
The characteristics it is desirable and possible to give an e-krona are discussed in Chapter 
2. Below, we restrict ourselves to demonstrating, with more general arguments, that an e-
25 See Sveriges Riksbank (2013), Chapter 5. 
26 See Segendorf and Wilbe (2014). 
27 Digital central bank money can be defined in different ways i n di fferent contexts. We consi der that this definition suits the Swedish 
market well, and is largely based on considerations discussed by the BIS working group “Committee on Payments and Market 
Infrastructure”. 
28 By being a claim on the central bank and being denominated in the national currency, the e-krona woul d di ffer from what is usually 
designated a cryptocurrency. These currenci es use crypt ology t o verify t ransact ions and when issuing the currency . They are not 
denominated in any national currency and they are not usually a claim on any fi nanci al institut ion or public authority. The most well-
known of these is Bit coin. Further information on Bi tcoi n and digital currenci es can be found in Segendorf (2014) and Beck and Garratt 
(2017) .</x:v>
      </x:c>
    </x:row>
    <x:row r="231" ht="110" customHeight="1">
      <x:c r="A231" s="46" t="str">
        <x:v>PRD-0067-P0026-U01</x:v>
      </x:c>
      <x:c r="B231" s="46" t="str">
        <x:v>SE_Riksbank_2017</x:v>
      </x:c>
      <x:c r="C231" s="46" t="n">
        <x:v>26</x:v>
      </x:c>
      <x:c r="D231" s="46" t="str">
        <x:v>en</x:v>
      </x:c>
      <x:c r="E231" s="46" t="str">
        <x:v>text</x:v>
      </x:c>
      <x:c r="F231" s="46" t="str"/>
      <x:c r="G231" s="46" t="str">
        <x:v>24 THE RIKSBANK’S OPERATIVE ROLE IN AN E-KRONA SYSTEM AND TEC HNICAL CONSIDERATION S 
3.2 Technical considerations 
The properties and functions of an e-krona are of considerable significance when choosing 
the technical solution. Feasible solutions shall be assessed based on the requirements for 
accessibility, reliability, interoperability and scalability they can fulfil.  
There are certain technical properties that an e-krona should have regardless of how it is 
designed. These are listed below. 
 Scalability: An e-krona must have a solid base, which can gradually be extended in 
different stages, as the requirements for the e-krona solution are developed, and needs 
and external conditions change. The base solution should therefore be constructed so 
that it can be integrated with new modules and functions via open, standardised 
interfaces. The aim should be that the technical solution is sustainable in the long run and 
that it can be developed by the Riksbank and/or other parties. In this way, the Riksbank’s 
operative role will be more flexible. It is also desirable that technical innovations can be 
incorporated and utilised in a quality-assured way as such innovations become available. 
For example, Distributed Ledger Technology (DLT)39 could be utilised when and if the 
technology is considered appropriate. An e-krona platform should be constructed so that 
different technologies can interact as much as possible. 
 Interoperability: An e-krona solution should be portable as far as possible and function 
equally well regardless of the type of unit and operative system used. It should be 
possible to adapt the e-krona to future technical innovations. For this to work, the e-
krona must be based on generally accepted standards and frameworks enabling it to 
work together with other digital solutions and technical infrastructures. 
 Reliability: The e-krona solution must be robustly built so that it guarantees good 
operational reliability and can have the best available protection against cyber-attacks 
and different types of fraud. Another aspect linked to the concept of reliability is the issue 
of anonymity and integrity regarding traceability. The degree of anonymity that shall or 
shall not be offered by an e-krona can influence the choice of technology. The anonymity 
offered by today’s physical cash may be difficult, and perhaps not even desirable, to 
recreate in a digital e-krona. There are legal requirements regarding the traceability of 
transactions that must be fulfilled. 
 Accessibility: The technical solution for an e-krona must be designed so that it is easy and 
intuitive to use and offers good performance, for instance, with regard to transaction 
speed. It is also important that the solution offers functions adapted to different target 
groups. It should be accessible 24 hours a day, seven days a week, 365 days a year. 
According to a preliminary assessment, both the e-krona models discussed in Chapter 2 
(value -based and register-based) can be developed using traditional, tried-and-tested 
technology based on central databases and with DLT.  
From a purely technical point of view, we can see nothing at this point in time that would 
prevent an e-krona solution built around a central register. RIX, the Riksbank’s system for the 
transfer of funds in accounts, is, for example, built around a central register. An e-krona could 
in principle be constructed in a similar way.  
With regard to DLT including blockchain technology, this is relatively new and untried 
technology that does not yet have any applications similar to the e-krona described in the 
report. Considerable research and development is being performed in DLT and many central 
banks are making efforts to research the technology, but there are only a few more 
significant DLT applications currently in production. This is partly due to the technology being 
so new and to it having some weaknesses, such as limitations in performance and a lack of 
39 A technology whose architecture is based on networks of distributed registers/databases in whi ch all participants can create, transfer 
and store transactions in a secure and efficient manner without these necessarily being coordinated and administered by a central or 
known party in whom the participants have confidence. The frequentl y discussed block chain technol ogy is one of many different forms 
of DLT. A block chain is a distributed trade reposit ory based on DLT, in which all transacti ons are chained together in a block. The 
transactions/blocks are added t o the chain i n chronological order and in a linear fashion, so that all partici pants have a copy of the entire 
chain, including its history, in real time.</x:v>
      </x:c>
    </x:row>
    <x:row r="232" ht="110" customHeight="1">
      <x:c r="A232" s="46" t="str">
        <x:v>PRD-0067-P0042-U01</x:v>
      </x:c>
      <x:c r="B232" s="46" t="str">
        <x:v>SE_Riksbank_2017</x:v>
      </x:c>
      <x:c r="C232" s="46" t="n">
        <x:v>42</x:v>
      </x:c>
      <x:c r="D232" s="46" t="str">
        <x:v>en</x:v>
      </x:c>
      <x:c r="E232" s="46" t="str">
        <x:v>text</x:v>
      </x:c>
      <x:c r="F232" s="46" t="str"/>
      <x:c r="G232" s="46" t="str">
        <x:v>40 THE PROJECT’S CONCLUSION S 
 The e-krona does not give any interest, but should have a built-in function to make it 
possible to accrue interest at a later point. This is in line with the current Sveriges 
Riksbank Act, which does not allow for deposits from the general public. If an interest rate 
is to be introduced, then the Sveriges Riksbank Act needs to be amended. 
 The supply of e-kronas shall be determined by demand for them. The general public and 
the participants in the payment market currently determine the Riksbank's supply of 
banknotes and coins. The supply of e-krona should be determined in a similar manner. As 
the e-krona is in a system that does not come under the finality directive, it is best suited 
for small payments. Large payments will continue to be made through the RIX system. 
 The Riksbank supplies the central infrastructure for the e-krona, but the interaction with 
users of the e-krona will be entirely or partly through private or public sector agents with 
authorisation to mediate payments. Thus, an interface is needed to which these payment 
mediators can connect. The Riksbank will be responsible at the very least for the issue, 
redemption and settlement of the e-krona. It is an open question whether the Riksbank 
should supply a very simple and fundamental payment service that allows users to access 
their e-kronas without going through a payment services provider. 
 It should be possible to buy e-kronas through a transfer in RIX, but there should be 
alternatives for the payment services providers and users who are not participants in RIX.  
 The e-krona can have a function that under certain circumstances, in accordance with the 
anti -money laundering regulations, allows partly anonymous payments. A register-based 
e-krona would mean that payments of small amounts could be made anonymously for 
the recipient up to a certain level, and a payment with a value-based e-krona, for 
instance, an e-krona card could be anonymous up to a certain amount.  
The conclusion drawn by the project from the contents on this report is that the Riksbank will 
need to continue to investigate questions related to the e-krona. Much remains to be studie d 
and decided on. The Riksbank wishes to discuss the ideas concerning the development of the 
payment market presented in the report with the parties concerned both regularly and in 
special dialogue meetings in the near future. This development comprises large, complex 
questions that affect society as a whole and the Riksbank therefore wishes to have a broad 
dialogue.</x:v>
      </x:c>
    </x:row>
    <x:row r="233" ht="110" customHeight="1">
      <x:c r="A233" s="46" t="str">
        <x:v>PRD-0068-P0009-U01</x:v>
      </x:c>
      <x:c r="B233" s="46" t="str">
        <x:v>SG_MAS_mas-project-orchid-report</x:v>
      </x:c>
      <x:c r="C233" s="46" t="n">
        <x:v>9</x:v>
      </x:c>
      <x:c r="D233" s="46" t="str">
        <x:v>en</x:v>
      </x:c>
      <x:c r="E233" s="46" t="str">
        <x:v>text</x:v>
      </x:c>
      <x:c r="F233" s="46" t="str"/>
      <x:c r="G233" s="46" t="str">
        <x:v>PROJECT ORCHID - PROGRAMMABILITY OF DIGITAL SGD

Foundational digital infrastructure which supports 
digital identity, data exchange, and interoperable 
payments, play an important role in enabling 
financial services to be accessed by a wider set of 
the population and support economic and social 
development. Businesses and innovators could 
build upon these foundational infrastructures 
to develop innovative services, leading to more 
efficient and affordable services with better user 
experiences. One area where significant strides 
have been made in recent years is the development 
of the concept of programmable payment and more 
recently programmable money popularised with 
the blockchain and peer to peer money movement. 
Programmable payment  refers to the automatic 
execution of payments once a pre-defined 
set of conditions are met. For example, daily 
spending limits or recurring payments could be 
defined, similar to direct debits and standing 
orders. Today, programmable payments are 
commonly implemented through setting up 
database triggers or in the form of Application 
Programming Interface (API) gateways that sits 
between the accounting ledger and the client 
application. These programming interfaces 
interact with traditional ledgers and adjust bank 
account balances based on programmed logic.
Programmable money  refers to the possibility 
of embedding rules within the medium of 
exchange itself that defines or constraints its 
usage. For example, rules could be defined 
such that the medium of exchange could 
be denominated in fractional units of up to 
eighteenth decimal places. Programmable money 
implementations include tokenised deposits, 
stablecoins and CBDCs. Unlike programmable 
payment, whereby the programming logic and 
the value itself are decoupled, programmable 
money is self-contained and contains both 
programming logic and serves as a store of 
value. When it has been transferred to another 
party, the logic and rules are moved as well. 
Programmable payment’s advantage is its ability 
to define a set of programming logic or conditions 
that could be applied across a variety of different 
forms of money. Meanwhile, programmable money 
has the advantage of being self-contained 
and transferrable on a peer-to-peer basis 
between parties. A third model – Purpose 
Bound Money (PBM) , which is explored 
in the initial phase of Project Orchid, builds 
upon the concept and capabilities of both 
programmable payment and programmable 
money. PBM refers to a protocol that specifies 
the conditions upon which an underlying 
digital currency can be used. PBMs are 
bearer instruments, with self-contained 
programming logic and transferrable 
between two parties without intermediaries.
A crucial aspect of PBM is that the underlying 
digital medium of exchange bound within 
it comes embedded with programmable 
logic that makes it possible for use across 
different platforms and systems. 
PBMs could be used to digitalise vouchers. 
A voucher comes with it a predefined set 
of conditions for its usage. The holder of 
the voucher can present it to participating 
merchants in exchange for goods or services 
(a programmable payment feature). In some 
instances, the terms of the voucher scheme 
allow it to be transferrable between people 
(a programmable money feature). Hence, a 
consumer could purchase a gift voucher and 
transfer it to another person who may then 
use it at a participating merchant. Vouchers 
could also be issued to support government 
disbursement programmes. For example, 
Community Development Council (CDC) 
vouchers 5, as part of the Household Support 
Package in Singapore, are designed to 
defray the cost of living and support hawkers 
and heartland merchants affected by the 
pandemic. The vouchers are distributed 
to eligible household and programmed to 
be spent at merchants in the heartlands.
PBM serves as digital bearer instrument, 
and could in effect support government 
payouts, Conceptually, the holder of 
the PBM could present the PBM and 
cash out without requiring its holder 
having to have a bank account.
2  Motivation
5  https://www.mof.gov.sg/news-publications/press-releases/1.5-billion-support-package-to-provide-targeted-relief-for-lower-income-households-and-
vulnerable-groups</x:v>
      </x:c>
    </x:row>
    <x:row r="234" ht="110" customHeight="1">
      <x:c r="A234" s="46" t="str">
        <x:v>PRD-0068-P0022-U01</x:v>
      </x:c>
      <x:c r="B234" s="46" t="str">
        <x:v>SG_MAS_mas-project-orchid-report</x:v>
      </x:c>
      <x:c r="C234" s="46" t="n">
        <x:v>22</x:v>
      </x:c>
      <x:c r="D234" s="46" t="str">
        <x:v>en</x:v>
      </x:c>
      <x:c r="E234" s="46" t="str">
        <x:v>text</x:v>
      </x:c>
      <x:c r="F234" s="46" t="str"/>
      <x:c r="G234" s="46" t="str">
        <x:v>22 PBM USAGE PATTERNS
 c.  Redemption amount expected – in full 
or partial payment for goods delivered.  
3. Where conditions are met, the underlying 
digital currency backing the PBM is unlocked 
and the funds released to the merchants. 
Potential Benefits of PBM
PBM could complement existing government 
platforms such as GovWallet and RedeemSG.
Currently, these platforms provide the ability to 
specify and distribute PBM to targeted groups 
(Model 1). PBM extends existing capabilities by 
providing the option to specify conditions that 
need to be met before the money is released, 
(Model 3). These conditions are embedded 
within the voucher scheme itself, such that the 
conditions for use are transferable when the 
vouchers are exchanged. This expands the tools 
that policymakers have in their toolkit to improve 
the efficacy of government social programmes.
Ease of Onboarding Merchants
PBM supports a more programmatic mechanism 
for targeting groups of merchants participating in a 
campaign. Merchants that are already onboarded 
to the platform would be able to support a new 
voucher campaign easily. As the conditions are 
defined by the PBM Creator and enforced through 
smart contracts, there is no additional effort for 
merchants. The merchants receive digital SGD and 
not the vouchers, hence the programming logic 
specified by the PBM Creator is transparent to 
them. Unlike existing mechanisms, PBM Creators 
do not need to sign contracts with individual 
merchants for each new voucher scheme.  
Consequently, this is more scalable than existing 
infrastructures.
Transparency
PBM smart contracts, if deployed onto public 
ledgers, offer greater transparency for government 
social programmes. For example, the total amount 
of digital vouchers created by campaign organisers 
could be visible and the flow of PBM from 
government agencies to citizens and to merchants 
could be traced. Nonetheless, increased 
transparency needs to be balanced against other 
policy goals such as personal data protection 
policies. 
Transferability
Like a physical voucher, the transfer of PBM 
tokens amongst merchants and recipients can be 
facilitated without requiring a central coordinating 
party. This makes it possible to cater to the unique 
operational needs of programmes. Furthermore, if 
the PBM was not used within its validity period, 
the underlying digital currency backing the PBM 
could be “released” back to the government 
agencies who funded the programme and 
recycled for future use.
Some programmes might wish to enable citizens 
to transfer their vouchers amongst one another 
easily, efficiently, securely, and safely. For 
example:
 ○ Campaign(s) like SingaporeRediscover 
vouchers that want to allow recipients to choose 
to donate their voucher to charities/ needy 
individuals 
 ○ Heartland Pays It Forward programme in  
which recipients can “pre-purchase” meals for 
needy individuals
 ○ Campaign(s) in which each recipient’s spending 
would dynamically trigger the issuance of a 
voucher to incentivise more spending at a 
particular Government-owned shop 
4.2 Person to Government
Value transfers could occur in the opposite 
direction, whereby a person could initiate payment 
to a government agency. One example of such a 
flow is buyer stamp duty payment to tax authorities 
or payment for property purchases to housing 
agencies. In these examples, there is a possibility 
for PBM to be used to model the obligation to pay 
upon completion of milestones. 
Potential solution flow:
1. When a homebuyer initiates an application to 
buy a property, there are different milestone 
events upon which payments need to be made. 
For example, a portion of funds is released upon 
foundation work being completed or obtaining 
a Temporary Occupation Permit (TOP). 11 A PBM 
could be created based on terms stipulated with 
the sale of the property. 
2. The terms could be defined such that funds 
are released at different stages of the property 
development or stages of the sales process 
when milestones have been attained. In 
practice, the PBM could be based off a standard 
template common across homebuyers.
3. Attestation parties such as surveyors, 
11   A T emporary Occupation  Permit (TOP) is the permit from the Building and Construction Authority (BCA) to allow building owners to occupy the 
premises when key works have been satisfactorily completed and certified by the other authorities in Singapore.</x:v>
      </x:c>
    </x:row>
    <x:row r="235" ht="110" customHeight="1">
      <x:c r="A235" s="46" t="str">
        <x:v>PRD-0068-P0025-U01</x:v>
      </x:c>
      <x:c r="B235" s="46" t="str">
        <x:v>SG_MAS_mas-project-orchid-report</x:v>
      </x:c>
      <x:c r="C235" s="46" t="n">
        <x:v>25</x:v>
      </x:c>
      <x:c r="D235" s="46" t="str">
        <x:v>en</x:v>
      </x:c>
      <x:c r="E235" s="46" t="str">
        <x:v>text</x:v>
      </x:c>
      <x:c r="F235" s="46" t="str"/>
      <x:c r="G235" s="46" t="str">
        <x:v>PROJECT ORCHID - PROGRAMMABILITY OF DIGITAL SGD
2
Potential Benefits of PBM
Enhancing security for Escrow 14 accounts
PBM could be used for payment of services that 
require upfront payment or bulk purchases. With 
PBM, the consumer pre-commits to spend a fixed 
amount of money for the service, giving assurance 
to the service provider on future revenue 
while also ensuring consumer’s interests are 
safeguarded by allowing the service provider to 
draw on the money only when a specified portion 
of the service is provided (Eg. Spa credits and 
packages). This could serve as an alternative to 
setting up escrow accounts.
Providing alternatives for conditional 
payments
In Singapore, FAST transfer enables immediate 
fund transfers today between individuals and 
corporates through their bank accounts. However, 
it does not provide a facility to allow individuals 
or corporates to specify what and how their 
funds would be used for and how long the funds 
are available to the beneficiary. The use of PBM 
technology enables individuals or corporates to 
define and embed logic-based conditions in the 
form of smart contracts. These smart contracts 
automatically verify and process the embedded 
conditions when the PBM is submitted for 
transfers.
4.5 Person to Person
Background
The distribution of value could occur amongst 
individuals, whereby the sender may have 
expectations on how recipients should spend 
the funds. For example, parents may grant their 
children allowances, with the intention that 
they will use the money to purchase books in 
designated bookstores or for their meals in school 
but not for other purposes. 
Besides student allowances, another example of 
a targeted Person to Person value transfer is the 
wish for individuals to send donations to various 
non-profit organisations for specific purposes.
Current Challenges
Today, potential donors might be inundated with 
a proliferation of charities and social service 
organisations that are seeking funds to support 
their causes. A recurring concern that potential 
donors have is whether their donations reach their 
intended beneficiaries, and if the funds are used for 
their intended purposes. 
Furthermore, for overseas beneficiaries, there may 
be a lack of transparent, secure and economically 
viable option for remitting the funds, especially to 
remote areas. They may also be challenged with 
exorbitant foreign exchange fees imposed onto 
their donations such that the beneficiaries would 
ultimately receive a donation thatis a small fraction 
of the original value donated.
Consequently, potential donors may be hesitant 
to contribute to social causes because of the 
information gap that exists between potential 
donors and beneficiaries. 
Solution Overview
PBM for donations are traceable and programmable 
donations such that beneficiaries could only receive 
the underlying digital currency when conditions  
are met. 
Potential solution flow
1. Individual donors or Charities and Institutions 
of a Public Character (IPCs), transfer SGD to a 
designated settlement account (e.g. held with 
DBS Bank)
2. Digital SGD Issuer mints the digital SGD for the 
charity association’s trustee account with Digital 
SGD Issuer.
3. The charity association determines the grants 
received by the non-profit organisation (NPO) 
under their charge and defines the terms  and 
conditions for which the digital SGD could  
be used. 
4. The NPO, a beneficiary of the PBM, spends the 
PBM at designated merchants. The designated 
merchants receive the digital SGD.
5. In the case of unspent PBM, NPOs can redeem 
for digital SGD from the charity association.  
14   A bond, deed, or other document kept in the custody of a third party and taking effect only when a specified condition has been fulfilled</x:v>
      </x:c>
    </x:row>
    <x:row r="236" ht="110" customHeight="1">
      <x:c r="A236" s="46" t="str">
        <x:v>PRD-0068-P0028-U01</x:v>
      </x:c>
      <x:c r="B236" s="46" t="str">
        <x:v>SG_MAS_mas-project-orchid-report</x:v>
      </x:c>
      <x:c r="C236" s="46" t="n">
        <x:v>28</x:v>
      </x:c>
      <x:c r="D236" s="46" t="str">
        <x:v>en</x:v>
      </x:c>
      <x:c r="E236" s="46" t="str">
        <x:v>text</x:v>
      </x:c>
      <x:c r="F236" s="46" t="str"/>
      <x:c r="G236" s="46" t="str">
        <x:v>2 PBM USAGE PATTERNS
Potential Benefits of PBM
Improving Efficacy of Donations
PBM could enable charity organisations to have 
greater oversight over the spending behaviour 
of the beneficiary organisations that they 
administer their grants towards. Grant making 
organisations could track the PBM and their 
usage, thereby deriving the effectiveness of 
their programme as well as support the provision 
of more transparent reporting to their donors. 
More donors would be encouraged to come 
forward if there was greater transparency on how 
their contributions are used by the non-profits 
they have donated to and better visibility on the 
impact it has made.
 Figure 6: Illustration of PBM in context of Donations
In addition, restricting the use of PBM to a curated list 
of participating merchants, ensures fair charging to 
grant recipients. Further, it guards against fraudulent 
organisations looking to have a claim on disbursed 
donation proceeds without an intention to deliver the 
intended service outcome. 
Reducing Fraud
PBM technology could be used to mitigate the 
unilateral and unauthorised use of funds. Transactions 
are recorded on an immutable append only ledger with 
the possibility of aiding investigators with appropriate 
access to uncover the occurrence of malicious acts 
such as the modifications of terms of use of a PBM. 
For PBM Creators, the redemption mechanics and 
spurious behaviour could be tracked and managed. 
PBM Un wrapping ﬂo wDSGD Redemption ﬂo w
Donors transfer SGD 
to designated
selement account
Charity council 
(PBM issuer) 
holds with Bank
Smart contract
wraps PBM* 
and transfers 
to NPOs
NPO 1
Public 
fundraising
charity/
community
1
Donation or Charity
Association - DCA
(or other trustee)
account with Bank
Designated
non-proﬁt
organisations
Designated
merchants
Supermarkets
White goods
Medicine and 
healthcare
Clothing and
other essentials
Donation or Charity
Association (DCA)
2
3
4
NPO 2
NPO 3
Redemption by 
NPOs in ﬁat or 
DSGD restricted for 
operating costs only
Non-proﬁt
organisations 
spend PBM at 
designated
merchants
Smart contract
unwraps PBM*
Merchants 
receive DSGD
NPO redeems 
PBM for DCA 
to perform 
unwrapping to DSGD
5
7
6
Merchant and NPO redemption
transfer DSGD and receive 
ﬁat from Bank
DCA 
unwraps PBM*
and returns 
DSGD to NPOs
Bank 
mints DSGD 
for DCA
*Wrapping/unwrapping of Pu rpose bound to kens can be undertake n by Bank dire ctly.
NPO sends 
DCA PBM
Private 
Donors
Private 
Donors
Private 
Donors
Legend</x:v>
      </x:c>
    </x:row>
    <x:row r="237" ht="110" customHeight="1">
      <x:c r="A237" s="46" t="str">
        <x:v>PRD-0068-P0033-U01</x:v>
      </x:c>
      <x:c r="B237" s="46" t="str">
        <x:v>SG_MAS_mas-project-orchid-report</x:v>
      </x:c>
      <x:c r="C237" s="46" t="n">
        <x:v>33</x:v>
      </x:c>
      <x:c r="D237" s="46" t="str">
        <x:v>en</x:v>
      </x:c>
      <x:c r="E237" s="46" t="str">
        <x:v>text</x:v>
      </x:c>
      <x:c r="F237" s="46" t="str"/>
      <x:c r="G237" s="46" t="str">
        <x:v>PROJECT ORCHID - PROGRAMMABILITY OF DIGITAL SGD

  Design Considerations 
This section discussions some of the design choices and 
factors that might weigh into how PBM might be implemented.
6.1 Interoperability
It is critical that introducing PBM and additional 
service providers do not lead to fragmentation 
in the payment ecosystem. If each PBM provider 
runs its own proprietary networks, it will lead to 
the creation of walled gardens with their own 
closed ecosystem of partners. This could lead to 
monopolistic, rent seeking behaviour amongst 
commercial firms. If left unchecked, this could 
be to the detriment of consumers, who will need 
to onboard to a myriad of different systems 
or pay exhorbitant fees to intermediaries to 
complete a transaction. 
Hence, it is prudent for PBM technology to 
be designed at the onset to be interoperable 
across different platforms, wallets, payment 
systems and rails. This will enable PBM 
recipients to access and use their PBM tokens 
from a government provided or commercial 
wallet provider of their choice. An approach 
to foster this is through the development of an 
open-sourced technical framework for PBM. To 
realise wide adoption, the governance behind 
the design and development of this technical 
specification, should be open with participation 
across different organisations. This will be key 
to ensure that the PBM technology acts in the 
interest of the public.  
A standard data-exchange and API specification 
could be defined between wallet providers 
and PBM creators to achieve a standardized 
interface for PBM purpose parameters i.e. 
common merchant references such as UEN, 
SSIC etc to support whitelisting of retail 
merchants etc.
Future phases may involve studying integration 
with QR schemes – for example, there could 
be a mapping between the unique entity name 
(UEN) with a wallet address. By doing so, when 
a user scans the QR code, he or she would 
be able to select whether he or she wants to 
transact via current payment rails, or via this 
new payment rail. With that, PBM creators 
would not need to be concerned with merchant 
onboarding. As long as a merchant is onboarded 
to the common addressing scheme and has a 
wallet address, the PBM recipients would be able 
to make payments in their shop.
Another consideration is the integration and 
implementation of wallet providers that are 
closely associated with the national digital 
identity infrastructure. This opens the potential 
for easily crediting PBMs based on user identity 
and recipient requirements – such as means 
testing. This needs to be balanced with the need 
for user’s personal data protection and privacy. 
6.2 Fungibility of digital SGD 
across issuers
As long as there are multiple media of exchange 
by different issuers, some type of mechanism 
is generally required for them to be considered 
uniformly as currency, such that they can be used 
interchangeably for payments at their face value 
without being subjected to discounting or other 
frictions. Otherwise, differences across issuers, 
for example in the composition of their reserve 
backing, can lead to varying degrees of trust 
and confidence in their liabilities and hence the 
perceived value among end-users. This, in turn, 
prevents universal acceptance, which fragments 
liquidity and introduces significant inefficiencies 
into economic exchanges. 
Today, central-bank issued money, bank 
deposits, and e-money are typically perceived 
to be “one and the same” regardless of their 
issuers. This fungibility between the different 
forms of SGD is secured through their guaranteed 
convertibility at par-value to central bank money 
(either physical cash or reserves). Notably, 
because MAS always recognises the monetary 
liabilities of different banks at their face value 
during the interbank settlement process, the 
exchange rate between all banks’ deposits are 
effectively anchored at par. Regulation and 
supervision, together with the deposit insurance 
scheme, play a reinforcing role by helping to</x:v>
      </x:c>
    </x:row>
    <x:row r="238" ht="110" customHeight="1">
      <x:c r="A238" s="46" t="str">
        <x:v>PRD-0068-P0040-U01</x:v>
      </x:c>
      <x:c r="B238" s="46" t="str">
        <x:v>SG_MAS_mas-project-orchid-report</x:v>
      </x:c>
      <x:c r="C238" s="46" t="n">
        <x:v>40</x:v>
      </x:c>
      <x:c r="D238" s="46" t="str">
        <x:v>en</x:v>
      </x:c>
      <x:c r="E238" s="46" t="str">
        <x:v>text</x:v>
      </x:c>
      <x:c r="F238" s="46" t="str"/>
      <x:c r="G238" s="46" t="str">
        <x:v> CASE STUDIES  
Figure 11: Comparison of current CDC Voucher flow versus Pilot
Through this pilot, OGP aims to achieve the 
following goals:
1. Demonstrate faster payouts to merchants  
The trial tests the concept of having merchants 
directly receive the underlying digital SGD for 
the vouchers redeemed. In the longer term, 
when digital SGD is widely accepted, merchants 
would be able to use digital SGD immediately 
to pay for their next set of transactions. 
However, as digital SGD issued by DBS Bank 
is not recognised to be legal tender and widely 
circulated at this time, digital SGD is converted 
to deposits in the merchant bank account at the 
end of day. 
2. Demonstrate feasibility of adopting smart 
contracts for Government campaigns  
Government campaign organisers should be 
able to easily define and enforce their voucher 
logic (e.g. targeted merchants, specific 
timeframe) and issue vouchers to their targeted 
users. If vouchers are used outside of the terms 
of the smart contract (e.g. at merchants not 
participating in the scheme), the transaction 
should fail. 
3. Demonstrate interoperability across 
voucher schemes  
Campaign organisers should also be able to 
easily specify their own required voucher logic, 
without the need to re-invent existing voucher 
systems. In the long term, recipients should 
have the freedom to choose their own wallet 
applications to access Government issued  
PBM tokens.

As Is
Nov 22 Gov PBM Pilot
1
3
4
2
EOD API for bulk FAST
transfer to mer chants
Issue Voucher Spend Voucher
FAST transfer
(both DBS &amp; non-DBS mer chants)
3
2
5
4
1 DSGD 10 0SGD 100
OGP wr aps DSGD 100 to PBM 10 0
Distribute to r etail
Spend PBM 100 Smart c ontract 
release DSGD 10 0
Redeem DSGD 10 0
for SGD 10 0</x:v>
      </x:c>
    </x:row>
    <x:row r="239" ht="110" customHeight="1">
      <x:c r="A239" s="46" t="str">
        <x:v>PRD-0069-P0003-U01</x:v>
      </x:c>
      <x:c r="B239" s="46" t="str">
        <x:v>SZ_Eswatini_2024-Fintech-Digital-Lilangeni-Design-Paper</x:v>
      </x:c>
      <x:c r="C239" s="46" t="n">
        <x:v>3</x:v>
      </x:c>
      <x:c r="D239" s="46" t="str">
        <x:v>en</x:v>
      </x:c>
      <x:c r="E239" s="46" t="str">
        <x:v>text</x:v>
      </x:c>
      <x:c r="F239" s="46" t="str"/>
      <x:c r="G239" s="46" t="str">
        <x:v>Digital Lilangeni Design Paper 
 2 
Executive Summary 
The exploration of Central Bank Digital Currencies (CBDCs) has sped up dramatically in 
recent years across the globe. The exploration ranges from research to technical testing, 
including proof-of-concepts and pilots, and even to live CBDC systems. The Central Bank 
of Eswatini (CBE) is among the first African countries to take the steps towards a retail 
CBDC within the framework of providing a secure digital version of its fiat currency and 
the overall digitalisation agenda of The Kingdom of Eswatini.  
The Digital Lilangeni could potentially serve as a retail or general purpose CBDC for 
domestic payment transactions. It could be used by individuals for peer -to-peer 
payments and transactions with merchants or businesses, thus representing a digital 
version of the publicly accessible Lilangeni. However, it should be noted that the CBE has 
not yet made a decision regarding the issuance of CBDC.  
The CBE has laid down its vision and motivations for the Digital Lilangeni: 
• Providing secure access to central bank-issued money available by the public  
• Fostering the digitalisation of the domestic economy and the financial sector 
• Catalysing innovation and new business opportunities within the Kingdom of 
Eswatini 
• Deepening financial inclusion 
• Anticipating the future role of the CBE as an active regulator and facilitator of 
digitalisation within the Common Monetary Area (CMA) and the African continent 
Although cash is the most preferred retail payment method in Eswatini, the CBE has 
achieved remarkable milestones in its payment infrastructure modernisation along with 
the large uptake of digital financial services (e.g., mobile money, bank cards) by the 
public., The CBE envisages opportunities in Digital Lilangeni to address the remaining 
challenges and make the payment system more resilient and effective.  
In line with the vision and motivations of the CBE, the Digital Lilangeni enables a wide 
array of both online and offline use cases. The offline functionality ensures continued 
usage even in the absence of Internet connection, during power outages, or simp ly in 
certain rural areas. Some payments with - and wallets that store - Digital Lilangeni can be 
equipped with programmability features for value -added and innovative use case 
scenarios. The Digital Lilangeni has to be designed such that it is able to sup port cross-
border functionality.   
The functional design of the Digital Lilangeni should ensure appropriate user experience 
and inclusiveness to foster broad acceptance. From a consumer perspective, the usage 
of Digital Lilangeni needs to be as easy and intuitive as possible. Consumers shou ld be 
able to make a payment in fewer and simple steps familiar to them and with no need for 
advanced digital literacy.</x:v>
      </x:c>
    </x:row>
    <x:row r="240" ht="110" customHeight="1">
      <x:c r="A240" s="46" t="str">
        <x:v>PRD-0069-P0011-U01</x:v>
      </x:c>
      <x:c r="B240" s="46" t="str">
        <x:v>SZ_Eswatini_2024-Fintech-Digital-Lilangeni-Design-Paper</x:v>
      </x:c>
      <x:c r="C240" s="46" t="n">
        <x:v>11</x:v>
      </x:c>
      <x:c r="D240" s="46" t="str">
        <x:v>en</x:v>
      </x:c>
      <x:c r="E240" s="46" t="str">
        <x:v>text</x:v>
      </x:c>
      <x:c r="F240" s="46" t="str"/>
      <x:c r="G240" s="46" t="str">
        <x:v>Digital Lilangeni Design Paper 
 10 
The Digital Lilangeni can also provide interoperability of new and existing financial service 
providers, payment aggregators, third party providers and fintech companies in Eswatini. 
As a central platform, both physical (i.e., cash) and electronic (i.e., m obile money) 
payments can be channelled and linked by the Digital Lilangeni.  
The ability to utilise the analytics on aggregate retail payment data opens up new 
opportunities for the CBE in financial stability and monetary policy. The availability of 
holistic data, keeping end users’ privacy in utmost respect, allows the Central Ban k to 
respond to market events more quickly and provide better -informed analysis for policy 
decisions.  
3. Current payment landscape in Eswatini 
The design of an effective CBDC ecosystem is based on a deep understanding of the 
current payment system in a country. It is important to understand the initiatives, 
strategies, as well as challenges and opportunities to create the appropriate CBDC design, 
which is outlined in this section. 
3.1 Overview of the payment landscape in Eswatini 
The payment system consists of the Swaziland Interbank and Settlement System 
(SWIPSS), which provides real-time gross settlement (RTGS) for high -value critical 
payments, and the Eswatini Clearing House (ECH), which processes interbank retail 
payments. SWIPSS is owned, managed, and located within the CBE and directly serves the 
Treasury Department through the Ministry of Finance and the four commercial banks in 
Eswatini. ECH serves the four major commercial banks that operate in the country. 
Commercial banks and building societies play a crucial role in Eswatini’s economy and 
payment system. They provide credit and deposit -taking services, allow customers to 
make transactions and open/maintain accounts, make investments and savings available 
to individuals and companies, some even have insurance business in place as well.  First 
National Bank (FNB), Standard Bank and Nedbank are domiciled in South Africa and 
operate extensive branch network in Eswatini, whilst Eswatini Bank with its determinate 
operation in the country is owned by the Government of Eswatini. The building societies 
(e.g., Swaziland Building Society) are the leading providers of long-term mortgage finance 
for real estates.  
The domestic payment system has undergone an outstanding transformation. The 
number of financial access points1 in Eswatini has increased substantially between 2015 
and 2019. For instance, the number of registered mobile money agents has increased 
from 2019 to 2023 from 4,816 up to 14,822 which is one of the indicators that the 
1 Access refers to when a “consumer has sufficient physical proximity to access points —including 
branches, agents, automated teller machines (ATMs), and other outlets or devices — to enable him or 
her to easily select and use a range of financial products and services” (World Bank Group and People's 
Bank of China, 2018).</x:v>
      </x:c>
    </x:row>
    <x:row r="241" ht="110" customHeight="1">
      <x:c r="A241" s="46" t="str">
        <x:v>PRD-0069-P0019-U01</x:v>
      </x:c>
      <x:c r="B241" s="46" t="str">
        <x:v>SZ_Eswatini_2024-Fintech-Digital-Lilangeni-Design-Paper</x:v>
      </x:c>
      <x:c r="C241" s="46" t="n">
        <x:v>19</x:v>
      </x:c>
      <x:c r="D241" s="46" t="str">
        <x:v>en</x:v>
      </x:c>
      <x:c r="E241" s="46" t="str">
        <x:v>text</x:v>
      </x:c>
      <x:c r="F241" s="46" t="str"/>
      <x:c r="G241" s="46" t="str">
        <x:v>Digital Lilangeni Design Paper 
 18 
institution (e.g., financial service provider) that is as simple as possible, end users receive 
a smart card that supports offline payments. Smart cards can be distributed by FSPs and 
Merchants. This card, as well as digital devices that support the execut ion of offline 
payments, can be topped up with physical Lilangeni or bank deposits. The interface for 
this can be either the user's own smartphone with NFC features or the POS terminal of a 
merchant, who can perform the top -up process with Digital Lilangen i in exchange for 
physical Lilangeni. 
The devices (Smart card or any other device with offline function/NFC) can now be used 
in face -to-face transactions in offline mode at the merchant via the POS terminal or 
between persons via an NFC-enabled offline device.  
As with the online use case, people are granted convertibility to physical Lilangeni at any 
time (see "Convertibility of Digital Lilangeni to physical Lilangeni," Figure 5). To illustrate 
which entity the citizen of Eswatini interacts with during the onboarding and transaction 
process, the respective institution/citizen is indicated in the dark blue boxes in the graph. 
FIGURE 5: EXEMPLARY USER EXPERIENCE TOWARDS THE OFFLINE USE OF DIGITAL LILANGENI  
The CBE has carried out a technical test for this specific use case within the Canteen Pilot 
Project. It took place within the premises of the Central Bank itself, more precisely in the 
Bank’s Canteen. The test involved the usage of smart cards and POS ter minals that 
support payment transactions in offline mode.  
The Canteen, acting as merchant in this pilot ecosystem, inserted its smart card into the 
POS terminal and the customer had to attach their smart card to the device’s NFC reader.</x:v>
      </x:c>
    </x:row>
    <x:row r="242" ht="110" customHeight="1">
      <x:c r="A242" s="46" t="str">
        <x:v>PRD-0069-P0020-U01</x:v>
      </x:c>
      <x:c r="B242" s="46" t="str">
        <x:v>SZ_Eswatini_2024-Fintech-Digital-Lilangeni-Design-Paper</x:v>
      </x:c>
      <x:c r="C242" s="46" t="n">
        <x:v>20</x:v>
      </x:c>
      <x:c r="D242" s="46" t="str">
        <x:v>en</x:v>
      </x:c>
      <x:c r="E242" s="46" t="str">
        <x:v>text</x:v>
      </x:c>
      <x:c r="F242" s="46" t="str"/>
      <x:c r="G242" s="46" t="str">
        <x:v>Digital Lilangeni Design Paper 
 19 
The transaction process involved the transfer of a digital token from the customer’s smart 
card to the merchant’s card.  
Due to the offline nature of the transaction and the transfer of the digital token, the 
processing time was longer than for the online use case. Despite this longer processing 
time, however, all transactions were successfully completed.  
An important insight that the CBE gained from this test process was an understanding 
of the requirements as well as limitations of consecutive offline payments. While 
multiple offline transactions can be completed with a smart card, it was realised that at 
some point the smart card needs to go online to reconcile the transaction history and 
“clean up” the card. This purging process can also significantly improve the transaction 
processing time of the smart card during the payment process, thus improving overall 
efficiency. This limitation is mainly based on the storage capacity of the form factors 
(e.g. smart card and POS terminal) used to process offline payments.  
4.3 Unstructured Supplementary Service Data (USSD) use case:  
The incorporation of USSD technology can broaden the accessibility of CBDC to a larger 
population, ensuring that individuals, irrespective of their technological knowledge or 
resources, can participate in the digital economy. The ability to execute digital 
transactions through basic feature phones eliminates the barrier of needing high -end 
smartphones or constant internet connectivity. 
This approach forms an integral part of the strategy to promote financial inclusion 
through the introduction of CBDC. By lowering the technological threshold for digital 
payments, it is possible to include more people in the financial system, particularly those 
in underprivileged or remote areas. The successful integration of CBDC into the USSD 
application would be a significant step towards achieving widespread financial inclusion 
in the era of digital currency. 
As highlighted in section 3 discussing the current payment landscape in the Kingdom of 
Eswatini, mobile money plays a crucial role in extending the reach of financial services 
across the country. Given the high penetration of feature phones in Eswatini, it is essential 
that any potential Digital Lilangeni is adaptable to this form factor to perform Digital 
Lilangeni payments.  
One FSP, Instacash, was attempting to complete the necessary integration to operate a 
potential CBDC on a USSD -based system. This presented its own set of technical 
challenges, most notably the need to translate the code to support Digital Lilangeni 
payments. As a result, Instacash had to develop an entirely new product with a new back-
end system, a process that naturally takes time.  
Given the timeframe of the pilot project, Instacash was not able to finalise the integration 
with the USSD system, which meant that this particular use case could not be tested 
during the pilot phase. Nevertheless, Instacash invested significant effort int o the</x:v>
      </x:c>
    </x:row>
    <x:row r="243" ht="110" customHeight="1">
      <x:c r="A243" s="46" t="str">
        <x:v>PRD-0069-P0023-U01</x:v>
      </x:c>
      <x:c r="B243" s="46" t="str">
        <x:v>SZ_Eswatini_2024-Fintech-Digital-Lilangeni-Design-Paper</x:v>
      </x:c>
      <x:c r="C243" s="46" t="n">
        <x:v>23</x:v>
      </x:c>
      <x:c r="D243" s="46" t="str">
        <x:v>en</x:v>
      </x:c>
      <x:c r="E243" s="46" t="str">
        <x:v>text</x:v>
      </x:c>
      <x:c r="F243" s="46" t="str"/>
      <x:c r="G243" s="46" t="str">
        <x:v>Digital Lilangeni Design Paper 
 22 
Cross-border payments were not in scope for the pilot project for a potential Digital 
Lilangeni, but the CBE is however considering this topic for potential CBDC engagements 
in the future.  
5. Design principles of the Digital Lilangeni 
5.1 Key Design Criteria 
The design of the ecosystem of a potential Digital Lilangeni must meet the needs of the 
user groups (Eswatini citizens: end users, merchants). Ultimately, it is through their 
adoption of the Digital Lilangeni that determines the success of the CBE’s CBDC initiative. 
Keeping this in mind, the CBE has examined a variety of possible design elements and 
weighed their advantages and disadvantages in line with its vision and motivations. The 
following key design criteria were thereby derived for the context of Eswatini:  
a) Accessibility 
The CBE envisions CBDC as an additional payment method to those already in place in 
the market. The Digital Lilangeni is intended to naturally coexist with other payment 
mechanisms to make the system more robust and resilient. To enable true coexistence, 
it is critical that CBDC, like cash, is always available to all citizens of Eswatini and in all 
areas of the country. Only if universal access to digital central bank money is ensured 
would it be seen as a true complement to cash and be accepted as such.  
Accessible to everyone, anywhere, anytime. 
The all-inclusive accessibility to CBDC is threefold:  
Everyone should be able to use it. This includes both people who are already integrated 
into the financial system (i.e., people with bank accounts, mobile money accounts), but 
also those who have not yet had access to it (i.e., unbanked people). The Digital Lilangeni 
should also be able to be used by all demographics (i.e., old and young, male and female, 
urban and rural, etc.) – just like cash today.  
Anywhere: Since CBDC is intended to transfer the same characteristics of cash into the 
digital space, it must also enable availability of CBDC anywhere. Regardless of whether 
one is in rural or urban regions of the country, the Digital Lilangeni should be able to be 
used as a means of payment in all those areas. An offline solution as a back -up for the 
possible loss of Internet connection in remote places of the country can support this (see 
use cases part). The integration of Digital Lilangeni into the USS D system can also serve 
as a significant driver for financial inclusion.</x:v>
      </x:c>
    </x:row>
    <x:row r="244" ht="110" customHeight="1">
      <x:c r="A244" s="46" t="str">
        <x:v>PRD-0069-P0025-U01</x:v>
      </x:c>
      <x:c r="B244" s="46" t="str">
        <x:v>SZ_Eswatini_2024-Fintech-Digital-Lilangeni-Design-Paper</x:v>
      </x:c>
      <x:c r="C244" s="46" t="n">
        <x:v>25</x:v>
      </x:c>
      <x:c r="D244" s="46" t="str">
        <x:v>en</x:v>
      </x:c>
      <x:c r="E244" s="46" t="str">
        <x:v>text</x:v>
      </x:c>
      <x:c r="F244" s="46" t="str"/>
      <x:c r="G244" s="46" t="str">
        <x:v>Digital Lilangeni Design Paper 
 24 
In the context of payments, privacy is crucial to foster a trustworthy relationship between 
end users and the entities responsible for handling their transactions. Financial and 
payment service providers take measures to safeguard this confidential informa tion of 
end users based on local privacy regulations. Privacy can range in a broad scale of two 
extremes with flexible configurability between complete anonymity and full 
transparency. Complete anonymity in a payment implies that neither the payer nor the 
payee would disclose or retain any information about the user anywhere, similar to a 
cash transaction. While this could offer users the highest level of privacy, it would make 
it very difficult for financial service providers to comply with regulatory requ irements 
such as Anti-Money Laundering/Countering Financing of Terrorism (AML/CFT) regulations 
or to conduct the "know your customer" (KYC) process to identify potential risk factors. 
On the contrary, full transparency in a payment may imply that the Centr al Bank or one 
authorised party can access or store all levels of transaction data including payer/payee 
identities, transfer amount, transaction date, etc. Although this transparency can reduce 
illicit activities in the ecosystem, this option would highly risk user adoption on CBDC, and 
the large amounts of data would increase cybersecurity threats. 
Taking these into consideration, the CBE envisions a level of privacy in between. It prefers 
some configurable information to be shared by customers that could be collected and/or 
analysed by FSPs following the local data policy guidelines and the policy of the CBE about 
data that is collected (e.g., based on transaction amount, online and offline modes, KYC 
tiers). Therefore, partial pseudo-anonymity is a preferred design choice which enables a 
level of privacy between cash and e -money. FSPs can run AML/CF T checks locally which 
protects privacy better than if the Central Bank ran analyses. This privacy design can be 
configured over the lifetime of CBDC but should be communicated transparently to end 
users. 
Data Protection Act, 2022 (Act No. 5 of 2022) should be kept at full respect when it comes 
to data protection and privacy regarding the potential Digital Lilangeni. 
As the Central Bank can validate the payments with Digital Lilangeni and trace the flow of 
tokens through the system without any personal information, the excerpted aggregated 
digital cash-like data could further assist the CBE in the formulation of moneta ry policy, 
the enhancement of financial stability, and the integrity of the financial sector.  
To conclude, it is utmost important to establish balance between privacy and 
transparency and implement it accordingly into the potential Digital Lilangeni design.  
f) AML/KYC 
Given that the Digital Lilangeni is intended to be a digital token 8 that needs to be stored 
in a digital wallet, it should meet the AML/KYC requirements to onboard customers for 
digital financial transactions. Considering that FSPs are responsible for distributing CBDC 
8 Detailed description under Section 5.2.2 Token-based (UTxO) protocol</x:v>
      </x:c>
    </x:row>
    <x:row r="245" ht="110" customHeight="1">
      <x:c r="A245" s="46" t="str">
        <x:v>PRD-0069-P0030-U01</x:v>
      </x:c>
      <x:c r="B245" s="46" t="str">
        <x:v>SZ_Eswatini_2024-Fintech-Digital-Lilangeni-Design-Paper</x:v>
      </x:c>
      <x:c r="C245" s="46" t="n">
        <x:v>30</x:v>
      </x:c>
      <x:c r="D245" s="46" t="str">
        <x:v>en</x:v>
      </x:c>
      <x:c r="E245" s="46" t="str">
        <x:v>text</x:v>
      </x:c>
      <x:c r="F245" s="46" t="str"/>
      <x:c r="G245" s="46" t="str">
        <x:v>Digital Lilangeni Design Paper 
 29 
c) Two-tier hybrid model 
The ideal architecture for a Digital Lilangeni is a two-tier hybrid model in which the CBE is 
the sole issuer of the Digital Lilangeni, as well as the owner and operator of the CBDC 
infrastructure. The Digital Lilangeni is,  like banknotes and coins today, a direct claim on 
the CBE.  
Intermediaries (commercial banks, financial service providers, non -bank financial 
institutions) take over the distribution of the Digital Lilangeni to the end users in this 
model. Likewise, all customer -facing activities (e.g., KYC, onboarding processes an d 
customer support) fall to the intermediaries in this two -tier model. This approach 
corresponds to the current cash cycle, in which the intermediaries also assume this role. 
The intermediaries' expertise in dealing with end customers can thus be used effi ciently 
in a two-tier CBDC ecosystem and the intervention in the existing system is only minimally 
invasive. 
This two -tier hybrid approach was also tested during the FSP Pilot Project, where 
Swaziland Building Society (SBS) was the intermediary to take over the integration of a 
Digital Lilangeni into their system and to offer the CBDC payment option as a service to 
its employees including selected CBE staff members with accounts at SBS. The CBE took 
on the role of minting, while SBS handled the distribution to and onboarding of end users 
in the pilot ecosystem.  
d) Governance in a two-tier hybrid model 
The roles and responsibilities of the entities involved must be clarified in advance for a 
successful CBDC ecosystem. The following paragraphs describe and discuss the roles of 
the participants in a two-tier hybrid model (see Figure 7).</x:v>
      </x:c>
    </x:row>
    <x:row r="246" ht="110" customHeight="1">
      <x:c r="A246" s="46" t="str">
        <x:v>PRD-0069-P0032-U01</x:v>
      </x:c>
      <x:c r="B246" s="46" t="str">
        <x:v>SZ_Eswatini_2024-Fintech-Digital-Lilangeni-Design-Paper</x:v>
      </x:c>
      <x:c r="C246" s="46" t="n">
        <x:v>32</x:v>
      </x:c>
      <x:c r="D246" s="46" t="str">
        <x:v>en</x:v>
      </x:c>
      <x:c r="E246" s="46" t="str">
        <x:v>text</x:v>
      </x:c>
      <x:c r="F246" s="46" t="str"/>
      <x:c r="G246" s="46" t="str">
        <x:v>Digital Lilangeni Design Paper 
 31 
Financial Service Providers 
FSPs are responsible for all customer -facing activities in a two -tier hybrid model. Their 
experience in dealing with existing customers ensures that onboarding and KYC 
processes can be carried out efficiently. With the liquidity of Digital Lilangeni provided by 
the Central Bank, the intermediaries can distribute CBDC to the end users.  
In interacting with the end users of the Digital Lilangeni, the FSPs offer and manage CBDC-
wallets in different user interfaces (e.g., online through mobile application, offline 
through smart card). Based on the core CBDC infrastructure provided by the Cen tral 
Bank, FSPs can develop innovative business models that allow them to collect fees from 
end users for value-added services.  
FSPs play a pivotal role in the entire CBDC ecosystem. They act as the bridge between the 
digital currency and the end users, ensuring seamless transactions. Therefore, it is crucial 
for these providers to integrate the CBDC solution into their existing systems or establish 
new ones to accommodate this digital transformation. This integration not only ensures 
the smooth running of transactions but also helps in the widespread adoption of CBDC. 
By doing so, FSPs contribute significantly to the promotion of f inancial inclusion and the 
progress of the digital economy. 
Merchants 
The Merchants’ role is primarily to accept and transact with CBDC as an official means of 
payment. This allows a high level of usage by the citizens of Eswatini, which would be 
otherwise diminished if it is not  adopted by merchants. By integrating CBDC into their 
existing payment processing system (e.g., POS terminal), shoppers can be offered an 
additional payment option, thus improving the versatile acceptance of in-store payments. 
Merchants, as direct points of  contact for end users, can likewise take on part of the 
onboarding process by distributing smart cards, for example. These smart cards can then 
be topped up in the store by exchange with cash to use Digital Lilangeni on the smart 
card for digital payments (online or offline). 
Beyond customer-directed payments, payments can also be made between merchants 
using Digital Lilangeni (B2B). Merchants have the choice whether they keep their liquidity 
in CBDC or convert it to bank deposits or cash out. Additionally, payments with the Digital 
Lilangeni provide immediate liquidity for the merchants, which helps them to rotate their 
earnings faster, for example, grocery stores that are able to replenish more products 
when they have money available for it. 
End users 
A retail CBDC is designed to provide the citizens of Eswatini with an additional means of 
payment. As such, it offers them the possibility of making digital payments between one 
another (P2P), paying at the merchant checkout with Digital Lilangeni (P2B) as  well as 
making transactions with governmental institutions (e.g., receive or pay funds, tax bills, 
G2P, P2G).</x:v>
      </x:c>
    </x:row>
    <x:row r="247" ht="110" customHeight="1">
      <x:c r="A247" s="46" t="str">
        <x:v>PRD-0069-P0036-U01</x:v>
      </x:c>
      <x:c r="B247" s="46" t="str">
        <x:v>SZ_Eswatini_2024-Fintech-Digital-Lilangeni-Design-Paper</x:v>
      </x:c>
      <x:c r="C247" s="46" t="n">
        <x:v>36</x:v>
      </x:c>
      <x:c r="D247" s="46" t="str">
        <x:v>en</x:v>
      </x:c>
      <x:c r="E247" s="46" t="str">
        <x:v>text</x:v>
      </x:c>
      <x:c r="F247" s="46" t="str"/>
      <x:c r="G247" s="46" t="str">
        <x:v>Digital Lilangeni Design Paper 
 35 
Learnings from the pilot projects 
The Digital Lilangeni pilot projects (Canteen Pilot Project &amp; FSP Pilot Project) aimed to 
technically test and validate the propositions and assumptions that were made in the 
Initial Digital Lilangeni Design Paper. From the use cases that were outlined in section 4, 
the CBE tested both online and offline use cases in this pilot project. G2P, 
Programmability, and Cross -border use cases were not part of the testing in this pilot 
project.  
For online and offline test cases, the CBE together with FSPs successfully tested Peer -to-
Peer (P2P) as well as Peer -to-Business (P2B) payment scenarios with a potential Digital 
Lilangeni. Those transactions were executed within a closed user environment a mong 
the employees of the Central Bank as well as the employees of FSP. This approach 
enabled the CBE to gain immediate and honest feedback on the technology which was 
tested in the project. 
These pilot projects were a relevant exercise for all entities involved – the CBE, G+D as 
well as the FSPs. The main learnings about the assumptions that were made before the 
pilot as well as their impact on the overall Digital Lilangeni ecosystem design a re the 
following:  
• Use Cases and Accessibility: As outlined in the Initial Digital Lilangeni Design 
Paper, the CBE aimed to test both major use cases, online and offline CBDC 
payments. For a digital currency to be truly inclusive and offer a form factor for 
all demographics of the Eswatini society, it turned out that the offline use case 
was very viable for Eswatini. Swaziland Building Society as the Financial Service 
Provider within the pilot ecosystem even worked on a solution to print out a 
static QR-Code to provide it as a wallet with CBDC “stored” on it.  The CBE keeps 
in mind the importance of a resilient CBDC solution, thereby focussing on both 
online and offline solutions. This should enable every Eswatini citizen to access 
the potential Digital Lilangeni, thus making it a fully financial inclusive means of 
payment. Furthermore, although it was not tested during the pilot projects, the 
CBE still considers the value of the CBDC integration into a USSD based system 
for any further potential CBDC engagement.  
• Non-interest bearing and legal tender: The pilot project tested a non -interest 
bearing Digital Lilangeni which should act as a legal tender in the country. The 
outcome of the pilot projects has not changed the position of the CBE in this 
regard, meaning that the CBE still aims to design a potential Digital Lilangeni as 
a non-interest bearing CBDC with legal tender status.</x:v>
      </x:c>
    </x:row>
    <x:row r="248" ht="110" customHeight="1">
      <x:c r="A248" s="46" t="str">
        <x:v>PRD-0069-P0038-U01</x:v>
      </x:c>
      <x:c r="B248" s="46" t="str">
        <x:v>SZ_Eswatini_2024-Fintech-Digital-Lilangeni-Design-Paper</x:v>
      </x:c>
      <x:c r="C248" s="46" t="n">
        <x:v>38</x:v>
      </x:c>
      <x:c r="D248" s="46" t="str">
        <x:v>en</x:v>
      </x:c>
      <x:c r="E248" s="46" t="str">
        <x:v>text</x:v>
      </x:c>
      <x:c r="F248" s="46" t="str"/>
      <x:c r="G248" s="46" t="str">
        <x:v>Digital Lilangeni Design Paper 
 37 
• Information Security: Security of such a digital currency remains priority of the CBE 
also for a potential Digital Lilangeni. The need to secure all processes along the 
CBDC token lifecycle derives from the responsibility that the Central Bank has 
towards the citizens of Eswatini to provide a secure fiat currency. With regard to a 
potential roll-out of CBDC in the Kingdom of Eswatini, the CBE will treat the topic 
of information security with the highest priority.  
Besides those learnings for the potential Digital Lilangeni ecosystem and architecture, the 
CBE also gained some more learnings with regard to such CBDC initiatives:  
• Timeline: A key learning from the FSP Pilot Project was the importance of time 
management. It turned out that the integration effort, which is required in such a 
two-tier hybrid CBDC infrastructure, cannot be estimated precisely in advance. It 
is important  to note that the actual time that is needed for executing the 
integration can also vary from stakeholder to stakeholder. For the CBE this was a 
valuable learning from the pilot project in order to better understand the effort 
that is needed for a potential roll-out of a Digital Lilangeni in Eswatini.  
• Staff requirements: Staff constraints can lead to significant delays. To build a 
CBDC-compatible application, FSPs must have a deep understanding of CBDCs 
and involve all team members, including those who work remotely, from the 
project’s onset. Key roles include mobile and back -end developers, 
DevOps/Infrastructure architects, QA, technical lead, and project manager. Also 
for the CBE, it is important to be involved in those technical discussions together 
with the FSPs and CBDC Solution/Technology Provider from the beginning. This 
should happen very early in the project to establish a common understanding 
among all participating stakeholders.  
• Collaboration: Collaboration between the public and private sectors is essential 
for the success of such a CBDC project. With multiple stakeholders such as the 
CBE, FSPs and technology provider, efficient co -operation is a necessity. The FSP 
Pilot Project with SBS has shown that a close co -operation can contribute to the 
success of such an initiative. This is also of particular importance in view of 
possible roll out of Digital Lilangeni in Eswatini.  
• Stakeholder engagement: Engaging stakeholders early in the initiative is pivotal 
for the success of a potential Digital Lilangeni project. FSPs, being the key players 
in such a CBDC ecosystem, need to have a clear understanding of their role within 
the system to effectively contribute to the project’s success.</x:v>
      </x:c>
    </x:row>
    <x:row r="249" ht="110" customHeight="1">
      <x:c r="A249" s="46" t="str">
        <x:v>PRD-0071-P0007-U01</x:v>
      </x:c>
      <x:c r="B249" s="46" t="str">
        <x:v>TH_Thailand_rCBDC_Conclusion_Report</x:v>
      </x:c>
      <x:c r="C249" s="46" t="n">
        <x:v>7</x:v>
      </x:c>
      <x:c r="D249" s="46" t="str">
        <x:v>en</x:v>
      </x:c>
      <x:c r="E249" s="46" t="str">
        <x:v>text</x:v>
      </x:c>
      <x:c r="F249" s="46" t="str"/>
      <x:c r="G249" s="46" t="str">
        <x:v>Pilot Program - Retail CBDC Conclusion Report 7
FIGURE 1 : Thailand’s CBDC Journey
Source: Bank of Thailand
2018 2019
20202021
2022 2023
Project Inthanon Phase 2
Enhancement of functionalities e.g. 
interbank trading, fraud prevention, 
and regulatory compliance
Project Inthanon-Lionrock 
Cross-border funds transfers 
and FX settlement between 
Thailand-Hong Kong
Project Inthanon Phase 1
Creation of a decentralized RTGS prototype 
using wholesale CBDC to achieve key 
payment functionalities
1 2
3
Corporate CBDC Pilot Program
Integration with business platforms to 
achieve invoice tokenization and 
conditional payments
4Project mBridge (Pilot)
Scaling cross-border CBDC 
functionalities to support more 
jurisdictions i.e. China, UAE
5
Retail CBDC Pilot Program
Real-value CBDC pilot testing with 
retail users and merchants, as well 
as exploration for feasibility of 
innovative use cases
Retail CBDC Hackathon
Public competition to ideate 
and propose CBDC POC 
initiatives to promote private-
public collaboration and 
financial innovation
6 7
Project mBridge (Pre-MVP)
Enhancement of technical, 
operational, governance and legal 
standards for cross-border CBDC
8
2024</x:v>
      </x:c>
    </x:row>
    <x:row r="250" ht="110" customHeight="1">
      <x:c r="A250" s="46" t="str">
        <x:v>PRD-0071-P0019-U01</x:v>
      </x:c>
      <x:c r="B250" s="46" t="str">
        <x:v>TH_Thailand_rCBDC_Conclusion_Report</x:v>
      </x:c>
      <x:c r="C250" s="46" t="n">
        <x:v>19</x:v>
      </x:c>
      <x:c r="D250" s="46" t="str">
        <x:v>en</x:v>
      </x:c>
      <x:c r="E250" s="46" t="str">
        <x:v>text</x:v>
      </x:c>
      <x:c r="F250" s="46" t="str"/>
      <x:c r="G250" s="46" t="str">
        <x:v>Pilot Program - Retail CBDC Conclusion Report 19
3 — Pilot Findings
Foundation
A key advantage of the Retail CBDC Pilot Program was its hands-on approach to 
exploring various scenarios by testing the end -to-end life cycle of CBDC in 
collaboration with diverse industry experts, as well as with users and merchants in 
a real -life environment usings real -value transactions . This exploration provided 
valuable insights into many issues that could arise from Retail CBDC, spanning 
business, legal, technical, accounting, and operational aspects.
3.1 
1.   Functionality
Business and Operational 
Considerations
A B Regulatory, Legal and Accounting 
Considerations
The real -value testing of Retail CBDC in the pilot 
and end -to-end operations of the Retail CBDC 
system included the operations done by the BOT 
(request/validate/transfer/redeem), the connectivity 
with FSPs’ systems (to distribute CBDC and 
interoperate with the banking system), as well as 
payment channels for users and merchants (via 
Standard QR codes, Online channels, point of 
sales (POS), Wallet IDs) in daily live payment 
activities. The tests indicated that the CBDC design 
functioned well for minting, distribution, and 
melting of CBDC, and was well -integrated and 
interoperable with the existing payment 
infrastructure and efficiently used across the FSPs , 
offering a similar user experience to the mobile 
banking applications currently available in Thailand  
(as shown in Figure 6).
End-to-end testing of the Retail CBDC in a live 
environment led the BOT to consider associated 
considerations and have dialogues with relevant 
government agencies, including on the following:
- Legal aspects: The BOT is empowered by its law  
to develop and run the pilot.11 However, given the 
limited scope of the testing, it was not necessary to 
amend respective laws and regulations to endorse 
CBDC as legal tender. However, considerations 
regarding law amendments will be needed going 
forward if Retail CBDC will be launched for general 
public.
- Accounting aspects: The BOT and the Federation 
of Accounting Professions reached a conclusion to 
record the outstanding Retail CBDC as cash 
equivalent. 
- AML/CFT aspects:  The BOT and the Anti-Money 
Laundering Office consulted the guideline for 
compliance by FSPs as well as business  rules 
setting transaction and wallet limits during the pilot 
for AML/CFT purposes.
FIGURE 6 : Mobile application for Retail CBDC in the pilot
Source: Bank of Thailand
11 The BOT developed and ran the Retail CBDC pilot by virtue of Section 8(6) and Section 44 of the Bank of Thailand Act B.E. 2485 (1942), as amended.</x:v>
      </x:c>
    </x:row>
    <x:row r="251" ht="110" customHeight="1">
      <x:c r="A251" s="46" t="str">
        <x:v>PRD-0072-P0007-U01</x:v>
      </x:c>
      <x:c r="B251" s="46" t="str">
        <x:v>TR_Turkey_Digital_Turkish_Lira_First_Phase_Evaluation_Report</x:v>
      </x:c>
      <x:c r="C251" s="46" t="n">
        <x:v>7</x:v>
      </x:c>
      <x:c r="D251" s="46" t="str">
        <x:v>en</x:v>
      </x:c>
      <x:c r="E251" s="46" t="str">
        <x:v>text</x:v>
      </x:c>
      <x:c r="F251" s="46" t="str"/>
      <x:c r="G251" s="46" t="str">
        <x:v>7
The Central Bank of the Republic of Türkiye (CBRT) continues its work on the 
feasibility of introducing a digital Turkish lira complementary to the existing 
payments infrastructure. With the Central Bank Digital Turkish Lira Research 
and Development (R&amp;D) Project, the CBRT aims to determine the potential 
features of the digital Turkish lira, test different architectural setups and 
technological alternatives, and conduct pilot tests.
The CBRT’s research and development work for the Central Bank Digital 
Currency first started in 2020 with proof-of-concept studies. Following the 
successful completion of the proof-of-concept study, which included tests 
of the applicability of various distributed ledger technologies to the Central 
Bank Digital Currency, the Central Bank Digital Turkish Lira Research and 
Development Project was launched. Under the responsibility of the Digital 
Currency R&amp;D team established within the Central Bank, the research, 
development and testing of the project are being carried out in addition to 
the proof-of-concept studies in related fields.
The CBRT has a well-established technical capacity for developing and 
operating its own Real Time Gross Settlement payment systems. However, 
to build an operating capacity for digital currency including cryptography, 
specialized hardware and various advanced technologies, which are 
considered essential but do not fall within the expertise of a central bank, 
the CBRT decided to collaborate with leading technology stakeholders. 
Accordingly, in 2021, the CBRT signed bilateral memorandums of 
understanding with TÜBİTAK, the Scientific and Technological Research 
Council of Türkiye, and technology companies ASELSAN and HAVELSAN. The 
“Digital Turkish Lira Collaboration Platform” (Platform) was established 
with the participation of these technology stakeholders. Technological 
research, development and testing processes were carried out in close 
cooperation with the stakeholders during the first phase of the project.
1. Introduction
Introduction
1.1 What is Central
Bank Digital Currency?
1.2 Opportunities of 
Digital Currency
Findings and 
Assessments
Following Phases
Conclusion
APPENDIX
Central Bank Digital 
Currency Requirements, 
Principles and Approaches
Digital Turkish
Lira Design
Definitions and Abbreviations</x:v>
      </x:c>
    </x:row>
    <x:row r="252" ht="110" customHeight="1">
      <x:c r="A252" s="46" t="str">
        <x:v>PRD-0072-P0011-U01</x:v>
      </x:c>
      <x:c r="B252" s="46" t="str">
        <x:v>TR_Turkey_Digital_Turkish_Lira_First_Phase_Evaluation_Report</x:v>
      </x:c>
      <x:c r="C252" s="46" t="n">
        <x:v>11</x:v>
      </x:c>
      <x:c r="D252" s="46" t="str">
        <x:v>en</x:v>
      </x:c>
      <x:c r="E252" s="46" t="str">
        <x:v>text</x:v>
      </x:c>
      <x:c r="F252" s="46" t="str"/>
      <x:c r="G252" s="46" t="str">
        <x:v>11
The CBRT was among the first institutions to conduct studies on electronic 
money. It began such work in 1998, and has been pioneering economic 
digitalization for years with its theoretical studies, as well as practical 
implementations and breakthroughs such as EFT, Electronic Securities 
Transfer System (ESTS) and FAST. From an economic perspective, deposits 
and electronic money, as currently defined,3  differ from money and hence 
from digital money as they solely serve as means of payment. However, all 
the work in this regard directly facilitates the digitalization of money, and 
payments in particular.
The digital Turkish lira will be designed and developed in such a way that it 
has the capacity to create opportunities out of new technological potentials 
as well as economic activities, which have been digitalized in an increasingly 
rapid fashion due to the pandemic. Emerging technologies will enhance 
the functionality of money, but the nature of money will remain the same. 
Accordingly, designs are developed in view of the main features of money.
Once circulated, the digital Turkish lira is expected to make various 
contributions such as enhanced financial inclusion, development 
of a complementary payment channel in line with the principle of 
uninterrupted and continuous operation of payments,4 uniformity in digital 
payments, and a base for innovative uses upon the development of a 
programmable payments infrastructure. These benefits will be elaborated 
on in the following sections.
Financial 
inclusion
Complementary 
payment 
channel
Uniformity 
in digital 
payments
Programmable 
payments
4. https://www.tcmb.gov.tr/wps/wcm/connect/EN/TCMB+EN/Main+Menu/Core+Functions/
Payment+Systems/Key+Issues/The+Role+of+Central+Banks+in+the+Payment+Systems/
3. Money issued and electronically stored by electronic money institutions against a fund. 
1.2 Opportunities of
Digital Currency
Findings and 
Assessments
Following Phases
Conclusion
APPENDIX
Central Bank Digital 
Currency Requirements, 
Principles and Approaches
Digital Turkish
Lira Design
Introduction
1.1 What is Central
Bank Digital Currency? 
Definitions and Abbreviations</x:v>
      </x:c>
    </x:row>
    <x:row r="253" ht="110" customHeight="1">
      <x:c r="A253" s="46" t="str">
        <x:v>PRD-0072-P0018-U01</x:v>
      </x:c>
      <x:c r="B253" s="46" t="str">
        <x:v>TR_Turkey_Digital_Turkish_Lira_First_Phase_Evaluation_Report</x:v>
      </x:c>
      <x:c r="C253" s="46" t="n">
        <x:v>18</x:v>
      </x:c>
      <x:c r="D253" s="46" t="str">
        <x:v>en</x:v>
      </x:c>
      <x:c r="E253" s="46" t="str">
        <x:v>text</x:v>
      </x:c>
      <x:c r="F253" s="46" t="str"/>
      <x:c r="G253" s="46" t="str">
        <x:v>18
Scalability
The system should be able to fulfill requests at times of high traffic, 
without its performance being impaired.
Security 
The system should be highly resistant to internal and external 
attacks.
User Experience
End user should be able to use the system safely and with ease.
Convertibility 
The system should allow for continuous convertibility between 
digital and other forms of the Turkish lira.
Transaction Capacity
Technical capacity should be provided to handle daily money 
traffic instantaneously.
Resilience and Availability 
The system must be resilient to failures and continuously 
accessible.
Regulatory Compliance 
National and international legislation must be followed.
2.1 Key Requirements
Central Bank Digital 
Currency Requirements, 
Principles and Approaches
2.1 Key Requirements
2.3 Current Approach
2.2 Design Principles
Findings and 
Assessments
Following Phases
Conclusion
Digital Turkish
Lira Design
APPENDIX
Definitions and Abbreviations
Introduction</x:v>
      </x:c>
    </x:row>
    <x:row r="254" ht="110" customHeight="1">
      <x:c r="A254" s="46" t="str">
        <x:v>PRD-0072-P0029-U01</x:v>
      </x:c>
      <x:c r="B254" s="46" t="str">
        <x:v>TR_Turkey_Digital_Turkish_Lira_First_Phase_Evaluation_Report</x:v>
      </x:c>
      <x:c r="C254" s="46" t="n">
        <x:v>29</x:v>
      </x:c>
      <x:c r="D254" s="46" t="str">
        <x:v>en</x:v>
      </x:c>
      <x:c r="E254" s="46" t="str">
        <x:v>text</x:v>
      </x:c>
      <x:c r="F254" s="46" t="str"/>
      <x:c r="G254" s="46" t="str">
        <x:v>29
Account Numbers
The account numbers of personal and corporate users are derived from 
the DID values created by the users themselves in the wallet application 
and used when onboarding users with the relevant intermediary. With 
this account identifier mechanism, users’ personal information is isolated 
from the digital currency system and privacy is strengthened. The users are 
neither dependent on the financial intermediaries they are registered with 
nor on the operators that operate nodes in the system, and transactions can 
be initiated through any operator. In this way, access problems that users 
may encounter in case an intermediary or operator fails to provide service 
can be prevented.
Two-Tier Structure
In the digital currency distribution model, the central bank is on the 
first tier and financial intermediaries are on the second tier. Financial 
intermediaries can be banks or licensed institutions that comply with the 
specified regulations. End users participate in the system through financial 
intermediaries. In the model, the central bank is responsible for the issuance 
of money and financial intermediaries are responsible for its distribution.
Architecture
The architecture preferred in a digital currency system resembles the 
“Hybrid Digital Currency”11 architecture. There may be variants of the hybrid 
architecture. As a point of divergence, in the digital currency system, the 
central bank does not know which account belongs to which user since 
it does not have the identity information of the end users. Another point 
is that financial intermediaries also have accounts in the digital currency 
system. Since the identity information of intermediary institutions is shared 
with the central bank, the balances of intermediary institutions can be 
known by the central bank. 
The digital currency system is designed in accordance with the 
principle of “first, do no harm.” In the two-tier structure, which is also used 
in existing retail payment systems, the central bank does not have a direct 
relationship with end users, so the operational responsibility for users lies 
with the second-tier participants. Likewise, the preferred digital currency 
architecture also allows for a separation of responsibilities compared to a 
structure where the central bank directly and solely opens an account for
Digital Turkish
Lira Design
3.1 Digital Identity System
3.2 Digital Currency System
3.3 Abstraction Layer
3.4 Service Layer
3.5 Wallet Application
Central Bank Digital 
Currency Requirements, 
Principles and Approaches
Introduction
Findings and 
Assessments
Following Phases
Conclusion
APPENDIX
Definitions and Abbreviations
11. https://www.bis.org/publ/work948.pdf</x:v>
      </x:c>
    </x:row>
    <x:row r="255" ht="110" customHeight="1">
      <x:c r="A255" s="46" t="str">
        <x:v>PRD-0072-P0049-U01</x:v>
      </x:c>
      <x:c r="B255" s="46" t="str">
        <x:v>TR_Turkey_Digital_Turkish_Lira_First_Phase_Evaluation_Report</x:v>
      </x:c>
      <x:c r="C255" s="46" t="n">
        <x:v>49</x:v>
      </x:c>
      <x:c r="D255" s="46" t="str">
        <x:v>en</x:v>
      </x:c>
      <x:c r="E255" s="46" t="str">
        <x:v>text</x:v>
      </x:c>
      <x:c r="F255" s="46" t="str"/>
      <x:c r="G255" s="46" t="str">
        <x:v>INTEGRATION WITH DIGITAL ASSETS
The main purpose of money transfers is to make payments in return for goods or services. In the 
case of goods, a trade transaction can be described as the delivery of an asset versus payment. 
While the digital currency infrastructure is designed as a new system to realize the payment pillar 
of a trade transaction, it should be harmonized with the digital transformation in asset transfers, 
which is the other pillar of the transaction.
In the digital currency system created in Phase-1, transactions take place on a distributed ledger 
technology network. Similarly, it should be taken into account that the assets themselves or 
their digital representations may also be exchanged on a distributed ledger technology network, 
which may be built on a different platform than the distributed ledger platform used in the 
digital currency system. In this context, with the proof-of-concept study conducted at the CBRT, 
digital currency and digital asset networks were created on two different distributed ledger 
platforms. The application that has been developed showed that trade transactions operate in a 
concerted way on these two networks. Transaction integrity is ensured in the system. When the 
trade transaction is completed successfully, the asset is transferred to the buyer and the money 
is transferred to the seller. In case of unsuccessful completion of the transaction, both the asset 
and the amount of money subject to the trade remain with their previous owners prior to the 
transactions. 
In line with the proof-of-concept study, it has been found that the digital currency system can be 
integrated into the distributed asset systems that are likely to be included in our lives in the future, 
but the methods of integration can create new dependencies.
49</x:v>
      </x:c>
    </x:row>
    <x:row r="256" ht="110" customHeight="1">
      <x:c r="A256" s="46" t="str">
        <x:v>PRD-0074-P0005-U01</x:v>
      </x:c>
      <x:c r="B256" s="46" t="str">
        <x:v>UA_NBU_E-hryvnia_2019</x:v>
      </x:c>
      <x:c r="C256" s="46" t="n">
        <x:v>5</x:v>
      </x:c>
      <x:c r="D256" s="46" t="str">
        <x:v>en</x:v>
      </x:c>
      <x:c r="E256" s="46" t="str">
        <x:v>text</x:v>
      </x:c>
      <x:c r="F256" s="46" t="str"/>
      <x:c r="G256" s="46" t="str">
        <x:v>National Bank of Ukraine  
        Summary 5 
Summary 
1. Central Bank Digital Currencies  
In recent years, the idea of issuing an own digital currency by 
central banks has been in the focus of attention of regulatory 
authorities across the globe, including central banks of 
European Union member states. The reasons for this interest 
include, in particular, a surge in the significance of 
innovations in the financial sector, the advent of new payment 
technologies and services, and a trend and desire in many 
countries to decrease the sh are of cash in circulation in the 
economy. 
Central bank digital currency (CBDC) means digital form of 
existing fiat currency issued by the central bank and having 
the status of legal tender [2].  
Depending on combinations of CBDC features, researchers 
define the following schemes of using this currency:  
 CBDC as a digital cash equivalent 
 CBDC for interbank settlements 
 CBDC as a monetary policy instrument 
 CBDC as an equivalent of an account opened at the 
central bank. 
To implement CBDC, central banks con sider the use of the 
distributed ledger technology (DLT) or conventional 
databases. 
Today, central banks are actively studying the risks inherent 
in CBDC . The following risks require especially thorough 
consideration: technology risk, cybersecurity risk, monetary 
policy implementation risk , risk of undermining financial 
stability, reputational risk for the central bank. 
Countries of the world whose central banks are mulling the 
issuance of CBDC can be conditionally divided into three 
groups:  
 countries st udying CBDC (United Kingdom, 
Canada, China, Sweden and other) 
 countries criticizing CBDC or discontinuing the 
research in this field for various reasons 
[Switzerland, Estonia, Ecuador, Japan /European 
Union (joint project by the Bank of Japan and ECB)] 
 countries that have already taken practical steps 
toward the actual issuance of CBDC (Singapore, 
Tunisia, Senegal and, conditionally, Venezuela). 
2. Preconditions for the issuance of CBDC by the 
National Bank of Ukraine 
To increase the level of financial inclusion, reduce the share 
of cash transactions , and increase the speed, convenience 
and transparency of payment transactions in the country, the 
National Bank of Ukraine (NBU) is studying the possibility of 
launching an innovative, inexpensive, secure and functional 
instrument for retail payment transactions in small amounts 
by private individuals. 
The currently existing retail payment instruments – cash, 
payment orders , payment cards and e -money – have their 
own upsides and downsides.  
The NBU consider s CBDC as an alternative instrument for 
instant payments in small amounts by private individuals. The 
advantages of CBDC may include the simplicity in use, 
security (as the repayment and settlement are guaranteed by 
the NBU ), fast receipt of user status, s peed of payment 
transaction.  
At the same time, the implementation of CBDC would require 
a substantial investment in the creation and development of 
required retail payment infrastructure in Ukraine , including 
integration with infrastructure already existing in the country. 
This step must be preceded by the creation of a business 
model that would accommodate interests of all participants : 
individuals, merchants, distribution and settlement agents , 
banks, etc. and stimulate development and use of the 
instrument proposed to the market. 
Another question that remains open is the need to popularize 
CBDC as a new instrument among the broad public in order 
to make sure that this instrument becomes a truly mass 
product, considering existing consumer habits. 
In late 2016, the NBU  started to explore the possibility of 
issuing its own CBDC, the electronic hryvnia or e -hryvnia, 
considering that:  
 the e -hryvnia is regarded as a digital currency 
issued by the NBU 
 the e -hryvnia may be characterized as a national 
digital currency representing a fiat currency 
 the e -hryvnia must be convertible into cash or 
cashless money without limitations at the rate of 1:1 
 the e-hryvnia is not a  yield bearing instrument, and 
therefore, it works as a medium of exchange, not as 
a store of value. 
The e-hryvnia could be either an anonymous CBDC or user-
identifiable, since both options have their own advantages 
and disadvantages. 
The e -hryvnia could be launched in Ukraine’s payment 
market on the basis of one of the following two models 
(schemes) of interaction between participants: centralized or 
decentralized. If the decentralized model is chosen,  the e -
hryvnia may no longer fall under the definition of CBDC, 
because this digital currency will be issued not by the central 
bank, but by payment mark et participants under regulatory 
authority’s supervision.</x:v>
      </x:c>
    </x:row>
    <x:row r="257" ht="110" customHeight="1">
      <x:c r="A257" s="46" t="str">
        <x:v>PRD-0074-P0006-U01</x:v>
      </x:c>
      <x:c r="B257" s="46" t="str">
        <x:v>UA_NBU_E-hryvnia_2019</x:v>
      </x:c>
      <x:c r="C257" s="46" t="n">
        <x:v>6</x:v>
      </x:c>
      <x:c r="D257" s="46" t="str">
        <x:v>en</x:v>
      </x:c>
      <x:c r="E257" s="46" t="str">
        <x:v>text</x:v>
      </x:c>
      <x:c r="F257" s="46" t="str"/>
      <x:c r="G257" s="46" t="str">
        <x:v>National Bank of Ukraine  
        Summary 6 
The implementation of the Pilot Project at a small scale (with 
a limited list of operations and users and a small number and 
volumes of transactions) did not enable us to analyze all pros 
and cons of the e-hryvnia. In particular, it is hard to forecast 
how many Ukrainian citizens will be using the e-hryvnia if it is 
decided to launch the nationwide circulation of this currency.  
Still, Ukraine doubtless ly needs to move in the direction of 
European practice and continue to work on implementing 
innovative payment technologies. 
3. Implementation of a pilot project of creating the 
platform and issuing the e-hryvnia 
In 2018, the NBU implemented a pilot project that envisaged 
creation of the Electronic Hr yvnia platform (the “Platform”), 
issuance of a limited amount of the e -hryvnia and testing of 
e-hryvnia transactions made by the NBU personnel and 
companies participating in this project (the “Pilot Project”). 
The Pilot Project continued from February to December 2018, 
in particular: 
 February-August 2018: preparatory part 
 September-December 2018: practical part 
 November-December 2018: statistical data 
processing and analysis of results. 
The NBU’s e-hryvnia research had the following objectives: 
 testing the distributed ledger technology (DLT) as 
the technological basis for the issuance and 
circulation of the e-hryvnia 
 testing the NBU’s capability to implement projects of 
this kind 
 studying legal aspects of the e -hryvnia issuance by 
the NBU 
 analyzing macroeconomic effect from the e -hryvnia 
issuance by the NBU 
 working out an optimal business model 
advantageous for all participants of the e -hryvnia 
ecosystem  
 analyzing international experience in the issuance of 
digital currencies by central banks. 
Two working groups were established to implement the Pilot 
Project: the internal working group (comprised from 
representatives of the NBU’s subdivisions ) and the initiative 
group featuring volunteer representatives of companies – 
participants of Ukraine’s payment market. 
To create the Platform, the NBU selected the distributed 
ledger technology (DLT), in particular, its private type. 
For the purposes of the Pilot Project, the centralized model of 
the e-hryvnia issuance was chosen as a simpler and more 
comprehensible and transparent model from the viewpoint of 
its regulation.  
It was also decided that the Pilot Project shall be implemented 
within the existing legal framework regulating circulation of e-
money in Ukraine (including transaction limits ) deemed 
sufficient to study technology and perform transactions in the 
product environment. 
The Pilot Project was implemented by the NBU’s internal 
human resources and IT infrastructure and by members of 
the initiative group. 
For the duration of the e-hryvnia’s pilot testing, zero fee rates 
were set for all transactions using the e -hryvnia. The 
business model of e -hryvnia will be further worked out 
together with payment market participants. 
4. Assessment of the outcomes of the pilot project for 
creation of the Platform and issuance of the e-hryvnia 
During the Pilot Project’s practical part (September-
December 2018), the NBU issued a limited amount of the e -
hryvnia (the equivalent of UAH 5,443) and the project’s 
participants performed the following operations:  
 creating their own e-wallet 
 installing a mobile app for e -hryvnia wallet in their 
own devices running on Android or iOS 
 refilling their e-wallet by a cashless method using a 
PROSTIR card via a specialized virtual terminal 
integrated with the Platform 
 making P2P e-hryvnia transfers between e-wallet 
 merchant transactions (topping-up LifeCell mobile 
phone account with the e-hryvnia)  
 effecting charitable donations to help the Joint 
Forces Operation in the Donbas 
 exchanging the e-hryvnia into cashless money using 
a PROSTIR card. 
According to a general assessment of the basic technological 
solution used to implement the Platform, it can be considered 
suitable to perform the required tasks. At the same time, there 
are no fundamental advantages in using specifically the DLT 
technology to build a centralized e-hryvnia issuance system. 
From the technical point of view, the Platform’s  functioning 
was regular . After certain improvement based on identified  
bugs and features , it could  be used to service the issuance 
and circulation of the e-hryvnia, in case of proper monitoring 
and technical administration. 
A detailed description and outcomes of the Pilot Project are 
provided in Sections 4 and 5 hereof.</x:v>
      </x:c>
    </x:row>
    <x:row r="258" ht="110" customHeight="1">
      <x:c r="A258" s="46" t="str">
        <x:v>PRD-0074-P0024-U01</x:v>
      </x:c>
      <x:c r="B258" s="46" t="str">
        <x:v>UA_NBU_E-hryvnia_2019</x:v>
      </x:c>
      <x:c r="C258" s="46" t="n">
        <x:v>24</x:v>
      </x:c>
      <x:c r="D258" s="46" t="str">
        <x:v>en</x:v>
      </x:c>
      <x:c r="E258" s="46" t="str">
        <x:v>text</x:v>
      </x:c>
      <x:c r="F258" s="46" t="str"/>
      <x:c r="G258" s="46" t="str">
        <x:v>National Bank of Ukraine   
        Pilot Project on Establishing Platform and Issuing E-Hryvnia 24 
main servers (the Platform’s core), configuring 
technological processes, settling information 
security and organizational issues, configuring the 
systems and software of the NBU and other 
participants of the Pilot Project, as well as 
considering matters of accounting and financial 
interaction with external participants of the Pilot 
Project 
 September–December 2018: the practical phase  
that comprised e -hryvnia issuance, ope ning of e -
wallets, and execution of e -hryvnia transactions by 
users in accordance with the project’s target KPIs. 
Please see Annex 5 for the list of transactions 
executed through the Platform  participants 
interaction and their short descriptions. 
 November–December 2018:  statistics processing 
and day-to-day analysis of the Pilot Project’s results. 
3.5. Business Model for E-Hryvnia Transactions
Technologically, it is possible to charge a commission fee in 
e-hryvnia for any transaction in line with the relevant tariffs 
and calculate it as a fixed amount plus interest on the 
transaction.  
Each credit of the commission fee for an e -hryvnia 
transaction increases the balance of the Issuer’s commission 
fee e -wallet. All commission f ees at a commission fee e -
wallet are repaid to the Issuer’s e-wallet and, in line with the 
Issuer’s current procedures, transferred to the Issuer’s 
income accounts. 
Agents se rvicing e -hryvnia transactions may receive 
commission for distribution/repayment of e-hryvnia as a fixed 
amount plus a percentage of the transaction amount without 
using the Platform. 
Since project participants and the NBU had not agreed on e-
hryvnia tariff/commission model in the course of respective 
consultations, zero commission fees  were set for all e -
hryvnia transactions for the period of pilot testing. 
3.6 Legal Grounds for E-Hryvnia Implementation and Pilot Project Methodology 
As the full -scale implementation of e -hryvnia in Ukraine’s 
payment market would require amendments to both current 
laws of Ukraine and NBU regulations, a decision was made 
for the period of the Pilot Project to act under the framework 
regulating the circulation of electronic money in Ukraine as a 
sufficient one for studying technologies and opportunities for 
the NBU to implement similar solutions.  
The Pilot Project was implemented in line with the Laws of 
Ukraine On the National Bank of Ukraine , On Payment 
Systems and Money Transfer in Ukraine, On Banks and 
Banking and the Regulation On Electronic Money in Ukraine 
approved by NBU Board Resolution No.  481 dated 4 
November 2010 (as amended), as well as other laws of 
Ukraine and NBU regulations. 
The NBU’s legal grounds for the Pilot Project on 
implementation of the Platform and e-hryvnia 
Pursuant to Article 7 of the Law of Ukraine On the National 
Bank of Ukraine , the NBU shapes the development of 
modern electronic banking technologies, establishes 
payment and accounting systems, promotes their smoot h 
and efficient operation, ensures their development, and 
controls the creation of payment instruments, banking 
automation systems, and banking data protection systems. 
Thus, the Pilot Project falls under th e NBU’s functions as 
prescribed by the current laws of Ukraine. The following 
documents have been prepared and approved as 
methodological support to the project: 
Methodological documents 
 Concept on Implementation of the Electronic 
Hryvnia Platform and Electronic Money of the 
National Bank of Ukraine agreed by the Governor of 
the National Bank of Ukraine on 26 April 2018  
 Provisional Regulation On Operation of the 
Electronic Hryvnia Platform and Electronic Money of 
the National Bank of Ukraine  approved by NBU 
Board Decision No.  470-D On Approval of the 
Provisional Regulation On Operation of the 
Electronic Hryvnia Platform and Electronic Money of 
the National Bank of Ukraine dated 20 July 2018 
 Technical requirements to the software and 
hardware solution “Electronic Hryvnia Platform”, as 
agreed by the Director of the Information 
Technologies Department on 11 June 2018 and the 
Director of the Security Department on 27 June 
2018 and approved by the Director of the Payment 
Systems and Innovations Department on  5 May 
2018</x:v>
      </x:c>
    </x:row>
    <x:row r="259" ht="110" customHeight="1">
      <x:c r="A259" s="46" t="str">
        <x:v>PRD-0074-P0025-U01</x:v>
      </x:c>
      <x:c r="B259" s="46" t="str">
        <x:v>UA_NBU_E-hryvnia_2019</x:v>
      </x:c>
      <x:c r="C259" s="46" t="n">
        <x:v>25</x:v>
      </x:c>
      <x:c r="D259" s="46" t="str">
        <x:v>en</x:v>
      </x:c>
      <x:c r="E259" s="46" t="str">
        <x:v>text</x:v>
      </x:c>
      <x:c r="F259" s="46" t="str"/>
      <x:c r="G259" s="46" t="str">
        <x:v>National Bank of Ukraine  
         Pilot Project on Establishing Platform and Issuing E-Hryvnia 25 
 Provisional Rules for Recordkeeping of E -Hryvnia 
Transactions at the National Bank of Ukraine 
approved by NBU Board Decision No.  541-D On 
Approval of the Provisional Rules for Recordkeeping 
of E-Hryvnia Transactions at the National Bank of 
Ukraine dated 14 August 2018 
Orders and instructions 
 NBU Board Decision No. 564-D On Implementation 
of the Electronic Hryvnia Platform and Electronic 
Money of the National Bank of Ukraine  dated 30 
December 2016 
 NBU Board Decision No. 602-D On Pilot Project on 
Implementation of the Electronic Hryvnia Platform 
and Electronic Money of the National Bank of 
Ukraine dated 6 September 2018 
 User Guide to Creating and Using E-Wallets 
 Guide to Setting the Maximum Amount of E-Hryvnia 
in Circulation at the Electronic Hryvnia Platform 
 Guide to Generating Basic Key Data via the 
Electronic Hryvnia Platform. 
3.7. Monetary Policy Aspects of E-Hryvnia Implementation 
The Pilot Project had no macroeconomic impact, as the 
volume of e-hryvnia transactions was minor.  
The banking system as a financial intermediary may be 
completely altered only if the majority of population and 
businesses start using e -hryvnia instead of cash and bank 
accounts. For now, we cannot be certain about the future of 
a new ecosystem.  
We consider the risk of influencing inflation to be improbable, 
as the full -scale implementation of the domestic digital 
currency foresees no uncontrollable issuance of hryvnia. 
Over the long-term horizon, there is still a risk of the central 
bank losing its ability to effectively influence the 
macroeconomic, primarily inflation, processes if the role of 
banks as financial intermediaries changes, banks lose their 
money creation function, and thus efficiency of monetary 
transmission channels goes down. 
The NBU will store any liquidity transferred from the bankin g 
system. However, if such flows become significant, especially 
during crises, the transfer of funds into e -hryvnia from 
customer accounts with banks may create or deepen a 
liquidity crisis for some banks or the banking system as a 
whole. This will adverse ly affect resilience and financial 
stability of banks. To prevent the banking system’s liquidity 
crises, limits may be introduced to restrict the exchange of 
noncash funds for e-hryvnia. 
Table 3.1. Possible impact by e-hryvnia 
The e-hryvnia’s impact on monetary indicators depends on 
what it will compete with (cash or noncash transactions) and 
the shares of P2P transfers and payments for goods and 
services in the expected volume of e-hryvnia transactions.  
Such impact can be predicted based on the assumption that 
e-hryvnia will be mostly used for purchases of goods and 
services, while the volume of e-hryvnia transactions will reach 
20% of the total volume of cashless transactions using 
payment cards (which amounted to UAH 259 billion in 2018). 
Let us consider two possible scenarios: 
1. E-hryvnia replaces card transactions.  
According to the data for 2018, the ratio of balances of retail 
current accounts to card cashless settlements accounted for 
10%. Therefore, if the ratio of cashless payments using e -
hryvnia to the volume of payment card transactions accounts 
for 20%, total balances of current accounts may decrease by 
20% amounting to UAH 25 billion. In such a case, banks’ 
liquidity will also decrease. 
2. E-hryvnia replaces cash payments.  
According to the data for 2003–2007, when cash prevailed in 
household consumption, the ratio of cash to the final 
consumption expenditure was 20%. Therefore, if e -hryvnia 
replaces cash settlements, the M0 monetary aggregate may 
reach UAH 52 million (15%). However, banks’ liquidity will not 
change (Table 3.1).  
Such impact will be quite significant both for banks’ liquidity 
and cash. At the same time, the actual impact will depend on 
the e-hryvnia’s turnover rate and areas of use. 
Potential risks that may arise as a result of the full -scale 
implementation of e-hryvnia include the following: 
Scenario Amount Percentage 
Replacement of 
payment cards (M1) 
UAH (-25) billion (-20%) 
Replacement of 
cash (M0) 
UAH (-52) billion (-15%)</x:v>
      </x:c>
    </x:row>
    <x:row r="260" ht="110" customHeight="1">
      <x:c r="A260" s="46" t="str">
        <x:v>PRD-0074-P0026-U01</x:v>
      </x:c>
      <x:c r="B260" s="46" t="str">
        <x:v>UA_NBU_E-hryvnia_2019</x:v>
      </x:c>
      <x:c r="C260" s="46" t="n">
        <x:v>26</x:v>
      </x:c>
      <x:c r="D260" s="46" t="str">
        <x:v>en</x:v>
      </x:c>
      <x:c r="E260" s="46" t="str">
        <x:v>text</x:v>
      </x:c>
      <x:c r="F260" s="46" t="str"/>
      <x:c r="G260" s="46" t="str">
        <x:v>National Bank of Ukraine   
        Pilot Project on Establishing Platform and Issuing E-Hryvnia  26 
 uncertainty of impact on the transmission 
mechanism due to a decline in commercial banks’ 
ability to create loan funds and remain mere 
intermediaries in terms of loan funds 
 the outflow of funds from commercial deposit 
institutions to the central bank, especially in the 
periods of financial turmoil 
 the loss of the credit money function by commercial 
banks 
 the threat that the system of long-term insurance of 
deposits collapses if deposits with banks will be 
deemed as high -income and risky assets (in 
comparison with digital currency) 
 nationalization of the wholesale money market (due 
to the outflow of retail deposits to the central bank 
and lending of such funds to commercial banks).  
E-hryvnia should be considered solely as the third form of the 
hryvnia. Otherwise, we would get a domestic cryptocurrency, 
a financial instrument with its own value, instead of CBDC as 
an equivalent to the domestic money. The NBU’s duties as 
provided for by legislation do not include issuance of new 
financial instruments.  
Since e-hryvnia is deemed to be the third form of the hryvnia, 
it should be exchanged for cash and noncash domestic 
currency without any restrictions. In theory, the maximum 
volume of e -hryvnia issuance may not exceed the M1 
aggregate.  
3.8. Procedure for Operation of Platform  
The NBU operates the Platform. 
The Platform processes all transactions in real time 24 hours 
a day, which enables entities to conduct e -hryvnia 
transactions via the Platform on a 24/7/365 basis.  
The Platform is based on open algorithms and libraries used 
in modern international information systems. 
The Platform ensures the following: 
1) permanence of the data stored in the distributed general 
ledger 
2) maintaining of secured logs of the Platform’s operation 
3) encryption of information exchanged by Platform 
participants 
4) administrating of distribution and settlement agents in 
terms of registration, blocking, setting restrictions, etc. 
5) storage of information messages in the distributed general 
ledger  
6) backups and secure storage of keys to e-wallets 
7) calculation of commission fees for Platform participants 
8) implementation of a consensus mechanism for all e -
hryvnia transactions between Platform participants  
9) verification of electronic signatures for transactions 
10) issuance, distri bution, transfer between e -wallets, 
payment (re fund), exchange of e -hryvnia for ca sh/noncash 
funds, and repayment 
11) storage of personal keys of Platform participants (if 
necessary) 
12) administrating of merchants.  
All e -hryvnia transactions within the Platform are arranged 
and permanent.  
An e-hryvnia transaction cannot be cancelled once executed 
and confirmed by the Platform’s core. 
The Platform stores the full history of changes in all account 
balances of Platform participants.  
3.9. The NBU’s Roles in Operation, Use, and Management of the Platform  
The NBU registered e -wallets of all Platform participants by 
making an actual entry about an e -wallet to the distributed 
general ledger. 
The NBU executed E -Hryvnia I ssuance and E -Hryvnia 
Repayment transactions. 
Special roles were assigned to administrate the Platform: 
master and administrator.  
The Platform’s master and administrator were selected from 
NBU employees.</x:v>
      </x:c>
    </x:row>
    <x:row r="261" ht="110" customHeight="1">
      <x:c r="A261" s="46" t="str">
        <x:v>PRD-0074-P0028-U01</x:v>
      </x:c>
      <x:c r="B261" s="46" t="str">
        <x:v>UA_NBU_E-hryvnia_2019</x:v>
      </x:c>
      <x:c r="C261" s="46" t="n">
        <x:v>28</x:v>
      </x:c>
      <x:c r="D261" s="46" t="str">
        <x:v>en</x:v>
      </x:c>
      <x:c r="E261" s="46" t="str">
        <x:v>text</x:v>
      </x:c>
      <x:c r="F261" s="46" t="str"/>
      <x:c r="G261" s="46" t="str">
        <x:v>National Bank of Ukraine   
        Pilot Project on Establishing Platform and Issuing E-Hryvnia  28 
institutions (including the International Monetary Fund and 
the World Bank) on the topic of CBDC implementation. 
The received consultations helped the NBU to better 
understand the essence of CBDC and receive expert 
feedback on the Pilot Project and e-hryvnia.  
In particular, experts of the World Bank's Technology and 
Innovation Lab registered their own e -wallets and tested e -
hryvnia transactions. 
3.15. Technology and Architecture of Platform 
Before launching the Pilot Project, NBU specialists studied 
technical and technological means for building innovative 
online retail payment services (including at the level of 
banks), the popularity of which grows globally. Review and 
comparison covered both the systems that functio ning on 
innovative distributed ledger technolog ies solutions and the 
systems with the classical architecture that uses relational 
databases. 
The main criteria for selecting technological characteristics 
for the Platform were as follows: 
 simplicity and availability for final consumers 
 speed of the transaction execution regardless of the 
volume of transactions that occur at once 
 scalability – the potential to enhance the Platform’s 
infrastructure and performance by involving 
additional nodes, including the nodes of commercial 
participants 
 reliable means o f information protection, solutions 
for ensuring durability 
 a simple, trustful, convenient system for adding and 
storing user personal data and for users to access 
their own funds at the Platform with an option of 
restoring access through additional means 
 minimization of computer and other information 
resources needed for the Platform’s operation  
 cutting-edge technological solutions that are used 
globally to create payment systems and/or real time 
transfer funds 
 prevailing use of open-source system and freeware 
soft applications. 
Based on the above criteria, the NBU selected the distributed 
ledger technology, in particular the private version of the 
Stellar protocol, to study opportunities of issuing e -hryvnia 
and to carry out the Pilot Project. 
The decision was made after one of the project’s participants 
suggested to provide free -of-charge a ready -made basic 
solution of such a system to be used in the project on the 
Platform’s implementation with an option to finalize that basic 
solution in line with the r equirements that would be 
established at the preparation phase of the Platform’s 
implementation.  
The Platform’s main technical and technological 
characteristics: 
 operating system for server equipment of main 
nodes: Linux 
 system and application software: open-source 
software that can be used on the grounds of a free 
software license (GNU General Public License, 
Apache Software License, etc.) 
 elements of a node: web server, cluster of 
applications, encryption server, distributed 
database 
 system software of the Platform’s components (at 
the Pilot Project stage):  
 OS: Red Hat Enterprise Linux, kernel version 3.10 
or later 
 Ngnix web server 
 Riak KV distributed NoSQL database 
 relational PostgreSQL database 
 the system’s application software is based on the 
SDK Stellar network with Stellar Core Horizon API, 
server components of which function in a regular 
and reliable way on Linux systems (of any kind, 
without limitation to RHEL) with kernel version 3.10 
or later 
 the basic customer software (JavaScript) meant for 
web browsers. Developers receive the open API to 
develop their own customer applications for any 
gadget with access to the Internet. 
 protection: digital signing of transactions using the 
Ed25519 algorithm  
 the TLS cryptographic protocol of the latest version, 
but no earlier than 1.2. 
Requirements to the Platform regarding the e -hryvnia 
transaction speed:  
1) the maximum time of a transaction: 5 seconds (the 
time of a block finalization) 
2) the minimum number of transactions that can be 
executed at once without a queue: 500 transactions 
in 5 seconds.</x:v>
      </x:c>
    </x:row>
    <x:row r="262" ht="110" customHeight="1">
      <x:c r="A262" s="46" t="str">
        <x:v>PRD-0074-P0029-U01</x:v>
      </x:c>
      <x:c r="B262" s="46" t="str">
        <x:v>UA_NBU_E-hryvnia_2019</x:v>
      </x:c>
      <x:c r="C262" s="46" t="n">
        <x:v>29</x:v>
      </x:c>
      <x:c r="D262" s="46" t="str">
        <x:v>en</x:v>
      </x:c>
      <x:c r="E262" s="46" t="str">
        <x:v>text</x:v>
      </x:c>
      <x:c r="F262" s="46" t="str"/>
      <x:c r="G262" s="46" t="str">
        <x:v>National Bank of Ukraine   
        Assessment of Pilot Project’s Outcomes 29 
4. Assessment of Pilot Project’s Outcomes 
4.1. Assessment of Practical Phase of Pilot Project
During the practical phase of the Pilot Project (September –
December 2018), the NBU issued the limited volume of e -
hryvnia (UAH 5,443), and participants of the working groups 
completed the following steps (Fig. 4.1):  
1. creation of personal e-wallets 
2. installation of the  e-wallet mobile application on 
personal devices with the Android or iOS operating system 
3. refilling of e-wallets in a cashless way using the NPS 
PROSTIR card via a specialized virtual terminal integrated 
with the Platform 
4. e-hryvnia transfers between e-wallets (P2P transfers) 
5. merchant transactions (topping-up e-hryvnia to mobile 
phone balances, LifeCell operator)  
6. charitable contributions to help soldiers of the Joint 
Forces Operation 
7. exchange of e-hryvnia for non-cash funds using an NPS 
PROSTIR card. 
Figure 4.1. Volume and number of e-hryvnia transactions executed during the Pilot Project  
 (as at 15 December 2018) 
Transaction name Transaction volume 
(UAH) 
Number of transactions 
(pcs.) 
Transferring e-hryvnia to another e-wallet (P2P)  2,117 208 
Refilling e-hryvnia to the e-wallet from the NPS 
PROSTIR card 
5,479 82 
Exchanging e-hryvnia for noncash funds credited 
to the NPS PROSTIR card 
915 42 
Charitable contributions to help soldiers of the 
Joint Forces Operation  
3,428 40 
Topping-up e-hryvnia to mobile phone balances 
(LifeCell operator) 
223 19 
Over the practical phase of the Pilot Project, participants of 
the w orking groups opened 121 e -wallets, 79 of which 
became active.  
The prevailing type of transactions was e -hryvnia transfers 
between e -wallets (208 transactions amounting to UAH 
2,117). The total volume of the e -wallets refilling with the e-
hryvnia through NPS PROSTIR cards was UAH 5479. On the 
occasion of the Ukraine Defender Day, we’ve launched an 
option to make charitable contributions to the soldiers of the 
Joint Forces Operation, which resulted in 40 contributions 
amounting to UAH 3,428. To test the e -hryvnia merchant  
transactions, particip ants of the working groups toped -up 
UAH 223 to the balances of their mobile phones (19 top-ups).  
Considering that the Pilot Project had a limited list of 
transaction types and a limited range of users, as well as the 
minor quantity and volumes of executed transactions, the 
project did not fully uncover the instrument’s att ractiveness 
and the potential level of involvement of Ukraine's population 
in using it. 
Thus, it is hard to predict the number of Ukraine’s citizens to 
become e -hryvnia users if the decision to implement e-
hryvnia at a national scale is taken. 
208
82
42 40
19
0
50
100
150
200
250 Quantity, pcs.
2117
5479
915
3428
223
0
2000
4000
6000
Amount, UAH</x:v>
      </x:c>
    </x:row>
    <x:row r="263" ht="110" customHeight="1">
      <x:c r="A263" s="46" t="str">
        <x:v>PRD-0074-P0033-U01</x:v>
      </x:c>
      <x:c r="B263" s="46" t="str">
        <x:v>UA_NBU_E-hryvnia_2019</x:v>
      </x:c>
      <x:c r="C263" s="46" t="n">
        <x:v>33</x:v>
      </x:c>
      <x:c r="D263" s="46" t="str">
        <x:v>en</x:v>
      </x:c>
      <x:c r="E263" s="46" t="str">
        <x:v>text</x:v>
      </x:c>
      <x:c r="F263" s="46" t="str"/>
      <x:c r="G263" s="46" t="str">
        <x:v>National Bank of Ukraine   
        General Conclusions 33 
5. General Conclusions 
1. E-hryvnia as a tool for instant retail payments has the potential to become an alternative to the existing means and tools 
of retail payments, such as cash, payment orders, payment cards, and electronic money. The advantages of e -hryvnia 
include ease of use, safety (repayment and settlements are guaranteed by the NBU), as well as the speed of acquiring 
the user status and the settlement speed. 
2. Considering that the Pilot Project had a limited list of transaction types and a limited range of users, as well as the minor 
quantity and volumes of executed transactions, the project did not fully uncover the instrument’s attractiveness and the 
potential level of involvement of Ukraine's population in using it. Thus, it is hard to predict the number of Ukraine’s citizens 
to become e-hryvnia users if the decision to implement e-hryvnia at a national scale is taken. 
3. E-hryvnia may be considered as the disruptive technology, since it has the potential to change the ecosystem of Ukraine’s 
payment market and reassign the current roles of market participants. 
4. Implementation of e -hryvnia is impossible without major investment and time needed to upgrade the payment 
infrastructure for this instrument. The reason is that Ukraine’s market of payment services is characterized by high 
competition and concentration as well as the established infrastructure. 
5. For e-hryvnia to become a truly mass product, it should b e promoted to the population bearing in mind the existing 
customer habits. 
6. Implementation of e -hryvnia in Ukraine’s payment market should be in line with the possible implementation of other 
innovative payment instruments, including instant payments and new Open Banking instruments. 
7. The distributed ledger technology (DLT, blockchain) can be used as a platform for e-hryvnia issuance and circulation. 
 However, main advantages of the technology, including the absence of a single center of trust and the capability of any 
person to check any transaction, cannot be used together with the centralized e -hryvnia issuance model. Thus, it is not 
critical whether this technology is used if the centralized model is chosen. 
 The mentioned advantages would be more e fficient for the decentralized model of e -hryvnia issuance versus the 
centralized one. 
8. The private version of the Stellar blockchain protocol, which has been tested under the Pilot Project, was functioning in 
the regular mode and may be used in local (ban k-level) electronic money systems after some finalization. We cannot 
use that version to build the national -scale system, as it is practically impossible to update it following the development 
of the basic Stellar blockchain protocol. Instead, the national -scale system can be designed on the basis of one of the 
public versions of modern powerful blockchain protocols. 
9. On the one hand, involvement of volunteers in the Pilot Project helped save money considering the high cost of software 
solutions and high la bor costs, but on the other, it turned out to be ineffective. External participants of the Pilot Project 
prioritized their commercial activities over the work on the project. 
10. The business model requires further thorough consideration by the payment market participants. 
The Pilot Project’s participants and the NBU had not reached the consensus regarding an e -hryvnia tariff/commission 
model in the course of respective consultations. Zero commission fees were set for all e -hryvnia transactions for the 
period of pilot testing. 
11. The NBU showed its capability to implement similar projects. 
The Pilot Project involved limited personnel from eight structural units (the internal working group). Bringing the project 
to the national level requires major human resources. 
12. Only anonymous e-wallets were used in the Pilot Project, however, the further development of e-hryvnia may come with 
the full or partial user identification under the KYC principles, inter alia, to increase the transaction limits.  
The further implementation of e-hryvnia should incorporate the AML/FATF requirements to the limits on the balances  of 
e-wallets and the volumes of transactions. 
13. The implementation of e-hryvnia should be regulated by law.</x:v>
      </x:c>
    </x:row>
    <x:row r="264" ht="110" customHeight="1">
      <x:c r="A264" s="46" t="str">
        <x:v>PRD-0074-P0034-U01</x:v>
      </x:c>
      <x:c r="B264" s="46" t="str">
        <x:v>UA_NBU_E-hryvnia_2019</x:v>
      </x:c>
      <x:c r="C264" s="46" t="n">
        <x:v>34</x:v>
      </x:c>
      <x:c r="D264" s="46" t="str">
        <x:v>en</x:v>
      </x:c>
      <x:c r="E264" s="46" t="str">
        <x:v>text</x:v>
      </x:c>
      <x:c r="F264" s="46" t="str"/>
      <x:c r="G264" s="46" t="str">
        <x:v>National Bank of Ukraine   
        General Conclusions 34 
14. E-hryvnia may be implemented in Ukraine’s payment market using one out of two alternative models of interaction: the 
centralized and the decentralized models. 
Under the decentralized model, e-hryvnia will no longer be classified as CBDC, since it will be issued not by the central 
bank but by payment market participants under the regulator’s control. 
For both models, the issue of choosing an optimal basic technology remains open. 
The main benefits of the distributed ledger technology (DLT) may be leveraged more effectively with the decentralized 
model versus the centralized one. 
15. If the centralized model is chosen, the NBU will perform non-typical duties of working with individuals (including the 
dispute resolution).</x:v>
      </x:c>
    </x:row>
    <x:row r="265" ht="110" customHeight="1">
      <x:c r="A265" s="46" t="str">
        <x:v>PRD-0075-P0011-U01</x:v>
      </x:c>
      <x:c r="B265" s="46" t="str">
        <x:v>UK_BoE_2020_OpportChall</x:v>
      </x:c>
      <x:c r="C265" s="46" t="n">
        <x:v>11</x:v>
      </x:c>
      <x:c r="D265" s="46" t="str">
        <x:v>en</x:v>
      </x:c>
      <x:c r="E265" s="46" t="str">
        <x:v>text</x:v>
      </x:c>
      <x:c r="F265" s="46" t="str"/>
      <x:c r="G265" s="46" t="str">
        <x:v>Discussion Paper: Central Bank Digital Currency  March 2020 10
of £85,000 are protected under the Financial Services Compensation Scheme (FSCS). But large deposits in excess 
of this amount are not insured and subject to credit risk.
A distinction is often made between ‘sight’ deposits that are largely used for transactions purposes, typically 
associated with current (checking) accounts that can be accessed immediately, and ‘time’ deposits that are made 
for store of value or savings purposes which typically earn more interest if they are not accessed before a certain 
date or notice period.
(3) Central bank reserves (commercial banks’ deposits at the central bank): Just as households and business 
hold deposits in accounts at commercial banks, those commercial banks themselves hold accounts at the 
Bank of England. The deposits in these accounts are known as central bank reserves, and are the asset used by 
banks when they need to make payments to each other. Like banknotes, reserves are central bank liabilities and 
are risk free. For this reason, reserves are the ultimate settlement asset used by the banking system.
Convertibility
The Bank of England also stands ready to swap reserves for banknotes should the commercial banks need it, for 
example to ensure there are banknotes in ATMs before Bank Holiday weekends (when demand for cash usually 
increases). So, underpinning the current sterling monetary system is the principle that both types of central bank 
money (reserves and banknotes) are directly convertible into one another, and that households and businesses 
can convert their deposits into central bank money, in the form of physical cash. 
How CBDC compares
A CBDC could in principle perform many of the functions currently offered by both cash and bank deposits. 
However, to be practical and attractive, CBDC would need to be directly convertible into cash and deposits.
CBDC would be equally safe and free of credit risk as physical cash, but could be more convenient as a means of 
payment for both households and businesses, particularly for electronic and remote payments. So there may be 
some shift between cash and CBDC.
Compared to bank deposits held by households, which are insured up to £85,000 under the FSCS, a CBDC would 
be equally safe and have no credit risk, and similar usefulness as a means of payment to an ordinary current 
account. But it is not clear that households would necessarily want to substitute from deposits to CBDC given 
that deposits at a commercial bank offer customers other services, including credit facilities, which would not be 
offered under a CBDC. However, if firms providing CBDC‑related payment services are able to bundle other useful 
services with a CBDC account, this may prove attractive to some deposit holders. The incentive to substitute away 
from bank deposits will also depend on whether the CBDC is remunerated or not (discussed in Chapter 5).
Compared to bank deposits that are not covered by the FSCS, CBDC could play a similar role as a means of 
payment but would have no credit risk. That may make it attractive to some businesses who typically hold 
unsecured deposits not covered by the FSCS. But again, holding an account at a commercial bank may offer 
non‑financial businesses the use of credit facilities and other benefits that arise from having a long‑standing 
relationship with that bank.
Overall, the introduction of CBDC will lead to some substitution away from existing forms of money. But the 
scale of substitution and the implications for monetary and financial stability will depend very much on 
functionality, remuneration and other design features (discussed in detail in Chapter 5).</x:v>
      </x:c>
    </x:row>
    <x:row r="266" ht="110" customHeight="1">
      <x:c r="A266" s="46" t="str">
        <x:v>PRD-0075-P0023-U01</x:v>
      </x:c>
      <x:c r="B266" s="46" t="str">
        <x:v>UK_BoE_2020_OpportChall</x:v>
      </x:c>
      <x:c r="C266" s="46" t="n">
        <x:v>23</x:v>
      </x:c>
      <x:c r="D266" s="46" t="str">
        <x:v>en</x:v>
      </x:c>
      <x:c r="E266" s="46" t="str">
        <x:v>text</x:v>
      </x:c>
      <x:c r="F266" s="46" t="str"/>
      <x:c r="G266" s="46" t="str">
        <x:v>Discussion Paper: Central Bank Digital Currency  March 2020 22
3.2 Design principles
Our overall objective can be split into the following design principles. For each, we have a described an ideal case. 
However, in the real world there will be trade‑offs between different principles, making it impossible to achieve 
the best outcome for every principle. Consequently, if we were to issue CBDC, we would need to make careful 
choices about which principles to prioritise, and the optimal trade‑offs between them.
Reliable and resilient
The Bank’s primary objectives require that any CBDC payment system must be reliable and resilient. This requires 
that any CBDC should need to be:
• Resilient: any CBDC payment system must be able to recover from operational disruption, for example from 
hardware or software failures. It is also important to minimise any credit and liquidity risk arising in the wider 
CBDC ecosystem.
• Secure: CBDC should follow the highest standards of cyber‑security against fraud and cyber‑attacks. There 
would need to be clear policies around who is responsible for redress in the case of fraudulent payments.
• Available: CBDC should provide 24/7 payments with no planned downtime.
• Scalable: the technology powering CBDC payments should be able to handle increased volumes if demand for 
CBDC payments increases significantly.
• Compliant: CBDC should be compliant with regulations around anti‑money laundering (AML), the countering 
the financing of terrorism (CFT), and sanctions.
• Private: CBDC should be compatible with the General Data Protection Regulation (GDPR).
Fast and efficient
This consideration is about ensuring that users benefit from using CBDC. This means that CBDC payments would 
need to be:
Figure 3. 1 Design principles for retail payments
Designed around comparative advantage
Which requires that they are:
Interoperable Extensible
Fast
Inclusive
User friendly
Transparent
In addition, users should bene/f_it from payments that are: 
To meet the Bank's objective, payments must be:
Resilient
Scalable
Secure
Compliant
Available
Private
Efﬁcient
Open to competition
Innovative and
open to
competition
Reliable and
resilient
Fast and
efﬁcient</x:v>
      </x:c>
    </x:row>
    <x:row r="267" ht="110" customHeight="1">
      <x:c r="A267" s="46" t="str">
        <x:v>PRD-0075-P0024-U01</x:v>
      </x:c>
      <x:c r="B267" s="46" t="str">
        <x:v>UK_BoE_2020_OpportChall</x:v>
      </x:c>
      <x:c r="C267" s="46" t="n">
        <x:v>24</x:v>
      </x:c>
      <x:c r="D267" s="46" t="str">
        <x:v>en</x:v>
      </x:c>
      <x:c r="E267" s="46" t="str">
        <x:v>text</x:v>
      </x:c>
      <x:c r="F267" s="46" t="str"/>
      <x:c r="G267" s="46" t="str">
        <x:v>Discussion Paper: Central Bank Digital Currency  March 2020 23
• Fast: the process from the payer (sender) initiating a payment to the payee (recipient) receiving the funds, 
should complete as quickly as possible, with certainty over completion.
• User friendly: users should be able to make a payment intuitively, in the minimum number of steps, with a 
minimum required level of technical literacy.
• Efficient: the payment should happen in the simplest way, to ensure that the cost of CBDC payments would be 
as low as possible (subject to the need to ensure the system is resilient and secure).
• Transparent: the costs of making payments in CBDC should be clear to all users.
• Inclusive: CBDC payment systems should be designed to minimise barriers to use from (a) technical literacy, 
(b) disabilities, and (c) access to hardware (eg avoiding reliance on latest smartphones) or (d) access to mobile 
data networks (eg in rural areas).
Innovation and open to competition
This consideration is about ensuring that the CBDC system as a whole remains open to innovation and 
competition, and evolves with changing user needs. This means that any CBDC would need to be:
• Designed around comparative advantage: the structure of a CBDC should build on the Bank and private 
sector’s respective strengths and expertise, so long as it does not compromise resilience, security or confer 
unfair commercial advantage.
• Open to competition: the structure of a CBDC should facilitate a competitive market for providers of 
CBDC‑related payment services. This requires an appropriate regulatory structure that protects consumers 
while minimising barriers to entry. The design of CBDC should also ensure that there are no structural factors 
that would lead to a winner take all market dynamic in the provision of CBDC‑related services.
• Interoperable: CBDC should be designed to avoid creating closed‑loop payment systems, in which payments 
can only be made between users of the same payments provider. Instead, CBDC payments should be 
interoperable, allowing payments between users of different providers, and between users of CBDC and users 
of deposit accounts. Furthermore, CBDC should also be designed to interoperate with other countries’ CBDC 
payment systems (to support future cross‑border payments in CBDC). CBDC should also avoid tying providers 
into specific technologies or technology providers.
• Extensible: it should be possible for private sector innovators to build additional services on top of the 
CBDC platform, and support innovative use cases that we cannot currently foresee. The design of CBDC should 
not limit the range of services that can be provided in the future, and recognise that the functionality and 
infrastructure will need to evolve over time.
3.3 The benefits of private sector involvement
In one possible CBDC model, the Bank would exclusively provide all CBDC‑related services. It would need to 
provide the entire core technology that records CBDC accounts and transactions. In addition, the Bank would also 
need to provide all customer‑facing services, including the user interface and point‑of‑sale integrations, so that 
people could pay with CBDC in shops and online.
However, an approach where the Bank exclusively provides all CBDC‑related services is less likely to achieve our 
overall objectives or meet our design principles than an approach that involves both the Bank and the private 
sector:
• Exclusive central bank provision would not be open to competition, because there is no role for any participant 
other than the Bank to provide CBDC‑related services.</x:v>
      </x:c>
    </x:row>
    <x:row r="268" ht="110" customHeight="1">
      <x:c r="A268" s="46" t="str">
        <x:v>PRD-0075-P0027-U01</x:v>
      </x:c>
      <x:c r="B268" s="46" t="str">
        <x:v>UK_BoE_2020_OpportChall</x:v>
      </x:c>
      <x:c r="C268" s="46" t="n">
        <x:v>27</x:v>
      </x:c>
      <x:c r="D268" s="46" t="str">
        <x:v>en</x:v>
      </x:c>
      <x:c r="E268" s="46" t="str">
        <x:v>text</x:v>
      </x:c>
      <x:c r="F268" s="46" t="str"/>
      <x:c r="G268" s="46" t="str">
        <x:v>Discussion Paper: Central Bank Digital Currency  March 2020 26
This ‘layered architecture’ approach to technology infrastructure is becoming a common approach in payments, as 
it can help facilitate competition, innovation and extensibility. Similar approaches have been taken by the 
New Payments Platform in Australia, Payments Canada’s Modernization programme, and it is also the model 
proposed in Pay.UK’s New Payments Architecture Programme in the UK (see appendix).
There are complex considerations in each area of CBDC design, and many open questions that require further 
research. The platform model is not the only way that CBDC could be structured, so we may choose to explore 
other models in the future.
4.2 Key components
(a) Central bank core ledger
The centre of the CBDC payment system would be a core ledger (database) that records CBDC value itself, and 
processes the payments (transactions) made using CBDC. In this illustrative model, the functionality of the core 
ledger could be limited to the essential features required to enable CBDC payments. For example, it could provide 
push payments ie payments initiated by the payer (sender) and the ability to query latest balances or transaction 
history. Limiting the range of functionality to the essential features could make it easier to build a system that is 
simple, fast and resilient, and could allow most of the innovation in CBDC payment functionality to happen in the 
private sector through overlay services (discussed below).
In this model, the core ledger would be accompanied by an API (Application Programming Interface) to allow 
third‑party Payment Interface Providers to securely send payment instructions and ask for updates from the 
ledger. To ensure resilience, security and integrity, only entities approved by the Bank, such as Payment Interface 
Providers,(2) would be able to connect to the core ledger (See also Chapter 6).
Although the Bank could operate the core ledger itself, there is also the possibility of distributing or decentralising 
aspects of the maintenance of the ledger and processing of transactions. Chapter 6 considers the technology 
benefits, costs and trade‑offs involved in adding degrees of distribution and decentralisation to a CBDC payment 
system. Whatever technology approach is used, it is essential that only the Bank can ‘create’ or ‘destroy’ CBDC.
(2) Regulatory considerations are explored in Chapter 4.5.
Figure 4. 1 Platform model of CBDC
API
Central bank core ledger
A fast, highly secure and resilient platform that provides relatively 
simple payments functionality (the ‘core ledger’).
API access
Allows private sector Payment Interface Providers to connect to 
the core ledger. Blocks unauthorised access — only regulated 
entities can connect.
Payment Interface Providers
Authorised and regulated ﬁrms providing user-friendly interfaces 
between the user and the ledger. Many also provide additional 
payment services that are not built into the core ledger as overlay 
services.
Users
Register with Payment Interface Provider(s) to access CBDC.</x:v>
      </x:c>
    </x:row>
    <x:row r="269" ht="110" customHeight="1">
      <x:c r="A269" s="46" t="str">
        <x:v>PRD-0075-P0028-U01</x:v>
      </x:c>
      <x:c r="B269" s="46" t="str">
        <x:v>UK_BoE_2020_OpportChall</x:v>
      </x:c>
      <x:c r="C269" s="46" t="n">
        <x:v>28</x:v>
      </x:c>
      <x:c r="D269" s="46" t="str">
        <x:v>en</x:v>
      </x:c>
      <x:c r="E269" s="46" t="str">
        <x:v>text</x:v>
      </x:c>
      <x:c r="F269" s="46" t="str"/>
      <x:c r="G269" s="46" t="str">
        <x:v>Discussion Paper: Central Bank Digital Currency  March 2020 27
(b) Payment Interface Providers
In the platform model, Payment Interface Providers would be private sector firms that would manage all the 
interaction with users of CBDC and provide overlay services that extend the functionality of CBDC. In practical 
terms, they could:
• Provide a user‑friendly interface, such as a mobile application or website, to allow the user to initiate payments 
and manage their CBDC.
• Apply Know Your Customer checks to verify the identity of users (or commission a third‑party service to do 
this).
• Register one or more accounts for the user in the core ledger. This account could be pseudonymous on the core 
ledger, meaning that the core ledger would not need to record identity information. However, the Payment 
Interface Provider would record the identity of the user on its own systems, and would know which 
pseudonymous account(s) the user holds at the Bank.
• Authenticate the user when they initiate payments, to protect them against fraud (eg if the user’s phone has 
been stolen), protect their personal data and ensure cyber‑resilience.
• Apply anti‑money laundering and sanctions checks to relevant payments (or commission a third‑party service 
to do this).
• Develop overlay services (see below) to provide additional functionality.
• Some Payment Interface Providers might also want to provide ‘merchant services’ to enable retailers and 
businesses to take CBDC payments from consumers.
In the basic model above, Payment Interface Providers would maintain an individual account in the core ledger for 
every user. Payments between users would be processed through the core ledger even if both users have the same 
Payment Interface Provider. An alternative model could be for each Payment Interface Provider to maintain a 
single ‘pooled’ account in the ledger, which holds all of their users’ CBDC. The Payment Interface Provider would 
record how the funds in the pooled account are divided between its users. Payments between two users of the 
same Payment Interface Provider could then be processed within the Payment Interface Provider’s own systems, 
rather than through the core ledger. However, payments between a user of the Payment Interface Provider and 
any other Payment Interface Provider would still need to go through the core ledger.
Although some Payment Interface Providers would be payments‑focused firms, other types of firms may also 
want to provide CBDC‑related services, if this enhances the service they provide, makes their services more 
‘sticky’, or serves as a loss‑leader to attract customers for other services. For example, websites that provide 
marketplaces for retailers may be able to integrate CBDC payments for those retailers. Some online accounting 
platforms for businesses may want to become Payment Interface Providers, as they could monitor incoming 
payments, reconcile them into the firm’s financial accounts, and also initiate outgoing payments for invoices and 
salary payments.
(c) Overlay services
By design, the core ledger would have relatively simple functionality in this model, but Payment Interface 
Providers could develop ‘overlay’ services to provide additional functionality. This means that Payment Interface 
Providers could build new services, for example, those that are only needed by a subset of users, or which meet 
new use cases that emerge in the future (as discussed below). The standards and expectations set by the Bank and 
relevant regulators could be important here to ensure that overlay services are secure, resilient, open to 
competition, interoperable, and meet society’s expectations of confidence and trust in money.</x:v>
      </x:c>
    </x:row>
    <x:row r="270" ht="110" customHeight="1">
      <x:c r="A270" s="46" t="str">
        <x:v>PRD-0075-P0034-U01</x:v>
      </x:c>
      <x:c r="B270" s="46" t="str">
        <x:v>UK_BoE_2020_OpportChall</x:v>
      </x:c>
      <x:c r="C270" s="46" t="n">
        <x:v>34</x:v>
      </x:c>
      <x:c r="D270" s="46" t="str">
        <x:v>en</x:v>
      </x:c>
      <x:c r="E270" s="46" t="str">
        <x:v>text</x:v>
      </x:c>
      <x:c r="F270" s="46" t="str"/>
      <x:c r="G270" s="46" t="str">
        <x:v>Discussion Paper: Central Bank Digital Currency  March 2020 33
Fast and efficient
• Fast: the system could provide instant real‑time payments in central bank money, so payers (including 
merchants) can receive funds instantly.
• Efficient: the core ledger could be built with relatively simple functionality, so that it would be as efficient and 
cost‑effective as possible. Additional functionality that would only be used by a subset of users could be 
provided by Payment Interface Providers through overlay services. This would ensure that the cost of providing 
for more complex user needs falls on the users of those services, rather than being distributed across all users.
Innovative and open to competition
• Designed around comparative advantage: the platform model allows the Bank and the private sector to focus 
on their respective strengths. The Bank could focus on building a highly resilient infrastructure (the core ledger), 
while the private sector Payment Interface Providers could focus on the user experience, by providing customer 
services, and building user‑friendly services.
• Open to competition: firms could compete to provide CBDC‑related services. An appropriate regulatory 
structure could protect consumers while minimising barriers to entry.
• Interoperable: the Bank could set requirements to ensure that any CBDC account should be able to pay any 
other CBDC account, regardless of the Payment Interface Provider associated with each account. This will 
ensure that the CBDC payments network does not fragment into closed loops (which would reduce the 
usefulness of CBDC overall, and could lead to the emergence of one or two dominant Payment Interface 
Providers).
• Extensible: Payment Interface Providers can develop innovative overlay services to provide functionality that is 
not built into the core ledger, to enable CBDC to meet payment needs as they evolve.
Design principles that may not be met by the platform model
However, some of our design principles are not automatically met by the platform model of CBDC. Additional 
standards or policy interventions would be needed to ensure that the following design principles are met:
• Resilient and available: although the core ledger could be highly resilient and available 24/7, Payment 
Interface Providers’ own systems may be vulnerable to disruption, which would possibly prevent users making 
payments. Therefore, the Bank would need to set minimum standards for operational resilience.
• Secure: the Bank should also set minimum standards for cyber‑security and user authentication.
• Transparent: policies for other authorities would be needed to ensure that the cost of CBDC was transparent.
• User‑friendly: private sector Payment Interface Providers could design the user interface for CBDC payment 
systems, with the most user‑friendly services likely to have a competitive advantage.
• Inclusive: the Bank and relevant regulators would need to set standards to ensure that Payment Interface 
Providers build systems that support inclusion and avoid barriers that arise as a result of technical literacy, 
disabilities or reliance on more expensive hardware (such as smartphones).</x:v>
      </x:c>
    </x:row>
    <x:row r="271" ht="110" customHeight="1">
      <x:c r="A271" s="46" t="str">
        <x:v>PRD-0075-P0039-U01</x:v>
      </x:c>
      <x:c r="B271" s="46" t="str">
        <x:v>UK_BoE_2020_OpportChall</x:v>
      </x:c>
      <x:c r="C271" s="46" t="n">
        <x:v>39</x:v>
      </x:c>
      <x:c r="D271" s="46" t="str">
        <x:v>en</x:v>
      </x:c>
      <x:c r="E271" s="46" t="str">
        <x:v>text</x:v>
      </x:c>
      <x:c r="F271" s="46" t="str"/>
      <x:c r="G271" s="46" t="str">
        <x:v>Discussion Paper: Central Bank Digital Currency  March 2020 38
assets to back an enlarged central bank balance sheet, and therefore the central bank may have to broaden the 
range of assets purchased or lent against.
5.4 Managing the risks through economic design of CBDC
Three possible tools to manage these risks, discussed below, are remuneration of CBDC, the tiering and structure 
of that remuneration, and limits on the amount of CBDC that could be held.
While the central bank would have direct control over these economic design choices, it would have to be aware 
that it might have only indirect control of features offered by Payment Interface Providers that could also affect 
the final attractiveness of CBDC. For instance, user‑friendly design, loyalty schemes or other financial products 
being bundled with CBDC could make holding CBDC more attractive to the public.
Design choice 1: Remuneration
The most important design decision for CBDC would be whether to remunerate, ie pay interest on CBDC balances. 
A CBDC could be unremunerated (non‑interest bearing) like banknotes, or remunerated (interest bearing) like 
central bank reserves, bank deposits and many other financial assets. In stable economic conditions, the rate of 
remuneration would be a key determinant of how attractive CBDC would be relative to other forms of money, 
how widely it would be adopted, the extent of any disintermediation it might cause, and how it might impact 
monetary and financial stability.
Unremunerated CBDC
An unremunerated CBDC would essentially be a digital version of banknotes. While potentially an attractive 
risk‑free form of money and a useful means of payment, there would be less incentive, relative to a remunerated 
option, for households and business to make a significant movement away from bank deposits (at least beyond 
balances they currently hold for payments‑related purposes). There would also be a lower impact on the banking 
system’s ability to provide credit. However, in the current low interest rate environment the interest paid on bank 
deposits might not be sufficient to disincentivise moves to an unremunerated CBDC.
An unremunerated CBDC would not directly transmit changes in Bank Rate to holders, nor would it be likely to 
have large effects on money market interest rates. But an unremunerated CBDC could still have important 
implications for monetary policy. In particular, it could reinforce the lower bound on interest rates. The lower 
bound exists because if interest rates fell significantly below zero depositors could withdraw and hold banknotes. 
But doing so comes with some costs, particularly for large amounts, because banknotes must be stored securely 
and cannot be used for payments that are not face‑to‑face. This makes the effective return on cash holdings 
slightly negative and has enabled some central banks to set policy rates below the zero rate paid on cash. CBDC 
would probably have negligible storage costs, making it easier to hold unremunerated CBDC when other interest 
rates drop below zero, significantly reducing the extent to which rates could go into negative territory. Although 
the Bank’s current assessment is that the lower bound is slightly above zero, due to the structure of the financial 
system, this assessment could change in the future as the financial system evolves.
How would this be different for a remunerated CBDC?
Remuneration could have a number of implications for the monetary transmission mechanism. A remunerated 
CBDC, which would be a closer substitute for bank deposits, could lead to faster and fuller transmission of 
monetary policy to deposit rates. The rate paid on a remunerated CBDC would set the lower limit of the return 
households and businesses were prepared to accept on their money holdings. This may mean that as the rate paid 
on CBDC varied, banks might adjust the deposit rates offered to households and companies to avoid a change in 
the relative attractiveness of CBDC to deposits. A remunerated CBDC would also mean the public received 
interest on their CBDC balances. This would increase the proportion of money linked directly to monetary policy 
choices, and have an impact on the monetary transmission mechanism. As interest rates changed, the effect on 
the interest income received by deposit and CBDC holders would be more pronounced (an effect known as the 
‘cash‑flow’ channel). Ultimately, the impact would depend on the relative changes to interest rates on both saving 
and borrowing.</x:v>
      </x:c>
    </x:row>
    <x:row r="272" ht="110" customHeight="1">
      <x:c r="A272" s="46" t="str">
        <x:v>PRD-0075-P0040-U01</x:v>
      </x:c>
      <x:c r="B272" s="46" t="str">
        <x:v>UK_BoE_2020_OpportChall</x:v>
      </x:c>
      <x:c r="C272" s="46" t="n">
        <x:v>40</x:v>
      </x:c>
      <x:c r="D272" s="46" t="str">
        <x:v>en</x:v>
      </x:c>
      <x:c r="E272" s="46" t="str">
        <x:v>text</x:v>
      </x:c>
      <x:c r="F272" s="46" t="str"/>
      <x:c r="G272" s="46" t="str">
        <x:v>Discussion Paper: Central Bank Digital Currency  March 2020 39
On the other hand, remuneration increases the potential for greater disintermediation of the banking system by 
increasing the incentive for households and businesses to shift larger amounts of money into CBDC. Households’ 
deposits tend to be relatively ‘sticky’, ie they tend to stay with one bank, meaning that households and businesses 
may continue to hold their sight deposits at banks even if a remunerated CBDC were introduced. Other 
attractions to holding deposits, such as overdrafts and the associated benefits of a banking relationship, may also 
limit conversion to CBDC.(7) But the stickiness of deposits may change with or without the introduction of CBDC, 
as initiatives such as Open Banking and the Second Payment Services Directive (PSD2) (see Annex) make it easier 
for users to switch, and move money between, bank accounts in the UK.
There may also be benefits from remuneration for unconventional monetary policy. If interest rates are, and 
continue to be, low then central banks are likely to be constrained by the lower bound more frequently than 
historically was the case.(8) A CBDC that could be remunerated at a negative rate could be used to relax that 
constraint, to the extent that the constraint was caused by the fact that cash pays zero interest (Bordo and 
Levin (2019)). This could, theoretically, widen the policy options available and avoid the economic costs of having 
monetary policy hit the effective lower bound, potentially improving economic outcomes. However, the wider 
effect of setting a negative interest rate on CBDC could be limited if cash use remains prevalent in the economy 
and cash storage costs are not excessive. And for this benefit to be realised the issues related to the structure of 
the financial system, which determine the current effective lower bound for Bank Rate, would need to have 
changed.
Design choice 2: Structure and tiering of remuneration
If the Bank were to decide to remunerate CBDC, but was worried about the impact on bank intermediation and 
credit, it might be possible to alter the structure of any possible remuneration in addition to setting the headline 
interest rate. For instance, it need not pay the same rate of interest on CBDC as is paid on the reserves held by 
banks (Bank Rate), as was implicitly assumed above. The CBDC rate could be set lower than Bank Rate, which 
would allow deposit rates to go some way below Bank Rate.
Alternatively, if policymakers intended CBDC to be used primarily for transactions, rather than as a large‑scale 
store of value, remuneration could be tiered such that balances above a certain level pay a lower interest rate or 
no interest at all (Bindseil (2020)). The Bank could also introduce the potential for remuneration by initially 
‘remunerating’ CBDC at zero but leaving open the possibility of applying a non‑zero interest rate in the future.
Design choice 3: Limits
To address the concern that CBDC could lead to a degree of deposit outflow from the banking sector and into 
CBDC, the central bank may also wish to impose some limits on the amount that could be held by each individual 
or business. Setting aside the practicalities of this, limits on individual holdings of CBDC could help ensure that 
CBDC was used primarily for payments balances and not for large savings, reducing the extent of 
disintermediation of the banking system.
A hard limit would specify the total amount of CBDC that each type of user could hold (perhaps with a different 
limit for businesses and individuals). Such a limit would pose some practical challenges. For example, if a user 
reached its CBDC limit, would incoming payments to that account be blocked? In addition, if users could hold 
multiple CBDC accounts with multiple Payment Interface Providers, there would need to be a way to calculate 
each user’s total CBDC holdings across all accounts. This would not be impossible, but would require careful 
technological design.
If CBDC were to be remunerated, then soft limits, such as the tiered remuneration schedule discussed above, may 
be preferable to hard limits. Soft limits could provide an economic incentive for users to limit their holdings of 
CBDC by making it less attractive to hold balances above a given level.
(7) Chiu and Hill (2015).
(8) Carney (2020).</x:v>
      </x:c>
    </x:row>
    <x:row r="273" ht="110" customHeight="1">
      <x:c r="A273" s="46" t="str">
        <x:v>PRD-0075-P0044-U01</x:v>
      </x:c>
      <x:c r="B273" s="46" t="str">
        <x:v>UK_BoE_2020_OpportChall</x:v>
      </x:c>
      <x:c r="C273" s="46" t="n">
        <x:v>44</x:v>
      </x:c>
      <x:c r="D273" s="46" t="str">
        <x:v>en</x:v>
      </x:c>
      <x:c r="E273" s="46" t="str">
        <x:v>text</x:v>
      </x:c>
      <x:c r="F273" s="46" t="str"/>
      <x:c r="G273" s="46" t="str">
        <x:v>Discussion Paper: Central Bank Digital Currency  March 2020 43
6.2 Our requirements for the core ledger
Any form of CBDC would require a ledger, to keep a record of CBDC transactions, and to maintain the overall 
stock and supply of CBDC. One reason for this is to prevent users being able to ‘double‑spend’ CBDC by sending 
the same units to different recipients. There are considerations, discussed later in this chapter, around whether the 
ledger is centralised or decentralised, and whether it uses an account‑based or token‑based data structure but, in 
all of these scenarios, a ledger is required.
The core ledger must be optimised around the following design principles:
• Resilient: because CBDC would likely serve as a critical piece of national infrastructure, it would need to be 
able to handle hardware and software failures in parts of the CBDC system, or telecom network failures, while 
sustaining continuity of operations and without having a single point of failure that could break the system. It 
must also be resilient to, and able to adapt to, peaks in demand.
• Secure: in particular, CBDC would need to maintain data integrity and be protected from data loss, data theft 
and cyber vulnerabilities. It must be possible to upgrade the security model as threats evolve.
• Available: CBDC payments would need to be available 24/7, and so the core ledger should also operate 24/7, 
with no planned downtime.
• Scalable: it must be possible to increase the capacity of the core ledger as demand increases over time.
• Fast: because CBDC would be used for retail payments, the ledger must be able to process and confirm 
transactions very quickly.
• Efficient: the processes should be optimised around the functionality that will be used by most or all users. 
More complex functionality that would only be used by a smaller subset of users should be left for overlay 
services, where possible, to avoid adding complexity or reducing the speed of the core ledger.
• Extensible: the core ledger would need to be able to provide the necessary functionality to enable a range of 
overlay services which can meet new use cases and evolving demands. It must be possible to update and 
upgrade the platform as demand changes.
Building a payment system requires making trade‑offs and striking the right balance between different design 
principles. Consequently, in designing a CBDC it will be impossible to maximise the outcome on every design 
consideration. For example, some common trade‑offs in payment systems include:
• Transaction throughput versus speed of settlement. Card payment systems handle high volumes of low 
value payments, and prioritise the speed of payment authorisation when a customer is standing at the 
checkout counter, even though the merchant may not receive the funds for a number of days. In contrast, the 
high‑value payment systems used by banks and financial institutions handle lower volumes of payments and 
prioritise liquidity efficiency and the speed with which the payee receives the funds with no possibility of the 
payment being reversed (known as ‘finality of settlement’).
• Simplicity versus functionality. In the platform model outlined in Chapter 4, the Bank’s core ledger would 
have the minimum necessary functionality, because limiting the functionality reduces the number of possible 
flaws, or bugs, in software (boosting the resilience of the system) and limits the ‘attack surface’ for hostile 
actors (boosting the security of the system). However, if we limit the core functionality too much, it may limit 
the ability of Payment Interface Providers to build useful overlay services, thereby limiting the extensibility and 
level of innovation in the CBDC payment system.
The use case for CBDC in this paper is focused on retail payments (between households and businesses), and so 
we would need to consider the needs of these groups when prioritising certain design choices.</x:v>
      </x:c>
    </x:row>
    <x:row r="274" ht="110" customHeight="1">
      <x:c r="A274" s="46" t="str">
        <x:v>PRD-0076-P0007-U01</x:v>
      </x:c>
      <x:c r="B274" s="46" t="str">
        <x:v>UK_BoE_2023_TechWP</x:v>
      </x:c>
      <x:c r="C274" s="46" t="n">
        <x:v>7</x:v>
      </x:c>
      <x:c r="D274" s="46" t="str">
        <x:v>en</x:v>
      </x:c>
      <x:c r="E274" s="46" t="str">
        <x:v>text</x:v>
      </x:c>
      <x:c r="F274" s="46" t="str"/>
      <x:c r="G274" s="46" t="str">
        <x:v>Page 6 
Devices and payments: CBDC should be widely available and accepted in-store, online and 
peer-to-peer. Users should be able to make and receive payments using smart devices, 
smart cards, ecommerce websites and applications, and existing point-of-sale technologies. 
The Bank would need to establish standards to ensure a consistent minimum level of 
functionality and security. User balances would be recorded on the core ledger, but it might 
be necessary to store some balances locally to support offline payments. PIPs and ESIPs 
would carry out user authentication. 
Interoperability: CBDC would be interoperable, allowing conversion between CBDC and 
other forms of money, particularly cash and bank deposits. Subject to further evaluation and 
taking account of wider developments, this might be enabled through utilising existing 
payment infrastructure, such as Faster Payments System, New Payments Architecture or 
LINK. Further integrations might be added later to support specific payment or settlement 
needs.  
Programmability: The Bank will not pursue central bank-initiated programmable functions. 
This means that the Bank will not program CBDC to restrict its use. But PIPs could, with user 
consent, implement programmability features which are designed to give users greater 
functionality from their wallets and CBDC holdings. These could include automated payments 
or programmable wallets. The CBDC system might also enable a wide range of other 
programmable features, including payment-versus-payment, delivery-versus-payment and 
smart contract functionality, by implementing locking mechanisms, which PIPs and ESIPs 
can access through the API layer. 
Offline payments: The CBDC system might enable offline payments. This could be useful in 
increasing system resilience in the event of network disruption. However, offline payments 
could also increase the risk of double spend, and create challenges in verifying the 
authenticity of funds. Additionally, offline payments could introduce complexities that affect 
system security and performance.  
The considerations raised in this paper will be examined further in the design phase.  
This paper represents our high-level approach to some of the key technology considerations 
and technical requirements for a UK CBDC. They will be examined further and adjusted 
iteratively during the next phase of our work.  
The Bank is seeking feedback on the matters presented in this paper, particularly on the 
specific questions outlined in Section 5. This will feed into our work on CBDC and ensure that 
feedback and challenge from stakeholders is taken into account at an early stage of our 
technology work.</x:v>
      </x:c>
    </x:row>
    <x:row r="275" ht="110" customHeight="1">
      <x:c r="A275" s="46" t="str">
        <x:v>PRD-0076-P0017-U01</x:v>
      </x:c>
      <x:c r="B275" s="46" t="str">
        <x:v>UK_BoE_2023_TechWP</x:v>
      </x:c>
      <x:c r="C275" s="46" t="n">
        <x:v>17</x:v>
      </x:c>
      <x:c r="D275" s="46" t="str">
        <x:v>en</x:v>
      </x:c>
      <x:c r="E275" s="46" t="str">
        <x:v>text</x:v>
      </x:c>
      <x:c r="F275" s="46" t="str"/>
      <x:c r="G275" s="46" t="str">
        <x:v>Page 16 
PIPs function as gateways to the CBDC ecosystem, offering users digital ‘pass-through’ 
wallets3 to interact with, and manage, their CBDC holdings. ESIPs might provide non-
payment, value-add services, such as business analytics, budgeting tools and fraud 
monitoring.  
We expect in-store, online and peer-to-peer (P2P) payments to be the initial focus of a 
UK CBDC. Over time, a broader range of payments may be enabled. 
The digital pound CP proposes that CBDC would be used by households and businesses for 
their everyday payment needs. As such, upon introduction, the CBDC system would support 
two essential types of payments, person-to-business (P2B), both in-store and online, and 
P2P. 
Over the longer term, innovation and evolving user needs may mean a broader range of 
CBDC payment types could be offered. For example, offline and cross-border payments 
could support public policy objectives, but might take time to deliver given the technological 
and operational complexities involved. Batch, split, and micropayments are additional 
payment types that could help to support innovation and meet user needs. 
CBDC would be accessed via smart devices and cards. 
The digital pound CP outlines how users would interact with their CBDC holdings. Users 
could access CBDC through wallets on smart devices. This means that they would be able to 
open a wallet using these devices, which would enable them to manage their balance and 
make payments. Smart devices might include smartphones, laptops, Internet of Things (IoT) 
devices and wearables. Not everyone has a smart device or finds it easy to use one, so 
users could also have physical card options for CBDC payments.  
It should be fast and easy to transfer between CBDC and other forms of money, 
including cash and bank deposits. 
Households and businesses currently make payments using a mix of bank deposits and 
cash. It should be simple, fast and convenient to move between CBDC and other forms of 
money, particularly cash4 and bank deposits.  
A UK CBDC should implement economic design choices as set out in the digital 
pound CP. 
The digital pound CP sets out economic design choices for a UK CBDC. Two of those 
choices have particular implications for technology: 
3 They are called ‘pass-through’ wallets as the users’ holdings are recorded on the Bank’s core ledger, and the 
wallet simply passes instructions from the user to the core ledger. 
4 The physical nature of cash makes moving between it and other forms of money more challenging than digital 
money, but it is important that the aim remains to achieve simple, fast and convenient movement. This is likely 
to require working with existing cash distribution market participants.</x:v>
      </x:c>
    </x:row>
    <x:row r="276" ht="110" customHeight="1">
      <x:c r="A276" s="46" t="str">
        <x:v>PRD-0076-P0019-U01</x:v>
      </x:c>
      <x:c r="B276" s="46" t="str">
        <x:v>UK_BoE_2023_TechWP</x:v>
      </x:c>
      <x:c r="C276" s="46" t="n">
        <x:v>19</x:v>
      </x:c>
      <x:c r="D276" s="46" t="str">
        <x:v>en</x:v>
      </x:c>
      <x:c r="E276" s="46" t="str">
        <x:v>text</x:v>
      </x:c>
      <x:c r="F276" s="46" t="str"/>
      <x:c r="G276" s="46" t="str">
        <x:v>Page 18 
Categories Functionality and features 
Economic 
design • Ability to implement limits policy 
Identity, data 
and privacy 
• No access to users’ personal data by the Bank 
• PIPs undertake know your customer checks and anti-money 
laundering (AML) compliance 
• CBDC would not be anonymous 
• Potential for users to have privacy controls on wallets 
• Potential for tiered wallets based on ID information 
The payments use cases for CBDC are likely to evolve over time. There will need to be 
careful consideration of the ability to meet future payment needs which extend beyond those 
covered in the table.</x:v>
      </x:c>
    </x:row>
    <x:row r="277" ht="110" customHeight="1">
      <x:c r="A277" s="46" t="str">
        <x:v>PRD-0076-P0020-U01</x:v>
      </x:c>
      <x:c r="B277" s="46" t="str">
        <x:v>UK_BoE_2023_TechWP</x:v>
      </x:c>
      <x:c r="C277" s="46" t="n">
        <x:v>20</x:v>
      </x:c>
      <x:c r="D277" s="46" t="str">
        <x:v>en</x:v>
      </x:c>
      <x:c r="E277" s="46" t="str">
        <x:v>text</x:v>
      </x:c>
      <x:c r="F277" s="46" t="str"/>
      <x:c r="G277" s="46" t="str">
        <x:v>Page 19 
3: Technology design considerations 
Figure 5: Overview of the TWP – Technology design considerations for a UK CBDC 
Technology design considerations are a useful way to organise and guide our work. 
In this section, we explore six technology design considerations which can help organise and 
guide our technology work. They will likely have significant impact on eventual CBDC design 
choices. While there are other technology considerations to be taken into account, the Bank 
considers that these six considerations are priorities and will provide a basis for testing 
architectures and solutions, and evaluating design trade-offs. These design considerations 
are: 
• Privacy 
• Security 
• Resilience 
• Performance 
• Extensibility  
• Energy usage</x:v>
      </x:c>
    </x:row>
    <x:row r="278" ht="110" customHeight="1">
      <x:c r="A278" s="46" t="str">
        <x:v>PRD-0076-P0022-U01</x:v>
      </x:c>
      <x:c r="B278" s="46" t="str">
        <x:v>UK_BoE_2023_TechWP</x:v>
      </x:c>
      <x:c r="C278" s="46" t="n">
        <x:v>22</x:v>
      </x:c>
      <x:c r="D278" s="46" t="str">
        <x:v>en</x:v>
      </x:c>
      <x:c r="E278" s="46" t="str">
        <x:v>text</x:v>
      </x:c>
      <x:c r="F278" s="46" t="str"/>
      <x:c r="G278" s="46" t="str">
        <x:v>Page 21 
Table B: Privacy technology requirements  
Privacy technology requirement  Data protection principle 
Any information accessed by the Bank 
would have to be effectively anonymised  
off-ledger.7 
Integrity and confidentiality 
Personal data collected during user  
on-boarding and payment transactions 
should, by default, be limited to that required 
for those purposes. Users might choose to 
provide additional data in exchange for 
advanced services. 
Data minimisation 
Lawfulness, fairness and transparency 
Know your customer data collection 
processes should support integration with 
user identity services.8 
Lawfulness, fairness and transparency 
PIP and ESIP access to transaction data 
within the CBDC system should be limited to 
the legal and regulatory minima, with users 
controlling their preferences. 
Lawfulness, fairness and transparency 
Integrity and confidentiality 
Data minimisation 
Where PIPs and ESIPs need identity and 
payments data to be linked, their access to 
these data must be limited to the legal and 
regulatory minima. 
Integrity and confidentiality 
Data minimisation 
Lawfulness, fairness and transparency 
Privacy-enhancing technologies  
Privacy-enhancing technologies (PETs) show promise in enabling payment and data 
processing while minimising personal data exposure, and maximising security. 
The term PETs covers a broad range of technologies designed to support privacy and data 
protection. These technologies may be cryptographic, statistical or procedural in nature. 
Since PETs enable a ‘data privacy by design’ approach to data processing, they might 
support the policy objectives related to privacy. Further work is needed before any decision 
can be made on whether or not to use PETs. In the interim, the Bank has collated a non-
exhaustive list of PETs which might have applications in a CBDC system. The merits and 
case for use of such PETs, along with others not listed here, will be assessed in the next 
phase of work.  
7 ICO (2021) – How do we ensure anonymisation is effective?. 
8 HM Government (2016) – ‘Know your customer' guidance; and HM Government (2021) – UK digital 
identity and attributes trust framework.</x:v>
      </x:c>
    </x:row>
    <x:row r="279" ht="110" customHeight="1">
      <x:c r="A279" s="46" t="str">
        <x:v>PRD-0076-P0027-U01</x:v>
      </x:c>
      <x:c r="B279" s="46" t="str">
        <x:v>UK_BoE_2023_TechWP</x:v>
      </x:c>
      <x:c r="C279" s="46" t="n">
        <x:v>27</x:v>
      </x:c>
      <x:c r="D279" s="46" t="str">
        <x:v>en</x:v>
      </x:c>
      <x:c r="E279" s="46" t="str">
        <x:v>text</x:v>
      </x:c>
      <x:c r="F279" s="46" t="str"/>
      <x:c r="G279" s="46" t="str">
        <x:v>Page 26 
a CBDC to be launched, would work with private sector partners, including PIPs and ESIPs, 
to manage this risk while protecting user privacy. 
A successful attempt to breach a CBDC system might impact users' holdings and their ability 
to make payments. This might, in turn, affect confidence in money and trust in, and adoption 
of, a CBDC. Attacks might also target end-users, which is seen as payment fraud in current 
retail payment services. This is commonly independent of the security of the system. The 
public’s security awareness is therefore a very important factor. 
The Bank acknowledges that defending a retail CBDC system would be more complex than 
securing wholesale systems, such as the Real-Time Gross Settlement (RTGS) service. This 
is due to the number of intermediaries and end-users in a high-volume retail system, which 
increases the attack surface. Therefore, were a CBDC to be launched, the Bank would work 
closely with partners to ensure that security risks are identified and managed across the 
CBDC system. 
Security threats would largely be the same as for other retail payment infrastructure, 
but innovative functionality may present new and additional risks. 
Like any other retail digital payment service, a CBDC system could be subject to payment 
fraud, cyber risk, operational risk, and supply-chain security and concentration risks.9 If not 
effectively managed, these risks could impact the confidentiality, integrity, availability and 
authenticity of the system. Crystallisation of these risks might have financial and operational 
impacts for users, affecting their confidence and trust in money, and could cause reputational 
damage to the Bank. These impacts might include data compromise, system outage or 
tampering with funds. Failure or compromise of a CBDC system could also impact connected 
payment services. Macro-level weaknesses, such as single point of failures in infrastructure 
and critical service providers, system integrations and data dependencies, might transmit and 
amplify incident impact downstream.  
The digital nature of CBDC means that funds could be spent more than once. This is also 
known as the double spend risk. The risk of double spend is more acute for offline payments, 
which take place disconnected from the core ledger, making it more challenging to verify that 
funds have not already been spent (Section 4.8).  
CBDC should support innovations, such as programmability (Section 4.7), but these could 
increase security risks and be susceptible to potential software vulnerabilities in code. 
Therefore, it is important that security is designed into the CBDC system to account for and 
minimise the likelihood and impact of these risks, while balancing system usability. 
9 Evans (2022) – How FSI organisations should balance supply chain and concentration risk.</x:v>
      </x:c>
    </x:row>
    <x:row r="280" ht="110" customHeight="1">
      <x:c r="A280" s="46" t="str">
        <x:v>PRD-0076-P0038-U01</x:v>
      </x:c>
      <x:c r="B280" s="46" t="str">
        <x:v>UK_BoE_2023_TechWP</x:v>
      </x:c>
      <x:c r="C280" s="46" t="n">
        <x:v>38</x:v>
      </x:c>
      <x:c r="D280" s="46" t="str">
        <x:v>en</x:v>
      </x:c>
      <x:c r="E280" s="46" t="str">
        <x:v>text</x:v>
      </x:c>
      <x:c r="F280" s="46" t="str"/>
      <x:c r="G280" s="46" t="str">
        <x:v>Page 37 
Resilience requirement Resilience 
lifecycle phase 
The CBDC system must be able to recover from disruptive events. 
Service recovery is typically associated with a fallback to the primary 
site of operation. The definition of recovery metrics, such as Recovery 
Time Objective24 and Recovery Point Objective,25 would play an 
important role in the design of a resilient CBDC system. 
Recover 
The CBDC system should have trusted data backups to aid in 
recovery.  
A core ledger backup might be used for data reconciliation in the event 
of disruption at one or more entities in the ecosystem. 
Recover 
The CBDC system must be extensible to enable fault fixing and 
system updates. 
A modular architecture supports the application of timely updates to 
incorporate lessons learned, without impacting normal service 
operation. 
Adapt 
A resilient system that incorporates redundancy by design supports high availability 
requirements, but comes with a cost trade-off. System resilience design choices 
might also impact the security of the CBDC ecosystem. 
A redundant design involves the use of additional infrastructure to act as a backstop in the 
event of failure or an attack. This redundancy supports the continuity of critical services but 
has a design trade-off in operating costs. 
Decentralised designs based on distributed ledger technology (DLT) might offer resilience 
and availability benefits, but the increased number of ecosystem entities participating in 
system governance could increase the system attack surface. The implementation of security 
controls to minimise these access control risks might impact system performance, and its 
usability and adoption. Aspects of DLT might be useful in delivering resilience in the CBDC 
system, although further analysis is required. 
Additionally, functionality that provides payment resilience benefits could in turn introduce 
security risks. The introduction of offline payments for payment resilience in the event of 
network disruption introduces the double spend risk (Section 4.8).  
24 Recovery Time Objective. 
25 Recovery Point Objective.</x:v>
      </x:c>
    </x:row>
    <x:row r="281" ht="110" customHeight="1">
      <x:c r="A281" s="46" t="str">
        <x:v>PRD-0076-P0039-U01</x:v>
      </x:c>
      <x:c r="B281" s="46" t="str">
        <x:v>UK_BoE_2023_TechWP</x:v>
      </x:c>
      <x:c r="C281" s="46" t="n">
        <x:v>39</x:v>
      </x:c>
      <x:c r="D281" s="46" t="str">
        <x:v>en</x:v>
      </x:c>
      <x:c r="E281" s="46" t="str">
        <x:v>text</x:v>
      </x:c>
      <x:c r="F281" s="46" t="str"/>
      <x:c r="G281" s="46" t="str">
        <x:v>Page 38 
Next steps  
During the design phase, the Bank will assess and then seek feedback on 
comprehensive resilience requirements for Bank-managed infrastructure. That will 
include analysis of the design prioritisation between system integrity and availability.  
The Bank plans to analyse the feasibility of, and the potential challenges in, attaining the 
potential resilience metrics for Bank-managed infrastructure. That will involve 
examination of ledger designs that support these resilience outcomes, as well as the 
optimisation of system availability in response to future user needs.  
Definition of resilience requirements for PIPs and ESIPs, and an evaluation of the 
associated impact on ecosystem business models is also likely to be required as part of 
the evaluations undertaken during the design phase. 
Considerations for how the Bank, PIPs, ESIPs and critical third parties in the CBDC 
ecosystem could minimise the likelihood of disruption, mitigate its impact and recover 
from a disruptive event will also be evaluated. This might include using a risk 
assessment framework to identify operational risks and disruption impacts, and the 
mitigants to protect against these.</x:v>
      </x:c>
    </x:row>
    <x:row r="282" ht="110" customHeight="1">
      <x:c r="A282" s="46" t="str">
        <x:v>PRD-0076-P0054-U01</x:v>
      </x:c>
      <x:c r="B282" s="46" t="str">
        <x:v>UK_BoE_2023_TechWP</x:v>
      </x:c>
      <x:c r="C282" s="46" t="n">
        <x:v>54</x:v>
      </x:c>
      <x:c r="D282" s="46" t="str">
        <x:v>en</x:v>
      </x:c>
      <x:c r="E282" s="46" t="str">
        <x:v>text</x:v>
      </x:c>
      <x:c r="F282" s="46" t="str"/>
      <x:c r="G282" s="46" t="str">
        <x:v>Page 53 
4.2: Analytics 
Summary 
• The Bank may need to collect operational data for the purpose of maintaining and 
operating a stable, secure and efficient CBDC system.  
• Data should be collected and analysed on a separate platform dedicated to 
supporting analytics. 
• The Bank would not collect or analyse users’ personal data. 
In performing the functions of operating, maintaining, and securing the core ledger and API 
layer, the Bank would need to collect operational metadata for predictive, real-time and 
historical aggregate analysis of system status and performance.  
The analysis of operational metadata supports the stability and efficiency of the Bank-
provided core ledger and API layer. Therefore, an engineered data pipeline could collect the 
relevant data from both the core ledger and the API layer, transforming these data in flight, 
and persisting to a platform where analysis can be undertaken safely, away from the core 
systems. This data platform could be configured specifically for data analytics, reporting and 
modelling. It would also be used to pre-empt and alert system failures, bottlenecks and 
anomalous events that may negatively impact the performance and efficiency of the CBDC 
system.  
Much as it does today with existing payment infrastructure, the Bank may also wish to collect 
aggregate data, which have been effectively anonymised, for the purposes of economic and 
policy analysis, in the course of its duties for monetary and financial stability.  
Importantly, no CBDC user would be identifiable through the analysis of these data. The 
Bank will consult in due course on what aggregated data might be collected and for what 
purposes. 
Next steps 
The Bank will assess different options available for enabling appropriate data analytics 
and determine the analytical workloads necessary to support operation of the CBDC 
system.</x:v>
      </x:c>
    </x:row>
    <x:row r="283" ht="110" customHeight="1">
      <x:c r="A283" s="46" t="str">
        <x:v>PRD-0076-P0056-U01</x:v>
      </x:c>
      <x:c r="B283" s="46" t="str">
        <x:v>UK_BoE_2023_TechWP</x:v>
      </x:c>
      <x:c r="C283" s="46" t="n">
        <x:v>56</x:v>
      </x:c>
      <x:c r="D283" s="46" t="str">
        <x:v>en</x:v>
      </x:c>
      <x:c r="E283" s="46" t="str">
        <x:v>text</x:v>
      </x:c>
      <x:c r="F283" s="46" t="str"/>
      <x:c r="G283" s="46" t="str">
        <x:v>Page 55 
people to save their wallet details so they can be paid again in the future. PIPs, rather than 
the Bank, would be responsible for implementing user-privacy preferences of this sort. 
To meet these requirements, a CBDC might have both a well-known and a disposable 
alias. 
A well-known alias changes rarely and is something the wallet holder is happy to be shared 
with, and stored by, third parties. For example, users may choose to link their mobile phone 
numbers to their wallets so that a messaging service might use their phone numbers to 
facilitate CBDC payments. 
A disposable alias, as the name suggests, is used for a short period of time. It is useful where 
a user wants to be able to conduct a transaction in private and not allow the recipient a 
record of their identity. For example, when buying groceries or coffee, users may elect to use 
a disposable alias. Disposable aliases would constantly change, so they may need to be 
recycled or archived after an appropriate amount of time to reduce the volume of information 
stored in the alias service. As increased volume could slow the performance of the alias 
service, managing the scaling and recycling of aliases would be critical.  
A wallet holder might have both well-known and disposable aliases on their wallet at the 
same time. They should always have at least one alias so that the core wallet identifier is 
never exposed. This ensures there is always a level of abstraction and protection of the core 
wallet identifier, protecting it from being compromised. If an alias were to be compromised, a 
new alias can be created rather than having to create a new wallet.  
The initial design for aliases could include: 
• Phone number: These aliases might enable fast payments to and from mobile phone 
numbers. These aliases are unlikely to be disposable. 
• PAN alias: Primary account number (PAN) is the technical name for the long number 
on a debit or credit card. These aliases would enable payment at PoS terminals. 
• Account number and sort code: These aliases would follow the same standard as UK 
current accounts and would be used to enable payments to and from bank accounts. 
• Wallet alias: These aliases would be used for CBDC-to-CBDC payments. 
Aliases must be compatible with PIPs’ obligations to comply with KYC and AML 
regulations. 
While a user may choose to use a disposable alias for a specific payment, their own wallet 
provider would still know who they are. The alias design allows privacy for the payer from the 
payee and vice versa, but not privacy from their PIPs. PIPs must still be able to fulfil their 
regulatory obligations around AML and KYC.</x:v>
      </x:c>
    </x:row>
    <x:row r="284" ht="110" customHeight="1">
      <x:c r="A284" s="46" t="str">
        <x:v>PRD-0076-P0058-U01</x:v>
      </x:c>
      <x:c r="B284" s="46" t="str">
        <x:v>UK_BoE_2023_TechWP</x:v>
      </x:c>
      <x:c r="C284" s="46" t="n">
        <x:v>58</x:v>
      </x:c>
      <x:c r="D284" s="46" t="str">
        <x:v>en</x:v>
      </x:c>
      <x:c r="E284" s="46" t="str">
        <x:v>text</x:v>
      </x:c>
      <x:c r="F284" s="46" t="str"/>
      <x:c r="G284" s="46" t="str">
        <x:v>Page 57 
4.4: API layer 
Summary 
• The API layer allows external parties (PIPs and ESIPs) to access the core CBDC 
infrastructure offered by the Bank. 
• The API layer aims to be use case agnostic, allowing external parties to build a 
diverse range of innovative services for the end user. 
• The API layer architecture should be designed with a strong focus on usability, 
security and the ability to introduce new innovative functionality without 
compromising core use cases.  
• The Bank is experimenting with API design through Project Rosalind in conjunction 
with the BIS Innovation Hub London Centre. 
The API layer would allow PIPs and ESIPs to build overlay services. 
The core ledger would provide the minimum necessary functionality for managing a CBDC 
wallet and making payments using CBDC. The API layer would allow PIPs and ESIPs to 
access this functionality, allowing them to build overlay services that make CBDC usable and 
useful. 
A well-designed API layer would allow PIPs to integrate their current and future payment 
services with a CBDC. The API layer should also be designed with the aim of encouraging a 
range of innovative digital products and services that add value for users.  
The API layer would facilitate instructions and data sharing between PIPs, ESIPs and 
the core ledger, in a secure and efficient way. 
A potential API architecture would consist of two key components, an API gateway and API 
services:  
• The API gateway would provide a single entry point for API calls, which enables 
efficient and secure management of the API requests by routing valid requests to the 
appropriate service. 
• The API services would implement the different core functionality accessed through 
the API layer.</x:v>
      </x:c>
    </x:row>
    <x:row r="285" ht="110" customHeight="1">
      <x:c r="A285" s="46" t="str">
        <x:v>PRD-0076-P0061-U01</x:v>
      </x:c>
      <x:c r="B285" s="46" t="str">
        <x:v>UK_BoE_2023_TechWP</x:v>
      </x:c>
      <x:c r="C285" s="46" t="n">
        <x:v>61</x:v>
      </x:c>
      <x:c r="D285" s="46" t="str">
        <x:v>en</x:v>
      </x:c>
      <x:c r="E285" s="46" t="str">
        <x:v>text</x:v>
      </x:c>
      <x:c r="F285" s="46" t="str"/>
      <x:c r="G285" s="46" t="str">
        <x:v>Page 60 
The API specification should be designed to enable access and adoption by PIPs and 
ESIPs.  
To the maximum extent possible, the API should be agnostic to the core ledger technology. 
For instance, whether monetary units are token or account based, or whether the core ledger 
is centralised or distributed.  
Other design considerations for the API layer are: 
• The API should be use case agnostic; a core set of API functions should support a 
large number of use cases. 
• The API specification must be designed with simplicity at its core, enabling easy 
integration for PIP and ESIP internal systems. 
• The API should be well documented to enable adoption.  
• The API specification should be stable and should not require frequent updates.  
• The API layer should be reliable. Multiple identical requests should always receive the 
same response, error messages should be clear and concise. 
• The API specification should consist of a number of well-defined functions, to support 
extensibility (see Section 3.5). Highly encapsulated API specifications could facilitate a 
higher degree of extensibility and legacy compatibility during upgrades. 
• The governance of the API layer should be clearly defined from the beginning to 
ensure minimal impact in the CBDC ecosystem when changes are implemented in the 
API layer. 
Box A: Project Rosalind 
Project Rosalind is a collaboration between the BIS Innovation Hub London Centre and 
the Bank. The project aims to develop a best-in-class API specification for a retail CBDC 
in order to gain understanding on how a CBDC could deliver its core functionality. By 
focusing on the API design, Rosalind allows the design of the core ledger to be 
abstracted.  
The project will explore some of the functionalities required to enable a diverse and 
innovative set of use cases developed by the private sector. Through this 
experimentation, the project aims to study how best to define a robust API layer which 
could lay the foundation for a successful CBDC ecosystem. 
Further information on Project Rosalind can be found on the BIS website.</x:v>
      </x:c>
    </x:row>
    <x:row r="286" ht="110" customHeight="1">
      <x:c r="A286" s="46" t="str">
        <x:v>PRD-0076-P0064-U01</x:v>
      </x:c>
      <x:c r="B286" s="46" t="str">
        <x:v>UK_BoE_2023_TechWP</x:v>
      </x:c>
      <x:c r="C286" s="46" t="n">
        <x:v>64</x:v>
      </x:c>
      <x:c r="D286" s="46" t="str">
        <x:v>en</x:v>
      </x:c>
      <x:c r="E286" s="46" t="str">
        <x:v>text</x:v>
      </x:c>
      <x:c r="F286" s="46" t="str"/>
      <x:c r="G286" s="46" t="str">
        <x:v>Page 63 
to define the transaction value. While smart cards which contain batteries, screens, keypads 
and even fingerprint scanners do exist, they are more costly to issue.  
CBDC should support e-commerce transactions. 
E-commerce transactions take a variety of forms, including web pages on mobile and 
desktop browsers, and in-app payments on smart phones, games consoles and a growing 
range of devices. The API layer should enable wallet providers to support payments across 
the range of e-commerce methods and devices either through integrating CBDC payments 
into existing checkout pages or by creating custom CBDC payment flows.  
For CBDC to be useful for everyday payments, users would need to be able to pay in 
store for purchases.  
To ensure utility and support adoption, CBDC would need to be widely accepted in stores. 
Therefore, it is likely that the CBDC system would be designed to allow merchants to use 
existing PoS terminals to accept CBDC payments. This would eliminate the need for 
merchants to invest in new hardware. Existing PoS technology also has the advantage of 
familiarity for merchants as well as wide hardware coverage. 
The Bank commissioned a feasibility study which explored how CBDC could be accepted for 
payments using the existing PoS estate in the UK. The study concluded that it would be 
feasible to use existing PoS infrastructure to accept CBDC payments, and that there are 
several viable ways of doing so. The study also highlighted that there are parallels between 
an existing EMV37 contactless transaction and a CBDC transaction, as shown in Figure 11. 
37 EMV is a set of specifications which enable smart card-based payments to be consistently accepted across 
different payment schemes.</x:v>
      </x:c>
    </x:row>
    <x:row r="287" ht="110" customHeight="1">
      <x:c r="A287" s="46" t="str">
        <x:v>PRD-0076-P0070-U01</x:v>
      </x:c>
      <x:c r="B287" s="46" t="str">
        <x:v>UK_BoE_2023_TechWP</x:v>
      </x:c>
      <x:c r="C287" s="46" t="n">
        <x:v>70</x:v>
      </x:c>
      <x:c r="D287" s="46" t="str">
        <x:v>en</x:v>
      </x:c>
      <x:c r="E287" s="46" t="str">
        <x:v>text</x:v>
      </x:c>
      <x:c r="F287" s="46" t="str"/>
      <x:c r="G287" s="46" t="str">
        <x:v>Page 69 
Interoperability with cash 
Existing infrastructure might also be used to enable interoperability with cash. This points 
towards exploring the feasibility of using infrastructures, such as LINK, for CBDC to cash 
conversions. 
Since ATMs are predominantly cash dispensing (while it is an option to have them accept 
cash deposits it is not the dominant mode), the Bank will conduct further investigation into 
whether cash to CBDC conversion could be automated. However, for reasons of practicality 
and financial inclusion, some level of ‘in-person’ service is likely to be needed. This will be 
subject to further exploration. 
Next steps  
The Bank will engage with stakeholders to determine the functionality necessary for 
enabling conversions between CBDC and other forms of money, including, where 
appropriate, possible proofs of concept or feasibility tests. 
Interoperability will be a priority area for research and experimentation during the design 
phase, including through collaboration with the financial sector, technologists and other 
central banks.</x:v>
      </x:c>
    </x:row>
    <x:row r="288" ht="110" customHeight="1">
      <x:c r="A288" s="46" t="str">
        <x:v>PRD-0079-P0015-U01</x:v>
      </x:c>
      <x:c r="B288" s="46" t="str">
        <x:v>UN_ESCAP_ESCAP-2022-RP-National-study-central-bank-digital-currency-stablecoin-Maldives</x:v>
      </x:c>
      <x:c r="C288" s="46" t="n">
        <x:v>15</x:v>
      </x:c>
      <x:c r="D288" s="46" t="str">
        <x:v>en</x:v>
      </x:c>
      <x:c r="E288" s="46" t="str">
        <x:v>text</x:v>
      </x:c>
      <x:c r="F288" s="46" t="str"/>
      <x:c r="G288" s="46" t="str">
        <x:v>15 
(4) Risk of runs on bank deposits in times of economic stres s, conversion of large 
amounts of bank account deposits into digital currency (resulting in an excess of 
currency notes); or risk of consumers dumping Digital Currency if there is a 
differential in interest rates for the CBDC vs commercial bank money, leav ing the 
CBDC illiquid . This would have to  be managed using limits on digit currency 
balances and spending velocity limits.  
(5) Risk of the banking industry seeing the Central Bank as a disintermediation 
threat (although a 2-tier system is likely for retail CBDC in most jurisdictions). 
(6) The liabilities of MMA could increase with the launch of a CBDC. There will need 
to be a unit within MMA (possibly two or three people) to deal with customer 
complaints and disputes. 
(7) The issuance of a CBDC will incr ease the size of the MMA balance sheet as an 
unknown proportion  of customers’ account activity previously conducted in 
commercial bank money will now be conducted in Central Bank money. This will 
need careful consideration and monitoring. 
(8) With the introduction of CBDC , demand for USD may decrease, (less Rufiyaa 
exchanged for USD), and if so, the consequences for foreign exchange rates may 
be negative. 
(9) Security risks: 
a. attacks on individual accounts (possible account take -over or spoofing, 
normally caused by weaknesses in payment origination procedures); 
b. attacks on the centralized CBDC ledger (very unlikely in practice – FMIs are 
very rarely attacked); 
c. if a blockchain approach were used, attacks on blockchain integrity (eg “51% 
attacks”7), which are impossible in a Central Bank managed  “permissioned” 
blockchain). 
These perceived risks must all be addressed  for a CBDC issue d by MMA , wheth er the 
intention is for a wholesale CBDC only ( for inter-bank or cross-border payments), or for 
a retail CBDC to be used by the public nationwide.  
2.3.2 Acceptance risks 
Furthermore, the degree of public take -up of the digital currency is an extremely 
important issue. Objectives will not be achieved if people do not use the digital 
currency, and they will not do so if they do not enjoy a benefit from using it. People (and 
banks) are very conservative about the way they do financial transactions. There is a 
downside – people like cash; and they don’t want their transactions potentially under 
surveillance. 
7 In which more than half of the participants in a blockchain conspire to defraud the rest – theoretically 
possible in the public blockchains used for privately issued cryptocurrencies</x:v>
      </x:c>
    </x:row>
    <x:row r="289" ht="110" customHeight="1">
      <x:c r="A289" s="46" t="str">
        <x:v>PRD-0079-P0029-U01</x:v>
      </x:c>
      <x:c r="B289" s="46" t="str">
        <x:v>UN_ESCAP_ESCAP-2022-RP-National-study-central-bank-digital-currency-stablecoin-Maldives</x:v>
      </x:c>
      <x:c r="C289" s="46" t="n">
        <x:v>29</x:v>
      </x:c>
      <x:c r="D289" s="46" t="str">
        <x:v>en</x:v>
      </x:c>
      <x:c r="E289" s="46" t="str">
        <x:v>text</x:v>
      </x:c>
      <x:c r="F289" s="46" t="str"/>
      <x:c r="G289" s="46" t="str">
        <x:v>29 
in other small er countries who have substantial experience in using sandbox  
programmes with FinTech companies32 and also among th ose who have impl emented 
specialised financial centres.33  
Sandbox experience in other small countries – Brunei, Bahamas, for example – indicates 
that Sandboxes are usually little more than sophisticated testing and t rialling 
environments for FinTech products, with the added characteristic of allowing such 
testing to move into Pilot stages with less regulatory strictures than those which would 
normally apply for, sa y, a bank ’s novel payment system offering.  Hence, the FinTech 
company would not be required to obtain a licens e or formal “no objection to operate” 
permission from the  Central Bank  before s tarting to use the prod uct with real  
customers. In practice, though, the Sandbox rules would not allow a product which had 
not been proven financially safe to be trialled with the public. 
Identifying the  regulations which can reasonably be relaxed is the  main challenge 
concerning use of a “Regulatory Sandbox” for the p urpose of testing a FinTech product 
in the real economy without causing actual regulatory problems. In general, it is 
administrative requirements that are relaxed, such as the requirement for Directors of 
the FinTech company to have a certain level of experience, or for the company to have a 
track record over a number of years  or a certain amount of capital.  There is almost 
never any reduction in  security requirements or consumer protection requirements for 
obvious reasons. The precise rules governing the Sandbox and the types of controls that 
could be temporarily relaxed for experimental purposes would have to be explored. 
Outsourcing requirements, notably those regarding overseas o utsourcing, may be 
relaxed in jurisdictions for which ther e is n o data residency legislation. At present, n o 
such legislation is planned to be  introduced in the Maldives, although data protection 
laws wou ld a pply. Some data protec tion contr ols are already in place within the 
Maldives Banking Act and there is an expectation that a Data Privacy Act will be 
introduced. A Sandbox regime would not normally  allow any slack on data protection 
requirements. 
Responsibility for a Sandbox for CBDC and digital payment generally should fall to the 
Central Bank as the authority responsible for the integrity of the payment system. In the 
Maldives, the MMA will need to fulfil this role, but to do so must have the nec essary 
resources.  
To understand how a sandbox regime may evolve, i t is useful to note the ways in wh ich 
Sandboxes in advanced digital countries such as Singapore have developed since their 
inception. The Sand box programme of the Monetary Authority of Singapore (MAS) is a 
good example . MAS began its Sandbox programme in 2016 and MAS Governor, Ravi 
Menon announced significant enhancements at the S ingapore Fi nTech Festival in 
November 2021, extolling the virtues of experimentation. 
32 For example Brunei Darussalam 
33 For example, the Astana International Financial Centre in Kazakhstan</x:v>
      </x:c>
    </x:row>
    <x:row r="290" ht="110" customHeight="1">
      <x:c r="A290" s="46" t="str">
        <x:v>PRD-0079-P0041-U01</x:v>
      </x:c>
      <x:c r="B290" s="46" t="str">
        <x:v>UN_ESCAP_ESCAP-2022-RP-National-study-central-bank-digital-currency-stablecoin-Maldives</x:v>
      </x:c>
      <x:c r="C290" s="46" t="n">
        <x:v>41</x:v>
      </x:c>
      <x:c r="D290" s="46" t="str">
        <x:v>en</x:v>
      </x:c>
      <x:c r="E290" s="46" t="str">
        <x:v>text</x:v>
      </x:c>
      <x:c r="F290" s="46" t="str"/>
      <x:c r="G290" s="46" t="str">
        <x:v>41 
5 Role of  stakeholders in developing digital currency  in the 
Maldives  
5.1 Purpose 
The section is inten ded to map the domestic/regional stakeholders and their capacity 
for developing CBDC and stablecoin digital currency 
5.2 Stakeholders 
The stakeholders in CBDC projects usually include the following: 
• The Central Bank (the MMA)  – typically the sponsor of the programme is the 
Central Bank, which  has responsibility for the integrity of  the payment system 
and for monetary policy 
• The commercial banks – who will normally act as distributors of the currency to 
the public 
• Government Agencies, which will have an input to the potential uses of the CBDC 
or other digital instruments for the benefit of the country and its people ; in the 
Maldives, thes e include the Ministry of Climate, Tourism and Technology, the 
Ministry of Finance and other relevant agencies 
• Businesses, especially merchants, who will be major acceptors and users of the 
CBDC 
• The public , and community and consumer groups, will be c oncerned about 
matters such as safeguarding of customer funds, privacy and data protection 
• Technology providers, which may include more than one firm – the provider of 
the central CBDC Issuance system, the providers of conventional or b lockchain 
infrastructure and the tele coms providers, and the provider s of front-end 
technology such as mobile Apps , QR code registry, directory services, PoS 
technology 
• Regional groupings, in the case of the Maldives, SAARC, who will have an interest 
in potential cross-border payment and collateral arrangements and will wish to 
share learning about the uses of new technologies. 
The table in Annex 7 provides details of the expected ro les and responsibilities of the 
stakeholders. 
5.3 Role of FinTechs 
It is an aim of th is project to ensure that Maldivian FinTech companies are involved in 
the development of the CBDC and stablecoin / asset tokenization initiatives . A list of 
current FinTechs is provided as Annex 8. 
The main opportunity for FinTechs is in  the provision of end-customer products such as 
mobile Apps  and products that exploit the oppo rtunities for Open Banking  or DeFi . A 
centralised mobile App for CBDC use which includes the ability to have multiple wallets</x:v>
      </x:c>
    </x:row>
    <x:row r="291" ht="110" customHeight="1">
      <x:c r="A291" s="46" t="str">
        <x:v>PRD-0079-P0046-U01</x:v>
      </x:c>
      <x:c r="B291" s="46" t="str">
        <x:v>UN_ESCAP_ESCAP-2022-RP-National-study-central-bank-digital-currency-stablecoin-Maldives</x:v>
      </x:c>
      <x:c r="C291" s="46" t="n">
        <x:v>46</x:v>
      </x:c>
      <x:c r="D291" s="46" t="str">
        <x:v>en</x:v>
      </x:c>
      <x:c r="E291" s="46" t="str">
        <x:v>text</x:v>
      </x:c>
      <x:c r="F291" s="46" t="str"/>
      <x:c r="G291" s="46" t="str">
        <x:v>46 
1. Cross border payments of all types using wholesale or retail CBDCs, 
with experiments conducted together with other nations where 
possible, such as the initiatives described above. 
2. Domestic payments, especially exploring benefits for government 
payments and collections, enabling a safe and efficient eco-system for 
payment of suppliers , investment funds, international aid  and 
collection of revenues. 
3. Reduction in costs (cash supply, cash handling, transaction costs etc) 
by identifying functions that would create public benefits from 
reduction in the use of cash. 
5) Any research or experimentation with stablecoins  within the Innovation Hub  
must be based on assets that the MMA (potentially in cooperation with other 
Central Banks/governments) can properly back, or that are transparently and 
reliably backed by fiat currencies , commodities or other stable assets . This 
could include projects con cerned with cross-border remittances , resort -
based stablecoins using stable digital assets  and w ith commodity -backed 
Islamic Finance instruments. 
6) Regulatory policy with regard to conventional cryptocurrencies, stablecoins, 
digital a ssets and other  innovative financial instruments must be explored, 
and the Innovation Hub experiments could make an effective contribution to 
this. In particular, the regulatory framework for protecting deposits taken by 
digital asset issuers needs investigation. 
7) Educational and awareness initiatives should be established, aimed at 
merchants and business people as well as consumers, as part of a b road 
financial literacy program, to promulgate the benefits of digital payments 
and encourage reduction in the use of cash. This would benefit the growth of 
the TietoEVRY program as well as a future CBDC initiative. 
8) MMA with the participation of the relevant government ministries, should 
take an act ive role on the SAARC Payments Council and related bodies 
regarding, for example,  financial inclusion,  cross-border payment m atters 
and also to study the benefits and risks of Central Bank Digital Currencies and 
Distributed Ledgers in domestic p ayment systems . MMA should also 
continue its program of engagement with other Central Banks regarding 
CBDCs and other innovative instruments. 
9) The Maldivian government currently has three digital ID systems in place and 
is in the process of integrating them into one system. It is very important for 
the MMA to integrate any new digital payment systems with the government 
digital ID system(s).</x:v>
      </x:c>
    </x:row>
    <x:row r="292" ht="110" customHeight="1">
      <x:c r="A292" s="46" t="str">
        <x:v>PRD-0079-P0058-U01</x:v>
      </x:c>
      <x:c r="B292" s="46" t="str">
        <x:v>UN_ESCAP_ESCAP-2022-RP-National-study-central-bank-digital-currency-stablecoin-Maldives</x:v>
      </x:c>
      <x:c r="C292" s="46" t="n">
        <x:v>58</x:v>
      </x:c>
      <x:c r="D292" s="46" t="str">
        <x:v>en</x:v>
      </x:c>
      <x:c r="E292" s="46" t="str">
        <x:v>text</x:v>
      </x:c>
      <x:c r="F292" s="46" t="str"/>
      <x:c r="G292" s="46" t="str">
        <x:v>58 
Annex 7 – Roles and Responsibilities of Stakeholders in a CBDC 
eco-system 
Stakeholder Roles 
MMA ● Issuer and destructor of currency, responsible for putting  currency into 
circulation and guarantor of the Maldives Digital Currency in accordance 
with the MMA Law; 
● Supervisory/Oversight authority for the compliance of the system and 
payment transactions made with the Digital Currency. 
● Clearing house for transactions and settlement agent for settlements 
between  participant institutions; 
● Custodian of funds received in return for issued digital currencies; 
● Head of centralized KYC/identity infrastructure; 
● Owner and administrator of the digital platform; 
● Owner of certification authority for digital certificates associated with the 
Digital Currency 
● Responsible for the communication policy around the Digital Currency. 
Government 
Legislator / regulator  
● Creation of a legal framework conducive to the promotion and use of the 
Digital Currency (with MMA). 
● Guarantor of the legal provisions relating to the Digital Currency. 
● Guarantor of privacy of data on users and on digital payment transactions 
used for tax purposes, anti -money laundering and combating terrorist 
financing, etc. 
● Guarantor of the balance between legitimate government collection of 
information and citizens’ rights to privacy. 
● Note that the Capital Market Development Authority may need to 
become involved at some point, especially r egarding trading in Digital 
Assets.  
Promoter 
● Promoter of the adoption of digital payments by prioritizing this means of 
payment for government payments, and social benefits operations. 
● Promoter of nat ional dig ital infrast ructures, including responsibility for 
incentives for cash displacement 
Technology firm(s) 
Technology Solutions Provider: 
● Provide the technological solution(s) in order to operationalize the vision 
of the Maldivian Government and the MMA for the Digital Currency; 
● Provide technical assistance to other Stakeholders (MMA, payment 
merchants, Commercial Banks and non -bank PSPs, Cooperatives, end 
users.) 
● Provide the necessary technological infrastructure for: 
o The issuance, destruction, circulation and transfers of the Di gital 
Currency in The Maldives;</x:v>
      </x:c>
    </x:row>
    <x:row r="293" ht="110" customHeight="1">
      <x:c r="A293" s="46" t="str">
        <x:v>PRD-0079-P0060-U01</x:v>
      </x:c>
      <x:c r="B293" s="46" t="str">
        <x:v>UN_ESCAP_ESCAP-2022-RP-National-study-central-bank-digital-currency-stablecoin-Maldives</x:v>
      </x:c>
      <x:c r="C293" s="46" t="n">
        <x:v>60</x:v>
      </x:c>
      <x:c r="D293" s="46" t="str">
        <x:v>en</x:v>
      </x:c>
      <x:c r="E293" s="46" t="str">
        <x:v>text</x:v>
      </x:c>
      <x:c r="F293" s="46" t="str"/>
      <x:c r="G293" s="46" t="str">
        <x:v>60 
trust account; 
● Pay for everyday purchases of goods and services at poi nt of sale and/or 
on-line; 
● Payment of bills; 
● Perform P2P (between two people) transactions offline; 
● Store digital currency in an e-wallet according to the limits established by 
the MMA; 
● Follow up on individual account and file complaints within any time li mit 
set; 
● Assure the timely reconciliation of transactions that have taken place off-
line; 
● Protect their personal information; 
Consumer Groups ● Address Consumer issues such as privacy - in particular  the potential loss 
of anonymity through traceability of digital transactions under certain 
circumstances or above threshold  values. 
Regional 
Groupings 
● The Maldives belongs to the SAARC regional grouping  - the South Asian 
Association for Regional Cooperation.  
● SAARC will in d ue course be seeking interoperability around its member 
countries in re spect of digital currency and instant payments. SAARC 
secretariat will need to be keep informed of the developments 
● The Government of the Maldives and MMA may be expected to make 
presentations about the progress of studies, PoCs and Pilot plans</x:v>
      </x:c>
    </x:row>
    <x:row r="294" ht="110" customHeight="1">
      <x:c r="A294" s="46" t="str">
        <x:v>PRD-0079-P0066-U01</x:v>
      </x:c>
      <x:c r="B294" s="46" t="str">
        <x:v>UN_ESCAP_ESCAP-2022-RP-National-study-central-bank-digital-currency-stablecoin-Maldives</x:v>
      </x:c>
      <x:c r="C294" s="46" t="n">
        <x:v>66</x:v>
      </x:c>
      <x:c r="D294" s="46" t="str">
        <x:v>en</x:v>
      </x:c>
      <x:c r="E294" s="46" t="str">
        <x:v>text</x:v>
      </x:c>
      <x:c r="F294" s="46" t="str"/>
      <x:c r="G294" s="46" t="str">
        <x:v>66 
• ECB (covering France, Germany and Italy as well as smaller members) 
conducting a 24-month project on retail CBDC, which has issued various 
working papers looking at privacy as a significant issue. The overall view is 
that citizens are not enthusiastic, and risks seem to outweigh benefits so a 
potential launch would not happen in the short term. 
• France - Banque de France has its own experimental project on wholesale 
CBDC for domestic and cross-border, focussed on interbank transactions and 
has experimented with MAS and with the Swiss National Bank in 2021; ready 
to launch by 2023 but no plan to do so. 
• Germany and Italy do not have current major projects separate from ECB 
initiatives 
• UK – Bank of England conducted major studies and distributed consultation 
documents but there is little enthusiasm among politicians or the public; 
there are concerns about financial stability and the risk of BoE getting 
involved in controversies regarding anonymity and privacy; risks seem 
currently to outweigh benefits, so any potential launch would not happen in 
the short term.  
• Japan – cancelled its CBDC project citing lack of interest from the public – 
digital payment is already widely used in Japan and a new method did not 
elicit enthusiasm in consultations. 
• Canada - Project Jasper – conclusion is that privacy, security and universal 
access are significant issues and the possibility of launching a CBDC would 
require significant political will and public enthusiasm, which is currently 
lacking. 
• The flavour is that the major developed economies are looking at CBDCs only 
as a contingency measure, should the public and the world economy demand 
it in due course. Bank of Canada sums it up: “We are building the capability 
so we can be ready should the need arise” – much like MAS. 
China and India – the giants 
• China has been running a Pilot program for the digital Yuan or eCNY for 
several years in selected cities and claims that more than 140 million people 
(around 10% of the population) have opened digital wallets 
• Experimental use at the winter Olympics in Beijing was deemed a great 
success.  
• The wallets seem to work much like AliPay or WeChat Pay wallets and are 
thus readily useable by the public who are used to those systems - hence the 
retail eCNY is not a blockchain system. 
• The Chinese government is further ahead in digital currency research than 
any other major economy, but sees economic and political challenges to 
conducting a national roll-out - hence, after nearly a decade of development</x:v>
      </x:c>
    </x:row>
    <x:row r="295" ht="110" customHeight="1">
      <x:c r="A295" s="46" t="str">
        <x:v>PRD-0080-P0017-U01</x:v>
      </x:c>
      <x:c r="B295" s="46" t="str">
        <x:v>US_Fed_2022</x:v>
      </x:c>
      <x:c r="C295" s="46" t="n">
        <x:v>17</x:v>
      </x:c>
      <x:c r="D295" s="46" t="str">
        <x:v>en</x:v>
      </x:c>
      <x:c r="E295" s="46" t="str">
        <x:v>text</x:v>
      </x:c>
      <x:c r="F295" s="46" t="str"/>
      <x:c r="G295" s="46" t="str">
        <x:v>Central Bank Digital CurrencyThe Federal Reserve is considering how a CBDC might fit into the U.S. money and payments land-scape. A crucial test for a potential CBDC is whether it would prove superior to other methods thatmight address issues of concern outlined in this paper.As noted above, for the purposes of this discussion paper, CBDC is defined as a digital liability ofthe Federal Reserve that is widely available to the general public.19Today, Federal Reserve notes(i.e., physical currency) are the only type of central bank money available to the general public.Like existing forms of commercial bank money and nonbank money, a CBDC would enable the gen-eral public to make digital payments. As a liability of the Federal Reserve, however, a CBDC wouldnot require mechanisms like deposit insurance to maintain public confidence, nor would a CBDCdepend on backing by an underlying asset pool to maintain its value. A CBDC would be the safestdigital asset available to the general public, with no associated credit or liquidity risk.The Federal Reserve will continue to explore a wide range of design options for a CBDC. While nodecisions have been made on whether to pursue a CBDC, analysis to date suggests that a poten-tial U.S. CBDC, if one were created, would best serve the needs of the United States by beingprivacy-protected, intermediated, widely transferable, and identity-verified.Privacy-protected:Protecting consumer privacy is critical. Any CBDC would need to strike anappropriate balance, however, between safeguarding the privacy rights of consumers and affordingthe transparency necessary to deter criminal activity.Intermediated:The Federal Reserve Act does not authorize direct Federal Reserve accounts forindividuals, and such accounts would represent a significant expansion of the Federal Reserve’srole in the financial system and the economy. Under an intermediated model, the private sectorwould offer accounts or digital wallets to facilitate the management of CBDC holdings and pay-ments. Potential intermediaries could include commercial banks and regulated nonbank financialservice providers, and would operate in an open market for CBDC services. Although commercialbanks and nonbanks would offer services to individuals to manage their CBDC holdings and pay-19Narrower-purpose CBDCs could also be developed, such as one designed primarily for large-value institutional paymentsand not widely available to the public. In this paper, the term “general purpose” includes such potential uses for a CBDCbut is not limited to it. The Board welcomes comments that may address whether there is a potential more limited rolefor a CBDC for such uses. CBDC is formally and broadly defined as a type of digital money issued by the central bank,denominated in the same way as its currency, that is in some way different from traditional reserve bank balances orsettlement accounts. See Committee on Payments and Market Infrastructures, Central Bank Digital Currencies(Basel:BIS, March 2018), https://www.bis.org/cpmi/publ/d174.pdf; Bank for International Settlements, Central Bank DigitalCurrencies: Foundational Principles and Core Features(Basel: BIS, October 2020), https://www.bis.org/publ/othp33.pdf.
13</x:v>
      </x:c>
    </x:row>
    <x:row r="296" ht="110" customHeight="1">
      <x:c r="A296" s="46" t="str">
        <x:v>PRD-0080-P0030-U01</x:v>
      </x:c>
      <x:c r="B296" s="46" t="str">
        <x:v>US_Fed_2022</x:v>
      </x:c>
      <x:c r="C296" s="46" t="n">
        <x:v>30</x:v>
      </x:c>
      <x:c r="D296" s="46" t="str">
        <x:v>en</x:v>
      </x:c>
      <x:c r="E296" s="46" t="str">
        <x:v>text</x:v>
      </x:c>
      <x:c r="F296" s="46" t="str"/>
      <x:c r="G296" s="46" t="str">
        <x:v>hold. As of December 2021, there was around $16.41 trillion in bank credit outstanding, reflectingloans and other credit provided to households, businesses, and governments.40Today, the safety of commercial bank money is supported by federal deposit insurance (subject tocertain limits), a system of prudential regulation and supervision, and access to liquidity from theFederal Reserve.41Under this regime, commercial bank money is sufficiently safe that the generalpublic can transact in commercial bank money with confidence that a dollar of bank deposits iseasily exchangeable for a dollar of physical currency or a dollar of deposits at another bank. Thishas not always been the case. In the early nineteenth century, the principal form of commercialbank money was the banknote—paper money issued by a particular bank rather than thegovernment—rather than deposit balances, and banknotes were often treated very differentlydepending on the issuing bank.42Nonbank MoneySome nonbank financial service providers also issue liabilities that can be considered money.43These providers often hold balances on behalf of consumers or businesses and effect transfers ofthose balances on their own books for users that have signed up for their services.44Money market mutual fund (MMF) shares can be viewed as another form of nonbank money.45MMF shares are issued by nonbanks, and some MMFs, particularly those offered to businessesand institutions, offer immediate liquidity through the sale of shares, fostering their use as money.MMF shares can also serve as a store of value, and frequently are designed to offer investors astable share price.46
40Seasonally adjusted amounts. This figure does not include credit unions or other thrifts. Board of Governors of the Fed-eral Reserve System, Assets and Liabilities of Commercial Banks in the United States—H.8,January 14, 2022, https://www.federalreserve.gov/releases/h8/current/.41The Federal Reserve shares supervisory and regulatory responsibility for domestic banks with the Office of the Comp-troller of the Currency and the Federal Deposit Insurance Corporation at the federal level, and with individual statebanking departments at the state level. Additionally, the National Credit Union Administration oversees federal creditunions, which provide similar if more limited services as banks. The FDIC insures deposits in federally insured banks upto $250,000 per depositor, per insured bank, for each account ownership category for every FDIC-insured bank.42See Gary Gorton, “Reputation Formation in Early Bank Note Markets,” Journal of Political Economy104.2: 346–97, 1996and Gary Gorton, “Pricing Free Bank Notes,” Journal of Monetary Economics44.1: 33–64, 1999.43Nonbank financial service providers are broadly defined as institutions other than banks that offer financial services.See Bank for International Settlements, Committee on Payments and Market Infrastructures, Non-Banks in Retail Pay-ments(Basel: BIS, September 2014), https://www.bis.org/cpmi/publ/d118.pdf for more information on nonbanks.44A variety of mechanisms are used by nonbanks to offer payment services, many of which do not involve issuing liabili-ties. Some nonbank service providers provide user interfaces as an overlay for the customer’s deposit relationship withthe bank. These types of arrangements would be considered “commercial bank money.” Such balances may vary interms, conditions, and protections.45An MMF is a kind of mutual fund that invests in highly liquid, near-term instruments. It is intended to offer investors highliquidity with low risk.46MMFs are registered with and regulated by the Securities and Exchange Commission under the Investment Company Actof 1940. For discussion of recent MMF market events and regulatory reforms, see President’s Working Group on Finan-cial Markets, “Overview of Recent Events and Potential Reform Options for Money Market Funds,” December 2020,https://home.treasury.gov/system/files/136/PWG-MMF-report-final-Dec-2020.pdf.
26Money and Payments: The U.S. Dollar in the Age of Digital Transformation</x:v>
      </x:c>
    </x:row>
    <x:row r="297" ht="110" customHeight="1">
      <x:c r="A297" s="46" t="str">
        <x:v>PRD-0080-P0033-U01</x:v>
      </x:c>
      <x:c r="B297" s="46" t="str">
        <x:v>US_Fed_2022</x:v>
      </x:c>
      <x:c r="C297" s="46" t="n">
        <x:v>33</x:v>
      </x:c>
      <x:c r="D297" s="46" t="str">
        <x:v>en</x:v>
      </x:c>
      <x:c r="E297" s="46" t="str">
        <x:v>text</x:v>
      </x:c>
      <x:c r="F297" s="46" t="str"/>
      <x:c r="G297" s="46" t="str">
        <x:v>Appendix C: Access to Money andPayment ServicesIn order to serve as a means of payment and a store of value, money must be accessible to thegeneral public. The means by which the general public accesses different types of money vary.Figure C.1. Overview of a typical payment
*Nonbank ﬁnancial service providers may be involved in various stages of both the front-end and the back-end of the payment chain. For example, there may 
  be multiple paths from a nonbank to the receiver. 
Sender’s bank 
Sender 
(e.g., consumer) 
Receiver 
(e.g., merchant) Payment transaction 
Funds are sent as credits (sender pushes funds) or debits (receiver pulls funds) 
Nonbank* Receiver’s bank 
1
1 2
3 1 22 3
2
Front 
end 
(consumer 
facing) 
Back 
end 
(payment 
processing) 
Payment infrastructure 
(e.g., Federal Reserve, 
private-sector providers) 
Payment clearing and settlement 12
In this example, the general public interacts with the “front end” of t he payment system by swiping their credit card at a checkout 
machine or using a mobile app to send money. These payments may     ﬂow solely through applications operated by and accounts 
maintained by banks,     originate in a nonbank ﬁnancial service and then ﬂow through the bankin g system, or     remain only in 
the records of the nonbank services (though customer nonbank account s may be funded/defunded by bank accounts).  
1
2 3
29</x:v>
      </x:c>
    </x:row>
    <x:row r="298" ht="110" customHeight="1">
      <x:c r="A298" s="46" t="str">
        <x:v>PRD-0081-P0004-U01</x:v>
      </x:c>
      <x:c r="B298" s="46" t="str">
        <x:v>US_NYFed_CedarPhaseOne_2022</x:v>
      </x:c>
      <x:c r="C298" s="46" t="n">
        <x:v>4</x:v>
      </x:c>
      <x:c r="D298" s="46" t="str">
        <x:v>en</x:v>
      </x:c>
      <x:c r="E298" s="46" t="str">
        <x:v>text</x:v>
      </x:c>
      <x:c r="F298" s="46" t="str"/>
      <x:c r="G298" s="46"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(New York Fed), bridges the 
worlds of finance, technology, and innovation. Established in partnership 
with the Bank for International Settlements Innovation Hub (BISIH), the NYIC 
generates insights into high-value central bank-related opportunities through 
technical research, experimentation, and prototyping, to drive 
advancements in central banking and enhance the functioning of the global 
financial system. In support of these objectives, the NYIC aims to advance 
research regarding wholesale central bank digital currency (wCBDC) within 
the U.S. context.
Project Cedar is a multiphase research effort to develop a technical 
framework for a theoretical wCBDC, conducted by the NYIC in conjunction 
with subject matter experts throughout the New York Fed. This research will 
explore fundamental design choices and modular technical features.    
A wCBDC is a specific type of digital bank reserve held at the central bank 
that could be used by financial institutions to effect wholesale transactions, 
such as interbank payment clearing and settlement. Wholesale CBDCs have 
the potential to drive improvement in the larger wholesale market by 
facilitating the safe, rapid, and efficient transfer of central bank liabilities.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 
This Phase I report aims to contribute to a broad and transparent public 
dialogue about CBDC from a technical perspective. The report is not intended 
to advance any specific policy outcome, nor to signal that the Federal Reserve 
will make any imminent decisions about the appropriateness of issuing a retail 
or wholesale CBDC, nor to offer an indication of how one would necessarily be 
designed.
Problem Space
Cross-border payments are financial transactions conducted between central 
banks, private sector banks, corporations, and others. In these transactions, the 
payer and recipient are based in separate jurisdictions. The payment can be 
categorized as wholesale (e.g., payments between financial institutions, 
governments, official institutions, and large nonfinancial companies) or retail 
(e.g., payments between individuals and businesses). The NYIC’s CBDC 
research focuses exclusively on the wholesale market.
Foreign exchange spot trades are among the most common wholesale 
cross-border transactions. These transactions can be conducted bilaterally or 
multilaterally between counterparties such as central banks and private sector 
financial institutions. The FX market is the largest wholesale market in the world, 
with daily turnover of over $7 trillion.   Given the size and breadth of this global 
market, the potential impacts of technological innovation on its operations and 
processes are substantial.
Currently, cross-border transactions function well, but there are opportunities for 
improvement. In general, it takes around two days for an FX spot transaction to 
settle. During these two days, payment senders and recipients are exposed to 
settlement, counterparty, and credit risk which, among other things, can hinder 
2 See “Triennial Central Bank Survey: Global Foreign Exchange Market Turnover in 2022”, 
Bank for International Settlements, Monetary and Economic Department, October 2022
4
an institution’s ability to readily convert its assets into cash. Additionally, the 
proportion of transactions settled on a payment-versus-payment (PvP) basis 
has fallen below 40 percent in recent years, increasing settlement risk exposure 
across the FX market.   
Cross-border settlement of FX spot trades is a common starting point for 
wCBDC research, as central bank liabilities are the core settlement asset in 
these types of transactions. Furthermore, FX spot transactions underpin a large 
portion of the wholesale payments market and represent a known problem 
space for issues of access and speed of settlement. Enabling safe, fast, 
low-cost, transparent, and accessible wholesale cross-border transactions is 
critical to the functioning of the global economy.
Use Case
An FX spot transaction was selected as the use case for the Phase I experiment 
for several reasons:
Asset type: Central bank liabilities (e.g., USD and other foreign 
currencies) are the only asset types involved in this type of transaction, 
allowing for the simulation of exchange of a hypothetical USD wCBDC 
against a hypothetical foreign wCBDC.
Market structure: The spot exchange of one currency for another is the 
foundation of the FX market. This type of trade is often one segment of a 
broader international financial transaction that may involve other asset 
types as well. Demonstrating the viability of this type of transaction 
therefore has implications for a significant portion of the wholesale 
cross-border market.
Complexity: A spot transaction is a relatively simple transaction, as FX 
rates are agreed upon at the start of the transaction. This allows for a 
narrow scope demonstrating the value of the technology without requiring 
development of some advanced features. 
The New York Fed is an active participant in the FX market, executing 
transactions on behalf of the U.S. Treasury Department and Foreign and 
International Monetary Authorities that maintain accounts with the Federal 
Reserve.
To further understand the context for FX spot transactions at the New York Fed 
and to validate the working hypothesis and potential solution concept, the NYIC 
team conducted interviews with a range of market participants. Ultimately, these 
interviews validated the hypothesis that settlement speed and access to PvP 
mechanisms are key issues in wholesale cross-border payments. Based on this 
research, a future state solution should enable atomic settlement, access to a 
wider range of counterparties, and settlement taking place faster than T+2.
2
Experiment Design
Based on findings regarding the current state process, a problem statement, 
hypothesis, and associated assumptions were developed for Phase I of Project 
Cedar:
Phase I of Project Cedar was designed to test the hypothesis and critical 
assumptions above and to reveal insights related to the wCBDC research 
interests of the NYIC. The following objectives were set to meet these goals:
The scope of Phase I was tailored to demonstrate the key objectives of instant 
and atomic settlement in a viable prototype. Phase I also laid the foundation for 
future research into interoperability by simulating a multi-ledger ecosystem 
across homogeneous ledger technology. To focus on these foundational 
objectives, several important research topics were designated as out of scope 
for Phase I, including scalability, privacy, and programmability. Additionally, 
non-settlement processes, such as market making and AML/OFAC, were 
assumed to take place off-ledger and were abstracted for the purposes of the 
prototype.
Solution Concept
Core to Project Cedar’s solution is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CBDC.  
The table below highlights key results across three test scenarios. The 
scenarios were designed to assess the system’s performance as it scaled to 
include a broader number of simulated actors in the ecosystem. Each test 
scenario comprised a specific number of Currencies (C), Observers (O), and 
Participants (P), as detailed below. 
In addition to meeting the goals of instant and atomic settlement, Phase I 
successfully established a basis for future NYIC research into potential 
advancements of the systems that move money and other financial assets 
between banks and financial institutions. The data produced in this phase 
represent a benchmark for future testing. Importantly, the Phase I prototype also 
demonstrated a successful guide for how wCBDC may be exchanged in a 
multi-ledger ecosystem. Future research focused on interoperability across a 
heterogeneous mix of DLT stacks will evolve these findings.  
Looking Ahead
Phase I of Project Cedar provided crucial input toward the NYIC’s central aim of 
technical research on wholesale CBDC in the U.S. context. The work also 
highlighted several opportunities for future research by the NYIC, including 
ledger design, interoperability, security, and more. Research across these areas 
will help inform potential technical design choices and considerations. 
As part of its continued wCBDC research, the NYIC will next explore questions 
related to interoperability and ledger design, including how to achieve 
concurrence and certainty in settlement across different blockchain based 
payments systems.</x:v>
      </x:c>
    </x:row>
    <x:row r="299" ht="110" customHeight="1">
      <x:c r="A299" s="46" t="str">
        <x:v>PRD-0081-P0007-U01</x:v>
      </x:c>
      <x:c r="B299" s="46" t="str">
        <x:v>US_NYFed_CedarPhaseOne_2022</x:v>
      </x:c>
      <x:c r="C299" s="46" t="n">
        <x:v>7</x:v>
      </x:c>
      <x:c r="D299" s="46" t="str">
        <x:v>en</x:v>
      </x:c>
      <x:c r="E299" s="46" t="str">
        <x:v>text</x:v>
      </x:c>
      <x:c r="F299" s="46" t="str"/>
      <x:c r="G299" s="46"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(New York Fed), bridges the 
worlds of finance, technology, and innovation. Established in partnership 
with the Bank for International Settlements Innovation Hub (BISIH), the NYIC 
generates insights into high-value central bank-related opportunities through 
technical research, experimentation, and prototyping, to drive 
advancements in central banking and enhance the functioning of the global 
financial system. In support of these objectives, the NYIC aims to advance 
research regarding wholesale central bank digital currency (wCBDC) within 
the U.S. context.
Project Cedar is a multiphase research effort to develop a technical 
framework for a theoretical wCBDC, conducted by the NYIC in conjunction 
with subject matter experts throughout the New York Fed. This research will 
explore fundamental design choices and modular technical features.    
A wCBDC is a specific type of digital bank reserve held at the central bank 
that could be used by financial institutions to effect wholesale transactions, 
such as interbank payment clearing and settlement. Wholesale CBDCs have 
the potential to drive improvement in the larger wholesale market by 
facilitating the safe, rapid, and efficient transfer of central bank liabilities.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 
This Phase I report aims to contribute to a broad and transparent public 
dialogue about CBDC from a technical perspective. The report is not intended 
to advance any specific policy outcome, nor to signal that the Federal Reserve 
will make any imminent decisions about the appropriateness of issuing a retail 
or wholesale CBDC, nor to offer an indication of how one would necessarily be 
designed.
Problem Space
Cross-border payments are financial transactions conducted between central 
banks, private sector banks, corporations, and others. In these transactions, the 
payer and recipient are based in separate jurisdictions. The payment can be 
categorized as wholesale (e.g., payments between financial institutions, 
governments, official institutions, and large nonfinancial companies) or retail 
(e.g., payments between individuals and businesses). The NYIC’s CBDC 
research focuses exclusively on the wholesale market.
Foreign exchange spot trades are among the most common wholesale 
cross-border transactions. These transactions can be conducted bilaterally or 
multilaterally between counterparties such as central banks and private sector 
financial institutions. The FX market is the largest wholesale market in the world, 
with daily turnover of over $7 trillion.   Given the size and breadth of this global 
market, the potential impacts of technological innovation on its operations and 
processes are substantial.
Currently, cross-border transactions function well, but there are opportunities for 
improvement. In general, it takes around two days for an FX spot transaction to 
settle. During these two days, payment senders and recipients are exposed to 
settlement, counterparty, and credit risk which, among other things, can hinder 
7
an institution’s ability to readily convert its assets into cash. Additionally, the 
proportion of transactions settled on a payment-versus-payment (PvP) basis 
has fallen below 40 percent in recent years, increasing settlement risk exposure 
across the FX market.   
Cross-border settlement of FX spot trades is a common starting point for 
wCBDC research, as central bank liabilities are the core settlement asset in 
these types of transactions. Furthermore, FX spot transactions underpin a large 
portion of the wholesale payments market and represent a known problem 
space for issues of access and speed of settlement. Enabling safe, fast, 
low-cost, transparent, and accessible wholesale cross-border transactions is 
critical to the functioning of the global economy.
Use Case
An FX spot transaction was selected as the use case for the Phase I experiment 
for several reasons:
Asset type: Central bank liabilities (e.g., USD and other foreign 
currencies) are the only asset types involved in this type of transaction, 
allowing for the simulation of exchange of a hypothetical USD wCBDC 
against a hypothetical foreign wCBDC.
Market structure: The spot exchange of one currency for another is the 
foundation of the FX market. This type of trade is often one segment of a 
broader international financial transaction that may involve other asset 
types as well. Demonstrating the viability of this type of transaction 
therefore has implications for a significant portion of the wholesale 
cross-border market.
Complexity: A spot transaction is a relatively simple transaction, as FX 
rates are agreed upon at the start of the transaction. This allows for a 
narrow scope demonstrating the value of the technology without requiring 
development of some advanced features. 
The New York Fed is an active participant in the FX market, executing 
transactions on behalf of the U.S. Treasury Department and Foreign and 
International Monetary Authorities that maintain accounts with the Federal 
Reserve.
To further understand the context for FX spot transactions at the New York Fed 
and to validate the working hypothesis and potential solution concept, the NYIC 
team conducted interviews with a range of market participants. Ultimately, these 
interviews validated the hypothesis that settlement speed and access to PvP 
mechanisms are key issues in wholesale cross-border payments. Based on this 
research, a future state solution should enable atomic settlement, access to a 
wider range of counterparties, and settlement taking place faster than T+2.
Experiment Design
Based on findings regarding the current state process, a problem statement, 
hypothesis, and associated assumptions were developed for Phase I of Project 
Cedar:
Phase I of Project Cedar was designed to test the hypothesis and critical 
assumptions above and to reveal insights related to the wCBDC research 
interests of the NYIC. The following objectives were set to meet these goals:
The scope of Phase I was tailored to demonstrate the key objectives of instant 
and atomic settlement in a viable prototype. Phase I also laid the foundation for 
future research into interoperability by simulating a multi-ledger ecosystem 
across homogeneous ledger technology. To focus on these foundational 
objectives, several important research topics were designated as out of scope 
for Phase I, including scalability, privacy, and programmability. Additionally, 
non-settlement processes, such as market making and AML/OFAC, were 
assumed to take place off-ledger and were abstracted for the purposes of the 
prototype.
Solution Concept
Core to Project Cedar’s solution is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CBDC.  
The table below highlights key results across three test scenarios. The 
scenarios were designed to assess the system’s performance as it scaled to 
include a broader number of simulated actors in the ecosystem. Each test 
scenario comprised a specific number of Currencies (C), Observers (O), and 
Participants (P), as detailed below. 
In addition to meeting the goals of instant and atomic settlement, Phase I 
successfully established a basis for future NYIC research into potential 
advancements of the systems that move money and other financial assets 
between banks and financial institutions. The data produced in this phase 
represent a benchmark for future testing. Importantly, the Phase I prototype also 
demonstrated a successful guide for how wCBDC may be exchanged in a 
multi-ledger ecosystem. Future research focused on interoperability across a 
heterogeneous mix of DLT stacks will evolve these findings.  
Looking Ahead
Phase I of Project Cedar provided crucial input toward the NYIC’s central aim of 
technical research on wholesale CBDC in the U.S. context. The work also 
highlighted several opportunities for future research by the NYIC, including 
ledger design, interoperability, security, and more. Research across these areas 
will help inform potential technical design choices and considerations. 
As part of its continued wCBDC research, the NYIC will next explore questions 
related to interoperability and ledger design, including how to achieve 
concurrence and certainty in settlement across different blockchain based 
payments systems. 
CRITICAL 
ASSUMPTIONS
HYPOTHESIS
PROBLEM
STATEMENT
Wholesale cross-border 
payments can be slow and 
limited in access.   
There is a distributed ledger 
technology solution for 
wholesale FX settlement 
that results in instant and 
atomic settlement in which 
a wCBDC is the settlement 
asset.
1 Issues of speed are 
rooted in the settlement 
stage of a current state 
FX spot transaction.
2 Current delays in 
settlement times are 
driven in part by 
manual validation of 
the transaction.
3 Current limitations in 
access are driven in part 
by counterparty risk.
4 Barriers to instant and 
atomic settlement in the 
current state can be 
removed through a 
technology solution.
5 A low-fidelity wCBDC 
prototype can be developed 
to demonstrate a signifi-
cant reduction in settle-
ment time.</x:v>
      </x:c>
    </x:row>
    <x:row r="300" ht="110" customHeight="1">
      <x:c r="A300" s="46" t="str">
        <x:v>PRD-0081-P0012-U01</x:v>
      </x:c>
      <x:c r="B300" s="46" t="str">
        <x:v>US_NYFed_CedarPhaseOne_2022</x:v>
      </x:c>
      <x:c r="C300" s="46" t="n">
        <x:v>12</x:v>
      </x:c>
      <x:c r="D300" s="46" t="str">
        <x:v>en</x:v>
      </x:c>
      <x:c r="E300" s="46" t="str">
        <x:v>text</x:v>
      </x:c>
      <x:c r="F300" s="46" t="str"/>
      <x:c r="G300" s="46" t="str">
        <x:v>The table below outlines key components of the Phase I prototype design: 
Results
Test results from the experiment revealed that the blockchain-enabled 
payments system settles transactions in fewer than ten seconds on average 
and that throughput across the system increases as additional currencies are 
included. This indicates that a modular ecosystem of ledgers has the potential 
for continued scalability, and that DLT could enable atomic settlement faster 
than the current industry standard of two days, should processes that were 
abstracted in the Phase I prototype, such as compliance checks and market 
making, be similarly streamlined.
is the inaugural project of the New York 
Innovation Center (NYIC). The NYIC, a 
part of the Federal Reserve Bank of New York (New York Fed), bridges the 
worlds of finance, technology, and innovation. Established in partnership 
with the Bank for International Settlements Innovation Hub (BISIH), the NYIC 
generates insights into high-value central bank-related opportunities through 
technical research, experimentation, and prototyping, to drive 
advancements in central banking and enhance the functioning of the global 
financial system. In support of these objectives, the NYIC aims to advance 
research regarding wholesale central bank digital currency (wCBDC) within 
the U.S. context.
Project Cedar is a multiphase research effort to develop a technical 
framework for a theoretical wCBDC, conducted by the NYIC in conjunction 
with subject matter experts throughout the New York Fed. This research will 
explore fundamental design choices and modular technical features.    
A wCBDC is a specific type of digital bank reserve held at the central bank 
that could be used by financial institutions to effect wholesale transactions, 
such as interbank payment clearing and settlement. Wholesale CBDCs have 
the potential to drive improvement in the larger wholesale market by 
facilitating the safe, rapid, and efficient transfer of central bank liabilities.  
Enabling technology, such as distributed ledgers, could provide benefits 
such as transparency, resiliency, and programmability. Central bank liabilities 
that can be transferred through these systems in the form of wCBDC have the 
potential to drive enhancements to existing payments infrastructure and spur 
future payments innovation. Phase I of the Project Cedar experiment examined 
the potential application of distributed ledger technology (DLT), specifically 
blockchain, to enhance the functioning of wholesale cross-border payments.
Phase I was a successful twelve-week undertaking demonstrating the viability 
of this technology to enable instant and atomic settlement in a simulated foreign 
exchange (FX) spot transaction between the New York Fed and counterparties 
across separate, homogeneous ledgers. These objectives were selected both 
because they address known issues of speed and access mechanisms in 
wholesale cross-border transactions and because they represent core value 
propositions of DLT in a wCBDC use case.    
Under simulated test scenarios based on market throughput estimates, FX spot 
trades were atomically settled in under ten seconds, validating the project 
objectives of enabling instant and atomic settlement using DLT while also 
revealing promising applications for blockchain in wholesale payments and 
presenting questions for future research. 
This Phase I report aims to contribute to a broad and transparent public 
dialogue about CBDC from a technical perspective. The report is not intended 
to advance any specific policy outcome, nor to signal that the Federal Reserve 
will make any imminent decisions about the appropriateness of issuing a retail 
or wholesale CBDC, nor to offer an indication of how one would necessarily be 
designed.
Problem Space
Cross-border payments are financial transactions conducted between central 
banks, private sector banks, corporations, and others. In these transactions, the 
payer and recipient are based in separate jurisdictions. The payment can be 
categorized as wholesale (e.g., payments between financial institutions, 
governments, official institutions, and large nonfinancial companies) or retail 
(e.g., payments between individuals and businesses). The NYIC’s CBDC 
research focuses exclusively on the wholesale market.
Foreign exchange spot trades are among the most common wholesale 
cross-border transactions. These transactions can be conducted bilaterally or 
multilaterally between counterparties such as central banks and private sector 
financial institutions. The FX market is the largest wholesale market in the world, 
with daily turnover of over $7 trillion.   Given the size and breadth of this global 
market, the potential impacts of technological innovation on its operations and 
processes are substantial.
Currently, cross-border transactions function well, but there are opportunities for 
improvement. In general, it takes around two days for an FX spot transaction to 
settle. During these two days, payment senders and recipients are exposed to 
settlement, counterparty, and credit risk which, among other things, can hinder 
an institution’s ability to readily convert its assets into cash. Additionally, the 
proportion of transactions settled on a payment-versus-payment (PvP) basis 
has fallen below 40 percent in recent years, increasing settlement risk exposure 
across the FX market.   
Cross-border settlement of FX spot trades is a common starting point for 
wCBDC research, as central bank liabilities are the core settlement asset in 
these types of transactions. Furthermore, FX spot transactions underpin a large 
portion of the wholesale payments market and represent a known problem 
space for issues of access and speed of settlement. Enabling safe, fast, 
low-cost, transparent, and accessible wholesale cross-border transactions is 
critical to the functioning of the global economy.
Use Case
An FX spot transaction was selected as the use case for the Phase I experiment 
for several reasons:
Asset type: Central bank liabilities (e.g., USD and other foreign 
currencies) are the only asset types involved in this type of transaction, 
allowing for the simulation of exchange of a hypothetical USD wCBDC 
against a hypothetical foreign wCBDC.
Market structure: The spot exchange of one currency for another is the 
foundation of the FX market. This type of trade is often one segment of a 
broader international financial transaction that may involve other asset 
types as well. Demonstrating the viability of this type of transaction 
therefore has implications for a significant portion of the wholesale 
cross-border market.
Complexity: A spot transaction is a relatively simple transaction, as FX 
rates are agreed upon at the start of the transaction. This allows for a 
narrow scope demonstrating the value of the technology without requiring 
development of some advanced features. 
The New York Fed is an active participant in the FX market, executing 
transactions on behalf of the U.S. Treasury Department and Foreign and 
International Monetary Authorities that maintain accounts with the Federal 
Reserve.
To further understand the context for FX spot transactions at the New York Fed 
and to validate the working hypothesis and potential solution concept, the NYIC 
team conducted interviews with a range of market participants. Ultimately, these 
interviews validated the hypothesis that settlement speed and access to PvP 
mechanisms are key issues in wholesale cross-border payments. Based on this 
research, a future state solution should enable atomic settlement, access to a 
wider range of counterparties, and settlement taking place faster than T+2.
Experiment Design
Based on findings regarding the current state process, a problem statement, 
hypothesis, and associated assumptions were developed for Phase I of Project 
Cedar:
Phase I of Project Cedar was designed to test the hypothesis and critical 
assumptions above and to reveal insights related to the wCBDC research 
interests of the NYIC. The following objectives were set to meet these goals:
The scope of Phase I was tailored to demonstrate the key objectives of instant 
and atomic settlement in a viable prototype. Phase I also laid the foundation for 
future research into interoperability by simulating a multi-ledger ecosystem 
across homogeneous ledger technology. To focus on these foundational 
objectives, several important research topics were designated as out of scope 
for Phase I, including scalability, privacy, and programmability. Additionally, 
non-settlement processes, such as market making and AML/OFAC, were 
assumed to take place off-ledger and were abstracted for the purposes of the 
prototype.
Solution Concept
Core to Project Cedar’s solution is the ledger infrastructure of the experiment—a 
bespoke system leveraging ideas from existing digital currency technologies to 
provide functionality relevant for a wCBDC. Phase I of Project Cedar was 
designed around a multi-ledger construct in which each currency was 
maintained on a separate ledger, operated by its respective simulated central 
bank. Phase I used this design to enable instant and atomic settlement of an FX 
spot transaction. 
The solution design in Project Cedar Phase I represents a starting point for 
future wCBDC research. The Phase I prototype included design choices such 
as a permissioned blockchain network, an Unspent Transaction Output (UTXO) 
data model, and Rust as the primary programming language. Design choices 
made for Phase I will be tested against alternatives in future phases and do not 
represent conclusive design choices of the NYIC or of any future U.S. CBDC.  
The table below highlights key results across three test scenarios. The 
scenarios were designed to assess the system’s performance as it scaled to 
include a broader number of simulated actors in the ecosystem. Each test 
scenario comprised a specific number of Currencies (C), Observers (O), and 
Participants (P), as detailed below. 
In addition to meeting the goals of instant and atomic settlement, Phase I 
successfully established a basis for future NYIC research into potential 
advancements of the systems that move money and other financial assets 
between banks and financial institutions. The data produced in this phase 
represent a benchmark for future testing. Importantly, the Phase I prototype also 
demonstrated a successful guide for how wCBDC may be exchanged in a 
multi-ledger ecosystem. Future research focused on interoperability across a 
heterogeneous mix of DLT stacks will evolve these findings.  
Looking Ahead
Phase I of Project Cedar provided crucial input toward the NYIC’s central aim of 
technical research on wholesale CBDC in the U.S. context. The work also 
highlighted several opportunities for future research by the NYIC, including 
ledger design, interoperability, security, and more. Research across these areas 
will help inform potential technical design choices and considerations. 
As part of its continued wCBDC research, the NYIC will next explore questions 
related to interoperability and ledger design, including how to achieve 
concurrence and certainty in settlement across different blockchain based 
payments systems. 
12</x:v>
      </x:c>
    </x:row>
    <x:row r="301" ht="110" customHeight="1">
      <x:c r="A301" s="46" t="str">
        <x:v>PRD-0082-P0043-U01</x:v>
      </x:c>
      <x:c r="B301" s="46" t="str">
        <x:v>US_WhiteHouse_TechEval_2022</x:v>
      </x:c>
      <x:c r="C301" s="46" t="n">
        <x:v>43</x:v>
      </x:c>
      <x:c r="D301" s="46" t="str">
        <x:v>en</x:v>
      </x:c>
      <x:c r="E301" s="46" t="str">
        <x:v>text</x:v>
      </x:c>
      <x:c r="F301" s="46" t="str"/>
      <x:c r="G301" s="46" t="str">
        <x:v>       
TECHNICAL  EVALUATION  FOR  A  U.S.  CBDC  SYSTEM  43 
The sets of design choices defined below provide examples of varying levels of complexity. 
They are meant to represent the potential challenges that delivering a CBDC MVP with a 
particular set of expectations could present.  
Example Set #1: Minimally Complex 
One set of design choices for a CBDC MVP is minimally complex, which should provide for a 
faster development speed. This set of design choices could provide early access for retail 
consumers and involves low interoperability with other payment systems. This approach de-
prioritizes concepts like offline payments and privacy-enhancing features. These choices also 
lend themselves to simplicity of development, administration, and delivery. 
The minimum set of participants in this set of design choices could be retail consumers and 
intermediaries facilitating CBDC accounts. Under this approach, there could exist intermediaries, 
public or private, for the online intermediation of all retail CBDC customers.  
If the set of intermediaries were limited to those in the United States, existing Know Your 
Customer (KYC) infrastructure might be applied in a similar manner to the current system,
56 
which would likely reduce the technical challenges that need to be addressed and make it easier 
to achieve higher adoption in less time. 
Access to the system could be controlled by well-known identity-based and role-based access 
controls. It would be permissioned, and there would be little or no access tiering. Remediation 
could be done very simply because there would be a centralized settlement and transaction layer. 
There would be no offline transactions. Adjustments or fees could be administered in a 
straightforward fashion by system administrators. Privacy and oversight controls would be 
governed by whomever is appointed to administrate the system. 
Developing and launching a CBDC MVP with requirements that look like this set of design 
choices has relatively low complexity, compared to other sets of design choices. The tools and 
systems that would underpin a secure and functional system of this nature are more well-known 
and pose less complexity than those in the other example sets of design choices. A CBDC MVP 
with these design choices could be tested in a bounded context within a relatively short time 
frame and with relatively few resources.  
Estimating specific build timelines, especially with limited information about the product and 
team, is largely a futile exercise, both for this example set and the two that follow below. In 
support of a relatively fast timeline is that a small set of skills and expertise should be required 
under these requirements as all of the components are well known. Much would depend on 
clearing various non-technical hurdles in a timely manner. As examples: intermediaries would 
effectiveness of a CBDC system toward achieving the policy priorities. Without a specific use case, it would be 
harder to demonstrate the potential benefits and risks of adopting any novel financial instrument relative to existing 
or planned payment rails. Additionally, along with use cases and primary objectives, a CBDC MVP should 
incorporate a well-defined scope so that it may be evaluated safely. Assessing the effectiveness of a CBDC MVP 
while bounding the risk amongst a well-defined set of participants will provide a baseline for distinguishing a CBDC 
MVP from existing forms of currency. An appropriate boundary could be either geographically, socially, or 
technologically defined.  
56 There are other factors that could make this more or less challenging; for example, the ease of implementing a 
KYC infrastructure would depend, in part, on the intermediary or intermediaries chosen and the legal and regulatory 
constraints.</x:v>
      </x:c>
    </x:row>
    <x:row r="302" ht="110" customHeight="1">
      <x:c r="A302" s="46" t="str">
        <x:v>PRD-0082-P0047-U01</x:v>
      </x:c>
      <x:c r="B302" s="46" t="str">
        <x:v>US_WhiteHouse_TechEval_2022</x:v>
      </x:c>
      <x:c r="C302" s="46" t="n">
        <x:v>47</x:v>
      </x:c>
      <x:c r="D302" s="46" t="str">
        <x:v>en</x:v>
      </x:c>
      <x:c r="E302" s="46" t="str">
        <x:v>text</x:v>
      </x:c>
      <x:c r="F302" s="46" t="str"/>
      <x:c r="G302" s="46" t="str">
        <x:v>       
TECHNICAL  EVALUATION  FOR  A  U.S.  CBDC  SYSTEM  47 
aspects of agencies’ infrastructure. Likewise, attacks on agencies’ infrastructure could also be 
used to compromise parts of the CBDC system. Core architectural and security features in the 
CBDC system, coupled with effective remediation and governance approaches, will be important 
to help mitigate these risks. 
Agencies are currently responsible for conducting an internal risk management assessment to 
determine their risks in the use of a new technology, balanced with the agency mission needs and 
context of its stakeholders, customers and the potential for adverse impact due to loss of 
confidentiality, availability or integrity of the associated information or information system. 
These risks and benefits will likely be different for each agency and would be affected by CBDC 
system design choices such as the transport layer. Large-scale funding and payment 
organizations (e.g., Department of the Treasury, Department of Defense, National Science 
Foundation, National Finance Center, General Services Administration) would likely have 
different risk, benefit, and impact determinations than agencies like the Bureau of Industry and 
Security. Additionally, if the Department of the Treasury manages CBDC payments for many 
agencies, the associated risk, benefit, and impact determinations may depend on risk 
management choices made by Treasury. 
Of particular note, there are cybersecurity and privacy risks related to the collection, storage, and 
transmission of payment information and associated business identifiable and personally 
identifiable information. For example, agencies would need to be able to detect if its CBDC 
holdings were compromised or improperly disbursed to mitigate the potential of improper 
payments; if such actions occurred, agencies would also need to be able to take steps to notify 
entities, seek restitution, and maintain public trust. While similar risks also exist in legacy 
systems, these new systems will likely add new layers of complexity, with new software 
applications and interfaces that create untested attack surfaces for adversaries to attempt to 
exploit. Applications, interfaces, and technologies needed for receipt, storage, and transmission 
of the CBDC by businesses and individuals are also a new area of risk for fraud, theft, and abuse. 
It will be important to better understand the potential threat models at play with the U.S. 
Government’s inclusion of a CBDC system in its work and services. A robust whole-of-
government approach to CBDC system development should consider including red teaming
60 of 
those pilots in collaboration with relevant agencies (e.g., Cybersecurity and Infrastructure 
Security Agency, U.S. Secret Service), which would help develop a deeper understanding of 
potential cybersecurity threats. 
Customer Experience   
EO 14058 states that it is the policy of the United States that improving service delivery and 
customer experience should be fundamental priorities.61 EO 14058 directs agencies to 
continually improve their understanding of their customers, reduce administrative hurdles and 
paperwork burdens to minimize time required of their customers, enhance transparency, create 
greater efficiencies across Government, and redesign compliance-oriented processes to improve 
60 The National Initiative for Cybersecurity Careers and Studies defines “red teaming” as “the process of using 
tactics, techniques, and procedures to emulate real-world threats in order to train and measure the effectiveness of 
the people, processes, and technology used to defend environments.” 
61 Executive Order 14058: Transforming Federal Customer Experience and Service Delivery To Rebuild Trust in 
Government. (Dec. 2021). F ederal Register.</x:v>
      </x:c>
    </x:row>
    <x:row r="303" ht="110" customHeight="1">
      <x:c r="A303" s="46" t="str">
        <x:v>PRD-0083-P0002-U01</x:v>
      </x:c>
      <x:c r="B303" s="46" t="str">
        <x:v>UY_BCU_Seven_Lessons_2022</x:v>
      </x:c>
      <x:c r="C303" s="46" t="n">
        <x:v>2</x:v>
      </x:c>
      <x:c r="D303" s="46" t="str">
        <x:v>en</x:v>
      </x:c>
      <x:c r="E303" s="46" t="str">
        <x:v>text</x:v>
      </x:c>
      <x:c r="F303" s="46" t="str"/>
      <x:c r="G303" s="46" t="str">
        <x:v>2 
Introduction 
New technologies are giving to central banks some new challenges about means of payments 
developments and financial inclusion strategies. Nevertheless, new technologies are part of 
the instruments that central banks design to implement their policies: some examples are 
blockchain technology to implement an d share credit boureau , big data to analyze price 
tendencies or digital assets as money. 
In the decision to introduce a C entral Bank Digital Currency (CBDC) there are many aspects 
to discuss: starting with the legal power, the technology available and the added value to the 
existing means of payments, these are  the first issues to consider. The answers to these 
questions change from country to country, and depend  on the level of devel opment of the 
economy, the depth of financial system and even on cultural aspects. 
In th is paper the focus will be different from  the previous consideration. From the 
perspective of a central bank there is a mandate to issue money to the economy in order t o 
fulfill the economic activity.  Technology is one of the variables that can improve the 
effectiveness of this mandate. In the long story of paper money new technologies have 
helped to im prove use and security so this is a new step th at can complement physical 
banknotes. 
Even though this focus is less disruptive than the ongoing research about C BDC, the main 
object is not to underline the supremacy of new technology over the previous ways of issuing 
money. On the contrary the focus is to understand in which sense this instrument can help 
central banks to complete the service they give to the population and at the same time to deal 
with the changes that new technologies impose on the payment system. 
Morales-Reséndiz et. al. (2021)  share experiences about CBDC research as a relevant issue 
for financial innovation and for central banking: as part of a learning process pilot plans play 
a role to prove and understand the risk that they are facing and the lessons learned to deal 
with risks. Particularly, r eputational risk and cybersecurity risks are two of the major 
challenges in the CBDC designing appro ach. Also lessons about technological options and 
financial consequences of CBDC are relevant to go forward on how this new payment 
instrument affects the payment ecosystem. 
The lessons learned from the e -Peso pilot plan address this objectives: reputation  is key for 
central banks’ decision on CBDC, financial inclusion and cultural reasons have to be 
included in the CBDC designing pr ocess, in the era of technological irruptions CBDC must 
keep the technological solution as simple as possible, cybersecurity a spects and traceable 
transfers are central for operational risk problems, in the e -Peso token was a good so lution 
for CBDC implementation and digital money was used for small payments and transfers as a 
complement to existing means of payment. The conclusions highlight that CBDC choices are 
not only based on technical considerations but also on cultural implications of the use of 
money. 
In this sense, this paper constitutes a cartography of the aspects that central banks consider in 
the configuration of a d igital currency pilot plan. For this p ropose the first part present s a</x:v>
      </x:c>
    </x:row>
    <x:row r="304" ht="110" customHeight="1">
      <x:c r="A304" s="46" t="str">
        <x:v>PRD-0083-P0004-U01</x:v>
      </x:c>
      <x:c r="B304" s="46" t="str">
        <x:v>UY_BCU_Seven_Lessons_2022</x:v>
      </x:c>
      <x:c r="C304" s="46" t="n">
        <x:v>4</x:v>
      </x:c>
      <x:c r="D304" s="46" t="str">
        <x:v>en</x:v>
      </x:c>
      <x:c r="E304" s="46" t="str">
        <x:v>text</x:v>
      </x:c>
      <x:c r="F304" s="46" t="str"/>
      <x:c r="G304" s="46" t="str">
        <x:v>4 
Source: Central Bank of Uruguay 
The man characteristics for the pilot design were: All the operations have i nstant settlement, 
and d o not require internet connection (just a mobile phone line) . The operations were 
anonymous but traceable  with the users’ wallets  (developed by IN Switch)  and encrypted 
Global E-note Manager (GEM developed by Giori Company). 
The e-Pesos are secured at GEM even if users lose their phones or password of digital wallet . 
The u nique, traceable bills prevent double -spending and falsification . The digital bills 
difficult complete fungibility but GEM may change automatically. 
The platform acted as a registry of the bankn otes’ ownership, and there was a digital wallet 
in each mobile phone to do transactions, so it didn´t need a wi-fi connection. 
After the destruction of all the digital currency there was an evaluation phase. T here is still 
no decision about a second pilot including the banks and other financial institutions.  
Also in Morales-Reséndiz et. al. (2021)  there is a description of e -Peso pilot plan and a 
comparison to others CBDC retail projects. 
A final comment on the description aspects is the interaction with other means of payments. 
From a payment ecosystem perspective future e -Peso pilots implies a strong impulse to 
consolidate electronic means of payments, from the moment that the CBDC could be part of 
every e-wallet it becomes a universal validation of the whole ecosystem.</x:v>
      </x:c>
    </x:row>
    <x:row r="305" ht="110" customHeight="1">
      <x:c r="A305" s="46" t="str">
        <x:v>PRD-0083-P0006-U01</x:v>
      </x:c>
      <x:c r="B305" s="46" t="str">
        <x:v>UY_BCU_Seven_Lessons_2022</x:v>
      </x:c>
      <x:c r="C305" s="46" t="n">
        <x:v>6</x:v>
      </x:c>
      <x:c r="D305" s="46" t="str">
        <x:v>en</x:v>
      </x:c>
      <x:c r="E305" s="46" t="str">
        <x:v>text</x:v>
      </x:c>
      <x:c r="F305" s="46" t="str"/>
      <x:c r="G305" s="46" t="str">
        <x:v>6 
countries with underdeveloped financial systems, CDBC was not  an option on the menu 
of instruments to improve limited inclusion, see Arauz et. al. (2021) on Ecuador’s CBDC 
case. The promotion of electronic payments, automated teller machines (ATM)  and 
Points of Sale ( POS) terminals increased in Uruguay after the 201 4 Financial Inclusion 
Law was passed by  Congress. The consi deration of a digital currency  issued by the 
central bank was seen at first sight a s competition with private electronic means of 
payments. This was part of the motivation to research the use of cash. The use of cash for 
small payments is the rule and to limit CBDC to small amounts for each user is the 
strategy to fulfill cash use without harming other instruments. The e -peso pilot plan 
results sh ows this issue was completely fulfilled by the pilot, mainly small payments 
were issued during the six months and also peer to peer payments were released2.  
Departing from a totally different situation the aim the  Swedish Riksbank in the research 
of e-Krona is almost the same. Financial inclus ion is not a big problem for Sweden but 
the decline in the use of cash is the motivation to issue a digital currency. The elderly and 
other vulnerable groups who may have access only to cash may need an electronic mea ns 
of payment issued by the Riksbank. 
One way or another, even sometime digital currencies are considered a substitute to cash, 
it may be consider ed as a complement to cash . The use of cash is still there not only for 
financial inclusion purposes but also for cultural reasons. The elderly and those with little 
financial education see some added value in cash, so the change in the use of it will be 
slow and must meet  various prerequisites: it must be simple, accessible and trustworthy.  
Moreover, this change may be part of a financia l education program for all stakeholders 
explaining how th e central bank can complete money options for the whole society  and 
how all can benefit from this. 
3. Technology: the simpler the better 
The importance of D istributed Ledger Technology (DLT) has been growing by the hand 
of cryptocurrencies and other financial instruments, so it was natural to see it as a way of 
implementing CBDC. Furthermore, in the starting dis cussion of digital currencies there  
was a general confusion with blockchain technology and the e-Peso pilot plan.  
Technology has been changing faster than expected and DLT applied to many problems 
of information sharing has been a cornerstone for new solutions to old problems. But this 
was not the w ay the e -Peso pilot plan chose to manage the electronic platform to issue  
money. The platform function is  a register of the ownership of the digita l banknotes 
linked to a telephone number without DLT. Instant settlement does not require an internet 
2 See Graph 2 in Lesson 6 about the use of money to illuminate this aspect.</x:v>
      </x:c>
    </x:row>
    <x:row r="306" ht="110" customHeight="1">
      <x:c r="A306" s="46" t="str">
        <x:v>PRD-0083-P0007-U01</x:v>
      </x:c>
      <x:c r="B306" s="46" t="str">
        <x:v>UY_BCU_Seven_Lessons_2022</x:v>
      </x:c>
      <x:c r="C306" s="46" t="n">
        <x:v>7</x:v>
      </x:c>
      <x:c r="D306" s="46" t="str">
        <x:v>en</x:v>
      </x:c>
      <x:c r="E306" s="46" t="str">
        <x:v>text</x:v>
      </x:c>
      <x:c r="F306" s="46" t="str"/>
      <x:c r="G306" s="46" t="str">
        <x:v>7 
connection (just a mobile p hone line) . The platform is a nonymous but traceable , users 
had digital wallets and s ecurity was designed for th ose who lose their phones or the 
password of their digital wallet. The bills were unique and traceable to prevent double-
spending and falsification. 
The design was established to have the si mplest solution to manage the digital currency . 
DLT was not needed at this stage of the pilot and a token based system was elected over 
an account based form to privilege the well extended use of mobile phones i n Uruguay. 
The results were positive without any technical incident. Even if in the next stages of a 
pilot banks could be included, the technological solution must stay as simple as possible 
because the operation of the system and the cyber risk concerns m ust be under control.  
The results of e -Peso pilo t shows that no connections or transmission of operations 
problems were reported, so the network supported pretty good the pilot 
4. Operational risk: ‘printing money’ and Big Brother 
CBDCs can be  seen as a  digital version of printing physical cash. Each e -Peso digital 
note includes an identification (ID)  serial number so these digital notes could be traced 
back to a specific user, and each time that an operation was done the digital notes could 
be spread in  smaller denomination notes with their own ID serial number. This process 
has two important implications, (i) each digital note includes security aspects and (ii) the 
use of each note can be traced from one wallet to another . This identification and 
monitoring model is one important way to mitigate operational risk  from double-
spending and falsification. 
A CDBC pilot plan implies designing a clear and controlled life cycle for digital 
currency. The whole process of cash in, circulation and cash out and the permanent 
control over the amount of currency circulating are crucial from the operational point of 
view. The e-Peso pilot outsourced this process with clear responsibilities and permanent 
control over each step. Identifying the requirements in the CDBC circulation process was 
central to the success of the pilot. All the system’s component s were  tested: e-Peso 
production, digital vault s, digital wallets, transactiona l system, infrastructures  and 
business continuity. The cash-in process was faster than expec ted and at the same time 
the cash out took more than two month s after the pilot ended and all the digital currency 
was finally destroyed. 
In the questions to answer there is still the privacy of ownership and information of 
transactions. The l egitimation process satisfied al l the preferences for privacy. E ven 
though the system has all the information , the third party anonymity hides identities from 
all transaction participants. Even though, it is sensitive who and how manages all this 
information and how w orks the legal system around it.   As the Big Brother in George 
Orwell’s dystopian novel 1984, wherein the leader of Oceania was watching everything,</x:v>
      </x:c>
    </x:row>
    <x:row r="307" ht="110" customHeight="1">
      <x:c r="A307" s="46" t="str">
        <x:v>PRD-0083-P0008-U01</x:v>
      </x:c>
      <x:c r="B307" s="46" t="str">
        <x:v>UY_BCU_Seven_Lessons_2022</x:v>
      </x:c>
      <x:c r="C307" s="46" t="n">
        <x:v>8</x:v>
      </x:c>
      <x:c r="D307" s="46" t="str">
        <x:v>en</x:v>
      </x:c>
      <x:c r="E307" s="46" t="str">
        <x:v>text</x:v>
      </x:c>
      <x:c r="F307" s="46" t="str"/>
      <x:c r="G307" s="46" t="str">
        <x:v>8 
this new power have pros and cons for the use of money and challenge the legal 
framework. 
5. Tokens as a solution 
The design decision of a token -based CBDC that involves the transfer of a token directly 
between wallets has worked properly in many ways 3.  The verification process  to test a 
genuine token, and that the e-Peso is not duplicated, was proven successfully. The mobile 
wallet app had no failed operations a nd in all cases the users could do paymen ts without 
delay or inconvenience . This design not only was interesting for those parts of the 
population with limited  access to bank accounts , it was also  used f or small payments, 
mostly related to everyday needs.  
All the evidence of the e -peso pilot plan shoes that the mobile phone was a helpful 
instrument to implement a token based CBDC without other intermediaries involved in 
the implementation it seems an eas y way to interact with CBDC. Even if in further steps 
a hybrid system is considered, the token will be a necessary condition of the design to 
assure universal implementation. 
Interoperability was an important issue in  the design process, modular approach t o 
introduce the rest of the agents of the payment ecosystem is a very important part of this 
solution. Even though the banking system was not part of the pilot, the y followed its 
development and from their perspective the interaction of the e-Peso with other electronic 
means of payments is perfectible achievabl e. Even the inclusion of the e -Peso in many 
other e-wallets that some banks already offer is a way to interact with the CBDC. 
6. The use of money: small payments and transfers 
3  In the IMF taxonomy the e-peso pilot plan may be considered as account based instead of token based. Following Charles Kahn, one of 
the inventors of the taxonomy has wondered out  loud whether the taxonomy is useful for digital currency:  “This dichotomy necessarily 
represents something of an idealization, and there are some important types of systems (e.g., debit cards) that arguably do n ot fall so neatly 
into either of these camps.” (Kahn, C. et al (2009)). 
There are technological (DLT versus centralization) and legal considerations (ownerships) to characterize the digital currenc y 
denomination, even more some recent studies highlight t his point: “Research on CBDC often draws a fun damental distinction between 
account-based and token -based architecture. At the end -user, functional level, the distinction is not as clear. Furthermore, there is no 
universally accepted definition of a token. It may therefore be preferable to avoid framin g the scope of a CBDC in terms of notions of 
accounts and tokens. To maximize flexibility, any policy or legislative definitions should be technology -neutral (e.g., by using terms like 
“value in electronic form”).” (Shah, D. et al (2020)). 
Anyways, the Bank of Canada keep on looking for what they call a “universal access device”. (Miedema, J. et al (2020)).</x:v>
      </x:c>
    </x:row>
    <x:row r="308" ht="110" customHeight="1">
      <x:c r="A308" s="46" t="str">
        <x:v>PRD-0083-P0010-U01</x:v>
      </x:c>
      <x:c r="B308" s="46" t="str">
        <x:v>UY_BCU_Seven_Lessons_2022</x:v>
      </x:c>
      <x:c r="C308" s="46" t="n">
        <x:v>10</x:v>
      </x:c>
      <x:c r="D308" s="46" t="str">
        <x:v>en</x:v>
      </x:c>
      <x:c r="E308" s="46" t="str">
        <x:v>text</x:v>
      </x:c>
      <x:c r="F308" s="46" t="str"/>
      <x:c r="G308" s="46" t="str">
        <x:v>10 
Another issue is the cultural use of money: nearly all the participants use the e-Peso 
in the same way , which was not surprising because the voluntary participants were 
familiar with electronic means of payments. 
With respect of gender approach, Graphic 3  shows that both women and men used  
the e-Peso in the pilot.  Women did made transactions as the get familiar with the e -
peso, at the end of the pilot plan women’s transactions were twice as large , 
considering the payments that were allowed by the pilot that may be caused by 
household transactions. In the case of peer to peer payments there was a small 
difference between men and women transactions. 
All this information are part of the evidence of the use of CBDC as a valid 
instrument for small payments, that represents one of the use of cash not onl y in 
countries with low financial inclusion but also in those with developed financial 
systems that seeks for the universalization of electronic means of payment. If the 
CBDC is accessible and simple it could be use by everyone, on the contrary you can 
only use this for special payments and for sophisticated users. Arauz et. al. (2021) 
mentions the “electronic soup” as the only thing they could buy with CBDC in 
Ecuador as a reason for a failed experience.   
As the CBDC is a valid instrument it is important how it is introduced in the payment 
ecosystem and how it affects the existing means of payments, and this is consider in  
the final lesson. 
7. Complement versus competition 
Last but not least , CBDC pilot plans have raised several warnings about competition 
within the banking sector. The first issue to discuss is if compete  with bank deposits  
and the importance of higher deposit rates to remain competitive. Even more, CBDC 
can compete with payment service providers questioning disintermediation. 
Although it would take some time for CBDC to be widely used, one very important 
issue in the e-Peso pilot plan was to impose a limit on the amount of e-money to have 
in the e -wallet. That is consistent with the international discussion (see e.g. Bindseil 
(2020) and Kumhof and Noone (2018)).  So, the main use o f e-Pesos is the same as  
cash, to do small payments and not to compete with other means of payments or at 
least, no to compete in a different way than cash does 
From another point of view, CDBC is encouraging potential new services , and can 
improve the efficiency of the means of payments.  
III. Conclusions</x:v>
      </x:c>
    </x:row>
    <x:row r="309" ht="110" customHeight="1">
      <x:c r="A309" s="46" t="str">
        <x:v>PRD-0084-P0003-U01</x:v>
      </x:c>
      <x:c r="B309" s="46" t="str">
        <x:v>UY_Uruguay_BCU_BilleteDigital_2017</x:v>
      </x:c>
      <x:c r="C309" s="46" t="n">
        <x:v>3</x:v>
      </x:c>
      <x:c r="D309" s="46" t="str">
        <x:v>es</x:v>
      </x:c>
      <x:c r="E309" s="46" t="str">
        <x:v>text</x:v>
      </x:c>
      <x:c r="F309" s="46" t="str"/>
      <x:c r="G309" s="46" t="str">
        <x:v>Antecedentes 
Se suscribe un convenio entre BCU-ANTEL- RGC (The 
Roberto Giori Company Ltd.) para realizar un plan piloto 
por 6 meses con el objetivo de emitir, manejar y transferir 
billetes digitales. 
25 
Setiembre 
de 2016 
Se conforma un Grupo de trabajo para: 
 Preparar el lanzamiento del Piloto,  
 Supervisar las pruebas de los sistemas,  
 Analizar sus resultados,  
 Oficiar de contraparte de los agentes 
externos</x:v>
      </x:c>
    </x:row>
    <x:row r="310" ht="110" customHeight="1">
      <x:c r="A310" s="46" t="str">
        <x:v>PRD-0084-P0009-U01</x:v>
      </x:c>
      <x:c r="B310" s="46" t="str">
        <x:v>UY_Uruguay_BCU_BilleteDigital_2017</x:v>
      </x:c>
      <x:c r="C310" s="46" t="n">
        <x:v>9</x:v>
      </x:c>
      <x:c r="D310" s="46" t="str">
        <x:v>es</x:v>
      </x:c>
      <x:c r="E310" s="46" t="str">
        <x:v>text</x:v>
      </x:c>
      <x:c r="F310" s="46" t="str"/>
      <x:c r="G310" s="46" t="str">
        <x:v>Funcionamiento 
 Descargar la app para acceder a la billetera digital 
 Registro con móvil conectado (Nombre completo, 
CI, Fecha de nacimiento) 
 Aceptar los términos y condiciones de uso 
 Realizar en RedPagos la primera carga a efectos de 
crear la billetera digital (Cash In) 
Smartphones 
(Teléfonos Inteligentes) 
 Llamar a *228# 
 Seguir los pasos indicados para el registro (Nombre 
completo, CI, Fecha de nacimiento) 
 Ingreso de PIN para utilizar las operaciones 
 Realizar en RedPagos la primera carga a efectos 
de crear la billetera digital (Cash In) 
Teléfonos 
No inteligentes</x:v>
      </x:c>
    </x:row>
    <x:row r="311" ht="110" customHeight="1">
      <x:c r="A311" s="46" t="str">
        <x:v>PRD-0085-P0024-U01</x:v>
      </x:c>
      <x:c r="B311" s="46" t="str">
        <x:v>ZA_SARB_Project_Khokha_2_Full_Report_6_April_2022</x:v>
      </x:c>
      <x:c r="C311" s="46" t="n">
        <x:v>24</x:v>
      </x:c>
      <x:c r="D311" s="46" t="str">
        <x:v>en</x:v>
      </x:c>
      <x:c r="E311" s="46" t="str">
        <x:v>text</x:v>
      </x:c>
      <x:c r="F311" s="46" t="str"/>
      <x:c r="G311" s="46" t="str">
        <x:v>24
PROJECT KHOKHA 2
THE PROOF-OF-CONCEPT
Debenture token market activities
The next section discusses some of the debenture token market activities for the different 
prototypes depicted in the overview provided in Figure 7 below. 
Wholesale central bank digital 
currency functionality
The issuing of wCBDC
wCBDC was issued to commercial banks when 
they bought it with money from their settlement 
account in the SAMOS system. The wCBDC can 
be sold back to the SARB as and when required. 
Using wCBDC to settle securities trades
wCBDC tokens were designed to carry a 
direct and fungible claim on the SARB and 
are recorded as an asset on the token holder’s 
balance sheet. This means that when a wCBDC 
is transferred from one participant to another, 
the associated claim on the central bank is 
transferred with the token. In the PoC, this not 
only effected the function of payment, but also 
impacted legal and operational settlement. 
According to South African legislation, 
settlement in a designated settlement system 
is final and irrevocable. In the PoC, wCBDC 
6  Na tive network refers to the network upon which a token is issued on and is inherent to.
is ported to the Khokha Hub to facilitate 
purchasing of debentures in the primary 
market where operational settlement occurred. 
The wCBDC Zone, for purposes of the PoC, 
is considered to be a designated settlement 
system as the platform on which central bank 
wholesale money is issued; however, Khokha 
Hub, as a more commercial construct, is not. 
This means that, if such a model is adopted 
in a future world, legal settlement would only 
occur once transactions are settled in the 
wCBDC Zone. The ability to port (export and 
import) wCBDC from its native network
6  – 
that is, the wCBDC Zone to a non-native 
network(i.e. the Khokha Hub) – requires that 
its use be restricted in line with its use on its 
native network, including restricting its use to 
only SAMOS settlement participants on the 
non-native network. Certain functionality, such 
as purchasing wCBDC from, or selling it back to, 
the SARB was only available on the  
wCBDC Zone. 
wCBDC 
Engine
Khokha Token 
creation
Debenture 
auction/issue
Khokha Token 
redemption
Debenture 
maturity
Secondary 
trade
Figure 7: Overview of debenture token market activities
Primary market Secondary market
Activities
• Secondary 
debenture trade
• Create FDM 
Tokens
• Create FDM ask 
orders
• Khokha Token 
matching
Activities
• Verify maturity 
report
• Maturity 
payment
• Verify maturity 
receipt
• Transfer 
wCBDC off 
Khokha Hub
Activities
• Burn Khokha 
Tokens
• Release SAMOS 
funds
• Redeem 
Khokha Tokens
• Make netting 
payments
Activities
• Simulate 
debenture 
auction process 
• Pay for 
debentures
• Receive 
debentures
Activities
• Earmark 
SAMOS funds 
• Set up netting 
facilities
• Mint Khokha 
Token
• Trade Khokha 
Token
Activities
• Buy wCBDC 
(SAMOS)
• Send and 
receive wCBDC
• Sell wCBDC 
(SAMOS)
• Export wCBDC 
to Khokha Hub</x:v>
      </x:c>
    </x:row>
    <x:row r="312" ht="110" customHeight="1">
      <x:c r="A312" s="46" t="str">
        <x:v>PRD-0085-P0034-U01</x:v>
      </x:c>
      <x:c r="B312" s="46" t="str">
        <x:v>ZA_SARB_Project_Khokha_2_Full_Report_6_April_2022</x:v>
      </x:c>
      <x:c r="C312" s="46" t="n">
        <x:v>34</x:v>
      </x:c>
      <x:c r="D312" s="46" t="str">
        <x:v>en</x:v>
      </x:c>
      <x:c r="E312" s="46" t="str">
        <x:v>text</x:v>
      </x:c>
      <x:c r="F312" s="46" t="str"/>
      <x:c r="G312" s="46" t="str">
        <x:v>34
PROJECT KHOKHA 2
THE PROOF-OF-CONCEPT
Delivery-versus-payment 
is more complex for non-
fungible tokens
In the primary market, the purchase of a 
debenture in the auction process triggers a 
dedicated DvP contract to execute an atomic 
swap within the Khokha Hub debenture 
module as part of the issuance process. For 
the atomic swap to complete the transaction, 
it had to verify the NFT’s data against ISIN 
data, including verifying the authenticity, 
value and any possible actions linked to the 
NFT. Alternatively, in the secondary market, 
the FDM Token was created as a synthetic 
instrument representing the debenture token’s 
value at maturity to price the FDM Tokens and 
make them fungible, increasing liquidity in the 
market. Markets were set up for each maturity 
week, with trade setup being done utilising a 
decentralised exchange (DEX)
8  order book, with 
bids and orders being made on a peer-to peer 
(P2P) basis. The DvP contract for the fungible 
instrument was less complex since it did not 
have to complete all the same checks required 
by the DvP contract for the debenture tokens. 
8  An e xchange enabling the direct trade of DLT-based tokens on a peer-to-peer basis without the need of an intermediary.
Factors affecting the 
complexity of porting a token
Porting a token may, depending on the nature 
of the token, require verifying three factors, 
namely the authenticity, value and potential 
actions linked to a token. With the wCBDC, 
particularly as a fungible token, its authenticity 
is linked to the SARB as its issuer, which 
attestation is then linked to the wCBDC Zone 
on which the wCBDC tokens are issued. With 
NFTs, it is not only the issuer that is important, 
but also verifying the authenticity of individual 
tokens, which is why the verification of the 
ISIN and other details become important. The 
verification of the value of the wCBDC is linked 
to the central bank as its issuer, whereas for the 
wToken, as a stablecoin, verification requires 
verification of the reserve assets to which its 
value is linked. In other words, for the wToken, 
it means verification that the value on the 
wToken arrangement is fully backed by central 
bank money earmarked in settlement accounts. 
Security tokens, such as the debenture token, 
may have actions linked to it, such as settlement 
of obligations like the payment of principal and 
interest at maturity. To increase the utility of a 
ported security token on a non-native network, 
it is important that the underlying actions linked 
to that security be linked to the ported-security 
and available to the non-native network.</x:v>
      </x:c>
    </x:row>
    <x:row r="313" ht="110" customHeight="1">
      <x:c r="A313" s="46" t="str">
        <x:v>PRD-0085-P0037-U01</x:v>
      </x:c>
      <x:c r="B313" s="46" t="str">
        <x:v>ZA_SARB_Project_Khokha_2_Full_Report_6_April_2022</x:v>
      </x:c>
      <x:c r="C313" s="46" t="n">
        <x:v>37</x:v>
      </x:c>
      <x:c r="D313" s="46" t="str">
        <x:v>en</x:v>
      </x:c>
      <x:c r="E313" s="46" t="str">
        <x:v>text</x:v>
      </x:c>
      <x:c r="F313" s="46" t="str"/>
      <x:c r="G313" s="46" t="str">
        <x:v>37
PROJECT KHOKHA 2
IMPLICATIONS
Section 4 of the report highlighted several technical observations and insights 
gained from the PK2 PoC. This section of the report explores, first the business 
and operational implications identified in the PoC, followed by a consideration 
of some potential policy and regulatory implications. 
Business and operational implications
Transitioning to a tokenised market 
Operating a DLT-based financial system will require new capabilities on the part 
of all role players in the market. The new DLT-based platforms will also need to 
be integrated with incumbents’ legacy systems, including the components of 
market infrastructure such as the SAMOS system. As the transition is made to a 
financial services market that includes DLT-based tokens, standards will need to 
be developed, best practices established and a supporting ecosystem will need 
to be put in place. 
A transition to a DLT-based system may be far less dramatic than what was 
needed in the last century to enable dematerialisation, yet it would not be a 
trivial undertaking and will require careful planning and execution. A DLT-based 
system will probably run in parallel to the existing system for a while, perhaps 
indefinitely. However, the challenges are not only technical and operational, and 
appropriate risk management must be implemented to ensure new systems are 
fully operational and secure. Further engagement and collaboration between 
policymakers, legislators, regulators and relevant industry players – particularly 
in regulated markets – would be required before any transition or incorporation 
of DLT-based systems can be realised. 
New governance methods for new markets
While the underlying principles applied remain mostly unchanged, governance 
of DLT-based token markets is achieved in a different way from the governance 
arrangements in respect of incumbent systems, which could potentially be 
partially replaced. The application of good governance generally serves as an 
enabler for compliance, security, transparency and trust. 
Tokens can, to some degree, have governance elements programmed into their 
design, in that they can be configured so that they are limited in their issuance 
and operation, and can be linked to the segregated roles set up within the 
governance model. The wCBDC and wToken implemented in the PK2 PoC, 
for example, could be limited in their usage to selected participants (e.g. only 
licensed banks) who had been placed on an approved participant list, that is 
white listed, by the SARB. The benefits of DLT’s immutable record management 
presents a real advantage for governing entities needing to supervise the 
activities performed on the network. Compliance in DLT-based markets may be, 
at least partially, automated using smart contracts and real-time access to data 
on the DLT-network, enabling automatic monitoring as part of the regulatory 
framework which is referred to as ‘embedded supervision’ (Auer, 2019).  
IMPLICATIONS</x:v>
      </x:c>
    </x:row>
    <x:row r="314" ht="110" customHeight="1">
      <x:c r="A314" s="46" t="str">
        <x:v>PRD-0085-P0039-U01</x:v>
      </x:c>
      <x:c r="B314" s="46" t="str">
        <x:v>ZA_SARB_Project_Khokha_2_Full_Report_6_April_2022</x:v>
      </x:c>
      <x:c r="C314" s="46" t="n">
        <x:v>39</x:v>
      </x:c>
      <x:c r="D314" s="46" t="str">
        <x:v>en</x:v>
      </x:c>
      <x:c r="E314" s="46" t="str">
        <x:v>text</x:v>
      </x:c>
      <x:c r="F314" s="46" t="str"/>
      <x:c r="G314" s="46" t="str">
        <x:v>39
PROJECT KHOKHA 2
IMPLICATIONS
Process implications of using 
DLT-based tokens
There are various representations of value in the 
current financial market, and various institutions 
who record the ownership of that value. This 
means that current processes and procedures 
were designed to record transactions and 
changes in ownership across multiple entities. 
It is important to recognise that a token, as a 
representation of value, and the DLT on which 
it is issued is a single system. Depending on 
the particular token platform, it is possible to 
have multiple assets, including money, on the 
same platform – as in the Khokha Hub. Having 
security and settlement tokens on the same 
smart platform opens up the possibility for 
re-imagining financial market interactions. For 
example, the participants recognised that the 
FDM Tokens, created to make the debentures 
fungible, could actually be used as a form 
of money without the need to sell them and 
convert them to wCBDC or Khokha Tokens. 
Thus, a security becomes a representation of 
value, and potentially a piece of ‘Money Lego’ 
around which further innovations could be 
constructed. This, however, also presented 
an interesting example of an unintended 
consequence, since the intent of issuing 
debentures is to drain excess liquidity from 
the market. However, the FDM Token, in turn 
increased liquidity by introducing a fungible, 
tradeable token – representing a claim against 
the central bank, into the market.
Other potential implications include the 
possibility that actions affecting tokens 
could be automated, so conceivably things 
like corporate actions or interest rates could 
be applied to tokens by the relevant smart 
contracts. DLT-based markets could provide 
participants with improved data-transparency, 
which could improve the discovery mechanism 
when pricing assets and could provide 
participants with a more informed view of 
where collateral resides and how it moves 
through the system. A move to a DLT-based 
market – for instance, the debentures market 
explored in the report – effectively means a 
decision to move to a pre-funded market and 
participants will have to accommodate the 
operational and process implications of a T+0 
settlement. 
Settlement implications
The foundational question behind current 
wCBDC exploration is whether central banks 
should issue these tokens – at this time. Based 
on the PoC, it can be argued that it is wCBDC 
which unlocked the potential of the debenture 
token market. The use of central bank money 
provided participants with the certainty 
available only from a riskless settlement asset. 
With private ‘money’ arrangements, there is the 
risk that the issuer(s) may not be able to back 
the money, which then introduces the risk that if 
such a failure occurred, settlement would fail. 
The wToken arrangement in the PoC was 
backed by central bank money earmarked 
in a settlement account in the SAMOS 
system, thereby reducing the risk in using it 
as a settlement instrument. Additionally, the 
wToken was redeemable for wCBDC, which 
increased participants’ options and further 
reduced (liquidity) risk. Other reserve asset 
options, such as bank deposits or commercial 
bank stablecoins, would again increase risk as 
dependence on third parties and other factors 
increases. In a market where both a wToken, 
such as the Khokha Token, and a wCBDC are 
available, it is not likely that there will be a 
business case for the wToken. The wToken does, 
however, provide a less-risk settlement option 
(i.e. it is not riskless, but depending on the 
reserve asset, may entail less credit and liquidity 
risk than relying on a settlement asset issued 
and backed by a private entity) that is worth 
considering where wCBDC is not available and/
or where a settlement option more prone to 
enabling innovation may be required.</x:v>
      </x:c>
    </x:row>
    <x:row r="315" ht="110" customHeight="1">
      <x:c r="A315" s="46" t="str">
        <x:v>PRD-0085-P0045-U01</x:v>
      </x:c>
      <x:c r="B315" s="46" t="str">
        <x:v>ZA_SARB_Project_Khokha_2_Full_Report_6_April_2022</x:v>
      </x:c>
      <x:c r="C315" s="46" t="n">
        <x:v>45</x:v>
      </x:c>
      <x:c r="D315" s="46" t="str">
        <x:v>en</x:v>
      </x:c>
      <x:c r="E315" s="46" t="str">
        <x:v>text</x:v>
      </x:c>
      <x:c r="F315" s="46" t="str"/>
      <x:c r="G315" s="46" t="str">
        <x:v>45
PROJECT KHOKHA 2
CONCLUSION
Project Khokha 2 journey
PK2 sets out to highlight implications of 
tokenisation in financial markets driven by DLT 
innovation. Consideration was given to both 
the tokenisation of existing assets on DLT as 
well as issuing new assets as DLT-based tokens. 
Tokenisation was explored through a PoC of 
the issuance, clearance and settlement SARB-
debenture tokens on DLT using a wCBDC for 
payment in the primary market and a wToken for 
payment in the secondary market. 
The project team was tasked to not just replicate 
existing processes on DLT, but to design for DLT 
and re-imagine existing processes in the light 
of decentralised and modular design principles. 
The PoC implemented two DLT platforms in a 
debenture token market, that is, the wCBDC Zone 
and Khokha Hub. This proved that it was possible 
to move away from the current centralised 
financial market architecture to a composable 
financial market where different financial role 
players, roles, infrastructures and assets can be 
built into TTPs in new and innovative ways. 
Insights gained along  
the way
The wCBDC was implemented as central bank 
money, comparable and equivalent in value and 
quality to settlement accounts with the central 
bank. Issuing a token-based wCBDC on DLT 
created a riskless settlement asset on a platform 
which also serves as a payment settlement 
system as well as hosting settlement participants’ 
account, as a wallet on the DLT, with the central 
bank. It has been established that it is feasible 
to port – export and import – the wCBDC to 
other (non-native) DLT-based platforms while 
maintaining a link back to its own (native) DLT. 
The wCBDC served as a corner stone to other 
components on the debenture token market, 
enabling trade on the market. The Khokha 
Hub was built as a TTP with its building blocks 
consisting of a TPP, CSD, SSS and, through 
porting the wCBDC, elements of the payment 
settlement system. The modular design of the 
Khokha Hub enabled the creation of further 
tokens such as the FDM Token as a synthetic 
instrument to enable trading of debentures in 
the secondary market. Both the porting of the 
wCBDC and the FDM Tokens proved that it was 
possible to port central bank value to other 
networks, which would require serious reflection 
on how to balance the benefits of interoperability 
between enabling innovation and managing 
access to central bank assets, in line with policy 
objectives. Participants have observed that the 
true benefit and challenge from DLT may not 
stem from the technology itself, but from the 
business process innovation it enables. Based 
on the PoC, although the number of operators 
could potentially be reduced, the roles and 
functions did not disappear and therefore 
existing regulatory frameworks would still apply. 
The design of the PoC did, however, result in 
the issuance of DLT-based tokens which are not 
defined in law and modular design of TTPs and 
would require further consideration to determine 
whether and how frameworks may need to 
be updated. Further work is required to gain 
deeper technical insights and contribute to the 
development of informed technology responses.
CONCLUSION</x:v>
      </x:c>
    </x:row>
    <x:row r="316" ht="110" customHeight="1">
      <x:c r="A316" s="46" t="str">
        <x:v>PRD-0086-P0001-U01</x:v>
      </x:c>
      <x:c r="B316" s="46" t="str">
        <x:v>ZA_SARB_Project_Khokha_2_Report_media_release_6_April_2022</x:v>
      </x:c>
      <x:c r="C316" s="46" t="n">
        <x:v>1</x:v>
      </x:c>
      <x:c r="D316" s="46" t="str">
        <x:v>en</x:v>
      </x:c>
      <x:c r="E316" s="46" t="str">
        <x:v>text</x:v>
      </x:c>
      <x:c r="F316" s="46" t="str"/>
      <x:c r="G316" s="46" t="str">
        <x:v>Publication of the Project Khokha 2 report  1 | P a g e  
Press statement 
6 April 2022 
Launch of the Project Khokha 2 report 
The South African Reserve Bank (SARB), in collaboration with the Intergovernmental 
Fintech Working Group (IFWG), announced the launched the Project Khokha 2 (PK2) 
report today, following the conclusion of the technical proof-of-concept (PoC).  
PK2 built on the SARB’s experimentation with distributed ledger technology (DLT) , 
trialling DLT for interbank payments settlement. It also explored tokenisation.  
The report provides further insight into the PoC, the design principles adopted for the 
project, and the prototypes built to support the project’s overall objectives.  
PK2 was launched in February 2021 as an initiative under the IFWG’s Innovation 
Accelerator and was driven by the SARB’s Fintech Unit. Industry participants who 
participated in the technical PoC were Absa, FirstRand, JSE Limited, Nedbank and 
Standard Bank as well as technical and support service providers.  
PK2 being a collaborative initiative, numerous other stakeholders were also consulted 
on the project. 
PK2 aimed to issue, clear and settle SARB debentures (a debt security) on DLT using 
two settlement options: a wholesale central bank digital currency (wCBDC) as a form 
of central bank money, and a wholesale settlement token (wToken) as a form of private 
money issued by commercial banks.  
Two DLT networks were created  for the debenture token market . The one network, 
Khokha Hub, served as a token trading platform and enabled the issuance of, and</x:v>
      </x:c>
    </x:row>
    <x:row r="317" ht="110" customHeight="1">
      <x:c r="A317" s="46" t="str">
        <x:v>PRD-0087-P0002-U01</x:v>
      </x:c>
      <x:c r="B317" s="46" t="str">
        <x:v>ZA_SARB_SARB_ProjectKhokha-20180605</x:v>
      </x:c>
      <x:c r="C317" s="46" t="n">
        <x:v>2</x:v>
      </x:c>
      <x:c r="D317" s="46" t="str">
        <x:v>en</x:v>
      </x:c>
      <x:c r="E317" s="46" t="str">
        <x:v>text</x:v>
      </x:c>
      <x:c r="F317" s="46" t="str"/>
      <x:c r="G317" s="46" t="str">
        <x:v>FOREWORD
FOREWORD
Francois Groepe, Deputy Governor,  
South African Reserve Bank
Our goal with Project Khokha is to contribute  
to the global initiatives which assess the application  
and use cases of distributed ledger technology (DLT)  
through this collaborative effort piloted by the  
South African Reserve Bank (SARB) together  
with the national banking community.
The role of banking institutions, central banks and 
financial market infrastructures, both domestically and 
internationally, is being disrupted at a rapid pace by 
innovative and emerging technologies. Instead of ignoring 
these developments, the South African financial services 
industry has risen to the challenge of learning, growing 
and understanding the implications and opportunities that 
they present in a South African context. We recognise that 
there is a cost to impeding innovation, and we are keen 
to support innovation where it could give rise to greater 
efficiencies without undermining the soundness  
and stability of the broader financial system.
The SARB initiated Project Khokha in the latter part 
of 2017, with the project team consisting of seven 
banking industry participants, a technical service 
provider (ConsenSys), and consulting practice 
PricewaterhouseCoopers Inc. The results of this  
project are captured in this paper, which describes  
the key objectives, approach, technical testing  
results and insights gained from this proof of concept.
The scope of Project Khokha was to trial interbank 
wholesale settlement using DLT. Several astute insights 
were attained from taking a robust approach to the 
trial. A significant contribution to the global DLT body 
of knowledge was made, as it is thought that this was 
the first time that the Istanbul Byzantine Fault Tolerance 
consensus mechanism and Pedersen commitments  
for confidentiality had been used with Quorum. 
Furthermore, the DLT nodes were operated under  
a variety of deployment models (on-premise, on-premise 
virtual machine, and cloud) and across distributed sites 
while processing the current South African real-time gross 
settlement system’s high-value payments transaction 
volumes within a two-hour window.
An important outcome from this project is the realisation 
that there is more with which to deepen and expand our 
knowledge. It is evident that significant benefits will be 
realised by leveraging collaboration across an industry – 
and even more so when global communities work together.
Given the speed and disruptive nature of digital innovation, 
it is undisputable that regulators will need to be more 
proactive and more responsive. The practice of regulation 
following innovation thus also needs to change. Regulators 
cannot control the future, but, through the establishment   
of appropriate and responsive regulatory frameworks,  
we can contribute positively to the betterment of our 
societies, including their economic well-being.
We as the SARB are committed to contributing to efforts 
aimed at leveraging innovation and technology to improve 
efficiencies while promoting the safety and soundness 
of the broader financial system. And although Project 
Khokha is but one initiative in this regard, it is nonetheless 
an important step on this journey. We invite you to be part 
of the journey.</x:v>
      </x:c>
    </x:row>
    <x:row r="318" ht="110" customHeight="1">
      <x:c r="A318" s="46" t="str">
        <x:v>PRD-0087-P0006-U01</x:v>
      </x:c>
      <x:c r="B318" s="46" t="str">
        <x:v>ZA_SARB_SARB_ProjectKhokha-20180605</x:v>
      </x:c>
      <x:c r="C318" s="46" t="n">
        <x:v>6</x:v>
      </x:c>
      <x:c r="D318" s="46" t="str">
        <x:v>en</x:v>
      </x:c>
      <x:c r="E318" s="46" t="str">
        <x:v>text</x:v>
      </x:c>
      <x:c r="F318" s="46" t="str"/>
      <x:c r="G318" s="46" t="str">
        <x:v>CHAPTER 1 | CONTEXT AND BACKGROUNDEXECUTIVE SUMMARY
EXECUTIVE 
SUMMARY
Project Khokha is a collaborative project led by the  
SARB and involving a consortium of South African 
settlement banks as well as technical and support 
partners. The goal of the project was to build a proof-
of-concept (PoC) wholesale payment system for 
interbank settlement using a tokenised South African 
rand on distributed ledger technology (DLT). The project 
commenced in January 2018 and ran for 14 weeks.  
It is the first project initiated by the recently constituted 
Fintech Unit in the SARB.
Project Khokha builds on the initiatives previously 
undertaken by other central banks, including those  
of Brazil, Canada, Europe, Japan and Singapore.  
These projects have typically been rapid builds  
of PoCs exploring the use of DLT in a banking context. 
This report identifies three ‘waves’ of this type of work. 
The first wave consists of simple PoCs built using 
Ethereum. The second wave takes this work and 
investigates the interconnected issues of scalability, 
resilience, confidentiality and finality. The third wave, 
which is just starting, diverges into areas such as 
securities settlement and cross-border transactions. 
Project Khokha forms part of the second wave and 
was designed to provide a realistic test of a DLT-based 
wholesale payments system. In particular, it investigates 
whether confidentiality could be achieved at scale, i.e.  
with production-level volumes, and whether multiple  
node types, each configured by a participating bank,  
could be accommodated.
The project was built on Quorum, using Istanbul Byzantine 
Fault Tolerance (IBFT), Pedersen commitments and 
range proofs to deliver on the combination of scalability, 
resilience, confidentiality and finality. This is thought  
to be the first time that a PoC has used Pedersen 
commitments and range proofs on a Quorum network 
using IBFT. Each bank was responsible for configuring  
its own node on the network, and the seven banks used  
a mixture of physical machines, on-premise virtual 
machines and cloud-based virtual machines.
The results show that the typical daily volume of the 
South African payments system could be processed  
in less than two hours with full confidentiality of 
transactions and settlement finality. This was done using 
ISO 20022 standard messages, propagated within two 
seconds, across a network of geographically distributed 
nodes, with distributed consensus providing the requisite 
resilience. The SARB was able to view the detail of all the 
transactions to allow for regulatory oversight.
This project has laid the foundations for future 
collaborative work – essential in the blockchain context – 
and has fulfilled its objective of providing useful insights 
to all participants. This report notes that there are many 
issues to consider before the decision to take a DLT-based 
system into production can be taken. Some of these 
issues relate to the practicalities of implementation,  
but also to legal and regulatory factors and to the  
broader economic impact. The future direction will also  
be influenced by further development of the technology 
and by central banks and other regulators globally 
continuing to contribute to this field of knowledge.
The SARB anticipates continuing work in this area 
and expects to continue contributing to the body  
of work in DLT-based systems.
06 Fintech Report  Project Khokha</x:v>
      </x:c>
    </x:row>
    <x:row r="319" ht="110" customHeight="1">
      <x:c r="A319" s="46" t="str">
        <x:v>PRD-0087-P0035-U01</x:v>
      </x:c>
      <x:c r="B319" s="46" t="str">
        <x:v>ZA_SARB_SARB_ProjectKhokha-20180605</x:v>
      </x:c>
      <x:c r="C319" s="46" t="n">
        <x:v>35</x:v>
      </x:c>
      <x:c r="D319" s="46" t="str">
        <x:v>en</x:v>
      </x:c>
      <x:c r="E319" s="46" t="str">
        <x:v>text</x:v>
      </x:c>
      <x:c r="F319" s="46" t="str"/>
      <x:c r="G319" s="46" t="str">
        <x:v>35Project Khokha Fintech Report  
 STRUCTURE OF THE PROJECT | CHAPTER 2
HYPOTHESES TESTED
The technical goals  
are expressed formally  
as hypotheses.
The project set out to test a number of key hypotheses 
which are depicted in figure 6:
Figure 6: The key hypotheses of Project Khokha
Real-time gross settlement transactions can be executed 
using standard payment message formats (leveraging the 
ISO 20022 format).
Messages can be processed at sufficient scale 
and in line with the current system processing times.
Blocks should be propagated within 1s to a 95% 
confidence level and within 2s to a 99% confidence level.
The confidentiality and privacy of transactions 
between commercial banks is maintained.
The visibility of the system for the SARB is sufficient 
for oversight and operational management.</x:v>
      </x:c>
    </x:row>
    <x:row r="320" ht="110" customHeight="1">
      <x:c r="A320" s="46" t="str">
        <x:v>PRD-0087-P0042-U01</x:v>
      </x:c>
      <x:c r="B320" s="46" t="str">
        <x:v>ZA_SARB_SARB_ProjectKhokha-20180605</x:v>
      </x:c>
      <x:c r="C320" s="46" t="n">
        <x:v>42</x:v>
      </x:c>
      <x:c r="D320" s="46" t="str">
        <x:v>en</x:v>
      </x:c>
      <x:c r="E320" s="46" t="str">
        <x:v>text</x:v>
      </x:c>
      <x:c r="F320" s="46" t="str"/>
      <x:c r="G320" s="46" t="str">
        <x:v>42 Fintech Report  Project Khokha
CHAPTER 3 | RESULTS
Performance tests
The details of the performance tests for iterations 3 and 4 
are shown below. Note that the number of nodes shown 
is for the participant banks, and that it excludes the 
ConsenSys and SARB nodes shown above, which were 
on the network for all the transactions. The specifications 
above were upgraded for the second and third run  
in iteration 4.
ITERATION 3 RESULTS
In iteration 3 the transactions are confidential and the 
SARB node approves all the transactions after checks.
Table 4: Results for the testing of iteration 3
Iteration 3
Test run 1 Test run 2 Test run 3
Test type First benchmark test  
on iteration 3
Second benchmark test  
on iteration 3
Third benchmark test  
on iteration 3
Date 3 April 2018 6 April 2018 12 April 2018
Nodes (banks) 4 5 7
Total transactions 70 000 90 000 90 000
Duration 1h 14m 21s 1h 15m 51s 1h 16m 00s
Processing speed 15.69 tx/s 19.78 tx/s 19.74 tx/s
Node specifications Four cores, 16GB RAM Four cores, 16GB RAM Four cores, 16GB RAM</x:v>
      </x:c>
    </x:row>
    <x:row r="321" ht="110" customHeight="1">
      <x:c r="A321" s="46" t="str">
        <x:v>PRD-0087-P0062-U01</x:v>
      </x:c>
      <x:c r="B321" s="46" t="str">
        <x:v>ZA_SARB_SARB_ProjectKhokha-20180605</x:v>
      </x:c>
      <x:c r="C321" s="46" t="n">
        <x:v>62</x:v>
      </x:c>
      <x:c r="D321" s="46" t="str">
        <x:v>en</x:v>
      </x:c>
      <x:c r="E321" s="46" t="str">
        <x:v>text</x:v>
      </x:c>
      <x:c r="F321" s="46" t="str"/>
      <x:c r="G321" s="46" t="str">
        <x:v>62 Fintech Report  Project Khokha
CHAPTER 5 | CONCLUSION AND FUTURE WORK
Taking a distributed ledger 
technology system into production 
would have multiple implications 
beyond the core technology.
While DLT is not yet mature, the technology has been 
the subject of a number of projects carried out by central 
banks. The issues adjacent to these new systems will vary 
on a case-by-case basis, and will include integration with 
other systems, the fundamentals of cybersecurity, the 
management of private keys by the parties running nodes, 
and the legal and accounting aspects of incorporating DLT 
into current structures.
This work would potentially be time-consuming, with  
a large number of parties involved, and would be a key 
component of any implementation programme.  
The regulatory and legislative elements are particularly 
complex. A DLT-based system could possibly enable  
more efficient regulation that is done in real time via  
an observer node for the regulator. At the same time,  
in a distributed system, there are elements of control that  
a regulator like the SARB may have to consider 
relinquishing in order to achieve some of the other benefits 
(such as distributed consensus), which would improve 
resilience by removing the single point of failure. It has 
been argued that the regulatory challenges are much 
harder to resolve than the technological ones.
One logical first step for adoption, which has been 
mooted by the Central Bank of Brazil, is to install a DLT-
based system as a backup to the ‘normal’ payments 
infrastructure. Taking into account that this would require 
integration and other work noted above, this idea might 
provide the impetus to build a production-level system 
without taking the significant step of going fully live with 
a DLT system. It could be argued that this would require 
as much development as taking a system live, unless the 
disaster recovery version has less onerous requirements 
for integration with other systems and the other issues 
noted in the preceding paragraphs. The only reason for 
not going live with a DLT system would then be a value 
judgement based on the relative qualities of the systems. 
The potentially broad impact  
of a distributed-ledger-
technology-based system  
needs to be considered.
The business case for implementing DLT systems  
is usually not made on a like-for-like replacement basis.  
In the South African context, for example, the case  
to do a straight replacement for the SAMOS wholesale 
payments system with a DLT equivalent would probably 
not be clear-cut. What is more interesting is the broader 
impact of a DLT system and the kinds of things it enables 
as applications and use cases are built around it, such 
as those noted above. A logical next step from Project 
Khokha might therefore be an economic impact analysis  
of the implementation of DLT under a number of scenarios. 
This could take into account the various options for 
development, their interaction and their full financial 
impact. Such a study would need to consider varying 
degrees of DLT usage in the economy and would be  
an important parallel piece of work to further experiments 
with the technology.</x:v>
      </x:c>
    </x:row>
    <x:row r="322" ht="110" customHeight="1">
      <x:c r="A322" s="46" t="str">
        <x:v>PRD-0087-P0073-U01</x:v>
      </x:c>
      <x:c r="B322" s="46" t="str">
        <x:v>ZA_SARB_SARB_ProjectKhokha-20180605</x:v>
      </x:c>
      <x:c r="C322" s="46" t="n">
        <x:v>73</x:v>
      </x:c>
      <x:c r="D322" s="46" t="str">
        <x:v>en</x:v>
      </x:c>
      <x:c r="E322" s="46" t="str">
        <x:v>text</x:v>
      </x:c>
      <x:c r="F322" s="46" t="str"/>
      <x:c r="G322" s="46" t="str">
        <x:v>73Project Khokha Fintech Report  
 APPENDICES | CHAPTER 6 
Detail on Project Khokha  
testing iterations.
Iteration Description
1 This was a straightforward transfer between two banks. 
The process entailed:
1. Bank A commits a payment to Bank B by calling the ‘approveFor’ function on the ‘ZAR  
    smart contract’. This is a standard Ethereum Request for Comment (ERC20) function.
2. There are some simple checks in the contract to ensure that the amount being transferred  
    is positive and that the post-transfer balance of Bank A is still positive. 
All rand balances and payment values were visible to the whole network.
2 This was very similar to the current SAMOS process. 
Bank A effectively sent a payment instruction that the SARB executed. 
The process looked as follows:
1. Bank A commits a payment to Bank B by calling the ‘approveFor’ method in the ‘ZAR 
    smart contract’ with the amount and the destination address.
2. The SARB checks the values and the post-transfer balance. If both are positive, 
    they transfer the funds using the ‘transferFrom’ method, which checks to see if Bank A has 
    committed funds to the payment.
All rand balances and payment values were visible to the whole network.
3 The amounts and balances were shielded, with the network only seeing the Pedersen commitment  
for each transaction. The SARB still approved the transfer. 
The process entailed:
1. Bank A calls for the ‘approveFor’ method which has a ‘text’ metadata field that will contain  
    the encrypted versions of the amount and the blinding factor.
2. Bank A communicates the decryption key to Bank B and the SARB via a Whisper channel
    (performed during network set-up).
3. The SARB checks the transaction amount and the post-transfer balance of Bank A.  
    If both the amount and the post-transfer balance are positive, the SARB transfers the funds using  
    the ‘transferFrom’ method, which will check to see if Bank A has committed the funds to the payment   
    and will update the balances of Bank A and Bank B by subtracting and adding the commitment
    submitted by Bank A from/to the balances of Bank A and Bank B respectively.
4. Once the balance commitments of Bank A and Bank B are updated, the transaction is settled.
The Rand balances and transaction amounts are only visible to the two transaction parties  
and the SARB.
Further details for each iteration are given in Table 7 to supplement the description given on page 32.
Table 7: Breakdown of Project Khokha’s four iterations</x:v>
      </x:c>
    </x:row>
    <x:row r="323" ht="110" customHeight="1">
      <x:c r="A323" s="46" t="str">
        <x:v>PRD-0088-P0008-U01</x:v>
      </x:c>
      <x:c r="B323" s="46" t="str">
        <x:v>IN_RBI_ConceptNote_2022</x:v>
      </x:c>
      <x:c r="C323" s="46" t="n">
        <x:v>8</x:v>
      </x:c>
      <x:c r="D323" s="46" t="str">
        <x:v>en</x:v>
      </x:c>
      <x:c r="E323" s="46" t="str">
        <x:v>text</x:v>
      </x:c>
      <x:c r="F323" s="46" t="str"/>
      <x:c r="G323" s="46" t="str">
        <x:v>Concept Note on CBDC 
8 
consumers and businesses while wholesale CBDC is designed for restricted access to select financial 
institutions. While Wholesale CBDC is intended for the settlement of interbank transfers and related 
wholesale transactions, Retail CB DC is an electronic version of cash primarily meant for retail 
transactions. 
It is believed that Retail CBDC can provide access to safe money for payment and settlement as it is a 
direct liability of the Central Bank. Wholesale CBDC has the potential to transform the settlement 
systems for financial transactions and make them more efficient and secure. Going by the potential 
offered by each of them, there may be merit in introducing both CBDC-W and CBDC-R. 
Model for issuance and management of CBDC  
There are two models for issuance and management of CBDCs viz. Direct model (Single Tier model) 
and Indirect  model (Two-Tier model). A Direct model would be the one where the central bank is 
responsible for managing all aspects of the CBDC system viz. issuance, account-keeping and 
transaction verification.  
In an Indirect  model, central bank and other intermediaries (banks and any other service providers) , 
each play their respective role. In this model central bank issues CBDC to consumers indirectly through 
intermediaries and any claim by consumers is managed by the intermediary as the central bank only 
handles wholesale payments to intermediaries.  
The Indirect model is akin to the current physical currency management system wherein banks manage 
activities like distribution of notes to public, account-keeping, adherence of requirement related to know-
your-customer (KYC) and anti-money laundering and countering the terrorism of financing (AML/CFT) 
checks, transaction verification etc. 
Forms of CBDC  
CBDC can be structured as ‘token -based’ or ‘account-based’. A token -based CBDC is a bearer -
instrument like banknotes, meaning whosoever holds the tokens at a given point in time would be 
presumed to own them. In contrast, an account-based system would require maintenance of record of 
balances and transactions of all holders of the CBDC and indicate the ownership of the monetary 
balances. Also, in a token-based CBDC, the person receiving a token will verify that his ownership of 
the token is genuine, whereas in an account-based CBDC , an intermediary verifies the identity of an 
account holder.  Considering the features offered by both the forms of CBDCs, a token-based CBDC is 
viewed as a preferred mode for CBDC -R as it would be closer to physical cash, while account-based 
CBDC may be considered for CBDC-W.  
Technology choice 
CBDCs being digital in nature, technological consideration will always remain at its core. The 
infrastructure of CBDCs can be on a conventional centrally controlled database or on Distributed Ledger 
Technology. The two technologies differ in terms of efficiency and degree of protection from single point</x:v>
      </x:c>
    </x:row>
    <x:row r="324" ht="110" customHeight="1">
      <x:c r="A324" s="46" t="str">
        <x:v>PRD-0088-P0015-U01</x:v>
      </x:c>
      <x:c r="B324" s="46" t="str">
        <x:v>IN_RBI_ConceptNote_2022</x:v>
      </x:c>
      <x:c r="C324" s="46" t="n">
        <x:v>15</x:v>
      </x:c>
      <x:c r="D324" s="46" t="str">
        <x:v>en</x:v>
      </x:c>
      <x:c r="E324" s="46" t="str">
        <x:v>text</x:v>
      </x:c>
      <x:c r="F324" s="46" t="str"/>
      <x:c r="G324" s="46" t="str">
        <x:v>Concept Note on CBDC 
15 
Chapter 2:  CBDC – Conceptual 
Framework 
2.1 What is CBDC? 
The report by the CPMI -MC published in 2018 
defines CBDCs as new variants of central bank 
money different from physical cash or central 
bank reserve/settlement accounts. That is, a 
central bank liability, denominated in an existing 
unit of account, which serves both as a medium 
of exchange and a store of value. The four 
different properties of money are: (i) issuer 
(central bank or not); (ii) form (digital or 
physical); (iii) accessibility (wide or narrow); and 
(iv) technology (peer -to-peer to kens, or 
accounts) (Bech and Garratt (2017)). Based on 
these four properties, the CPMI -MC report 
provides a taxonomy of money  (‘The Money 
Flower’), which delineates two broad types of 
CBDC: general purpose and wholesale –  with 
the former type coming in two varieties (Figure 
1). 
(Figure 2. The money flower: a taxonomy of money. CB = central 
bank. Source: CPMI-MC (2018); Bech and Garratt (2017)) 
Reserve Bank defines CBDC as the legal tender 
issued by a central bank in a digital form. It is 
the same as a sovereign currency and is 
9 Central Bank Digital Currency – Is This the Future of Money, 
https://www.rbi.org.in/Scripts/BS_SpeechesView.aspx?Id=1111 
exchangeable one-to-one at par (1:1) with the 
fiat currency 9. While money in digital form is 
predominant in India— for example in bank 
accounts recorded as book entries on 
commercial bank ledgers—a CBDC would differ 
from existing digital money available to the 
public because a CBDC would be a liability of 
the Reserve Bank, and not of a commercial 
bank.  
2.2 Features of CBDC  
The features of CBDC include: 
• CBDC is sovereign currency issued by 
Central Banks in alignment with their 
monetary policy 
• It appears as a liability on the central bank’s 
balance sheet 
• Must be accepted as a medium of payment, 
legal tender, and a safe store of value by all 
citizens, enterprises, and government 
agencies. 
• Freely convertible against commercial bank 
money and cash 
• Fungible legal tender for which holders need 
not have a bank account 
• Expected to l ower the  cost of issuance of 
money and transactions</x:v>
      </x:c>
    </x:row>
    <x:row r="325" ht="110" customHeight="1">
      <x:c r="A325" s="46" t="str">
        <x:v>PRD-0088-P0016-U01</x:v>
      </x:c>
      <x:c r="B325" s="46" t="str">
        <x:v>IN_RBI_ConceptNote_2022</x:v>
      </x:c>
      <x:c r="C325" s="46" t="n">
        <x:v>16</x:v>
      </x:c>
      <x:c r="D325" s="46" t="str">
        <x:v>en</x:v>
      </x:c>
      <x:c r="E325" s="46" t="str">
        <x:v>text</x:v>
      </x:c>
      <x:c r="F325" s="46" t="str"/>
      <x:c r="G325" s="46" t="str">
        <x:v>Concept Note on CBDC 
16 
Chapter 3 - Motivations for issuance of 
CBDCs 
3.1 Different jurisdictions have justified the 
adoption of CBDC for very diverse reasons. 
Some of them are enumerated below: 
i. Central Banks, faced with dwindling 
usage of paper currency, seek to 
popularise a more acceptable electronic 
form of currency (like Sweden); 
ii. Jurisdictions with significant physical 
cash usage seeking to make issuance 
more efficient (like Denmark, Germany, 
Japan or even the US); 
iii. Countries with geographical barriers 
restricting the physical movement of 
cash had motivation to go for CBDC 
(e.g. The Bahamas and the Caribbean 
with small and large numbers of islands 
spread out);  
iv. Central Banks seek to meet the public’s 
need for digital currencies, manifested in 
the increasing use of private virtual 
currencies, and thereby avoid the more 
damaging consequences of such private 
currencies. 
3.2 Further, CBDCs have some clear 
advantages over other digital payments 
systems, as it being a sovereign currency, 
ensures settlement finality and thus reduces  
settlement risk in the financial system. CBDCs 
could also potentially enable a more real-time, 
cost-effective seamless integration of cross 
border payment systems. India has made 
impressive progress in innovation in digital 
10 RBI Annual Report 2021-22 
payments. The payment systems are available 
24X7, 365 days a year to both retail and 
wholesale customers, they are largely real -
time, the cost of transaction is perhaps the 
lowest in the world, users have a wide array of 
options for doing transactions and digital 
payments have grown at an impressive CAGR 
of 55% over the last five years.  
3.3 Supported by the state-of-the-art 
payment systems of India that are affordable, 
accessible, convenient, efficient, safe and 
secure, the e₹ system will bolster India’s  digital 
economy, enhance financial inclusion, and 
make the monetary and payment systems more 
efficient. There are a large and diverse number 
of motivations for India to consider  CBDC. 
Some of the important motivations for India to 
consider issuing CBDC are given below.
3.3.1 Reduction in cost associated with physical 
cash management 
Cost of c ash management in India has 
continued to be significant. The total 
expenditure incurred on security printing during 
April 1, 2021 to March 31, 2022 was ₹ 4,984.80 
crore as against ₹4,012.10 crore in the previous 
year (July 1, 2020 to March 31, 2021) 10. This 
cost, which does not include the Environmental, 
Social, and Governance (ESG) cost of printing 
money, is predominantly borne by four 
stakeholders –general public , businesses, 
banks, and the Central Bank. CBDC affects the 
overall value of the money issuing function to 
the extent that it reduces operational costs e.g. 
costs related to printing, storage, transportation 
and replacement of banknotes, and cost s 
associated with delay in reconciliation and</x:v>
      </x:c>
    </x:row>
    <x:row r="326" ht="110" customHeight="1">
      <x:c r="A326" s="46" t="str">
        <x:v>PRD-0088-P0028-U01</x:v>
      </x:c>
      <x:c r="B326" s="46" t="str">
        <x:v>IN_RBI_ConceptNote_2022</x:v>
      </x:c>
      <x:c r="C326" s="46" t="n">
        <x:v>28</x:v>
      </x:c>
      <x:c r="D326" s="46" t="str">
        <x:v>en</x:v>
      </x:c>
      <x:c r="E326" s="46" t="str">
        <x:v>text</x:v>
      </x:c>
      <x:c r="F326" s="46" t="str"/>
      <x:c r="G326" s="46" t="str">
        <x:v>Concept Note on CBDC 
28 
The CBDC-W may be issued in account-based 
form, as legally, it attempts to offer instant 
settlement and their legal status is well 
understood and established. Moreover, the use 
case of CBDC-W warrants them to be account 
based to facilitate the transactions.  
CBDC-R is mainly devised for consumption of 
common public with features akin to physical 
cash viz. anonymous, unique serial number etc. 
A token-based system would ensure universal 
access – as anybody can obtain a digital 
signature – and it would offer good privacy by 
default. Moreover, the token generated will have 
a unique token number which will enable the 
detection of counterfeiting of tokens and 
potentially also the restoration of value if an 
individual los es the device.  Under a token-
based CBDC-R regime, users would be able to 
withdraw digital tokens from banks in the same 
way they can withdraw physical cash. They 
would maintain their digital tokens in a wallet 
and could spend them online or in person or 
transfer them vi a an app. The token based 
CBDC also supports innovation with an ability to 
include programmable feature that supports 
efficiency such as standardisation of 
compliance rules, fraud detection, wrapped 
CBDC to other use cases in future. Further, 
token-based C BDC-R can be used to 
accomplish financial inclusion goals. 
4.3.5 Anonymity14 - What degree of privacy 
would apply and who could hold CBDC? 
For CBDC to substitute currency as a medium 
of exchange, it needs to incorporate all the 
features that physical currency represents – 
14 https://www.rba.gov.au/speeches/2020/sp-so-2020-10-14.html 
anonymity (that currency transactions can be 
carried out without maintaining evidence of 
transacting parties), universality (that currency 
can be used for any transaction) and finality 
(that payment of currency unconditionally 
settles the transaction). Ensuring anonymity for 
a digital currency particularly represents a 
challenge, as all digital transactions leave a trail. 
Clearly, the degree of anonymity would be a key 
design decision for any CBDC and there has 
been significant debate on this i ssue. Most 
central banks and other observers have, 
however, noted that the potential for 
anonymous digital currency to facilitate 
shadow-economy and illegal transactions, 
makes it highly unlikely that any CBDC would 
be designed to fully match the levels of 
anonymity and privacy currently available with 
physical cash. An intermediate degree of 
privacy may be thought of and can also be 
possible. For example, the European Central 
Bank (2019) has experimented with the concept 
of a CBDC with elements of programm able 
money, by which individuals could be allotted a 
certain amount of ‘anonymity vouchers’ that 
could be used for small transactions, with larger 
transactions still visible to financial 
intermediaries and the authorities, including 
those responsible for AML and CFT.</x:v>
      </x:c>
    </x:row>
    <x:row r="327" ht="110" customHeight="1">
      <x:c r="A327" s="46" t="str">
        <x:v>PRD-0088-P0033-U01</x:v>
      </x:c>
      <x:c r="B327" s="46" t="str">
        <x:v>IN_RBI_ConceptNote_2022</x:v>
      </x:c>
      <x:c r="C327" s="46" t="n">
        <x:v>33</x:v>
      </x:c>
      <x:c r="D327" s="46" t="str">
        <x:v>en</x:v>
      </x:c>
      <x:c r="E327" s="46" t="str">
        <x:v>text</x:v>
      </x:c>
      <x:c r="F327" s="46" t="str"/>
      <x:c r="G327" s="46" t="str">
        <x:v>Concept Note on CBDC 
33 
5.4 Trusted Environment 
It is essential that entire lifecycle of CBDC 
should be within an end-to-end trusted 
environment. It can be achieved by ensuring 
that Double-spend and malicious token creation 
or manipulation is avoided, monitored and 
checked regularly. It also needs to be confirmed 
that data is shared only with the relevant parties 
and does not need to be shared across the 
whole network (distributed or otherwise) for 
verification. Further, systemic checks through 
third party validation should ensure that in case 
of a token  system, only such tokens issued by 
the Central bank are circulating in the 
ecosystem. Additionally, a competent party 
should be able to verify identity information 
before a participant is allowed to join the CBDC 
network. 
Policy related Tech Considerations 
5.5 Recoverability 
In case of account-based models, the issue of 
recoverability does not arise as the identity of 
user shall always be available where the 
account is held. In  the case of token-based 
models, based on whether CBDCs will be 
recoverable or not, the system can support two 
types of wallets based on User Consent:  
 Custodian Model – Token’ service provider 
(TSP) is responsible for managing the keys 
of wallet holding tokens on behalf of user. In 
this model, wallet is recoverable with same 
public address, Wallet Pin and Tokens held 
by user. Since the user details are held in 
custody by the service provider, the security 
of the tokens shall be dependent on the 
15 Payment and Settlement Systems Report, Bank of Japan, 
https://www.boj.or.jp/research/brp/psr/data/psrb200702.pdf 
robustness of security protocols of the TSP. 
While dependency on external entity shall 
allow recoverability, it may also compromise 
with anonymity as the service provider shall 
always hav e visibility over the token 
movements in and out of the wallet.  
 User Held Model – The responsibility of key 
holding is with User and its device. Wallet is 
not recoverable in case of loss of user held 
device. 
5.6 Offline Functionality 
Digital payments traditionally rely on online 
communications with several intermediaries 
such as banks, payment networks, and 
payment processors to authorise and process 
payment transactions. While these 
communication networks are designed to be 
highly available with continuous uptime, there 
may be times when CBDC users will experience 
little or no access to network connectivity.  
In India out  of the 1.4 billion (143.3 crores) 
population, 825 million people have internet  
access. This means many Indians will not be 
able to use CBDCs due to connectivity 
unavailability. To ensure widespread use of 
CBDC, offline capabilities need to be 
incorporated.   
The Bank of Japan (BoJ) has published a 
research paper
15 exploring the potential offline 
use of a digital yen using central bank digital 
currency (CBDC). Some of the solutions 
examined in the paper include using a chip (IC) 
on a SIM card but with a feature phone rather 
than a smartphone. The paper concludes that 
these solutions may not be very user friendly.</x:v>
      </x:c>
    </x:row>
    <x:row r="328" ht="110" customHeight="1">
      <x:c r="A328" s="46" t="str">
        <x:v>PRD-0088-P0034-U01</x:v>
      </x:c>
      <x:c r="B328" s="46" t="str">
        <x:v>IN_RBI_ConceptNote_2022</x:v>
      </x:c>
      <x:c r="C328" s="46" t="n">
        <x:v>34</x:v>
      </x:c>
      <x:c r="D328" s="46" t="str">
        <x:v>en</x:v>
      </x:c>
      <x:c r="E328" s="46" t="str">
        <x:v>text</x:v>
      </x:c>
      <x:c r="F328" s="46" t="str"/>
      <x:c r="G328" s="46" t="str">
        <x:v>Concept Note on CBDC 
34 
BoJ also explored the potential use of 
PASMO/Suica cards, which are used for railway 
and transport ticket passes as well as electronic 
money. 
Visa16 has also proposed an Offline Payment 
System (OPS). Th e protocol outlined by Visa 
allows CBDCs to be directly downloaded onto a 
personal device, such as a smartphone or 
tablet. The money is stored on a secure 
hardware embedded in that device and 
managed by a wallet provider.  The CBDC can 
be transacted from one device to another device 
directly without any intermediaries such as 
banks, payment networks, or payment 
processors using Bluetooth and Near Field 
Communication. However, Visa’s solution does 
not account for double spending of tokens. 
In offline mode, the risk of “double-spending” 
will exist because it will be technically possible 
to use a  CBDC unit more than once without 
updating the common ledger of CBDC, 
however, the same can be mitigated to a larger 
extent by technical solutions  and appropriate 
business rules including monetary limi t on 
offline transactions. 
The use of offline transactions would be 
beneficial in remote locations and offer 
availability and resilience benefits when 
electrical power or mobile network is not 
available. For offline transactions, the wallets 
must be able to independently verify the 
authenticity of any CBDC transaction without 
communicating with the server during the 
transactions. It may be highlighted that even in 
16 Finding a secure solution for offline use of 
the case of offline transactions, there would still 
be a periodic need for power and network 
connectivity to reload or redeem CBDC 
balances or to synchronize the local wallet 
balances with central servers.    
It is thus desirable that CBDC should have 
offline capabilities, without which it will not prove 
to be an attractive and accessible medium of 
payment for a wide category of users.  
It is essential to devise uniform standards and 
protocols for the offline exchange of CBDC. To 
make sure that these standards and protocols 
are robust and future ready, it is necessary to 
have extensive industry consultation. 
5.7 Programmability 
One interesting application of CBDC is the 
technical possibility of programmability. CBDCs 
have the possibility of programming the money 
by tying the end use. For example, agriculture  
credit by banks can be programmed to ensure 
that is used only at input store outlets. Similarly, 
for MSMEs etc., that may take care of the issue 
of diversion of funds and further financial 
inclusion. This may help in ensuring the end-use 
which banks have to continuously grapple with 
across the globe. However, the programmability 
feature of CBDC needs to be carefully 
examined in order to retain the essential 
features of a currency. It can also have other 
implications for monetary policy transmission as 
tokens may have an expiry date, by which they 
would need to be spent, thus ensuring 
consumption. The programmability of tokens 
can be achieved using the following: 
central bank digital currencies (CBDCs), 
https://usa.visa.com/dam/VCOM/global/sites/visa-economic-
empowerment-institute/documents/veei-secure-offline-cbdc.pdf</x:v>
      </x:c>
    </x:row>
    <x:row r="329" ht="110" customHeight="1">
      <x:c r="A329" s="46" t="str">
        <x:v>PRD-0088-P0040-U01</x:v>
      </x:c>
      <x:c r="B329" s="46" t="str">
        <x:v>IN_RBI_ConceptNote_2022</x:v>
      </x:c>
      <x:c r="C329" s="46" t="n">
        <x:v>40</x:v>
      </x:c>
      <x:c r="D329" s="46" t="str">
        <x:v>en</x:v>
      </x:c>
      <x:c r="E329" s="46" t="str">
        <x:v>text</x:v>
      </x:c>
      <x:c r="F329" s="46" t="str"/>
      <x:c r="G329" s="46" t="str">
        <x:v>Concept Note on CBDC 
40 
average consumer, appropriate technical 
and audit standards may be necessary to 
neutralize technical impediments which can 
indirectly cause consumer risk. 
(iii)       Accountability Risk: The 
identification of who is accountabl e to 
consumers in case of loss is crucial and a 
core issue in respect of the consumer 
protections associated risk. 
6.3.2 The consumer protection is an important 
pillar of the financial stability as it aids in building 
and maintaining consumer confidence and trust 
in financial markets and helps to promote 
efficiency and stability which in turn create 
positive outcomes for both financial institutions 
and their customers. The customer protection 
framework for CBDC must consider the 
variations in the digital l iteracy of consumers 
and ways to increase consumer understanding 
and transparency so that an informed choice is 
made by them while adopting the CBDC. The 
central bank must ensure that both the 
infrastructure and participants of a CBDC 
system should be extr emely resistant to cyber -
attacks and other threats. This should also 
include ensuring effective protection from 
counterfeiting. 
 6.3.3 With an objective to maintain the trust of 
the public in the CBDC, it is essential that the  
CBDC system of the country is scalable enough 
to meet the demands of the CBDC by public . 
The intermediaries should also be able to fulfil 
their obligations of meeting the demand.. 
Further, the access to CBDC for initiating a 
transaction by public should be seamless. 
Moreover, the digital nature of CBDC may lead 
to origination of various type of customer 
grievances such as deficiency in service by the 
intermediaries, technical disruption in supply of 
CBDC, transaction etc . The effective and 
efficient resolution of customer grievances will 
play a key role in facilitating adoption of CBDC 
by the public . The scope of CBDC related 
grievance may be covered under a robust and 
efficient grievance redressal mechanism.</x:v>
      </x:c>
    </x:row>
    <x:row r="330" ht="110" customHeight="1">
      <x:c r="A330" s="46" t="str">
        <x:v>PRD-0090-P0007-U01</x:v>
      </x:c>
      <x:c r="B330" s="46" t="str">
        <x:v>HK_HKMA_eHKD_PolicyDesign</x:v>
      </x:c>
      <x:c r="C330" s="46" t="n">
        <x:v>7</x:v>
      </x:c>
      <x:c r="D330" s="46" t="str">
        <x:v>en</x:v>
      </x:c>
      <x:c r="E330" s="46" t="str">
        <x:v>text</x:v>
      </x:c>
      <x:c r="F330" s="46" t="str"/>
      <x:c r="G330" s="46" t="str">
        <x:v>6
e-HKD: A Policy and Design Perspective
2. Introduction
In 2017, the HKMA began researching CBDC (see Box 1 for details) under Project 
LionRock. Since then, it has been actively collaborating with the Bank of Thailand, the 
Digital Currency Institute of the People ’s Bank of China (PBoC), the Central Bank of 
the United Arab Emirates and the BIS Innovation Hub Hong Kong Centre to study the 
potential of wholesale CBDC for cross-border payments under Project Multiple CBDC 
Bridge (mBridge). The HKMA commenced Project e-HKD in June 2021 to study the 
feasibility of an rCBDC in Hong Kong, i.e. e-HKD (Figure 1). Subject to its functionalities 
and design features, e-HKD can pose both opportunities and challenges to the HKMA ’s 
main functions of maintaining currency stability, financial stability, and Hong Kong as an 
international financial centre (including the development of financial infrastructure). This 
paper discusses the abovementioned issues, noting that the HKMA has not yet made a 
decision on whether and when to introduce e-HKD.
2017
Project
LionRock
Project Aurum*
Project e-HKD
Aurum 
prototype*
&amp; initial policy 
stance
e-HKD 
technical 
whitepaper
Feedback 
received on 
technical 
whitepaper
e-HKD policy 
discussion 
paper
mid-2021 Oct 2021 Dec 2021
Apr 2022
later in 2022
Continuous wholesale CBDC efforts 
including Project Inthanon-LionRock 
and mBridge from 2017 to now *Together with BIS Innovation Hub Hong 
Kong Centre, the HKMA will share results with 
central banking community
Figure 1: The CBDC journey of the HKMA</x:v>
      </x:c>
    </x:row>
    <x:row r="331" ht="110" customHeight="1">
      <x:c r="A331" s="46" t="str">
        <x:v>PRD-0090-P0017-U01</x:v>
      </x:c>
      <x:c r="B331" s="46" t="str">
        <x:v>HK_HKMA_eHKD_PolicyDesign</x:v>
      </x:c>
      <x:c r="C331" s="46" t="n">
        <x:v>17</x:v>
      </x:c>
      <x:c r="D331" s="46" t="str">
        <x:v>en</x:v>
      </x:c>
      <x:c r="E331" s="46" t="str">
        <x:v>text</x:v>
      </x:c>
      <x:c r="F331" s="46" t="str"/>
      <x:c r="G331" s="46" t="str">
        <x:v>16
e-HKD: A Policy and Design Perspective
Cash e-HKD Existing SVFs Bank channels 
(via FPS)
Free of credit &amp; 
liquidity risks ✓ ✓
✓*
(statutory and 
supervisory 
requirements in 
respect of float 
protection)
✓*
(up to HK$500,000 
under the Deposit 
Protection 
Scheme)
Resilient to 
network outage ✓
✓*
(if offline payment 
is supported)
✗*
(except for 
Octopus as it 
supports offline 
payment)
✗
Merchant 
acceptance ✓
✓*
(subject to 
service charge 
consideration)
✓*
(subject to 
service charge 
consideration)
✓*
(subject to 
service charge 
consideration)
Anonymity ✓
✓*
(assumed for 
small-value 
transactions)
✓*
(small-value 
domestic 
payments may be 
made by unverified 
accounts)
✗
Universally 
accessible ✓ ✓ ✓ ✓
Table 1: Comparison between e-HKD and other payment methods</x:v>
      </x:c>
    </x:row>
    <x:row r="332" ht="110" customHeight="1">
      <x:c r="A332" s="46" t="str">
        <x:v>PRD-0090-P0022-U01</x:v>
      </x:c>
      <x:c r="B332" s="46" t="str">
        <x:v>HK_HKMA_eHKD_PolicyDesign</x:v>
      </x:c>
      <x:c r="C332" s="46" t="n">
        <x:v>22</x:v>
      </x:c>
      <x:c r="D332" s="46" t="str">
        <x:v>en</x:v>
      </x:c>
      <x:c r="E332" s="46" t="str">
        <x:v>text</x:v>
      </x:c>
      <x:c r="F332" s="46" t="str"/>
      <x:c r="G332" s="46" t="str">
        <x:v>21
e-HKD: A Policy and Design Perspective
rCBDC could theoretically expose banks to a higher risk of a bank run during a financial 
crisis period, especially if the rCBDC is remunerated. As rCBDC is free of credit risk, 
customers seeking safe-haven assets may convert their bank deposits into rCBDC. 
While a similar run risk also exists with physical cash, the introduction of rCBDC may 
increase the risk as (a) it would be easier and faster to obtain than cash or other safe 
assets; and (b) the associated costs (as compared, for example, to the costs of storing 
and securing cash) of holding large sums of rCBDC would be negligible. That said, our 
assessment is that run risk for banks in Hong Kong would be very low given depositors ’ 
confidence in the Deposit Protection Scheme and the HKMA ’s prudential regulations 
and oversight, and e-HKD would not change the picture.
To further mitigate these adverse impacts, safeguards and design choices such as 
maximum account balance, daily conversion and transaction limits of rCBDC could be 
implemented. Such restrictions could be permanent/transitional and vary according to 
individuals/businesses. 11 Designing such safeguards, however, could be a challenging 
task and would require in-depth consideration of various aspects. While imposing 
more stringent rules would certainly help mitigate the abovementioned risks, an overly 
restrictive scheme could discourage potential users from switching over to rCBDC. Thus, 
striking the right balance between the two would be crucial to the success of rCBDC. 
To further ensure that the execution of rCBDC transactions would not be blocked in the 
event where the recipient ’s rCBDC balance reaches its limit, a mechanism could also be 
deployed to automatically direct any excess holding of rCBDC into the recipient ’s bank 
account.
In the case of Hong Kong, our internal analysis suggests that, with appropriate holding 
caps in place, the deposit substitution effect should be manageable. Given that e-HKD 
is designed for settling real-time small-value retail payments, it is also unlikely that its 
use by regular citizens would be greatly inhibited by these fairly loose holding caps.
11 See Auer R., Frost, J., Gambacorta, L., Monnet, C., Rice, T., &amp; Shin, H. S. (2021) “Central bank digital currencies: 
motives, economic implications and the research frontier ”, Annual Review of Economics, forthcoming .</x:v>
      </x:c>
    </x:row>
    <x:row r="333" ht="110" customHeight="1">
      <x:c r="A333" s="46" t="str">
        <x:v>PRD-0090-P0026-U01</x:v>
      </x:c>
      <x:c r="B333" s="46" t="str">
        <x:v>HK_HKMA_eHKD_PolicyDesign</x:v>
      </x:c>
      <x:c r="C333" s="46" t="n">
        <x:v>26</x:v>
      </x:c>
      <x:c r="D333" s="46" t="str">
        <x:v>en</x:v>
      </x:c>
      <x:c r="E333" s="46" t="str">
        <x:v>text</x:v>
      </x:c>
      <x:c r="F333" s="46" t="str"/>
      <x:c r="G333" s="46" t="str">
        <x:v>25
e-HKD: A Policy and Design Perspective
4.2 Increasing cyber security and software risks
Much akin to the adoption of any new technologies, transitioning from physical cash to 
rCBDC is subject to various risks and challenges. In particular, given the high monetary 
value of the rCBDC system, it could become an attractive target of cyber attackers.
In the case of Hong Kong, under the proposed structure outlined in the e-HKD 
technical whitepaper, the system would still have to deal with risks such as distributed 
denial-of-service (DDoS) attacks:
(i) Wholesale system
The only participants of the network are the intermediaries (i.e. banks and PSPs) 
in a supposedly private network. There is no inlet for internet traffic. The only 
possibility for an adversary to send in an enormous amount of traffic is through a 
compromised bank server (which is relatively less likely).
(ii) Retail system
Banks ’ customer-facing servers are the only entry points to the payment 
infrastructure. DDoS attacks against them with internet traffic would be possible 
(same as the scenario today for online banking).
(iii) Validator infrastructure
Only banks/PSPs can access. Hence, launching a DDoS attack against it requires 
compromising the bank server (whose protection should follow the respective 
Technology Risk Management guideline and which is relatively less likely). 
A successful DDoS attack against a bank server would only bring down the 
respective bank ’s wallet service, and the customers of other banks and PSPs 
should not be affected.
As for the retail front, the mobile wallet apps provided by financial institutions are also 
subject to cyber risks faced by existing e-wallets (e.g. fake QR codes).</x:v>
      </x:c>
    </x:row>
    <x:row r="334" ht="110" customHeight="1">
      <x:c r="A334" s="46" t="str">
        <x:v>PRD-0090-P0027-U01</x:v>
      </x:c>
      <x:c r="B334" s="46" t="str">
        <x:v>HK_HKMA_eHKD_PolicyDesign</x:v>
      </x:c>
      <x:c r="C334" s="46" t="n">
        <x:v>27</x:v>
      </x:c>
      <x:c r="D334" s="46" t="str">
        <x:v>en</x:v>
      </x:c>
      <x:c r="E334" s="46" t="str">
        <x:v>text</x:v>
      </x:c>
      <x:c r="F334" s="46" t="str"/>
      <x:c r="G334" s="46" t="str">
        <x:v>26
e-HKD: A Policy and Design Perspective
Apart from the risks arising from the payment system itself, there are also cyber risks 
associated with the adoption of smart contracts, including:
(i) Coding risk (software bugs)
Although smart contracts provide a trustworthy alternative to existing commercial 
models where agreements are enforced by external parties, these contracts are 
coded by human beings and therefore remain susceptible to human error.
(ii) Oracle risk (ability to verify conditions)
Oracles retrieve and verify external data for smart contracts. As the data extracted 
by oracles (e.g. flight delay information) determines how a smart contract will 
be executed (e.g. whether compensation should be paid to a policyholder), 
trustworthiness of oracles is crucial for smart contract execution. If the data 
retrieved by oracles is compromised, it could result in contracts being executed 
under incorrect circumstances.
It should be noted that no cyber security study of the e-HKD distribution infrastructure 
has been conducted so far. A proper evaluation would require rigorous modelling, 
enumeration of attack vectors and assessment of likelihood of these attacks, preferably 
based on a commonly adopted framework like STRIDE. 13
4.3 Increasing economic vulnerability to power/network 
outages
Like most other types of digital payment systems, transactions of rCBDC would still rely 
on the availability of electricity and data networks.
While Hong Kong has one of the most reliable power grids and network systems, 
power/network outages do occur, especially during extreme weather events. 14 If 
e-HKD replaces physical cash as the main way of settling retail transactions, economic 
activities in Hong Kong could be severely disrupted during these rare but possible 
13 STRIDE is a model developed by Loren Kohnfelder and Praerit Garg of Microsoft in 1999 to identify potential cyber 
security threats. It is derived from an acronym for six threat categories: Spoofing identity, T ampering with data, 
Repudiation, Information disclosure, D enial of service, and E levation of privilege. More details could be found at:  
https://msdn.microsoft.com/en-us/library/ee823878(v=cs.20).aspx.
14 For instance, around 13,500 households suffered from power outages for more than 24 hours as typhoon Mangkhut hit 
Hong Kong in 2018.</x:v>
      </x:c>
    </x:row>
    <x:row r="335" ht="110" customHeight="1">
      <x:c r="A335" s="46" t="str">
        <x:v>PRD-0090-P0031-U01</x:v>
      </x:c>
      <x:c r="B335" s="46" t="str">
        <x:v>HK_HKMA_eHKD_PolicyDesign</x:v>
      </x:c>
      <x:c r="C335" s="46" t="n">
        <x:v>31</x:v>
      </x:c>
      <x:c r="D335" s="46" t="str">
        <x:v>en</x:v>
      </x:c>
      <x:c r="E335" s="46" t="str">
        <x:v>text</x:v>
      </x:c>
      <x:c r="F335" s="46" t="str"/>
      <x:c r="G335" s="46" t="str">
        <x:v>30
e-HKD: A Policy and Design Perspective
(ii) Banks submitting USD in exchange for Certificate of Indebtedness (CIs) 
(Banknote approach)
As a natural extension of the existing framework for banknotes (except the $10 
note), e-HKD could also be issued in a way similar to the existing banknote 
issuance arrangement through the note-issuing banks. Specifically, when 
depositors request to convert HK$7.80 of deposits to e-HKD, designated banks 
would be required to submit US$1 to the HKMA to purchase HK$7.80 of CIs 
before issuing HK$7.80 e-HKD to the depositors (Figure 7). Under this approach, 
e-HKD would be issued by the designated banks and hence would become the 
liabilities of the designated banks instead of the Government, but with full backing 
by the USD via CIs.
(4) Issue HK$7.8 of e-HKD
(1) Convert HK$7.8 of deposits to e-HKD
(3) Issue HK$7.8 of CIs
(2) Submit US$1
   Figure 7: Mechanism of issuing e-HKD by submitting USD to the HKMA in exchange for CIs</x:v>
      </x:c>
    </x:row>
    <x:row r="336" ht="110" customHeight="1">
      <x:c r="A336" s="46" t="str">
        <x:v>PRD-0090-P0032-U01</x:v>
      </x:c>
      <x:c r="B336" s="46" t="str">
        <x:v>HK_HKMA_eHKD_PolicyDesign</x:v>
      </x:c>
      <x:c r="C336" s="46" t="n">
        <x:v>32</x:v>
      </x:c>
      <x:c r="D336" s="46" t="str">
        <x:v>en</x:v>
      </x:c>
      <x:c r="E336" s="46" t="str">
        <x:v>text</x:v>
      </x:c>
      <x:c r="F336" s="46" t="str"/>
      <x:c r="G336" s="46" t="str">
        <x:v>31
e-HKD: A Policy and Design Perspective
(iii) Banks converting existing Aggregate Balance (AB) into e-HKD (AB approach)
Under this approach, e-HKD would be issued through converting designated 
banks ’ clearing account balances with the HKMA into e-HKD (Figure 8), and this 
is in a way similar to the current way of issuing Exchange Fund Bills and Notes to 
subscribing banks. As the AB is a component of the Monetary Base that is fully 
backed by USD reserves, such a conversion would simply represent a change in 
the composition of the Monetary Base, and would be consistent with the Currency 
Board principles.
(4) Distribute HK$10 of e-HKD
(1) Convert HK$10 of deposits to e-HKD
(3) Issue HK$10 of e-HKD
(2) Submit HK$10 of AB
   Figure 8: Mechanism of issuing e-HKD by converting AB with the HKMA into e-HKD
Among the three potential issuance mechanisms, the AB approach is considered less 
suitable than the Banknote approach and the Coins approach for two reasons:
1. Unless adequate safeguards (see Section 4.1) are in place, the issuance and 
redemption of e-HKD under the AB approach may lead to increased volatility of 
the AB and hence HKD interbank liquidity conditions. The effect could be material 
if the AB were to drop to low levels, for example, during a financial crisis period 
with a deposit flight into e-HKD.</x:v>
      </x:c>
    </x:row>
    <x:row r="337" ht="110" customHeight="1">
      <x:c r="A337" s="46" t="str">
        <x:v>PRD-0090-P0033-U01</x:v>
      </x:c>
      <x:c r="B337" s="46" t="str">
        <x:v>HK_HKMA_eHKD_PolicyDesign</x:v>
      </x:c>
      <x:c r="C337" s="46" t="n">
        <x:v>33</x:v>
      </x:c>
      <x:c r="D337" s="46" t="str">
        <x:v>en</x:v>
      </x:c>
      <x:c r="E337" s="46" t="str">
        <x:v>text</x:v>
      </x:c>
      <x:c r="F337" s="46" t="str"/>
      <x:c r="G337" s="46" t="str">
        <x:v>32
e-HKD: A Policy and Design Perspective
2. The AB approach may give people a wrong impression that e-HKD is not fully 
backed by foreign reserves, as the indirect backing of e-HKD through the AB is 
much less straightforward than the Banknote approach and the Coins approach, 
both of which could make it easier for the general public to understand e-HKD as 
simply a digital extension of physical cash. 16
In comparing the Banknote approach with the Coins approach, the HKMA is inclined 
towards the Coins approach under which e-HKD would be solely issued by one single 
authority, but would still have the advantage of tasking agent banks to handle all 
customer-facing activities relating to the distribution of e-HKD. This approach would be 
simpler from an operational perspective and could avoid the unnecessary confusion of 
the public over the potentially different forms of e-HKD issued by different designated 
banks.
5.2 Interoperability with large-value and retail payment 
systems
As the purpose of developing e-HKD is not to replace existing payment methods, it is 
also important to ensure that e-HKD would be fully interoperable with other payment 
systems for more efficient payments to be made by the general public. The design of 
e-HKD should avoid creating a closed-loop payment system which impedes payments 
made between e-HKD users and users of other payment systems. Instead, e-HKD 
should also provide connectivity among other payment service providers such that 
cross-platform payments can be easily conducted.
In addition, the functionality and infrastructure of e-HKD should be able to evolve over 
time. In particular, e-HKD infrastructure should also be designed in a manner that paves 
the way for the possibility of future extensions to support unseen innovative use cases.
16 See Joseph Yam, “A Modern Day Currency Board System ”. https://www.hkma.gov.hk/eng/other-information/a-modern-
day-currency-board-system/</x:v>
      </x:c>
    </x:row>
    <x:row r="338" ht="110" customHeight="1">
      <x:c r="A338" s="46" t="str">
        <x:v>PRD-0091-P0010-U01</x:v>
      </x:c>
      <x:c r="B338" s="46" t="str">
        <x:v>EU_ECB_ClosingReport_2025</x:v>
      </x:c>
      <x:c r="C338" s="46" t="n">
        <x:v>10</x:v>
      </x:c>
      <x:c r="D338" s="46" t="str">
        <x:v>en</x:v>
      </x:c>
      <x:c r="E338" s="46" t="str">
        <x:v>text</x:v>
      </x:c>
      <x:c r="F338" s="46" t="str"/>
      <x:c r="G338" s="46" t="str">
        <x:v>In this phase the Eurosystem has also carried out more in-depth technical analysis on key
design features. Engaging with various stakeholders – such as EU policymakers, market participants
and civil society – helped in defining rules and safeguards to make a digital euro work in real life for
everyone: people, merchants and PSPs.
Collaboration with stakeholders was central throughout, reinforcing the project’s commitment
to inclusivity, usability and transparency. EU institutions and policymakers play a critical role in
shaping the legal and regulatory framework that would underpin the digital euro, and their work will
continue to be vital in the next phase of the project. The legislative process is currently progressing in
parallel with the technical preparations. The ECB provided technical input to support both the Council
and the Parliament during this process. European heads of state or government have been calling for
swift progress on the legislation,[ ] and the Danish Presidency of the Council aims to find agreement
on a general approach by the end of its term, in December 2025. The ECB is cooperating closely with
the Commission as well. The President of the European Commission, Ursula von der Leyen,
highlighted in her 2025 State of the Union address that “a digital euro will make it easier for companies
and consumers alike”.[ ]
This report provides an overview of the work carried out in the preparation phase between
November 2023 and October 2025. It consolidates the key deliverables and outcomes of this phase
and outlines the next steps. The ECB Governing Council’s possible decision on whether to issue a
digital euro, and on what date, will only be taken once the Regulation on the establishment of the digital
euro[ ] has been adopted.
2 Development of a draft digital euro scheme
rulebook
A key focus during the two-year preparation phase of the digital euro project was the further
development of the draft digital euro scheme rulebook. The rulebook aims to define a single set of
rules, standards and procedures for the provision of digital euro payments throughout the euro area. It
would ensure that PSPs deliver consistent basic digital euro services, enabling a uniform user
experience regardless of the country or PSP involved. The rulebook would thus provide the basis for
the development of further innovative services, supporting interoperability.
The rulebook is being developed in a collaborative and iterative process with the support of the
digital euro scheme’s Rulebook Development Group (RDG). The RDG includes representatives
from consumers, merchants, banks and non-bank PSPs, as well as third-party service providers from
the European retail payments market, alongside observers from Eurosystem NCBs and EU institutions.
digital euro payments.
Select potential providers for the digital euro platform and infrastructure.
Conduct experimentation and user research to validate design choices and assess usability.
Dive deeper into technical aspects, including further research into offline functionality,
accessibility and inclusion, holding limit calibration, and system architecture.

16
17
18</x:v>
      </x:c>
    </x:row>
    <x:row r="339" ht="110" customHeight="1">
      <x:c r="A339" s="46" t="str">
        <x:v>PRD-0091-P0024-U01</x:v>
      </x:c>
      <x:c r="B339" s="46" t="str">
        <x:v>EU_ECB_ClosingReport_2025</x:v>
      </x:c>
      <x:c r="C339" s="46" t="n">
        <x:v>24</x:v>
      </x:c>
      <x:c r="D339" s="46" t="str">
        <x:v>en</x:v>
      </x:c>
      <x:c r="E339" s="46" t="str">
        <x:v>text</x:v>
      </x:c>
      <x:c r="F339" s="46" t="str"/>
      <x:c r="G339" s="46" t="str">
        <x:v>In response to a formal request from co-legislators, the ECB prepared a technical analysis
estimating the potential financial stability effects of different hypothetical digital euro holding
limits in a range identified in the request, namely from €500 to €3,000 per individual.[ ] This
technical analysis involved assessing potential digital euro demand and its consequences for deposit
outflows and banks’ balance sheets under two scenarios: (i) a business-as-usual scenario, expected to
prevail; and (ii) a highly unlikely and extremely conservative flight-to-safety scenario, which has never
occurred in the 25 years since the first issuance of the euro.[ ] This analysis should be read solely as a
technical response to the specific request from the co-legislators[ ] (see also Section 6.3 Engaging
with co-legislators), and not as the outcome of the ECB’s full methodological process nor as the ECB’s
position on an appropriate level for holding limits.
The findings of the technical analysis confirmed that using the digital euro for day-to-day
payments would not harm financial stability. Considering that the gradual decline in the use of
banknotes for payments due to digitalisation corresponds with an increased use of deposit-based
instruments, the analysis showed that no aggregate bank deposit outflows would be recorded. Even
under a highly unlikely and extremely conservative scenario, given different hypothetical holding limits
in the range from €500 to €3,000 per person, the impact of potential digital euro demand on banks’
deposit outflows would be manageable, and there would be no significant impact on financial stability.
[ ]
Overall, the analysis confirmed that holding limits can effectively restrict deposit outflows from
the banking sector, safeguarding financial stability and supporting the effective formulation and
implementation of monetary policy. This analysis and the numerical results presented should be
read solely as a technical response to the specific request from the co-legislators, and not as the
outcome of the ECB’s full methodological process nor as the ECB’s position on an appropriate level for
holding limits. The estimates outlined in this analysis are illustrative and reflect an initial and partial
application of the methodology being developed by the ECB, rather than an exhaustive assessment.
The complete methodology encompasses three pillars (Figure 5) with additional aspects that extend
beyond the scope of this analysis. Moreover, the hypothetical holding limits assessed in this analysis
are based on the co-legislators’ specific requests to test a defined range. Consequently, the results
presented should not, under any circumstances, be interpreted as representing the official final position
of the ECB on the appropriate level of holding limits.
6 Engagement with external stakeholders
Throughout the preparation phase, the ECB maintained structured and continuous engagement
with a broad range of external stakeholders, including market participants, EU policymakers,
other central banks, civil society organisations, consumer advocacy groups and the public. By
engaging with a broad range of stakeholders and conducting extensive user research, the ECB has
gathered valuable feedback in shaping the design of the digital euro, ensuring that it meets
stakeholders’ needs while also fostering transparency and trust in the project. The engagement
activities included technical sessions, bilateral meetings, workshops and public-facing events.
6.1 User research
44
45
46
47</x:v>
      </x:c>
    </x:row>
    <x:row r="340" ht="110" customHeight="1">
      <x:c r="A340" s="46" t="str">
        <x:v>PRD-0092-P0009-U01</x:v>
      </x:c>
      <x:c r="B340" s="46" t="str">
        <x:v>EU_ECB_ThirdProgress_2025</x:v>
      </x:c>
      <x:c r="C340" s="46" t="n">
        <x:v>9</x:v>
      </x:c>
      <x:c r="D340" s="46" t="str">
        <x:v>en</x:v>
      </x:c>
      <x:c r="E340" s="46" t="str">
        <x:v>text</x:v>
      </x:c>
      <x:c r="F340" s="46" t="str"/>
      <x:c r="G340" s="46" t="str">
        <x:v>The ECB continues to regularly update the euro area finance ministers on digital euro project
developments through the Eurogroup. An update was provided in January 2025[ ], which
reinforced the ECB’s ongoing technical support in the legislative process[ ]. This update provided an
overview of the project’s progress and highlighted the role a digital euro can play in supporting
innovation, strengthening European payment systems and safeguarding financial stability. The ECB
also maintains regular dialogue with the European Parliament, keeping its ECON Committee informed
of project developments. On 8 April 2025, Executive Board member Piero Cipollone took part in a
public exchange of views on the digital euro at a meeting of the ECON Committee.[ ] In his
introductory statement, he emphasised the need for a digital euro that complements cash – supporting
financial stability, innovation and consumer protection while preserving monetary sovereignty amid
geopolitical uncertainty and rapid digitalisation.
The ECB continues to support the legislative debate at the technical level. Together with the
Commission, the ECB is an observer to meetings of the Council Working Party (CWP) that discusses
the digital euro legislative proposal, in which context it provides expert technical input, based on the
Opinion[ ] adopted by the Governing Council. At the request of the Council Presidency, the ECB
provided technical input in the following specific areas.
17
18
19
20
ECB analysis on the use of the digital euro outside the euro area (January 2025 CWP). The
analysis found that public authorities outside the euro area would have more influence on the
circulation of digital euro in their countries than on the circulation of euro cash. This is because the
draft Regulation requires the distribution of the digital euro in non-euro area countries to be based
on arrangements or agreements with local authorities, without which it would not be possible for
citizens of those countries to have digital euro holdings. In addition, the holding limit for non-euro
area residents needs to be equal to or lower than the limit for euro area residents. Residents
outside the euro area would need to gain access to digital euro services through European PSPs,
which are required to perform identity checks when onboarding users. This means that access for
non-residents would likely remain limited, which in turn would restrict the digital euro’s function as a
store of value outside the euro area, especially when compared with cash. At the same time, the
analysis highlighted that allowing merchants outside the euro area to accept digital euro payments
could strengthen the euro’s role as an international currency and support trade in euro. This would
not threaten the monetary sovereignty of non-euro area countries, since citizens would not be able
to hold digital euro in the absence of arrangement/agreements and any payments received by
merchants would be immediately converted into the local currency.

ECB technical input on privacy and data sharing[ ]. The ECB provided technical information
on privacy, which is a key consideration in the digital euro’s design and has also been at the core of
the design of the digital euro service platform (DESP). The DESP is the technical platform for
settling digital euro transactions and providing functions that cannot be accomplished by individual
intermediaries. It features a best-in-class privacy model that will apply strict data segregation,
ensuring that the Eurosystem cannot link transactions to users or infer any of their behaviours or
identity attributes. Only PSPs will be able to identify the end user and link that identity to individual
transactions. Furthermore, as provided for in the digital euro Regulation, the ECB will delegate
certain DESP tasks to external providers of support services, which will further contribute to data
 21</x:v>
      </x:c>
    </x:row>
    <x:row r="341" ht="110" customHeight="1">
      <x:c r="A341" s="46" t="str">
        <x:v>PRD-0093-P0015-U01</x:v>
      </x:c>
      <x:c r="B341" s="46" t="str">
        <x:v>HK_HKMA_eHKD_Phase2_2025</x:v>
      </x:c>
      <x:c r="C341" s="46" t="n">
        <x:v>15</x:v>
      </x:c>
      <x:c r="D341" s="46" t="str">
        <x:v>en</x:v>
      </x:c>
      <x:c r="E341" s="46" t="str">
        <x:v>text</x:v>
      </x:c>
      <x:c r="F341" s="46" t="str"/>
      <x:c r="G341" s="46" t="str">
        <x:v>e-HKD Pilot Programme  | Phase 2 Report
11
19. Interoperability is the ability of different systems, devices, applications or organisations to work together and exchange 
information effectively, even if they were developed independently or used different technologies.
20. Decentralised identity uses cryptography, digital wallets, and related technologies to enable multiple entities to 
contribute credentials and empower individuals to manage their data. 
21. An escrow service is a financial agreement where a trusted agent of parties to a transaction holds assets (such as funds 
or securities) and only releases them when conditions have been met. 
Cross-Border Potential and Implications
Tokenisation also holds strong promise for 
enhancing cross-border trading and settlement 
efficiency. As Hong Kong is a leading financial 
centre, the extension of the e-HKD to retail 
investors, if implemented, should ideally include 
accessibility for overseas investors, many of 
whom would require efficient foreign exchange 
(FX) channels to convert their domestic 
currencies into an e-HKD. This would support 
the issuance of assets denominated in the Hong 
Kong dollar (HKD) and strengthen Hong Kong’s 
attractiveness as a global investment hub. 
Aligned with this vision, Visa, ANZ, Fidelity 
International and ChinaAMC (HK) partnered 
to explore the practical use of an Australian 
dollar (AUD)-referenced stablecoin which 
investors could exchange for a hypothetical 
e-HKD or HKD tokenised deposits to acquire 
tokenised funds from asset managers in Hong 
Kong. This pilot demonstrated the potential of 
atomic DvP settlement using smart contracts 
and new forms of digital money to improve 
settlement efficiency, reduce counterparty 
risk and facilitate the cross-border distribution 
of digital assets. It also assessed technical 
requirements for interoperability19 across 
multiple blockchain networks.
Privacy and Compliance Challenges on Public DLTs
Most tokenised asset settlement use cases 
today are built on public DLTs. However, the 
inherent transparency of these platforms 
raises substantial privacy concerns and creates 
compliance challenges for financial institutions. 
Addressing these issues is crucial if digital money, 
such as an e-HKD and tokenised deposits, is to be 
scaled for tokenised asset settlement on public 
blockchains.
To address these concerns, HSBC’s pilot explored 
the use of privacy-enhancing technologies (PETs), 
decentralised identity20, and allowlists/denylists 
to mitigate risks related to privacy, security and 
illicit activity. In a separate experiment, HSBC 
also evaluated the performance and scalability of 
private and public permissionless DLTs to assess 
how an e-HKD might support transactions in 
these environments. 
2.2.2  Programmability
Programmability, although not yet uniformly 
defined, generally refers to the ability to embed 
rules, conditions or logic directly into digital money 
or transactional processes. This allows actions to 
be executed automatically or restrictions to be 
enforced based on predefined criteria.
Limitations of Today’s Financial Systems
Although current financial infrastructures 
offer some programmable capabilities, such as 
recurring payments and escrow services21, the 
use of these features is usually restricted to large 
institutions. Legacy systems typically lack the 
flexibility to support customisable, automated 
logic at scale. As a result, conditional payments 
remain costly, slow, and reliant on human 
oversight, rendering them impractical for most 
retail scenarios.
Fragmentation across platforms and protocols 
further limits scalability. With most systems 
operating in siloed environments, automating 
complex payment structures involving 
multiple conditions or ecosystems is difficult. 
Consequently, conditional payments are mostly 
confined to simple arrangements with a small 
number of parties.
These limitations present appealing opportunities 
for innovation. By enhancing programmability 
and interoperability, the financial sector could 
unlock the broader potential of conditional 
payments, making them more accessible to 
individuals and corporates with diverse needs.
Programmability at Scale
Findings from Phase 1 of the e-HKD 
Pilot Programme (Phase 1) showed that 
programmability implemented through smart 
contracts and supported by an e-HKD could 
address many of these constraints and enable 
wider adoption of retail conditional transactions.</x:v>
      </x:c>
    </x:row>
    <x:row r="342" ht="110" customHeight="1">
      <x:c r="A342" s="46" t="str">
        <x:v>PRD-0093-P0024-U01</x:v>
      </x:c>
      <x:c r="B342" s="46" t="str">
        <x:v>HK_HKMA_eHKD_Phase2_2025</x:v>
      </x:c>
      <x:c r="C342" s="46" t="n">
        <x:v>24</x:v>
      </x:c>
      <x:c r="D342" s="46" t="str">
        <x:v>en</x:v>
      </x:c>
      <x:c r="E342" s="46" t="str">
        <x:v>text</x:v>
      </x:c>
      <x:c r="F342" s="46" t="str"/>
      <x:c r="G342" s="46" t="str">
        <x:v>e-HKD Pilot Programme  | Phase 2 Report
20
particularly with the emergence of technologies 
such as tokenisation and distributed ledger 
technology (DLT), the need to adapt these 
systems to support new capabilities has become 
more apparent.
Although the use of disparate trading and 
settlement platforms across multiple asset 
classes has created operational silos, it presents a 
unique opportunity for integration and efficiency 
improvements. This is particularly relevant 
in multi-asset transactions, such as those 
that involve mutual funds, where the current 
fragmented settlement systems and data sources 
highlight the potential for streamlined processes 
through enhanced automation and reduced 
manual validation.
To fully harness the benefits of emerging 
technologies, including 24/7 trading and atomic 
settlement, financial institutions are required 
to progressively upgrade their core banking 
system infrastructure and workflows. Legacy and 
modern systems would likely need to operate in 
parallel during this transition. 
Such transformation will also require substantial 
investment by the financial institutions. Although 
the complexity and cost of this undertaking 
could deter many institutions from committing 
the necessary investment, the growing maturity 
of the tokenised asset market and predicted 
increase in demand from customers are likely 
to prompt financial institutions to reassess 
their decisions on whether to commit to these 
necessary investments. 
System transformation would be needed for 
enabling transactions using an e-HKD and 
tokenised deposits. However, less system 
overhaul would be required for banks to 
implement tokenised deposits, as banks could 
leverage some of the infrastructure they have 
established for other deposit products. 
To transition to T+0 settlement, a comprehensive 
effort will be necessary, one that goes beyond 
simply extending the e-HKD to retail use cases. 
Success will depend on three enablers: near 
real-time on-chain access to NAV for atomic 
settlement, broader adoption of native on-chain 
tokenisation and a substantial overhaul of core 
banking infrastructure. 
Although the above constraints should be 
valid for the time being, market participants' 
increasing interest in tokenisation implies that 
these challenges will be progressively addressed. 
Since an e-HKD is not the only viable settlement 
medium for tokenised assets, a comparative 
study was conducted under Phase 2 to 
understand market interest in adopting different 
forms of digital money. Further details regarding 
this comparison are available in Section 3.2.  
3.1.2  Programmability  
Programmability Is Driven by Smart Contracts, 
Not by The Settlement Medium
The Phase 1 report discussed how an e-HKD can 
be “programmable” and how a “programmable 
money”31 could undermine the public’s trust in 
money. Therefore, under Phase 2, the HKMA has 
focused on experimenting with programmability 
by attaching conditions to the money through a 
“wrapper” or by using smart contract functionality 
to automate payment execution upon the 
fulfilment of pre-determined conditions.
Further analysis showed that the choice of 
settlement medium had only a negligible impact 
on realising these benefits. The efficiency gains 
stemmed primarily from the use of smart contracts, 
not from whether the payment instrument was 
an e-HKD or tokenised deposits. For example, 
the pilots showed that the advantages of smart 
contract-enabled loyalty platforms applied 
regardless of the settlement medium. 
Furthermore, an e-HKD does not provide 
distinct value in programmability that cannot 
equally be achieved through other forms of 
digital money combined with smart contract 
functionality. In some pilots, Application 
Programming Interfaces (APIs) were also used 
to link programmable transactions with the 
FPS, and this integration could also deliver an 
experience broadly comparable to an e-HKD 
with programmable features.
Lack of Commercially Viable Business Model
In addition to examining the potential role of an 
e-HKD in enabling programmable transactions, 
Phase 2 pilots assessed the willingness of 
key stakeholders to adopt an e-HKD in retail 
programmable transactions and to examine 
business model feasibility. 
31. Programmable money involves embedding the predefined conditions into the money itself, meaning that it will retain its 
predefined conditions regardless of who it is transferred to.</x:v>
      </x:c>
    </x:row>
    <x:row r="343" ht="110" customHeight="1">
      <x:c r="A343" s="46" t="str">
        <x:v>PRD-0093-P0025-U01</x:v>
      </x:c>
      <x:c r="B343" s="46" t="str">
        <x:v>HK_HKMA_eHKD_Phase2_2025</x:v>
      </x:c>
      <x:c r="C343" s="46" t="n">
        <x:v>25</x:v>
      </x:c>
      <x:c r="D343" s="46" t="str">
        <x:v>en</x:v>
      </x:c>
      <x:c r="E343" s="46" t="str">
        <x:v>text</x:v>
      </x:c>
      <x:c r="F343" s="46" t="str"/>
      <x:c r="G343" s="46" t="str">
        <x:v>e-HKD Pilot Programme  | Phase 2 Report
21
Phase 1 demonstrated that an e-HKD, if 
programmed using a conditioned “wrapper”, 
could facilitate phased payments for goods and 
services under a prepayment scheme using 
smart contracts. This mechanism ensures that 
funds are only released if merchants deliver on 
their obligations, thereby mitigating risks such as 
bankruptcy or malpractice. 
Phase 2 extended this work by examining the 
commercial model in greater detail. Survey 
findings revealed notable divergences between 
consumer and merchant expectations. For 
consumers, discounts remain the primary 
incentive of subscribing to prepayment schemes. 
Almost half of the consumers surveyed 
prioritised savings over value-added features 
such as escrow-based protection. 
Merchants, particularly small and medium 
enterprises (SMEs), expressed concerns about 
liquidity constraints under an escrow model, 
whereas prepayment schemes currently provide 
them with immediate working capital. If funds 
are locked in escrow and unavailable upfront, 
merchants suggested that the discounts offered 
to consumers would need to be reduced.
A notable imbalance between the interests 
of merchants and consumers emerged from 
this study, which could be useful for other 
jurisdictions as a reference. The study revealed 
that consumers anticipate receiving greater 
monetary incentives to adopt a new system, 
whereas merchants are inclined to offer fewer 
incentives. This difference in expectations, if 
addressed with a mutually beneficial solution, 
could enhance the commercial viability of scaling 
programmable prepayment schemes, regardless 
of the underlying settlement instrument. 
Figure 6: Implementing Smart Contract-enabled Loyalty Platform
Provide funding and 
request voucher creation
“Unwrap” voucher conditions and 
settle payments instantly
Spend voucher in line
with conditions setDistribute vouchersCreate campaign
Loyalty Platform Customer Merchant
Sponsor Bank
Smart contracts automate the condition 
veriﬁcation and reconciliation process, reducing 
settlement cycles from monthly to daily
PBM-based Voucher
OR
Hypothetical e-HKD
Usage condition 
Hypothetical e-HKD or tokenised deposits
Tokenised deposits
Usage condition implemented by smart contract
2
4
3
5
1
6
Create PBM-based 
vouchers
Figure 7: Divergence between Consumer and Merchant Expectations
Able to prepay payments via escrow to 
mitigate the risk of merchant default
Unable to immediately 
access prepaid fund upfront 
Customers Bank MerchantsIncrease discounts to 
oﬀset the inconvenience of 
switching platforms
Decrease discounts to 
oﬀset the impact of 
reduced liquidity</x:v>
      </x:c>
    </x:row>
    <x:row r="344" ht="110" customHeight="1">
      <x:c r="A344" s="46" t="str">
        <x:v>PRD-0093-P0026-U01</x:v>
      </x:c>
      <x:c r="B344" s="46" t="str">
        <x:v>HK_HKMA_eHKD_Phase2_2025</x:v>
      </x:c>
      <x:c r="C344" s="46" t="n">
        <x:v>26</x:v>
      </x:c>
      <x:c r="D344" s="46" t="str">
        <x:v>en</x:v>
      </x:c>
      <x:c r="E344" s="46" t="str">
        <x:v>text</x:v>
      </x:c>
      <x:c r="F344" s="46" t="str"/>
      <x:c r="G344" s="46" t="str">
        <x:v>e-HKD Pilot Programme  | Phase 2 Report
22
A similar gap was observed in loyalty 
programme use cases. Smart contracts 
allow merchants to design more complex 
reward conditions and, in theory, enable open 
networks where rewards can be accumulated 
across merchants and redeemed flexibly. The 
surveys, however, revealed different priorities: 
consumers favoured greater utility through 
cross-platform or transferable points, whereas 
merchants were reluctant to collaborate with 
other merchants, citing fears of customer loss 
and competitive erosion. If these differences 
can be resolved to mutual benefit, stakeholders 
could unlock the full potential of loyalty 
programmes in the evolving digital landscape. 
Overall, many of the benefits attributed to 
programmability are not dependent on an 
e-HKD and can already be achieved using 
existing payment instruments. The absence of 
a commercially viable business model remains 
a major barrier to scaling programmability 
use cases. Without addressing this structural 
challenge, programmability is unlikely to deliver 
its intended value at scale.
3.1.3  Offline Payments
According to a survey by the Bank for 
International Settlements (BIS), financial 
inclusion, cash-like features, and resilience are 
the objectives most cited by central banks for 
offline central bank digital currency (CBDC) 
payments32.
In Hong Kong, the case for an offline e-HKD is 
less compelling. Hong Kong has near-universal 
broadband and mobile network coverage, high 
smartphone penetration and a mature digital 
payments ecosystem with long-standing offline 
solutions. These factors reduce the applicability 
of introducing an offline e-HKD for the purpose 
of inclusion or resilience.
The pilots examined whether an offline e-HKD 
would fill gaps not already addressed by private-
sector solutions. Under Phase 2, pilots were 
conducted to assess the potential demand for 
an offline e-HKD, the commercial viability of such 
a model and the optimal implementation design 
of an offline e-HKD for retail transactions.
Limited Improvement to Overall Resilience
For nearly 30 years, Hong Kong’s offline payment 
system has played a vital role in the jurisdiction’s 
retail payment landscape. Initially introduced 
for public transport payments, the system then 
gradually expanded to include payment for retail 
purchases, government tolls, parking, building 
access and self-service applications. The physical 
medium that houses the wallet has also evolved 
from physical cards to include a range of virtual 
options, such as mobile wallets. Today, this 
system serves about 98% of the population.
This well-established ecosystem creates a 
high barrier to entry for new solutions. Pilot 
survey results support this: nearly half of the 
respondents saw no unique benefit after 
experiencing an offline e-HKD, with 48% saying 
existing offline payment solutions already meet 
their needs, expressing little interest in switching 
to an offline e-HKD.
Even if an offline e-HKD were to match current 
functionality, the surveys indicate it would likely 
provide only limited incremental resilience, 
serving primarily as a backup during the 
rare disruptions of the existing system. Low 
adoption also raises operational concerns as the 
effectiveness of the system as a viable alternative 
during a black-swan event could be compromised 
if users and operators are not sufficiently familiar 
with the system.
Significant Investment Requirement
The pilots also explored the scale of investment 
required to build and operate an offline e-HKD. 
While the HKMA is envisaged to provide the core 
infrastructure, wallet operators would have to 
integrate back-end systems, develop user-friendly 
applications, and manage the distribution of 
offline wallets, regardless of the final design 
adopted for the offline payment solution.
It became evident during the pilots that 
extensive investment, including from private 
sector service providers, would be needed to 
scale a new offline payment solution. The key 
components will include upgrading point-of-sale 
(POS) software or devices, conducting manual 
know-your-customer (KYC) checks for merchants 
and consumers and deploying the necessary 
update to the payment gateway. 
32. See Project Polaris Part 4: A high-level design guide for offline payments with CBDC (October 2023).</x:v>
      </x:c>
    </x:row>
    <x:row r="345" ht="110" customHeight="1">
      <x:c r="A345" s="46" t="str">
        <x:v>PRD-0093-P0033-U01</x:v>
      </x:c>
      <x:c r="B345" s="46" t="str">
        <x:v>HK_HKMA_eHKD_Phase2_2025</x:v>
      </x:c>
      <x:c r="C345" s="46" t="n">
        <x:v>33</x:v>
      </x:c>
      <x:c r="D345" s="46" t="str">
        <x:v>en</x:v>
      </x:c>
      <x:c r="E345" s="46" t="str">
        <x:v>text</x:v>
      </x:c>
      <x:c r="F345" s="46" t="str"/>
      <x:c r="G345" s="46" t="str">
        <x:v>e-HKD Pilot Programme  | Phase 2 Report
29
The pilots demonstrated the feasibility of these 
mechanisms, showing that interoperability 
can enhance the security and integrity of 
asset transfers while positioning an e-HKD as 
a versatile settlement instrument within the 
expanding tokenised asset and DeFi landscape.
Programmability
To ensure its scaled adoption, an e-HKD should 
be designed to accommodate the growing 
demand for programmability through smart 
contracts. The pilots confirmed strong market 
interest in programmable use cases, but also 
revealed some important policy considerations.
A key finding is that a natively “programmable 
e-HKD” with explicit spending conditions, 
like the concept of “programmable money” 
presented in the e-HKD Pilot Programme Phase 
1 Report, could render an e-HKD more akin 
to a voucher, rather than money. This might 
undermine fungibility and the “singleness of 
money”35, diminishing the overall effectiveness 
of an e-HKD as a settlement medium. There are 
also policy implications around whether such 
an e-HKD could be considered as a legal tender, 
which could undermine public trust in central 
bank money.
To mitigate this risk, some pilots examined 
purpose-bound money (PBM) and 
programmable payments as alternatives which 
preserve fungibility of the underlying value. The 
concept of programmable payments and their 
potential was thoroughly examined in the Phase 
1 report. 
Figure 9: Hashed TimeLock Contract Mechanism
35. Singleness of money refers to the principle that money should be universally interchangeable and accepted at face value 
across an economy, regardless of its form or the platform on which it is held.
DLT Environment
Asset
Buyer
Chain ALock the asset in a HTLC with a 
unique hash (hashlock) and a 
time limit (timelock)
Reveal the secret key to claim 
the money within time limit
Lock the money in a HTLC with  
the same hash and a time limit
Use the revealed secret key 
to claim the asset within 
time limit
Money
Chain B
51
4 3
Seller
Share the hash
2
A hashlock is created 
by generating a unique 
hash from a secret key.</x:v>
      </x:c>
    </x:row>
    <x:row r="346" ht="110" customHeight="1">
      <x:c r="A346" s="46" t="str">
        <x:v>PRD-0093-P0034-U01</x:v>
      </x:c>
      <x:c r="B346" s="46" t="str">
        <x:v>HK_HKMA_eHKD_Phase2_2025</x:v>
      </x:c>
      <x:c r="C346" s="46" t="n">
        <x:v>34</x:v>
      </x:c>
      <x:c r="D346" s="46" t="str">
        <x:v>en</x:v>
      </x:c>
      <x:c r="E346" s="46" t="str">
        <x:v>text</x:v>
      </x:c>
      <x:c r="F346" s="46" t="str"/>
      <x:c r="G346" s="46" t="str">
        <x:v>e-HKD Pilot Programme  | Phase 2 Report
30
The pilots also explored two architectural 
approaches for enabling programmability. The 
first involves establishing a centralised platform 
managed by a neutral party such as a public 
sector entity. The centralised platform serves 
as a common utility which hosts all the smart 
contracts related to an e-HKD. This approach 
offers standardisation but raises governance 
challenges, including those related to the 
responsible entity which reviews and approves 
smart contracts before they are accessible by 
the public.
A decentralised approach leverages private-
sector platforms, where commercial participants 
develop customised solutions. In this model, the 
central banking institution would primarily focus 
on designing the related functionalities of an 
e-HKD and providing APIs for external systems 
to interact with an e-HKD, with private actors 
innovating at the application layer.
A centralised model might ensure consistency, 
but certain critical tasks, such as reviewing 
smart contracts, require robust governance and 
specialised expertise which can fall beyond the 
purview of central banks. Determining the right 
party to conduct these reviews is essential to 
guarantee compliance, security and consumer 
protection. This warrants more research to 
determine the most suitable model before 
applying programmability to the use of an e-HKD 
in transactions.
Privacy 
Privacy is a key built-in feature that facilitates 
user adoption of an e-HKD in retail payments. 
As highlighted in the previous section, pilot 
surveys indicated that a well-designed privacy 
framework is essential for influencing users 
to adopt an e-HKD. Participants expect 
privacy features that safeguard their personal 
information and transaction details.
Importantly, privacy risks are not limited to 
permissionless blockchains. Instead, these 
concerns also exist in permissioned networks, 
such as consortium chains, underscoring the 
need for robust privacy solutions regardless of 
the final design of the e-HKD architecture.
To address these privacy risks, privacy-
enhancing technologies (PETs), including Zero 
Knowledge Proof (ZKP)36 implemented in Zeto 
and Anonymous Zether (see Box C) were 
tested alongside an allowlist and denylist on 
four permissionless blockchains under the 
pilots. It was found that ZKPs improved privacy 
with similar settlement times but significantly 
increased gas fees37, making them up to 320 
times more expensive than transactions which 
do not use any PETs, due to their computational 
intensity. For context, the gas fee of a typical 
transfer of an ERC -20 token consumes costs 
roughly US$0.1338. 
This creates a fundamental trade-off: enhanced 
privacy often leads to higher costs and 
increased complexity. If transaction costs 
become too high, an e-HKD would become 
impractical for small, everyday purchases. 
Conversely, inadequate privacy protections 
could erode user trust and hinder adoption. 
Striking a careful balance between these two 
imperatives will be vital to ensuring an e-HKD is 
both trusted and widely used.
A balanced approach will therefore be essential. 
Privacy should be embedded from the outset, 
potentially through a tiered model: basic 
privacy for low-value, low-risk transactions, 
and advanced PETs such as ZKPs reserved 
for high-value or high-risk transactions. This 
ensures efficiency for everyday payments while 
maintaining strong protections where they are 
needed most.
36. Zero Knowledge Proof (ZKP) is a cryptographic method that allows one party (the "prover") to demonstrate to another 
party (the "verifier") that a statement is true, without revealing any information beyond the fact that the statement is 
indeed true.
37. Gas fee is a commonly used term for the cost which certain blockchain protocol users pay to network validators each time 
they wish to perform a function on the blockchain.
38. Based on the latest average gas fee on 28 October 2025. The estimation of the gas fee was determined based on the 
following assumption and formula: Gas fee = Units of Gas Used *  (Base Fee + Priority Fee) * 10-9 * ETH price. A specific example 
is provided where the gas fee was calculated using 45,000 units of gas, with the base fee and priority fee set at 0.675, and 
an ETH price of US$4,140.5.</x:v>
      </x:c>
    </x:row>
    <x:row r="347" ht="110" customHeight="1">
      <x:c r="A347" s="46" t="str">
        <x:v>PRD-0093-P0036-U01</x:v>
      </x:c>
      <x:c r="B347" s="46" t="str">
        <x:v>HK_HKMA_eHKD_Phase2_2025</x:v>
      </x:c>
      <x:c r="C347" s="46" t="n">
        <x:v>36</x:v>
      </x:c>
      <x:c r="D347" s="46" t="str">
        <x:v>en</x:v>
      </x:c>
      <x:c r="E347" s="46" t="str">
        <x:v>text</x:v>
      </x:c>
      <x:c r="F347" s="46" t="str"/>
      <x:c r="G347" s="46" t="str">
        <x:v>e-HKD Pilot Programme  | Phase 2 Report
32
Identity
The secure and trusted use of an e-HKD relies 
on permissioned and secured access with strong 
safeguards. To achieve this, there must be clear 
rules for compliant use of an e-HKD and rigorous 
security measures must be maintained at every 
operational stage. In practice, most transactions 
using an e-HKD should require verifiable 
credentials (VCs)39. Additionally, all e-HKD 
transactions should carry digital signatures to 
ensure authenticity and security. 
Without a shared identity framework, each 
wallet provider would need to create its own 
system. These systems would inevitably adopt 
different technologies, data standards, or security 
protocols, leading to a fragmented e-HKD 
ecosystem made up of isolated networks, similar 
to the current state of the payment market.
To mitigate possible fragmentation, the pilots 
tested a digital identity framework within a 
consortium blockchain. The framework enables 
individuals to securely manage their digital 
identities, while enabling verifiers to authenticate 
credentials independently without contacting the 
original issuer. In the pilots, a trusted authority 
was assumed to centrally issue these credentials, 
assigning a unique identifier (UID) and a VC to 
each wallet holder. Before executing a signed 
transaction, the VC of each wallet holder will be 
verified cryptographically to ensure the identity 
integrity of transacting parties.
Establishing a common credential standard for 
the industry is also essential. This enables the 
effective implementation of the digital identity 
approach, which is supported by consent-based 
authorisation protocols, thereby guaranteeing 
secure, seamless and interoperable identity 
verification regardless of the wallet used.
Convertibility with Conventional Money
Several pilots also explored the potential of an 
e-HKD to serve as the settlement instrument 
which connects the traditional finance ecosystem 
with innovative applications, including the Web3 
economy and programmable transactions. To 
achieve full integration into the economy, which 
encompasses both existing and emerging 
ecosystems and applications, it is crucial 
that different forms of money can be used 
interchangeably and seamlessly. 
Near-instant conversion at a low cost between an 
e-HKD and traditional forms of money, such as 
commercial bank deposits and physical cash, is 
also crucial, particularly in the initial stages when 
an e-HKD might not yet be universally accepted. 
By ensuring easy interchangeability, an e-HKD 
can integrate smoothly into Hong Kong’s broader 
financial system, encouraging adoption while 
minimising disruption.
Reliability and Performance
The increasing deployment of tokenised assets 
on public DLTs naturally prompts an investigation 
into the feasibility of issuing an e-HKD on public 
DLTs. The pilot outcomes highlight several 
key considerations which must be addressed 
before an e-HKD can be considered suitable for 
deployment on public DLTs.
The performance of public DLTs in handling 
high-volume retail transactions is a major issue. 
Not all public DLTs are designed to handle high 
frequency transactions. For instance, Ethereum, 
a Layer 1 network, can only process about 15-30 
transactions per second. However, the pilots have 
shown that certain public DLTs can process high-
frequency transactions more efficiently without 
encountering performance issues.
Gas fees are another challenge. They vary 
depending on computational demands and 
market conditions, creating uncertainty in costs 
and processing times. This unpredictability 
contrasts with user expectations shaped by 
existing financial infrastructure, where costs 
and service levels tend to be transparent and 
standardised. 
Although the HKMA does not completely rule out 
the use of public DLTs for the e-HKD deployment, 
the pilots highlighted the need for further 
optimisation and identified market solutions 
to address these challenges. Further work with 
industry stakeholders will be required to explore 
technical solutions, ensuring that any public 
DLT-based model can meet expectations of cost, 
reliability and performance before its adoption is 
extended to retail use.
39. A verifiable credential (VC) refers to a digital representation of information or an identity that is securely issued by a 
trusted authority and can be verified independently.</x:v>
      </x:c>
    </x:row>
    <x:row r="348" ht="110" customHeight="1">
      <x:c r="A348" s="46" t="str">
        <x:v>PRD-0094-P0039-U01</x:v>
      </x:c>
      <x:c r="B348" s="46" t="str">
        <x:v>NO_NB_FI2024_CBDC</x:v>
      </x:c>
      <x:c r="C348" s="46" t="n">
        <x:v>39</x:v>
      </x:c>
      <x:c r="D348" s="46" t="str">
        <x:v>en</x:v>
      </x:c>
      <x:c r="E348" s="46" t="str">
        <x:v>text</x:v>
      </x:c>
      <x:c r="F348" s="46" t="str"/>
      <x:c r="G348" s="46" t="str">
        <x:v>arrangements in the payment system, the CBDC system must function
independently of banks’ payment systems. CBDC’s can also have other
economic benefits, including a function as legal tender.
Development of retail CBDC in other countries
So far, only a few central banks in developing countries and emerging
economies have introduced a retail CBDC. Surveys conducted by the BIS
show that almost all central banks are studying CBDCs,  with focus
typically being given to the objectives and ramifications of introducing a
CBDC, necessary characteristics and legal implications. A number of central
banks have developed simple test versions to increase their knowledge
about different technological solutions and how these might help meet
objectives.
The ECB is likely the central bank in advanced economies that has made the
most progress in retail CBDCs. In autumn 2023, the Executive Board of the
ECB decided to continue its work on the digital euro in a preparatory phase,
which was planned to continue until 1 November 2025. The ECB will further
examine the specific design of the digital euro system and prepare for the
construction of a technical infrastructure. The ECB has put framework
agreements out to tender for the procurement of several components of the
technical solution. In this phase, the ECB will also establish a set of rules for
the use of payment solutions based on a CBDC. The ECB aims to decide
whether to adopt the digital euro after the end of the preparatory phase. At
the same time, the EU is preparing legislative amendments necessary for
the introduction of the digital euro.
In February 2023, the Bank of England, together with HM Treasury, published
a consultation paper on a digital pound and announced that a digital pound
would likely be needed in the future. Many respondents were concerned
about the possibility of anonymous payments. The Bank of England and HM
Treasury will continue their research on a digital pound and have announced
more consultations.
14
15
16</x:v>
      </x:c>
    </x:row>
    <x:row r="349" ht="110" customHeight="1">
      <x:c r="A349" s="46" t="str">
        <x:v>PRD-0094-P0041-U01</x:v>
      </x:c>
      <x:c r="B349" s="46" t="str">
        <x:v>NO_NB_FI2024_CBDC</x:v>
      </x:c>
      <x:c r="C349" s="46" t="n">
        <x:v>41</x:v>
      </x:c>
      <x:c r="D349" s="46" t="str">
        <x:v>en</x:v>
      </x:c>
      <x:c r="E349" s="46" t="str">
        <x:v>text</x:v>
      </x:c>
      <x:c r="F349" s="46" t="str"/>
      <x:c r="G349" s="46" t="str">
        <x:v>In the period between 2021 and 2023, Norges Bank completed a phase of its
exploration project consisting of experimental testing of technical solutions,
analyses of scenarios for the payment system, evaluation of consequences
for liquidity management and monetary policy, and a review of the
legislative changes necessary for an introduction of CBDC.
The research phase is summarised in Norges Bank (2023c).  The purpose of
the scenario analysis was to shed light on whether developments related to
new types of monetary and payment systems and financial actors may be
part of the motivation for introducing a CBDC. The working group identified
some developments that may entail challenges in Norges Bank’s areas of
responsibility. In the group’s assessment, however, such considerations
alone suggest that introducing a retail CBDC is not an urgent matter. It is
also uncertain whether a retail CBDC is the most adequate instrument for
managing risks in Norges Bank’s areas of responsibility related to new
monetary and payment systems.
The ongoing research phase started in the autumn of 2023 and will last until
2025. The main delivery will be a decision basis for, and an assessment of,
whether Norges Bank should advise introducing a CBDC and, if so, the
recommended type of design.
In the current phase, Norges Bank will explore how a CBDC solution should be
designed, what uses it aims to satisfy and how different stakeholders should
be motivated to provide the solution with the desired applications and
distribution. The study is based on the premise that banks and other
payment service providers will develop CBDC-based retail payment
services. This means that payment-related control functions will also be the
responsibility of payment service providers. Norges Bank will have neither
direct contact with end-users nor access to information related to users'
CBDC payments.
Wholesale CBDC has been given greater focus in the study than in previous
phases. Norges Bank is investigating solutions for settlement of payments
and trading on tokenised platforms in central bank money and the
ramifications for Norges Bank’s areas of responsibility. Tokenisation in the
18</x:v>
      </x:c>
    </x:row>
    <x:row r="350" ht="110" customHeight="1">
      <x:c r="A350" s="46" t="str">
        <x:v>PRD-0101-P0004-U01</x:v>
      </x:c>
      <x:c r="B350" s="46" t="str">
        <x:v>TR_DigitalLira_Phase2_2025</x:v>
      </x:c>
      <x:c r="C350" s="46" t="n">
        <x:v>4</x:v>
      </x:c>
      <x:c r="D350" s="46" t="str">
        <x:v>en</x:v>
      </x:c>
      <x:c r="E350" s="46" t="str">
        <x:v>text</x:v>
      </x:c>
      <x:c r="F350" s="46" t="str"/>
      <x:c r="G350" s="46" t="str">
        <x:v>Digital Turkish Lira Second Phase Progress Report | November 24, 2025   2  
called digital only to indicate that it is a new form. It will not have a symbol or abbreviation 
different from the Turkish lira. 
Digitalization of money is a broad concept and should not be limited to the ability to 
make payments electronically. Alongside money; financial assets, real-world assets, and 
workflows are also being digitalized. All these digitalization processes will help the financial 
innovation infrastructure in Türkiye to evolve. Consequently, the digital Turkish lira and the 
ecosystem that will be built around it will offer new services to users and reinforce user 
experience.  
Digital money is not a crypto asset. There is a misconception that digital money is a 
crypto asset as it can also utilize distributed ledger technologies (DLTs), such as blockchain, 
which are used in crypto assets. Although digital money and crypto assets may share 
certain technological similarities, they differ entirely from an economic and legal 
perspective. Digital money will not be a commodity or capital market instrument; it will be 
a form of fiat money. Unlike crypto assets, digital money is a liability of a central bank. 
There are different opinions and studies around the world as to whether digital 
money should be remunerated or not.  Discussions are focused on the potential impact 
on demand: specifically, how remuneration would affect bank deposits, and how the 
absence of remuneration would affect digital money. As part of the Project, we are 
conducting impact analyses of these different scenarios. While a final decision is yet to be 
reached, the main scenario employs a non-interest-bearing model for the digital Turkish 
lira. This reflects the current focus on digital money being the digital form of banknotes.  
If the digital Turkish lira is put into circulation, banknotes and digital money will 
coexist. The CBRT will meet the demand for both banknotes and digital money.  
The Digital Turkish Lira System consists of components that fulfill different functions 
related to the digital Turkish lira. The core of this system is the Digital Money System, 
the component where transactions are finalized and recorded. Financial intermediaries 
operate the Service Layer component, which is under their control, to access the Digital 
Money System. The relevant parts of the wallet applications that serve end users are also 
considered components of the Digital Turkish Lira System.  
Transactions involving the digital Turkish lira will be carried out through financial 
intermediaries. In line with the adopted two-tier structure, central bank will be in charge 
of issuing the digital money, while financial intermediaries will ensure user access to the 
digital money. Users will be able to access their digital Turkish lira accounts through any 
financial intermediary. In this way, similar to banknotes, the digital Turkish lira will be 
usable in an intermediary-agnostic manner. 
The Digital Money System does not store users’ identity data. While transactions are 
recorded within the Digital Money System, users’ identity data is held solely by the financial 
intermediaries of their choice. Under the adopted architecture, the central bank does not 
possess identity data of end users and therefore does not associate any transaction with a 
specific user. Thus, it will not be technically possible for the central bank to track 
consumption habits or usage patterns. 
A digital identity is the set of representations associated with persons, assets, or 
objects. Claims regarding ownership and affiliation, including qualifications,</x:v>
      </x:c>
    </x:row>
    <x:row r="351" ht="110" customHeight="1">
      <x:c r="A351" s="46" t="str">
        <x:v>PRD-0101-P0010-U01</x:v>
      </x:c>
      <x:c r="B351" s="46" t="str">
        <x:v>TR_DigitalLira_Phase2_2025</x:v>
      </x:c>
      <x:c r="C351" s="46" t="n">
        <x:v>10</x:v>
      </x:c>
      <x:c r="D351" s="46" t="str">
        <x:v>en</x:v>
      </x:c>
      <x:c r="E351" s="46" t="str">
        <x:v>text</x:v>
      </x:c>
      <x:c r="F351" s="46" t="str"/>
      <x:c r="G351" s="46" t="str">
        <x:v>Digital Turkish Lira Second Phase Progress Report | November 24, 2025   8  
4.2. Security 
The offline payment design is based on cryptographic operations using public and private 
key pairs. 
The Digital Turkish Lira Project employs tamper-resistant smart cards. This safeguards the 
private key from unauthorized access and ensures that balance details within the smart 
card application cannot be altered. 
Along with cryptographic measures that guard against attacks like double spending, 
identification of potential cyberattacks is considered to be a part of security measures. 
Designs and developments have been made to detect attacks as soon as offline money is 
converted into online balance. 
5. Interoperability and Integration 
The Digital Turkish Lira System is being designed to interoperate with both current and 
prospective components of digital ecosystems, featuring a modular architecture. Here, 
interconnection with the existing financial infrastructure is an important requirement. This 
connection is expected to be established through the Service Layer and, by extension, 
financial intermediaries. 
As a user-centric approach to digital identity, the Digital Turkish Lira System has adopted 
the SSI model starting from the first phase. The system has thus been connected to the
 SSI 
Türkiye Platform. 
DLTs are seen to be widely used within the digital asset ecosystem. Consequently, the 
interoperability between digital assets and Digital Turkish Lira System is being tested 
through DLT-based MAS. 
The use of digital money in cross-border payments is another interoperability issue. The 
CBRT continues its studies on this field. The model adopted in these studies assumes 
different currencies circulating on a common platform, and international money transfers 
being made directly using digital monies. If a common platform model is adopted globally, 
the Digital Turkish Lira System will need to be interoperable with potential emerging 
platforms.  
5.1. Financial Intermediaries 
As outlined in the Evaluation Report, financial intermediaries will be integrated into the 
Digital Turkish Lira System via the Service Layer. This layer will handle the know-your-
customer process, user verification, and the triggering of digital Turkish lira transactions. 
Financial intermediaries are expected to be able to provide new financial services by 
integrating external systems into the Digital Turkish Lira System. 
In the first phase of the project, a proof-of-concept study was conducted for the conversion 
between the digital Turkish lira and deposits. The second phase aims to evaluate 
conversion scenarios through pilot tests. 
As part of the project's second phase, the CBRT has issued a call to join the Digital Turkish 
Lira Project ecosystem. Through this call, institutions from the finance and technology</x:v>
      </x:c>
    </x:row>
    <x:row r="352" ht="110" customHeight="1">
      <x:c r="A352" s="46" t="str">
        <x:v>PRD-0101-P0011-U01</x:v>
      </x:c>
      <x:c r="B352" s="46" t="str">
        <x:v>TR_DigitalLira_Phase2_2025</x:v>
      </x:c>
      <x:c r="C352" s="46" t="n">
        <x:v>11</x:v>
      </x:c>
      <x:c r="D352" s="46" t="str">
        <x:v>en</x:v>
      </x:c>
      <x:c r="E352" s="46" t="str">
        <x:v>text</x:v>
      </x:c>
      <x:c r="F352" s="46" t="str"/>
      <x:c r="G352" s="46" t="str">
        <x:v>Digital Turkish Lira Second Phase Progress Report | November 24, 2025   9  
sectors are encouraged to identify sample use cases, create innovative projects based on 
these cases, and collaborate with one another. The goal is to diversify the use of the digital 
Turkish lira and establish it as a key component of Türkiye's financial technology 
ecosystem. 
The conditions and processes for integrating financial intermediaries into the Digital 
Turkish Lira System will be finalized in the third phase of the project, upon a decision for 
circulation. 
5.2. Digital Identity 
The SSI approach, which was adopted in the first phase of the Digital Turkish Lira Project 
based on the principles outlined therein, was applied in the second phase as well. In this 
phase, however, the SSI Türkiye Platform, provided by TÜBİTAK (the Scientific and 
Technological Research Council of Türkiye) and used in various projects, is preferred over 
the prototype private network developed in the first phase. Within the scope of the use 
cases for digital money, this platform does not store any personal data. 
In addition to its functions in the first phase, the SSI model is used to verify conditions 
related to programmable payments.
 Personal information related to these conditions is in 
the users' possession. 
In the future, while it will be possible to implement the SSI model specifically to digital 
money use, the model's full benefits will materialize with the widespread adoption of 
business wallets and digital document issuance by institutions and organizations. The 
proliferation of user wallets is anticipated to serve as a solution that will enable 
interoperability between different networks. 
5.3. Digital Assets 
Initiatives on the tokenization of various assets are ongoing worldwide. Accordingly, efforts 
are underway to ensure the interoperability of the digital Turkish lira with tokenized assets. 
In the second phase, the programmability component is positioned as the interoperability 
layer. 
The MAS, a system developed for tokenized asset scenarios, is used to demonstrate 
interoperability. With the integration of the MAS into the Digital Turkish Lira System, users 
can view and manage their tokenized assets via their mobile applications. 
5.4. Cross-Border Payments 
One of the CBRT’s priorities in the field of interoperability is the improvement and 
diversification of cross-border payments. Currently, cross-border transactions are costly 
and slow, involving complex processes with non-transparent intermediate steps. The use of 
digital monies in cross-border payments aims to resolve these issues through utilizing 
flows conducted via central banks and implementing distributed architectures, in contrast 
to the correspondent banking model. 
A proof-of-concept study on using digital monies for cross-border payments has been 
conducted, with a focus on making payments in local currencies. With a common platform, 
it is expected that transaction flows are simplified, transparency is enhanced, and</x:v>
      </x:c>
    </x:row>
    <x:row r="353" ht="110" customHeight="1">
      <x:c r="A353" s="46" t="str">
        <x:v>PRD-0101-P0012-U01</x:v>
      </x:c>
      <x:c r="B353" s="46" t="str">
        <x:v>TR_DigitalLira_Phase2_2025</x:v>
      </x:c>
      <x:c r="C353" s="46" t="n">
        <x:v>12</x:v>
      </x:c>
      <x:c r="D353" s="46" t="str">
        <x:v>en</x:v>
      </x:c>
      <x:c r="E353" s="46" t="str">
        <x:v>text</x:v>
      </x:c>
      <x:c r="F353" s="46" t="str"/>
      <x:c r="G353" s="46" t="str">
        <x:v>Digital Turkish Lira Second Phase Progress Report | November 24, 2025   10  
transaction times and costs are reduced. A distributed structure has been favored for the 
platform, where each member central bank acts as a node operator with equal authority.  
The study tested the flows involving the use of digital monies in cross-border payments on 
a private distributed ledger, in which smart contracts and various external applications 
were developed. Foreign exchange transactions are executed by the services in the 
common platform. When foreign exchange orders are submitted to the platform, these 
services use the available orders to determine the least-cost and most efficient path from 
the source currency to the target currency. 
There are various projects worldwide addressing cross-border payments for different 
needs and use cases. These projects are not expected to converge into a single structure in 
the future. Going forward, countries might be participants of different cross-border 
payment platforms. Accordingly, studies conducted at the CBRT focus on the 
interoperability of multiple cross-border platforms. As part of the studies, a DLT-based 
network has been developed to link various platforms together. This network offers a 
range of functions, including cross-platform fund transfers and currency exchange. 
6. Conclusion 
By the end of 2023, the first phase of the project was completed and the second phase 
began. As discussed in this report, progress has been made in the areas of programmable 
payments and offline payments while the Digital Turkish Lira System is being matured as 
part of the second phase. Additionally, efforts are underway to enhance interoperability, 
including financial intermediary integrations, the application of digital identity on digital 
money, the use of digital assets, and cross-border payments. Accordingly, the current 
status of the digital money studies is illustrated in Figure 3.</x:v>
      </x:c>
    </x:row>
    <x:row r="354" ht="110" customHeight="1">
      <x:c r="A354" s="46" t="str">
        <x:v>PRD-0102-P0039-U01</x:v>
      </x:c>
      <x:c r="B354" s="46" t="str">
        <x:v>SE_Riksbank_PaymentsReport_2025</x:v>
      </x:c>
      <x:c r="C354" s="46" t="n">
        <x:v>39</x:v>
      </x:c>
      <x:c r="D354" s="46" t="str">
        <x:v>en</x:v>
      </x:c>
      <x:c r="E354" s="46" t="str">
        <x:v>text</x:v>
      </x:c>
      <x:c r="F354" s="46" t="str"/>
      <x:c r="G354" s="46" t="str">
        <x:v>Safety, efficiency and accessibility 
39 
Many firms have difficulty estimating the cost of receiving payments 
Understanding the cost of payments is important for firms so that they can use their 
resources efficiently, boost profitability and increase competitiveness, which ulti-
mately benefits society as a whole. The Riksbank's survey shows that companies' per-
ceptions of the costs for receiving payments vary, but in particular many find it diffi-
cult to make an approximate assessment of the cost. Almost one in three firms could 
not estimate the approximate cost of receiving payments as a proportion of annual 
turnover. The fact that so many were unable to answer this question indicates that 
greater clarity is needed regarding the pricing of payment services to enable competi-
tion. More on the Riksbank's view of payment pricing can be found in Chapter 3.3.  
More competition among in-store payment methods is a good thing 
In Sweden, cards (debit and credit cards) have long been the most common means of 
payment among consumers. The card networks Visa and Mastercard have a dominant 
position in physical trade due to strong two-sided network effects which limit compe-
tition. The networks’ large user base among both buyers and sellers, and the fact that 
the cards are accepted worldwide, make it convenient for consumers and firms. At 
the same time, it will be difficult for smaller actors to enter the market. In recent 
years, however, new payment methods have started to challenge the dominance of 
the card networks. 
Swish has grown rapidly and in recent years has also established itself in physical com-
merce as a competitor to traditional card networks. Swish has been integrated into 
many POS systems and the company behind the service, GetSwish, has also started of-
fering a self-scanning service using the Swish app and QR codes. This is to simplify the 
payment process and reduce queuing times for users.  
In addition to Swish, open banking solutions can also play an important role in in-
creasing competition in the payments market. By allowing direct access to bank ac-
counts, open banking can reduce the number of intermediaries, which can lead to 
lower transaction costs and increased efficiency. Open banking payments with linked 
bank accounts are mainly used in e-commerce and for digital services, but there is po-
tential for these solutions to move into physical stores as well. Such developments 
can foster a more diverse and innovative payments market with greater competition, 
where both consumers and merchants have more choice, more convenient payment 
solutions and better conditions.</x:v>
      </x:c>
    </x:row>
    <x:row r="355" ht="110" customHeight="1">
      <x:c r="A355" s="46" t="str">
        <x:v>PRD-0102-P0042-U01</x:v>
      </x:c>
      <x:c r="B355" s="46" t="str">
        <x:v>SE_Riksbank_PaymentsReport_2025</x:v>
      </x:c>
      <x:c r="C355" s="46" t="n">
        <x:v>42</x:v>
      </x:c>
      <x:c r="D355" s="46" t="str">
        <x:v>en</x:v>
      </x:c>
      <x:c r="E355" s="46" t="str">
        <x:v>text</x:v>
      </x:c>
      <x:c r="F355" s="46" t="str"/>
      <x:c r="G355" s="46" t="str">
        <x:v>Safety, efficiency and accessibility 
42 
There are too few ways to make instant payments in Sweden  
Instant payments are account to account transfers that can be made around the clock 
and reach the payee’s account within seconds. In Sweden, these payments are not as 
common as in other countries – such as Denmark. In 2023, almost half of the number 
of account-to-account payments were instantaneous in Denmark, compared with 40 
per cent in Sweden, according to the Riksbank's own calculations. All banks in Den-
mark offer instant transfers via their online banks.  
In the euro area, the share of instant payments was just over 20 per cent at the end of 
2024. New regulations coming into force this year are expected to cause this figure to 
rise in the future. The value of immediate payments is also emphasised at EU level. 
The European Parliament and Council Regulation on instant payments (2024/886) en-
tered into force in April 2024, and aims to accelerate the move towards more instant 
payments. Under the regulation, banks offering regular euro credit transfers (also 
known as SEPA payments) will be obliged to also offer instant euro payments at the 
same cost. The obligation also applies to Swedish banks offering euro payments, but 
does not apply to transactions in Swedish kronor. The Riksbank has previously, in the 
consultation response to the Payments Inquiry (SOU 2023:16), expressed that it is im-
portant that Swedish legislation is also adapted to include an obligation to provide in-
stant payments in Swedish kronor. This is because firms and consumers expect pay-
ments to be made quickly and securely and to keep up with developments in interna-
tional payments markets. 
In Sweden, there is currently no possibility to make instant payments via online and 
mobile banking. By the Riksbank requiring participants in RIX-INST to accept more 
types of instant payments from the autumn of 2024, users in Sweden can have 
greater choice. For example, a customer may want to make an invoice payment in 
their online bank that will reach the recipient immediately.  
Instant payments increase efficiency  
Instant payments have become an increasingly important part of the payments mar-
ket as the digital economy develops and consumer expectations for fast and conven-
ient financial services grow. With instant payments, intermediaries disappear and 
transaction times are shortened. This reduces the economic costs of payments, which 
benefits both businesses and consumers. Companies can then have better control 
over their cash flow and improved liquidity. Consumers can access their money 
quickly, which is important in many payment situations and particularly valuable for 
beneficiaries who are financially vulnerable. Among the merchants, hairdressers and 
restaurants that participated in the Riksbank's survey on payments, more than half re-
sponded that it is important that payments are received into the account immedi-
ately, instead of 1-3 days later. This is particularly important for firms with small aver-
age customer payments. 
On the other hand, there are some retail payments that are not considered suitable 
for immediate settlement, such as batch payments for salaries and government pay-</x:v>
      </x:c>
    </x:row>
    <x:row r="356" ht="110" customHeight="1">
      <x:c r="A356" s="46" t="str">
        <x:v>PRD-0103-P0063-U01</x:v>
      </x:c>
      <x:c r="B356" s="46" t="str">
        <x:v>SE_Riksbank_PaymentsReport_2026</x:v>
      </x:c>
      <x:c r="C356" s="46" t="n">
        <x:v>63</x:v>
      </x:c>
      <x:c r="D356" s="46" t="str">
        <x:v>en</x:v>
      </x:c>
      <x:c r="E356" s="46" t="str">
        <x:v>text</x:v>
      </x:c>
      <x:c r="F356" s="46" t="str"/>
      <x:c r="G356" s="46" t="str">
        <x:v>The Riksbank’s policy recommendations 
62 
Efficient mobile payments across countries and currencies can be achieved by linking 
local solutions, such as Swish in Sweden, with similar solutions in other countries. The 
Riksbank considers that it would benefit Swedish consumers and companies if there 
were an interconnection between Swish and its Nordic and European counterparts. 
Such an interconnection could be coordinated with ongoing initiatives in Europe 
(EuroPA, EPI, Vipps Mobilepay) and should be based on an account-to-account 
infrastructure. Being able to make greater use of payment solutions built on Swedish 
and European infrastructure for payments between countries would also help to 
reduce dependence on non-European payment solutions. The cost of payments in an 
interconnected system should not exceed the G20 target for cross-border payments. 
The background and assessments are described in more detail in Sections 2.3 and 2.4. 
3.8 Recommendation for Riksdag and Government to set up 
an inquiry on an e-krona  
The Riksbank recommends the appointment of an inquiry into the necessary 
legislative amendments to enable the introduction of an e-krona within a reasonable 
time, if the Riksdag decides that the Riksbank should be allowed to issue one. It is 
proposed that the inquiry will be set up once the digital euro regulation has been 
finalised and the ECB has decided to issue a digital euro. The inquiry can be set up by 
the Government, or by Parliament giving the Government a notice to set it up. 
Geopolitical uncertainty, digitalisation and dependence on international technology 
services make Sweden vulnerable to developments in the world around us. The EU is 
working in various ways to achieve strategic autonomy, which means that key societal 
functions – such as payments – should not be entirely dependent on non-European 
actors. The ECB’s work on a digital euro can be seen in the light of this ambition.  
If the digital euro were to have a major impact in Europe, it is possible that European 
payment infrastructure and payment market legislation would be shaped around it, 
which could affect Sweden. If new infrastructure is developed with advanced and 
more efficient technologies, the Swedish krona needs to be technologically up to 
speed to remain competitive and avoid dependence on the euro. Should there be a 
strong demand in Sweden for the use of the digital euro, some payment flows could 
move away from the Swedish krona. All in all, this raises the question of the need for 
a possible e-krona to protect the role and competitiveness of the Swedish krona. 
Such an e-krona could, by agreement with the ECB, use the euro digital platform. This 
would enable a major cost advantage and compatibility between Swedish and 
European payments. In addition, the digital euro is planned to have offline 
capabilities, and a possible e-krona based on the same platform could therefore 
strengthen Sweden’s preparedness. 
The introduction of an e-krona in Sweden requires a decision by the Riksdag. To 
enable timely implementation, should the Riksdag take such a decision, the processes 
need to start as soon as possible. It is proposed that a committee on the necessary</x:v>
      </x:c>
    </x:row>
    <x:row r="357" ht="110" customHeight="1">
      <x:c r="A357" s="46" t="str">
        <x:v>PRD-0107-P0012-U01</x:v>
      </x:c>
      <x:c r="B357" s="46" t="str">
        <x:v>CA_BoC_PETs_SDP2025_1</x:v>
      </x:c>
      <x:c r="C357" s="46" t="n">
        <x:v>12</x:v>
      </x:c>
      <x:c r="D357" s="46" t="str">
        <x:v>en</x:v>
      </x:c>
      <x:c r="E357" s="46" t="str">
        <x:v>text</x:v>
      </x:c>
      <x:c r="F357" s="46" t="str"/>
      <x:c r="G357" s="46" t="str">
        <x:v>2.3.3 Cryptographic commitment
A cryptographic commitment scheme allows us to commit to a chosen message while preserving its secrecy
(with the ability to reveal it later) by publishing its hash value. A binding factor can be used when data
size is small to prevent a brute-force attack. A commitment 𝐶𝑜𝑚(𝑚,𝑟)to message 𝑚 and a blinding factor
𝑟 has the following properties:
• Hiding: One party wants to commit the message 𝑚 without revealing the content of 𝑚 itself.
• Binding: If one party makes a commitment to 𝑚, they reveal a different message 𝑚′ instead.
Brassard, Chaum, and Cr´ epeau (1988) provide a formal definition of a commitment scheme, as follows:
A commitment scheme consists of three polynomial-time algorithms 𝐶 = (Gen,Commit,Open)satisfying
the following constraints.
• 𝑟 ←Gen(1𝜆): take a security parameter 1 𝜆 and output a random number 𝑟.
• 𝑐 ←Commit(𝑚,𝑟): given a message 𝑚 and randomness 𝑟, compute as output a value 𝑐 that hides
message 𝑚 and such that it is computationally impossible to compute any pair (𝑚′,𝑟′) such that
Commit(𝑚′,𝑟′)=Commit(𝑚,𝑟).
• 𝑏←Open(𝑐,𝑚,𝑟 ): given (𝑐,𝑚,𝑟 )with a commitment 𝑐, a message 𝑚 and randomness 𝑟, the algorithm
returns true if and only if 𝑐=commit(𝑚,𝑟).
Pedersen commitment The Pedersen commitment is a commitment scheme that is binding under a
discrete logarithm assumption (Pedersen 1992). Given an elliptic curve 𝐸 defined over a finite field 𝐺𝐹(𝑝),
assume that 𝐸 has a group of points of large order 𝑞in which the discrete logarithm is hard, and two random
public generators 𝑔 and ℎ. The commitment of a message 𝑚 is a point 𝑐 on the elliptic curve 𝐸 that binds
a message 𝑚 and a random 𝑟 to a point 𝑐 on 𝐸. The Pedersen commitment is defined as follows:
𝐶𝑜𝑚(𝑚,𝑟)=𝑔𝑚ℎ𝑟
It would be infeasible to calculate another pair 𝑚′, 𝑟′ that can produce the same commitment 𝐶𝑜𝑚(𝑚).
The Petersen commitment is used in cryptocurrencies such as Monero to keep the amount of transactions
confidential. Additionally, Pedersen commitments are additively homomorphic, meaning the sum of a set of
commitments equals a commitment to the sum of the data, with the binding factor set as the sum of the
individual binding factors.
2.3.4 Zero-knowledge proofs
Goldwasser, Micali, and Rackoff (1989) first put forward and analyzed the concept of interactive proof
systems. This led to the creation of an important branch of cryptography and computational complexity
theory: that is, ZKP. In a ZKP system, a prover convinces a verifier that some statement is true or some
computations were correctly executed while leaking nothing but the validity of the assertion. ZKP has a
broad application because of this nature. As a simple example, consider the case where the prover claims
to have a way of factorizing large numbers. The verifier will send the prover a large number and the prover
will send back the factors. Successful factorization of several large integers will decrease the verifier’s doubt
about the truth of the prover’s claim. In spite of this, the verifier will learn nothing about the factorization
method.
Formally, a ZKP model is defined as an interactive proof system (𝑃,𝑉), where 𝑃 is a prover and 𝑉 is a
verifier. Protocol (𝑃,𝑉)is for proving a language membership statement for a language over {0,1}. Let 𝐿
be a language over {0,1}∗, for a membership instance 𝑥 ∈𝐿, 𝑃 and 𝑉 must share the common input 𝑥. A
proof instance is denoted as (𝑃,𝑉)(𝑥). Upon completing the interaction between two parties, the output of
the protocol should be of form (𝑃,𝑉)(𝑥)∈{ Accept, Reject}, representing 𝑉’s acceptance or rejection of 𝑃’s
claim that 𝑥 ∈𝐿. Note that an interactive ZKP system can be converted to a non-interactive ZKP system
by using the Fiat-Shamir transformation (Fiat and Shamir 1987).
A ZKP must have the following properties:
• Completeness: If the statement is correct, then the verifier will “always” accept.
• Soundness: If the statement is incorrect, then the verifier will “always” reject.
9</x:v>
      </x:c>
    </x:row>
    <x:row r="358" ht="110" customHeight="1">
      <x:c r="A358" s="46" t="str">
        <x:v>PRD-0107-P0020-U01</x:v>
      </x:c>
      <x:c r="B358" s="46" t="str">
        <x:v>CA_BoC_PETs_SDP2025_1</x:v>
      </x:c>
      <x:c r="C358" s="46" t="n">
        <x:v>20</x:v>
      </x:c>
      <x:c r="D358" s="46" t="str">
        <x:v>en</x:v>
      </x:c>
      <x:c r="E358" s="46" t="str">
        <x:v>text</x:v>
      </x:c>
      <x:c r="F358" s="46" t="str"/>
      <x:c r="G358" s="46" t="str">
        <x:v>onboarding is a critical component of the overall CBDC system. Digital identity credentials can play a
major role in facilitating the onboarding process. If a user has already completed KYC with a trusted
financial institution, the system could leverage these existing KYC credentials to onboard the user with
another provider, eliminating the need to repeat the process. Successful onboarding would result in the
issuance of valid authentication credentials for the user.
In the context of CBDC systems, onboarding users can be facilitated through both virtual and in-person
methods, ensuring flexibility and accessibility. Virtual onboarding leverages digital platforms to verify users’
identities remotely, using tools such as video calls, biometric verification and the submission of electronic
documents. This approach offers convenience and efficiency, allowing users to complete the process from
anywhere with access to internet and sufficient hardware. In contrast, in-person onboarding involves users
physically visiting a designated location, such as a bank or service centre, where their identity can be verified
face-to-face by a representative. This method may be preferred by those who are less comfortable with
technology or who require additional assistance during the process. By offering both virtual and in-person
onboarding options, the system can accommodate a diverse range of user preferences and needs, ensuring a
more inclusive and user-friendly experience.
Processes of onboarding need to be balanced with financial inclusion and privacy objectives. For various
non-criminal reasons, users may not have the necessary documents to sufficiently meet the standard of the
service providers that are subject to identification requirements. Efforts are being made to enhance financial
inclusion for underserved populations in banking and financial services while carefully avoiding the creation of
new opportunities for criminal activity. These efforts can be facilitated with tiered onboarding with different
levels of identification requirements. On one end of this tier, fully registered users can be onboarded by
verifying the identification documents required by the law, and on the other end, non-registered users can
be onboarded with no identification but have strict controls (e.g., total holding amount, transaction amount
limits). We can potentially design other options with varying degrees of identification requirements and
controls to satisfy different users’ needs. The information collected during the onboarding process can be
used to build a unique profile to assist with AML and other compliance investigations, or for data analytics
purposes that are core to business operations such as risk management.
Offboarding is the process of removing or transitioning an existing user from a target system. This
process is typically executed in accordance with established protocols and procedures to ensure compliance
with regulatory requirements and security standards. Similar to onboarding, offboarding may also involve
adherence to KYC protocols, especially in regulated industries, to facilitate the proper termination or
transition of user accounts.
Since onboarding and offboarding are the first and last step of every observable transaction chain, this is
where the engineering of privacy protections and data collection mechanisms is most crucial. In general, we
follow two principles to balance privacy and compliance requirements: (1) minimize the number of entities
that have visibility of PII; and (2) limit the data collected and PII to the minimum necessary to comply
with privacy and regulatory requirements.
4.1 Privacy-enhancing technologies for the onboarding process
Onboarding users typically involves verifying user ID documents that are issued by other trusted entities,
such as government agencies and regulated financial institutions. Individuals can use an SSI to maintain
control over their digital identity records and selectively share it for the CBDC onboarding process (Soltani,
Nguyen, and An 2018). If an SSI system exists within the jurisdiction, the CBDC system can provide
significantly more privacy to end users. SSI enables users to store their digital identity information in a
wallet on their personal devices, ensuring that they have full ownership and authority over their data. When
KYC is conducted for onboarding, only relevant selective information from the SSI is shared for verification
and validation purposes. This allows users to present specific credentials or attributes without revealing
their full identity information, enhancing the level of privacy and security.
SSI solutions can leverage a decentralized trust network, such as blockchain or distributed ledger
technology, to verify the correctness and integrity of the credentials and the authenticity of the issuers.
The SSI-based verification process is not visible to the credential issuers, providing a higher level of privacy
to the users. Cryptographic techniques like ZKPs can also be used to verify the authenticity of the identity
and protect the confidentiality of sensitive information. Depending on the construction of the ZKPs,
varying amounts of information may be revealed to the verifier. This can enable conditional linkages
between SSI and transactions. Consequently, an SSI may be partially linkable or unlinkable based on the
specific verification protocols used.
17</x:v>
      </x:c>
    </x:row>
    <x:row r="359" ht="110" customHeight="1">
      <x:c r="A359" s="46" t="str">
        <x:v>PRD-0107-P0025-U01</x:v>
      </x:c>
      <x:c r="B359" s="46" t="str">
        <x:v>CA_BoC_PETs_SDP2025_1</x:v>
      </x:c>
      <x:c r="C359" s="46" t="n">
        <x:v>25</x:v>
      </x:c>
      <x:c r="D359" s="46" t="str">
        <x:v>en</x:v>
      </x:c>
      <x:c r="E359" s="46" t="str">
        <x:v>text</x:v>
      </x:c>
      <x:c r="F359" s="46" t="str"/>
      <x:c r="G359" s="46" t="str">
        <x:v>sufficient funds for a transaction, hide the transaction amount and confirm these details with the verifiers.
Integrating ZKPs with a transaction tumbler not only enhances the confidentiality of the transaction
amount but also hides the identities of both senders and receivers (Bitcoin Wiki n.d.). A notable example
of this implementation is Tornado Cash, which allows users to deposit funds of fixed denominations into the
protocol while simultaneously generating a secret for a UTXO. This secret enables the original sender to
transfer funds to a recipient in zero-knowledge, as the system only verifies the possession of a valid secret
without disclosing its associated UTXO. When the sender decides to execute the transfer, they can either
(1) create a ZKP that includes proofs of transaction validity, recipient details, nullifier hash and fees for a
relayer who then submits the transaction data to the on-chain smart contract on behalf of the sender; or (2)
send the secret directly to the recipient who must then independently withdraw the funds.
Last but not least, SMPC is a PET that ensures the privacy of senders and receivers and conceals the
transferred amount. A sender, authenticated by a financial institution with valid credentials, can initiate
a transaction by splitting their credential, account number and transaction amount and then distributing
these shares to multiple validating parties in the system. These parties engage in an SMPC protocol to first
authenticate the sender (as outlined in Section 5.1). Subsequently, they collaboratively determine if the
sender has sufficient funds for the transfer and if the amount complies with established limits (e.g., $10,000).
In the final phase, the parties use another SMPC protocol to transfer the specified amount from the sender’s
account to the recipient’s account. Throughout this process, no single party has access to any information
about the transaction amount, sender, receiver or their account balances.
The integration of cryptographic PETs into a CBDC transaction processor presents both opportunities
and challenges. While these technologies enhance privacy, they also involve complex mathematical
computations that can introduce computational overhead, potentially affecting transaction processing
speed and the scalability of the CBDC system. Another challenge is the maturity and complexity of these
techniques, which may not yet be sufficiently developed to meet the robust demands of a mission-critical
system such as CBDC. This immaturity can lead to reliability and performance issues that are critical in
financial systems.
Interoperability with existing financial systems and infrastructure also poses significant challenges.
Current systems use standardized payment message formats, such as ISO 20022 (n.d.), and we do not yet
know how messages from these PETs will align with those of legacy financial systems. The lack of
universally accepted standards for ZKP, SMPC, or specific signature implementations could complicate
seamless integration across various systems.
Moreover, achieving compliance with regulations such as AML becomes more complex when using these
PETs. For instance, while ZKPs can confirm that a transaction complies with certain criteria without
revealing underlying data, they make it challenging for regulators to trace the origins of funds or identify
patterns of money laundering. This can create significant hurdles in enforcing AML regulations and other
compliance requirements.
Finally, user adoption and education pose significant challenges. Users may not be familiar with concepts
like ZKPs or SMPC, underscoring the need for effective education and communication to build trust and
facilitate acceptance.
7 Compliance services
In many jurisdictions around the world, regulations govern the permissible use of data and PII by any
organization, whether it is a private company or a public institution. Particularly in financial or transactional
contexts, additional, stringent regulations often mandate service providers to collect information to comply
with AML, KYC requirements, and anti-fraud measures. Specifically in Canada, firms generally fall under
the Personal Information Protection and Electronic Documents Act (2000), and the federal government has
proposed new rules about consumer privacy and other protections in Bill C-27, which is currently before
the House of Commons (Library of Parliament 2022). Additionally, financial institutions are also subject to
the Proceeds of Crime (Money Laundering) and Terrorist Financing Act (2000), as well as regulations from
FINTRAC, and adhere to guidelines from international regulatory bodies like the Financial Action Task
Force.
In systems that serve as definitive records for asset ownership, significant incentives and opportunities
exist for criminal and fraudulent activities. Mechanisms that ensure the integrity and correctness of such
systems typically can guarantee these properties only within the confines of the system itself. Therefore, a
compliance system is essential for monitoring adherence to the system’s correctness and to other relevant legal
22</x:v>
      </x:c>
    </x:row>
    <x:row r="360" ht="110" customHeight="1">
      <x:c r="A360" s="46" t="str">
        <x:v>PRD-0107-P0029-U01</x:v>
      </x:c>
      <x:c r="B360" s="46" t="str">
        <x:v>CA_BoC_PETs_SDP2025_1</x:v>
      </x:c>
      <x:c r="C360" s="46" t="n">
        <x:v>29</x:v>
      </x:c>
      <x:c r="D360" s="46" t="str">
        <x:v>en</x:v>
      </x:c>
      <x:c r="E360" s="46" t="str">
        <x:v>text</x:v>
      </x:c>
      <x:c r="F360" s="46" t="str"/>
      <x:c r="G360" s="46" t="str">
        <x:v>of funds if the user’s device is compromised or if they mismanage their private keys.
Digital wallets can be designed as either hardware- or software-based solutions. Hardware wallets, like
USB dongles or smartcards, provide robust security by physically isolating the digital assets from
potentially vulnerable devices such as a user’s smartphone. However, their limited resources may restrict
their applicability to certain use cases. Regardless of the format, it is essential for payment credentials
within these wallets to be stored and managed in a secure environment to ensure safety and integrity.
9.1 Privacy-enhancing technologies for digital wallets
As previously mentioned, the initial PET technique needed to secure digital assets in a wallet involves
creating a protected environment. This can include hardware-assisted TEEs such as ARM TrustZone or
tamper-resistant elements such as smartcards. While these trusted computing devices are widely used in
existing digital wallets, they need to be evaluated for security vulnerabilities against sophisticated attacks,
including backdoors and side-channel analysis.
Implementing memory encryption and MFA can further safeguard the confidentiality of digital assets
stored in wallets. Encryption helps to protect data at rest by concealing them if the memory is dumped or
accessed without authorization. Meanwhile, MFA enhances security by preventing data leaks if the device is
lost or stolen. The second factor in MFA could involve a biometric scan, a personal identification number or
a one-time password sent to a separate device. These layers of security can ensure that even if one barrier
is breached, additional safeguards are in place to protect sensitive information.
10 Conclusions
This paper tackles the critical challenge of enhancing privacy in CBDC systems by introducing a
comprehensive range of PETs and exploring their recent developments and potential applications. Through
a deep analysis of these techniques, we evaluate their feasibility and viability for mission-critical systems
such as CBDCs.
While significant progress has been made in the design and implementation of PETs, we find that
challenges persist regarding their performance, maturity, and security in the context of CBDCs. Despite
these challenges, we recognize the potential of PETs to revolutionize privacy in digital systems like CBDC. We
emphasize the importance of continuous monitoring of developments in these technologies by organizations
that collect and manage PII. As PETs mature and demonstrate viability in real-world applications, they
should be considered for integration into CBDC system design and development.
26</x:v>
      </x:c>
    </x:row>
    <x:row r="361" ht="110" customHeight="1">
      <x:c r="A361" s="46" t="str">
        <x:v>PRD-0108-P0004-U01</x:v>
      </x:c>
      <x:c r="B361" s="46" t="str">
        <x:v>CA_BoC_RetailFeasibility_SDP2025_9</x:v>
      </x:c>
      <x:c r="C361" s="46" t="n">
        <x:v>4</x:v>
      </x:c>
      <x:c r="D361" s="46" t="str">
        <x:v>en</x:v>
      </x:c>
      <x:c r="E361" s="46" t="str">
        <x:v>text</x:v>
      </x:c>
      <x:c r="F361" s="46" t="str"/>
      <x:c r="G361" s="46" t="str">
        <x:v>1 
Executive summary 
Darbha (2022) develops five archetypes, or common system design patterns, for retail CBDC: 
the centralized, the leaderless, the micro- and macro-partitioned, and the direct. In this paper, 
we analyze combinations of the archetypes with three funds models , or representations of 
money, to identify one system architecture that is, in our opinion, well -suited for basic 
payments in an online retail CBDC system . This is a micro -partitioned system based on a n 
unspent transaction output (UTXO) funds model. 
We select a representative system design, OpenCBDC 2PC  (Massachusetts Institute of 
Technology Digital Currency Initiative 2022), that fits this  architecture for basic payments and 
analyze it using a range of criteria to assess the feasibility of such system designs for an online 
retail CBDC. From our findings, summarized below, we do not anticipate serious  obstacles to 
achieving feasibility, although some areas require further investigation. 
Designs like OpenCBDC 2PC align well with a two-tier system, allowing a separation of central 
bank (CB) and intermediary functions . We define three types of wallets and show they can 
coexist in a single system, enabling both user custody and institutional custody of funds as well 
as payments to users who are either present or non-present. 
A key attribute of micro-partitioned designs like OpenCBDC 2PC is that a transaction involves 
two legs—a core system update and a wallet-to-wallet transfer—making it more complex than 
a transaction in a traditional account-based system, which involves only one leg. We describe 
a payment flow and necessary system functions that would enable the system to confirm  the 
completion of both legs and thereby achieve strong non-repudiation guarantees. Further, the 
current retail payments ecosystem is underpinned by account -based systems. The additional 
complexity and different funds model of designs such as  OpenCBDC 2PC mean that design 
effort is needed to integrate such systems into the retail payments ecosystem. We note this as 
an open area for further exploration. 
We assess  two variants of OpenCBDC 2PC, both with and without privacy -preserving 
techniques, to audit the money supply, i.e., to aggregate the supply and detect discrepancies. 
Our assessment indicates that these mechanisms can feasibly be used to detect a discrepancy  
in the CBDC supply. The performance impact of auditing needs to be investigated for a 
production-size supply, especially for the privacy-preserving variant that is compute-intensive. 
Further, a production system must not only be capable of detecting a discrepancy  but also 
identifying the root cause and reversing it. The complexity and performance impact of reversal 
mechanisms are unknown, especially for a monetary supply of national size, the investigation 
of which we leave for further exploration. 
Our scalability experiments with three variants of OpenCBDC 2PC—the baseline and two 
auditability variants—suggest that the performance of the baseline scales efficiently, with low 
response times suitable for retail use . The two auditability variants do not scale as efficiently , 
although they can likely be improved over time.  Nevertheless, our observations highlight  the 
efficiency of such system  designs as even the least  performant configurations demonstrate 
throughput in excess of 10,000 transactions per second. 
Micro-partitioned systems such as OpenCBDC 2PC that support user custody naturally support 
high levels of privacy from the CB and, optionally, from intermediate institutions too. A user 
could be non- registered or  keep custody of their own  funds to achieve high privacy. These 
ideas could be combined with the use of privacy-enhancing technologies to hide amounts even</x:v>
      </x:c>
    </x:row>
    <x:row r="362" ht="110" customHeight="1">
      <x:c r="A362" s="46" t="str">
        <x:v>PRD-0108-P0010-U01</x:v>
      </x:c>
      <x:c r="B362" s="46" t="str">
        <x:v>CA_BoC_RetailFeasibility_SDP2025_9</x:v>
      </x:c>
      <x:c r="C362" s="46" t="n">
        <x:v>10</x:v>
      </x:c>
      <x:c r="D362" s="46" t="str">
        <x:v>en</x:v>
      </x:c>
      <x:c r="E362" s="46" t="str">
        <x:v>text</x:v>
      </x:c>
      <x:c r="F362" s="46" t="str"/>
      <x:c r="G362" s="46" t="str">
        <x:v>7 
Table 3: Conceivable system architectures for an online ret ail central bank digital 
currency 
Funds model 
Archetype 
Account 
UTXO 
Bill7 
Centralized 
The account model fits 
well with centralized 
systems. 
Leaderless 
Leaderless systems have a weak governance fit to the central bank’s role 
and lack the ability to scale for an online CBDC. 
Macro-partitioned 
Macro-partitioned systems are less flexible than micro-partitioned systems 
because they do not support custody by end users. 
Micro-partitioned 
 Micro-partitioned 
systems based on 
UTXO are well-suited 
for basic payments. 
Direct 
 Direct systems offer the central bank limited visibility for an online CBDC. 
Note: UTXO means unspent transaction output. The shaded architecture is a promising candidate for an 
online retail CBDC system and the subject of the analysis in this report.  
Among the combinations, we  highlight one that is a promising candidate for an online retail 
CBDC since it is well-suited for basic payments (shown as the shaded box in Table 3). It is based 
on the UTXO funds model  combined with the micro -partitioned archetype. Micro -partitioned 
systems can be scalable if designed to minimize the core state and optimize updates to it. We 
expect such systems to be fast and cheap for basic payments, with high privacy . Further, they 
could evolve to support micropayments , should such novel uses experience uptake in the 
future. 8 These systems, however, would have limited , if any,  support for complex contingent 
payments. 
In Section 3, we select a representative research system design that fits the architecture for  
basic payments and analyze it using a range of criteria. 
First, we assess how the architecture would fit in a two-tier model  where the CB would be 
responsible for issuance, validation and settlement functions and money services businesses 
(MSBs) for providing customer-facing functions such as know-your-customer ( KYC) and 
account management. We then analyze how a retail payment flow could be realized with such 
an architecture and how it would differ from today’s typical retail payment flow. We discuss 
how such an architecture could provide guarantees for non-repudiation to resolve questions 
about a disputed payment. We discuss experimental results on the ability of such a system to 
scale throughput (the number of transactions settled, measuring the speed of  core system 
updates) as demand increases. We assess the level of privacy  users would have from the CB 
and non-CB entities in such a system , and how legal obligations related to  compliance could 
7 O ther differences exist between the UTXO and bill models . A necdotally, UTXOs are used more widely in online 
systems, while bills appear more in offline store-of-value systems. This may be because UTXOs require proving only 
validity, while bills require proving both validity and uniqueness. We  leave investigation of these models’ relative 
trade-offs for future work. 
8 Micropayments are payments of low value (less than a dollar) and high volume.</x:v>
      </x:c>
    </x:row>
    <x:row r="363" ht="110" customHeight="1">
      <x:c r="A363" s="46" t="str">
        <x:v>PRD-0108-P0016-U01</x:v>
      </x:c>
      <x:c r="B363" s="46" t="str">
        <x:v>CA_BoC_RetailFeasibility_SDP2025_9</x:v>
      </x:c>
      <x:c r="C363" s="46" t="n">
        <x:v>16</x:v>
      </x:c>
      <x:c r="D363" s="46" t="str">
        <x:v>en</x:v>
      </x:c>
      <x:c r="E363" s="46" t="str">
        <x:v>text</x:v>
      </x:c>
      <x:c r="F363" s="46" t="str"/>
      <x:c r="G363" s="46" t="str">
        <x:v>13 
private information retrieval (PIR) can be employed on each shard, so that a shard doesn’t know 
which receiver is being queried. 
More work is needed to understand how privacy -preserving techniques like PIR would work 
within a PA service that handles ephemeral information, e.g., single-use public keys. 
Funds receiver (FR) services. In OpenCBDC 2PC, in addition to a settlement being recorded in 
the UHS, a sender must communicate the UTXO pre-images out of band to the receiver. More 
generally, funds information must be transferred wallet-to-wallet in micro-partitioned systems. 
Hence, such systems must consider how a payment is completed when a receiver is not present. 
An easy, if sub-optimal, approach is to require the receiver to always be present for a payment. 
If the receiver is not present, payment cannot happen. This is overly restrictive and , as we 
describe below, it is possible to do better. 
A second approach is to queue the out-of-band information for an absent receiver, so that 
when they are present later, they can retrieve the information and complete payment.  The 
drawback of queuing messages is that completion of a payment may be delayed for an arbitrary 
period, awaiting an absent receiver. Further, a sender could use the same funds to issue 
payments to multiple receivers and , even though the system would guarantee that only one 
payment would succeed, it wouldn’t be known until much later which receiver got paid (and 
which others saw their transactions fail).  Hence, t his approach doesn’t achieve real-time 
settlement. 
A third approach is for a receiver to designate a n FR service in their absence to receive 
payments on their behalf. The sender would send a full payment to the FR, who would verify it 
and accept it on behalf of the receiver , completing the payment  immediately. The receiver 
would retrieve their funds from the FR when present later. However, this introduces a risk that 
an FR could receive payments and then default on its obligation to a receiver. This risk is similar 
to that of a t ype-M wallet  custodian defaulting and  could be mitigated by regulation.  We 
consider if and how an FR service relates to the three wallet types. 
First, we note that it is incongruous for an NR user with a type-U (self-hosted) wallet to delegate 
custody of their funds to another entity. Hence, a type-U receiver must be present to receive 
payment. 
A type-M receiver  would be operated by an MSB with high availab ility, online except for 
planned or unplanned  outages. The receiver  would have custody of all the keys and funds 
needed to issue payments and receive funds, and hence wouldn’t need an FR service. 
A type-K wallet would fit well with a n FR service operated by an MSB . Indeed, multiple  FR 
services could be operated by multiple MSBs. 
We note that there are similarities in a t ype-M hosted wallet and a t ype-K FR service. F or 
example, both would hold their customers ’ funds and be highly available, so they could be 
developed together while maximizing code reuse. 19 But there are differences as well, so it is 
useful to keep them distinct in case future policy decisions require one of them to be 
19 One idea is to explore the FR service of each MSB acting as a fallback for other MSBs, increasing system resilience.</x:v>
      </x:c>
    </x:row>
    <x:row r="364" ht="110" customHeight="1">
      <x:c r="A364" s="46" t="str">
        <x:v>PRD-0108-P0029-U01</x:v>
      </x:c>
      <x:c r="B364" s="46" t="str">
        <x:v>CA_BoC_RetailFeasibility_SDP2025_9</x:v>
      </x:c>
      <x:c r="C364" s="46" t="n">
        <x:v>29</x:v>
      </x:c>
      <x:c r="D364" s="46" t="str">
        <x:v>en</x:v>
      </x:c>
      <x:c r="E364" s="46" t="str">
        <x:v>text</x:v>
      </x:c>
      <x:c r="F364" s="46" t="str"/>
      <x:c r="G364" s="46" t="str">
        <x:v>26 
Chart 3: Throughput with sentinel attestations 
We summarize our observations about system scalability: 
 The baseline variant demonstrates l inear scalability. The baseline throughput scales 
linearly as capacity is increased from one to eight shards, without significant degradation 
of latency. 
 The d egree of scalability is impacted  by supply audits . Auditing the supply entail s 
increased storage and computational overhead in the core  compared with the baseline, 
leading to a predictable performance impact.  Variant-values scales linearly or close to it,  
although at a lower rate than the baseline, if SAs are disabled. 
 Scalability of auditing with privacy-preserving commitments  remains unproven . 
Auditability with commitments is a compelling idea, as it would allow the system to detect 
discrepancies in  the supply  without knowing t he amounts in circulation . However, it 
struggles to scale linearly, evidently due to the burden of  cryptography. T hese are 
preliminary results, s o optimizations would likely improve performance. However, they 
point to the trade-off that packing more functionality in to the core system would likely 
render it less scalable. 
 The size of the monetary supply impacts auditing performance. The auditability variants 
periodically aggregate the entire supply. During this process (called audit logging), we 
observe a latency degradation in our testing.35 By varying UHS size in the range of 1 million 
to 50 million UTXOs for the variant-values implementation, we confirm that a smaller UHS 
results in less severe latency spikes. In a production system with a larger UHS, audit logging 
would have to be tuned carefully , so latency is kept within required limits.36 We are not 
35 With an audit interval of 60 seconds, we observe that latency spikes last around 10 seconds or less, with peaks of 3–
4 seconds. This means that, in those 10 seconds, latency could be as high as 3–4 seconds, although on average it is 
10% of that (around 400 milliseconds). 
36 In a production system, other ways to optimize the CBDC supply could be explored. For example, wallets could 
autonomously consolidate small-value UTXOs during off-peak hours.</x:v>
      </x:c>
    </x:row>
    <x:row r="365" ht="110" customHeight="1">
      <x:c r="A365" s="46" t="str">
        <x:v>PRD-0108-P0030-U01</x:v>
      </x:c>
      <x:c r="B365" s="46" t="str">
        <x:v>CA_BoC_RetailFeasibility_SDP2025_9</x:v>
      </x:c>
      <x:c r="C365" s="46" t="n">
        <x:v>30</x:v>
      </x:c>
      <x:c r="D365" s="46" t="str">
        <x:v>en</x:v>
      </x:c>
      <x:c r="E365" s="46" t="str">
        <x:v>text</x:v>
      </x:c>
      <x:c r="F365" s="46" t="str"/>
      <x:c r="G365" s="46" t="str">
        <x:v>27 
able to test v ariant-PPA with a UHS larger than 500 thousand UTXOs, so it remains to be 
shown that it can support a production-size UHS. 
 Determining the optimal deployment footprint requires continual tuning. In a distributed 
system composed of instances of several components  (such as shard, coordinator  and 
sentinel), the number of instances and their relative ratios need to be established through 
careful monitoring and analysis. With every change in the system, behavio ur needs to be 
assessed to understand if bottlenecks in the system have shifted and  relative ratios have 
changed, to adjust capacity. 
3.7 Privacy 
A retail CBDC system will involve the collection of users’ PII to comply with legal requirements, 
such as anti–money laundering (AML) and anti-terrorist finance (ATF) laws. PII related to a CBDC 
falls into three key categories: identity data for KYC purposes, transaction data for settlements 
and metadata to detect suspicious activities. Collection and management of PII data will play a 
key role in the level of privacy offered to users.  In general, CBDC archetypes that allow end 
users rather than institution s to hold information (e.g. , the direct and micro -partitioned) can 
more easily achieve higher privacy than the other archetypes. However, it is crucial to adopt a 
privacy-by-design approach to safeguard the privacy of end users throughout the design and 
development of an end-to-end retail CBDC system.  
3.7.1 Privacy design 
In designing  a micro -partitioned and UTXO -based, end-to-end retail CBDC system , we 
introduce several key privacy -focused design features of O penCBDC 2PC and additional 
components. These features are:  
Identity decoupled from transactions—User identities are separated from transactional data 
using unique cryptographic identifiers.  This prevents linkage to individuals, enhancing 
anonymity and protecting personal information. In ou r two-tier design, PII is managed 
exclusively by the MSBs (acting as wallet custodians) or the end user in the case of a self-
custody wallet. 
Minimal data retention for core transaction processors—The core transaction processor 
components (sentinels, coordinators and shards) have access to only the non-PII data (e.g., 
transaction hashes), enabling the CB to settle transactions without accessing end users’ PII. 
This ensures a high level of privacy for end users from the CB. 
Ephemeral keys for transaction signatures—Transaction signing keys are generated 
dynamically for each specific transaction, offering enhanced privacy compared with  long-
term keys. This approach ensures k- anonymity, where k represents the set of wallets 
actively participating in the system at any given time. 
Self-custody wallets (type-U)—The micro-partitioned architecture inherently supports self -
custody wallets, allowing users to maintain direct control over their funds and keys. This 
setup ensures a high level of privacy, particularly for NR users. 
Privacy-preserving transactions—MIT DCI proposes and implements variant-PPA, based on 
Pedersen commitments and zero -knowledge range proofs , to hide transaction amounts  
from core settlement processor, while maintaining auditability. This solution  improves 
privacy beyond the level offered by the baseline OpenCBDC 2PC design.</x:v>
      </x:c>
    </x:row>
    <x:row r="366" ht="110" customHeight="1">
      <x:c r="A366" s="46" t="str">
        <x:v>PRD-0108-P0038-U01</x:v>
      </x:c>
      <x:c r="B366" s="46" t="str">
        <x:v>CA_BoC_RetailFeasibility_SDP2025_9</x:v>
      </x:c>
      <x:c r="C366" s="46" t="n">
        <x:v>38</x:v>
      </x:c>
      <x:c r="D366" s="46" t="str">
        <x:v>en</x:v>
      </x:c>
      <x:c r="E366" s="46" t="str">
        <x:v>text</x:v>
      </x:c>
      <x:c r="F366" s="46" t="str"/>
      <x:c r="G366" s="46" t="str">
        <x:v>35 
payments ecosystem is based on funds being represented  in account balances at institutions 
and a transaction resulting in  balance updates. To use a  micro-partitioned system like  
OpenCBDC 2PC for retail payments, the ecosystem would have to  adapt to a more complex 
model of funds residing in end-user wallets and a transaction involving an inter-wallet transfer 
in addition to a system update. This would entail technical enhancements across the ecosystem 
to support the new funds model  and integrate with a more complex payment flow while 
handling novel boundary conditions, e.g., aborting a transaction when one of two legs has been 
completed. 
It is functionally feasible to audit the monetary  supply, although its performance on a 
production-size supply  needs further investigation . M echanisms to fix discrepancies also 
require investigation. Our assessment of two variants of OpenCBDC 2PC for auditability 
indicates that mechanisms similar to either of them would be feasible functionally to audit the 
supply and detect a discrepancy , i.e., furnish a binary yes/no answer to the question “ Did 
tampering occur?” The auditing process has a latency impac t, and ways to mitigate it would 
need to be investigated for a production-size supply via optimizations and operational controls 
such as audit frequency, size of the monetary supply and core system capacity. 
Further, a production system must not only be capable of detecting a discrepancy, but also of 
reversing it. This would require the system  to maintain and compare historical audit log ging 
and transaction information.  The functional complexity and performance impact of reversal 
mechanisms are unknown, and we leave their investigation to future work. 
Although linear scalability of throughput is achievable with systems such as OpenCBDC 2PC, 
the addition of enhancements like auditability would require careful design to preserve it to 
achieve throughput and latency goals. Our experiments with the baseline and two auditability 
extensions suggest that the baseline variant scales throughput linearly, while preserving latency 
in a range suitable for retail payments. 40 The two auditability variants, being more compute -
intensive, do not scale as efficiently , the variant-PPA implementation in particular facing 
challenges. These early-stage observations can likely be improved with design optimizations. 
Further investigation is needed to assess feasibility for production UHS sizes. Our findings point 
to an important trade-off: the more information that is packed into the core state and the more 
intensive the process to update that state, the less scalable the resulting system is. Nevertheless, 
they speak to the efficiency of such systems that even the least performing configurations could 
achieve throughput in excess of 10,000 TPS. 
Micro-partitioned s ystems such as  OpenCBDC 2PC that support user custody  of funds  
naturally support high levels of privacy from the CB  and, optionally, from MSBs too . This 
system achieves high privacy from the CB by hiding from it the owner’s identity, holdings and 
transactions. By choosing to be non-registered and with a type-U wallet, if permitted, a user 
can increase their privacy from MSBs  as well. These ideas could be combined with the use of 
privacy-enhancing technologies to hide amounts even from the settlement system . This 
achieves a very high level of privacy that would exceed the privacy available in electronic 
payment systems today.  We also observe that system enhancements must be carefully 
designed to avoid storing PII data, ensuring that the privacy provided by the system remains 
intact. 
40 Our experiments do  not include wallet -to-wallet transfers, which when implemented could add to the latency 
experienced by users in some payments use cases.</x:v>
      </x:c>
    </x:row>
    <x:row r="367" ht="110" customHeight="1">
      <x:c r="A367" s="46" t="str">
        <x:v>PRD-0108-P0045-U01</x:v>
      </x:c>
      <x:c r="B367" s="46" t="str">
        <x:v>CA_BoC_RetailFeasibility_SDP2025_9</x:v>
      </x:c>
      <x:c r="C367" s="46" t="n">
        <x:v>45</x:v>
      </x:c>
      <x:c r="D367" s="46" t="str">
        <x:v>en</x:v>
      </x:c>
      <x:c r="E367" s="46" t="str">
        <x:v>text</x:v>
      </x:c>
      <x:c r="F367" s="46" t="str"/>
      <x:c r="G367" s="46" t="str">
        <x:v>42 
 Optimal relative ratios of components : We establish the r elative ratios of shards, 
coordinators and sentinels for one shard. Then, as the shard count is doubled to 2, 4 and 
8, the other components are doubled as well. A more in-depth approach would ascertain 
optimal ratios at each of those shard numbers separately. 
 Third-party changes: We observe early in our testing that throughput scales at a rate close 
to 2.0 , i.e., adding twice the capacity would also increase throughput by two times . 
However, in later testing, after the compiler had been upgraded along with some libraries, 
the rate of scaling dropped to lower than two times, even though these upgrades were 
unrelated to the core logic . We are unable to find the cause of this degradation. It shows 
how seemingly innocuous changes in large codebases that include third-party and open-
source contributions can have unforeseen impacts. This highlights the need for continual  
monitoring and measurement of the system as it evolves over its life cycle.</x:v>
      </x:c>
    </x:row>
    <x:row r="368" ht="110" customHeight="1">
      <x:c r="A368" s="46" t="str">
        <x:v>PRD-0109-P0001-U01</x:v>
      </x:c>
      <x:c r="B368" s="46" t="str">
        <x:v>US_WhiteHouse_EO14178_2025</x:v>
      </x:c>
      <x:c r="C368" s="46" t="n">
        <x:v>1</x:v>
      </x:c>
      <x:c r="D368" s="46" t="str">
        <x:v>en</x:v>
      </x:c>
      <x:c r="E368" s="46" t="str">
        <x:v>text</x:v>
      </x:c>
      <x:c r="F368" s="46" t="str"/>
      <x:c r="G368" s="46" t="str">
        <x:v>Presidential Documents
8647 Federal Register / Vol. 90, No. 20 / Friday, January 31, 2025 / Presidential Documents 
Executive Order 14178 of January 23, 2025 
Strengthening American Leadership in Digital Financial 
Technology 
By the authority vested in me as President by the Constitution and the 
laws of the United States of America, and in order to promote United 
States leadership in digital assets and financial technology while protecting 
economic liberty, it is hereby ordered: 
Section 1. Purpose and Policies. (a) The digital asset industry plays a crucial 
role in innovation and economic development in the United States, as well 
as our Nation’s international leadership. It is therefore the policy of my 
Administration to support the responsible growth and use of digital assets, 
blockchain technology, and related technologies across all sectors of the 
economy, including by: 
(i) protecting and promoting the ability of individual citizens and private- 
sector entities alike to access and use for lawful purposes open public 
blockchain networks without persecution, including the ability to develop 
and deploy software, to participate in mining and validating, to transact 
with other persons without unlawful censorship, and to maintain self- 
custody of digital assets; 
(ii) promoting and protecting the sovereignty of the United States dollar, 
including through actions to promote the development and growth of 
lawful and legitimate dollar-backed stablecoins worldwide; 
(iii) protecting and promoting fair and open access to banking services 
for all law-abiding individual citizens and private-sector entities alike; 
(iv) providing regulatory clarity and certainty built on technology-neutral 
regulations, frameworks that account for emerging technologies, transparent 
decision making, and well-defined jurisdictional regulatory boundaries, 
all of which are essential to supporting a vibrant and inclusive digital 
economy and innovation in digital assets, permissionless blockchains, and 
distributed ledger technologies; and 
(v) taking measures to protect Americans from the risks of Central Bank 
Digital Currencies (CBDCs), which threaten the stability of the financial 
system, individual privacy, and the sovereignty of the United States, in-
cluding by prohibiting the establishment, issuance, circulation, and use 
of a CBDC within the jurisdiction of the United States. 
Sec. 2. Definitions. (a) For the purpose of this order, the term ‘‘digital 
asset’’ refers to any digital representation of value that is recorded on a 
distributed ledger, including cryptocurrencies, digital tokens, and stablecoins. 
(b) The term ‘‘blockchain’’ means any technology where data is: 
(i) shared across a network to create a public ledger of verified transactions 
or information among network participants; 
(ii) linked using cryptography to maintain the integrity of the public 
ledger and to execute other functions; 
(iii) distributed among network participants in an automated fashion to 
concurrently update network participants on the state of the public ledger 
and any other functions; and 
(iv) composed of source code that is publicly available. 
VerDate Sep&lt;11&gt;2014 16:12 Jan 30, 2025 Jkt 265001 PO 00000 Frm 00001 Fmt 4790 Sfmt 4790 E:\FR\FM\31JAE7.SGM 31JAE7ddrumheller on DSK120RN23PROD with PRESDOC-E7</x:v>
      </x:c>
    </x:row>
  </x:sheetData>
  <x:mergeCells>
    <x:mergeCell ref="A1:G1"/>
    <x:mergeCell ref="A2:G2"/>
  </x:mergeCells>
  <x:pageMargins left="0.7" right="0.7" top="0.75" bottom="0.75" header="0.3" footer="0.3"/>
  <x:tableParts count="1">
    <x:tablePart xmlns:r="http://schemas.openxmlformats.org/officeDocument/2006/relationships" r:id="R84eaeb2e03e54ad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2" hidden="0" customWidth="1"/>
    <x:col min="2" max="2" width="11" hidden="0" customWidth="1"/>
    <x:col min="3" max="3" width="30" hidden="0" customWidth="1"/>
    <x:col min="4" max="4" width="72" hidden="0" customWidth="1"/>
    <x:col min="5" max="5" width="72" hidden="0" customWidth="1"/>
    <x:col min="6" max="6" width="72" hidden="0" customWidth="1"/>
  </x:cols>
  <x:sheetData>
    <x:row r="1" ht="30" customHeight="1">
      <x:c r="A1" s="3" t="str">
        <x:v>Frozen CBDC codebook</x:v>
      </x:c>
      <x:c r="B1" s="3"/>
      <x:c r="C1" s="3"/>
      <x:c r="D1" s="3"/>
      <x:c r="E1" s="3"/>
      <x:c r="F1" s="3"/>
    </x:row>
    <x:row r="2" ht="34" customHeight="1">
      <x:c r="A2" s="7" t="str">
        <x:v>Používej přesně uvedené kódy. Primární kód má zachytit hlavní substantivní pointu tvrzení.</x:v>
      </x:c>
      <x:c r="B2" s="7"/>
      <x:c r="C2" s="7"/>
      <x:c r="D2" s="7"/>
      <x:c r="E2" s="7"/>
      <x:c r="F2" s="7"/>
    </x:row>
    <x:row r="3">
      <x:c r="A3" s="13" t="str">
        <x:v>code</x:v>
      </x:c>
      <x:c r="B3" s="13" t="str">
        <x:v>family</x:v>
      </x:c>
      <x:c r="C3" s="13" t="str">
        <x:v>label</x:v>
      </x:c>
      <x:c r="D3" s="13" t="str">
        <x:v>definition</x:v>
      </x:c>
      <x:c r="E3" s="13" t="str">
        <x:v>code_when</x:v>
      </x:c>
      <x:c r="F3" s="13" t="str">
        <x:v>dont_code_when</x:v>
      </x:c>
    </x:row>
    <x:row r="4" ht="86" customHeight="1">
      <x:c r="A4" s="46" t="str">
        <x:v>PRIV.ANON</x:v>
      </x:c>
      <x:c r="B4" s="46" t="str">
        <x:v>PRIV</x:v>
      </x:c>
      <x:c r="C4" s="46" t="str">
        <x:v>Anonymita / pseudonymita</x:v>
      </x:c>
      <x:c r="D4" s="46" t="str">
        <x:v>Stupeň identifikovatelnosti uživatele v CBDC — od cash-like anonymity přes pseudonymitu (stable wallet ID re-identifiable by authorities) po plnou traceability. Strength 1 = okrajová zmínka, 2 = explicitní deklarace stupně, 3 = normativní/design rozhodnutí.</x:v>
      </x:c>
      <x:c r="E4" s="46" t="str">
        <x:v>Pasáž explicitně diskutuje, do jaké míry je transakce / uživatel (ne)identifikovatelný — full anonymity, threshold-based, tiered, controllable anonymity, pseudonymity, traceability, identification.</x:v>
      </x:c>
      <x:c r="F4" s="46" t="str">
        <x:v>Obecné technické zmínky o šifrování bez vazby na identitu uživatele.</x:v>
      </x:c>
    </x:row>
    <x:row r="5" ht="86" customHeight="1">
      <x:c r="A5" s="46" t="str">
        <x:v>PRIV.OFF</x:v>
      </x:c>
      <x:c r="B5" s="46" t="str">
        <x:v>PRIV</x:v>
      </x:c>
      <x:c r="C5" s="46" t="str">
        <x:v>Offline platby (privacy)</x:v>
      </x:c>
      <x:c r="D5" s="46" t="str">
        <x:v>Privacy vlastnosti offline plateb — typicky vyšší míra anonymity, nepřítomnost online ověření.</x:v>
      </x:c>
      <x:c r="E5" s="46" t="str">
        <x:v>Pasáž zmiňuje offline payment funkcionalitu jako privacy-relevant feature (peer-to-peer, cash-like, no connectivity needed).</x:v>
      </x:c>
      <x:c r="F5" s="46" t="str">
        <x:v>Offline jako pouze resilience/connectivity argument bez privacy aspektu.</x:v>
      </x:c>
    </x:row>
    <x:row r="6" ht="86" customHeight="1">
      <x:c r="A6" s="46" t="str">
        <x:v>PRIV.MIN</x:v>
      </x:c>
      <x:c r="B6" s="46" t="str">
        <x:v>PRIV</x:v>
      </x:c>
      <x:c r="C6" s="46" t="str">
        <x:v>Data minimisation / GDPR</x:v>
      </x:c>
      <x:c r="D6" s="46" t="str">
        <x:v>Princip sběru jen nezbytných dat a explicitní vazba na GDPR / data-protection právní rámec (lawful basis, data subject rights, DPIA).</x:v>
      </x:c>
      <x:c r="E6" s="46" t="str">
        <x:v>Pasáž zmiňuje data minimisation principle, GDPR alignment, právní základ zpracování, ochrana osobních údajů jako design constraint.</x:v>
      </x:c>
      <x:c r="F6" s="46" t="str">
        <x:v>Obecná zmínka 'privacy' bez vazby na minimalizaci dat nebo právní rámec.</x:v>
      </x:c>
    </x:row>
    <x:row r="7" ht="86" customHeight="1">
      <x:c r="A7" s="46" t="str">
        <x:v>PRIV.PET</x:v>
      </x:c>
      <x:c r="B7" s="46" t="str">
        <x:v>PRIV</x:v>
      </x:c>
      <x:c r="C7" s="46" t="str">
        <x:v>Privacy-enhancing technologies</x:v>
      </x:c>
      <x:c r="D7" s="46" t="str">
        <x:v>Konkrétní PET: ZKP/zk-SNARK, homomorphic encryption, secure multi-party computation, federated learning, differential privacy, blind signatures.</x:v>
      </x:c>
      <x:c r="E7" s="46" t="str">
        <x:v>Pasáž jmenuje konkrétní kryptografickou techniku zachování privacy, nebo používá pojem PET / privacy-enhancing technology.</x:v>
      </x:c>
      <x:c r="F7" s="46" t="str">
        <x:v>Obecná zmínka 'cryptography' bez konkrétní techniky.</x:v>
      </x:c>
    </x:row>
    <x:row r="8" ht="86" customHeight="1">
      <x:c r="A8" s="46" t="str">
        <x:v>PRIV.BAL</x:v>
      </x:c>
      <x:c r="B8" s="46" t="str">
        <x:v>PRIV</x:v>
      </x:c>
      <x:c r="C8" s="46" t="str">
        <x:v>Privacy ↔ AML/policy trade-off</x:v>
      </x:c>
      <x:c r="D8" s="46" t="str">
        <x:v>Diskuze napětí mezi privacy a AML/CFT/surveillance, nebo mezi privacy a jinými policy cíli (monetary policy, consumer protection, data sovereignty).</x:v>
      </x:c>
      <x:c r="E8" s="46" t="str">
        <x:v>Pasáž explicitně tematizuje trade-off mezi privacy a kontrolou/regulací (balance, tension, versus, trade-off).</x:v>
      </x:c>
      <x:c r="F8" s="46" t="str">
        <x:v>Pouhá zmínka jednoho z pólů bez explicitního trade-off.</x:v>
      </x:c>
    </x:row>
    <x:row r="9" ht="86" customHeight="1">
      <x:c r="A9" s="46" t="str">
        <x:v>PRIV.CB.visibility.opaque</x:v>
      </x:c>
      <x:c r="B9" s="46" t="str">
        <x:v>PRIV</x:v>
      </x:c>
      <x:c r="C9" s="46" t="str">
        <x:v>CB visibility — opaque (CB nevidi)</x:v>
      </x:c>
      <x:c r="D9" s="46" t="str">
        <x:v>Centralni banka NEVIDI jednotlive transakce ani identitu uzivatelu; vidi pouze agregaty nebo zustatky zprostredkovatelu. Narrow bank model, off-ledger data, intermediary-held customer data.</x:v>
      </x:c>
      <x:c r="E9" s="46" t="str">
        <x:v>Pasaz popisuje, ze CB ma omezenou nebo zadnou viditelnost na urovni uzivatele (limited visibility, off-ledger, intermediary holds data, CB sees only aggregates).</x:v>
      </x:c>
      <x:c r="F9" s="46" t="str">
        <x:v>Obecna zminka privacy bez explicitniho vztahu k tomu, co CB vidi.</x:v>
      </x:c>
    </x:row>
    <x:row r="10" ht="86" customHeight="1">
      <x:c r="A10" s="46" t="str">
        <x:v>PRIV.CB.visibility.transparent</x:v>
      </x:c>
      <x:c r="B10" s="46" t="str">
        <x:v>PRIV</x:v>
      </x:c>
      <x:c r="C10" s="46" t="str">
        <x:v>CB visibility — transparent (CB vidi)</x:v>
      </x:c>
      <x:c r="D10" s="46" t="str">
        <x:v>Centralni banka VIDI transakce, balance, nebo identitu uzivatelu. Bud primo (CB-operated ledger), nebo pres pristup k datum z intermediaru.</x:v>
      </x:c>
      <x:c r="E10" s="46" t="str">
        <x:v>Pasaz popisuje, ze CB vidi transakce, ma pristup k datum uzivatelu, full visibility, all transactions logged on CB ledger.</x:v>
      </x:c>
      <x:c r="F10" s="46" t="str">
        <x:v>Obecna zminka transaction monitoring bez upresneni, kdo monitoruje.</x:v>
      </x:c>
    </x:row>
    <x:row r="11" ht="86" customHeight="1">
      <x:c r="A11" s="46" t="str">
        <x:v>AML.LIMIT</x:v>
      </x:c>
      <x:c r="B11" s="46" t="str">
        <x:v>AML</x:v>
      </x:c>
      <x:c r="C11" s="46" t="str">
        <x:v>Holding / transaction limits</x:v>
      </x:c>
      <x:c r="D11" s="46" t="str">
        <x:v>Wallet caps, daily/monthly limits, reverse waterfall jako AML nebo financial-stability nástroj.</x:v>
      </x:c>
      <x:c r="E11" s="46" t="str">
        <x:v>Pasáž stanovuje nebo diskutuje kvantitativní limity (CZK/EUR/USD částka, počet transakcí, holding cap).</x:v>
      </x:c>
      <x:c r="F11" s="46" t="str">
        <x:v>Limity v jiném kontextu (např. technical scalability).</x:v>
      </x:c>
    </x:row>
    <x:row r="12" ht="86" customHeight="1">
      <x:c r="A12" s="46" t="str">
        <x:v>AML.MON</x:v>
      </x:c>
      <x:c r="B12" s="46" t="str">
        <x:v>AML</x:v>
      </x:c>
      <x:c r="C12" s="46" t="str">
        <x:v>Transaction monitoring</x:v>
      </x:c>
      <x:c r="D12" s="46" t="str">
        <x:v>Systémy detekce podezřelých transakcí — real-time monitoring, ML-based detection, behavioural analytics.</x:v>
      </x:c>
      <x:c r="E12" s="46" t="str">
        <x:v>Pasáž popisuje systém monitorování CBDC transakcí pro AML účely.</x:v>
      </x:c>
      <x:c r="F12" s="46" t="str">
        <x:v>Obecné statistical reporting bez AML zaměření.</x:v>
      </x:c>
    </x:row>
    <x:row r="13" ht="86" customHeight="1">
      <x:c r="A13" s="46" t="str">
        <x:v>AML.FATF</x:v>
      </x:c>
      <x:c r="B13" s="46" t="str">
        <x:v>AML</x:v>
      </x:c>
      <x:c r="C13" s="46" t="str">
        <x:v>AML regulační rámec (FATF, Travel Rule, SAR, sanctions)</x:v>
      </x:c>
      <x:c r="D13" s="46" t="str">
        <x:v>Explicitní vazba na AML/CFT regulační machinery: FATF Recommendations, Travel Rule (R.16), suspicious activity reporting (SAR/STR), sanctions/PEP screening.</x:v>
      </x:c>
      <x:c r="E13" s="46" t="str">
        <x:v>Pasáž zmiňuje FATF, Travel Rule, SAR/STR, sanctions screening, OFAC, EU/UN sanctions lists, mutual evaluation.</x:v>
      </x:c>
      <x:c r="F13" s="46" t="str">
        <x:v>Obecná zmínka 'AML compliance' bez vazby na konkrétní regulační nástroj.</x:v>
      </x:c>
    </x:row>
    <x:row r="14" ht="86" customHeight="1">
      <x:c r="A14" s="46" t="str">
        <x:v>AML.RISK</x:v>
      </x:c>
      <x:c r="B14" s="46" t="str">
        <x:v>AML</x:v>
      </x:c>
      <x:c r="C14" s="46" t="str">
        <x:v>Risk-based approach</x:v>
      </x:c>
      <x:c r="D14" s="46" t="str">
        <x:v>Diferenciovaná AML/CFT opatření podle rizika (high/low risk customers, geographies, products).</x:v>
      </x:c>
      <x:c r="E14" s="46" t="str">
        <x:v>Pasáž zmiňuje risk-based approach (RBA), diferenciaci opatření podle rizikového profilu.</x:v>
      </x:c>
      <x:c r="F14" s="46" t="str">
        <x:v>Obecné risk management bez vazby na AML.</x:v>
      </x:c>
    </x:row>
    <x:row r="15" ht="86" customHeight="1">
      <x:c r="A15" s="46" t="str">
        <x:v>KYC.TIER</x:v>
      </x:c>
      <x:c r="B15" s="46" t="str">
        <x:v>KYC</x:v>
      </x:c>
      <x:c r="C15" s="46" t="str">
        <x:v>Tiered KYC (SDD, EDD, exemptions)</x:v>
      </x:c>
      <x:c r="D15" s="46" t="str">
        <x:v>Vícestupňový KYC — různé úrovně due diligence podle typu wallet/limitů; simplified DD pro low-value, enhanced DD pro high-risk, exemption pro offline/cash-like.</x:v>
      </x:c>
      <x:c r="E15" s="46" t="str">
        <x:v>Pasáž popisuje různé úrovně KYC podle wallet typu, limitu nebo rizika.</x:v>
      </x:c>
      <x:c r="F15" s="46" t="str">
        <x:v>Pouze jednoúrovňový KYC bez diferenciace.</x:v>
      </x:c>
    </x:row>
    <x:row r="16" ht="86" customHeight="1">
      <x:c r="A16" s="46" t="str">
        <x:v>KYC.IDV</x:v>
      </x:c>
      <x:c r="B16" s="46" t="str">
        <x:v>KYC</x:v>
      </x:c>
      <x:c r="C16" s="46" t="str">
        <x:v>Identity verification (onboarding)</x:v>
      </x:c>
      <x:c r="D16" s="46" t="str">
        <x:v>Mechanismy ověření totožnosti při onboardingu — eKYC, video ID, biometrie, government ID.</x:v>
      </x:c>
      <x:c r="E16" s="46" t="str">
        <x:v>Pasáž popisuje, jak se uživatel identifikuje při založení CBDC wallet/účtu.</x:v>
      </x:c>
      <x:c r="F16" s="46" t="str">
        <x:v>Authentication během transakcí bez vazby na onboarding.</x:v>
      </x:c>
    </x:row>
    <x:row r="17" ht="86" customHeight="1">
      <x:c r="A17" s="46" t="str">
        <x:v>KYC.INTERMED</x:v>
      </x:c>
      <x:c r="B17" s="46" t="str">
        <x:v>KYC</x:v>
      </x:c>
      <x:c r="C17" s="46" t="str">
        <x:v>Role intermediářů (PSPs, banky)</x:v>
      </x:c>
      <x:c r="D17" s="46" t="str">
        <x:v>Role autorizovaných zprostředkovatelů (banky, PSPs) při KYC vs. role centrální banky — typicky two-tier / indirect distribution model.</x:v>
      </x:c>
      <x:c r="E17" s="46" t="str">
        <x:v>Pasáž popisuje, kdo provádí KYC (intermediář vs. centrální banka), distribution model.</x:v>
      </x:c>
      <x:c r="F17" s="46" t="str">
        <x:v>Obecná zmínka 'banks' bez vazby na KYC roli.</x:v>
      </x:c>
    </x:row>
    <x:row r="18" ht="86" customHeight="1">
      <x:c r="A18" s="46" t="str">
        <x:v>TECH.DLT</x:v>
      </x:c>
      <x:c r="B18" s="46" t="str">
        <x:v>TECH</x:v>
      </x:c>
      <x:c r="C18" s="46" t="str">
        <x:v>DLT vs. centralizovaný ledger</x:v>
      </x:c>
      <x:c r="D18" s="46" t="str">
        <x:v>Volba mezi distributed ledger technology (blockchain, DLT) a centralizovaným systémem.</x:v>
      </x:c>
      <x:c r="E18" s="46" t="str">
        <x:v>Pasáž explicitně diskutuje volbu DLT/blockchain vs. centrální databáze nebo uvádí zvolenou ledger architekturu pro vlastní CBDC.</x:v>
      </x:c>
      <x:c r="F18" s="46" t="str">
        <x:v>Token/account reprezentace bez explicitního tvrzení o distribuci ledgeru nebo DLT/blockchain architektuře.</x:v>
      </x:c>
    </x:row>
    <x:row r="19" ht="86" customHeight="1">
      <x:c r="A19" s="46" t="str">
        <x:v>TECH.TOKEN.decided_yes</x:v>
      </x:c>
      <x:c r="B19" s="46" t="str">
        <x:v>TECH</x:v>
      </x:c>
      <x:c r="C19" s="46" t="str">
        <x:v>Token architektura — rozhodnuto ANO</x:v>
      </x:c>
      <x:c r="D19" s="46" t="str">
        <x:v>Dokument ROZHODUJE pro token-based (bearer) architekturu; nikoli pouhé zvažování.</x:v>
      </x:c>
      <x:c r="E19" s="46" t="str">
        <x:v>Emitent explicitně volí token-based, bearer nebo value-based reprezentaci.</x:v>
      </x:c>
      <x:c r="F19" s="46" t="str">
        <x:v>Zmínka o DLT, blockchainu nebo kryptografických tokenech bez rozhodnutí token-versus-account.</x:v>
      </x:c>
    </x:row>
    <x:row r="20" ht="86" customHeight="1">
      <x:c r="A20" s="46" t="str">
        <x:v>TECH.TOKEN.decided_no</x:v>
      </x:c>
      <x:c r="B20" s="46" t="str">
        <x:v>TECH</x:v>
      </x:c>
      <x:c r="C20" s="46" t="str">
        <x:v>Token architektura — rozhodnuto NE</x:v>
      </x:c>
      <x:c r="D20" s="46" t="str">
        <x:v>Dokument ROZHODUJE proti token-based (tj. account-based); nikoli pouhé zvažování.</x:v>
      </x:c>
      <x:c r="E20" s="46" t="str">
        <x:v>Emitent explicitně odmítá token-based reprezentaci nebo volí account-based reprezentaci.</x:v>
      </x:c>
      <x:c r="F20" s="46" t="str">
        <x:v>Zmínka o centralizovaném ledgeru bez explicitního rozhodnutí token-versus-account.</x:v>
      </x:c>
    </x:row>
    <x:row r="21" ht="86" customHeight="1">
      <x:c r="A21" s="46" t="str">
        <x:v>TECH.TOKEN.considered</x:v>
      </x:c>
      <x:c r="B21" s="46" t="str">
        <x:v>TECH</x:v>
      </x:c>
      <x:c r="C21" s="46" t="str">
        <x:v>Token vs. account — zvažováno</x:v>
      </x:c>
      <x:c r="D21" s="46" t="str">
        <x:v>Architektura token/account diskutována či testována bez rozhodnutí.</x:v>
      </x:c>
      <x:c r="E21" s="46" t="str">
        <x:v>Token-versus-account reprezentace je porovnávána, diskutována nebo testována bez konečného rozhodnutí.</x:v>
      </x:c>
      <x:c r="F21" s="46" t="str">
        <x:v>DLT/blockchain je diskutován bez vazby na token-versus-account reprezentaci.</x:v>
      </x:c>
    </x:row>
    <x:row r="22" ht="86" customHeight="1">
      <x:c r="A22" s="46" t="str">
        <x:v>PROG.remuneration_yes</x:v>
      </x:c>
      <x:c r="B22" s="46" t="str">
        <x:v>PROG</x:v>
      </x:c>
      <x:c r="C22" s="46" t="str">
        <x:v>Úročení — závazek ano</x:v>
      </x:c>
      <x:c r="D22" s="46" t="str">
        <x:v>Explicitní závazek CBDC úročit.</x:v>
      </x:c>
      <x:c r="E22" s="46" t="str"/>
      <x:c r="F22" s="46" t="str"/>
    </x:row>
    <x:row r="23" ht="86" customHeight="1">
      <x:c r="A23" s="46" t="str">
        <x:v>PROG.remuneration_no</x:v>
      </x:c>
      <x:c r="B23" s="46" t="str">
        <x:v>PROG</x:v>
      </x:c>
      <x:c r="C23" s="46" t="str">
        <x:v>Úročení — odmítnuto</x:v>
      </x:c>
      <x:c r="D23" s="46" t="str">
        <x:v>Explicitní rozhodnutí neúročit (zero remuneration).</x:v>
      </x:c>
      <x:c r="E23" s="46" t="str"/>
      <x:c r="F23" s="46" t="str"/>
    </x:row>
    <x:row r="24" ht="86" customHeight="1">
      <x:c r="A24" s="46" t="str">
        <x:v>PROG.remuneration_considered</x:v>
      </x:c>
      <x:c r="B24" s="46" t="str">
        <x:v>PROG</x:v>
      </x:c>
      <x:c r="C24" s="46" t="str">
        <x:v>Úročení — zvažováno</x:v>
      </x:c>
      <x:c r="D24" s="46" t="str">
        <x:v>Úročení diskutováno jako možnost, bez závazku.</x:v>
      </x:c>
      <x:c r="E24" s="46" t="str"/>
      <x:c r="F24" s="46" t="str"/>
    </x:row>
    <x:row r="25" ht="86" customHeight="1">
      <x:c r="A25" s="46" t="str">
        <x:v>PROG.restriction</x:v>
      </x:c>
      <x:c r="B25" s="46" t="str">
        <x:v>PROG</x:v>
      </x:c>
      <x:c r="C25" s="46" t="str">
        <x:v>Programová omezení použití</x:v>
      </x:c>
      <x:c r="D25" s="46" t="str">
        <x:v>Programovatelnost jako OMEZENÍ užití prostředků (účel, čas, místo, příjemce) — signál state control.</x:v>
      </x:c>
      <x:c r="E25" s="46" t="str"/>
      <x:c r="F25" s="46" t="str"/>
    </x:row>
    <x:row r="26" ht="86" customHeight="1">
      <x:c r="A26" s="46" t="str">
        <x:v>PROG.generic</x:v>
      </x:c>
      <x:c r="B26" s="46" t="str">
        <x:v>PROG</x:v>
      </x:c>
      <x:c r="C26" s="46" t="str">
        <x:v>Programovatelnost — obecně</x:v>
      </x:c>
      <x:c r="D26" s="46" t="str">
        <x:v>Obecná programovatelnost a pravidla chování CBDC platby bez restrikční povahy; zahrnuje smart contracts, podmíněné platby a autorem zahrnuté consumer-protection flows.</x:v>
      </x:c>
      <x:c r="E26" s="46" t="str">
        <x:v>Pasáž popisuje programovatelné nebo podmíněné payment logic; v této studii také explicitní CBDC pravidla pro potvrzení, storno nebo vrácení platby.</x:v>
      </x:c>
      <x:c r="F26" s="46" t="str">
        <x:v>Pouhá obecná procedura nebo právní ochrana bez vazby na chování CBDC platby.</x:v>
      </x:c>
    </x:row>
    <x:row r="27" ht="86" customHeight="1">
      <x:c r="A27" s="46" t="str">
        <x:v>PROC.pilot_learning</x:v>
      </x:c>
      <x:c r="B27" s="46" t="str">
        <x:v>PROC</x:v>
      </x:c>
      <x:c r="C27" s="46" t="str">
        <x:v>Procesní poznatky z pilotů</x:v>
      </x:c>
      <x:c r="D27" s="46" t="str">
        <x:v>Provozní/testovací poznatky; nevstupuje do měr.</x:v>
      </x:c>
      <x:c r="E27" s="46" t="str">
        <x:v>Empirický provozní nebo technický poznatek z uskutečněného CBDC pilotu či testu.</x:v>
      </x:c>
      <x:c r="F27" s="46" t="str">
        <x:v>Budoucí proces, právní procedura nebo designové pravidlo bez výsledku pilotu.</x:v>
      </x:c>
    </x:row>
    <x:row r="28" ht="86" customHeight="1">
      <x:c r="A28" s="46" t="str">
        <x:v>LEGAL.basis</x:v>
      </x:c>
      <x:c r="B28" s="46" t="str">
        <x:v>LEGAL</x:v>
      </x:c>
      <x:c r="C28" s="46" t="str">
        <x:v>Právní základ</x:v>
      </x:c>
      <x:c r="D28" s="46" t="str">
        <x:v>Legislativní rámec a mandát; nevstupuje do měr.</x:v>
      </x:c>
      <x:c r="E28" s="46" t="str"/>
      <x:c r="F28" s="46" t="str"/>
    </x:row>
    <x:row r="29" ht="86" customHeight="1">
      <x:c r="A29" s="46" t="str">
        <x:v>INST.mandate</x:v>
      </x:c>
      <x:c r="B29" s="46" t="str">
        <x:v>INST</x:v>
      </x:c>
      <x:c r="C29" s="46" t="str">
        <x:v>Institucionální mandát</x:v>
      </x:c>
      <x:c r="D29" s="46" t="str">
        <x:v>Role institucí, governance; nevstupuje do měr.</x:v>
      </x:c>
      <x:c r="E29" s="46" t="str"/>
      <x:c r="F29" s="46" t="str"/>
    </x:row>
    <x:row r="30" ht="86" customHeight="1">
      <x:c r="A30" s="46" t="str">
        <x:v>OTHER.keep</x:v>
      </x:c>
      <x:c r="B30" s="46" t="str">
        <x:v>OTHER</x:v>
      </x:c>
      <x:c r="C30" s="46" t="str">
        <x:v>Validní výrok mimo rodiny</x:v>
      </x:c>
      <x:c r="D30" s="46" t="str">
        <x:v>Design-relevantní výrok mimo rodiny; nevstupuje do měr.</x:v>
      </x:c>
      <x:c r="E30" s="46" t="str"/>
      <x:c r="F30" s="46" t="str"/>
    </x:row>
    <x:row r="31" ht="86" customHeight="1">
      <x:c r="A31" s="46" t="str">
        <x:v>INTEROP.domestic</x:v>
      </x:c>
      <x:c r="B31" s="46" t="str">
        <x:v>INTEROP</x:v>
      </x:c>
      <x:c r="C31" s="46" t="str">
        <x:v>Domestic convertibility &amp; integration</x:v>
      </x:c>
      <x:c r="D31" s="46" t="str">
        <x:v>Domestic convertibility &amp; integration: par with bank money, fund/defund, settlement, wholesale/interbank</x:v>
      </x:c>
      <x:c r="E31" s="46" t="str"/>
      <x:c r="F31" s="46" t="str"/>
    </x:row>
    <x:row r="32" ht="86" customHeight="1">
      <x:c r="A32" s="46" t="str">
        <x:v>INTEROP.crossborder</x:v>
      </x:c>
      <x:c r="B32" s="46" t="str">
        <x:v>INTEROP</x:v>
      </x:c>
      <x:c r="C32" s="46" t="str">
        <x:v>Cross-border</x:v>
      </x:c>
      <x:c r="D32" s="46" t="str">
        <x:v>Cross-border: mCBDC, corridors, remittances, FX</x:v>
      </x:c>
      <x:c r="E32" s="46" t="str"/>
      <x:c r="F32" s="46" t="str"/>
    </x:row>
    <x:row r="33" ht="86" customHeight="1">
      <x:c r="A33" s="46" t="str">
        <x:v>CASH.relation</x:v>
      </x:c>
      <x:c r="B33" s="46" t="str">
        <x:v>CASH</x:v>
      </x:c>
      <x:c r="C33" s="46" t="str">
        <x:v>Relationship to cash</x:v>
      </x:c>
      <x:c r="D33" s="46" t="str">
        <x:v>Relationship to cash: complement/substitute, coexistence, conversion, legal tender</x:v>
      </x:c>
      <x:c r="E33" s="46" t="str"/>
      <x:c r="F33" s="46" t="str"/>
    </x:row>
    <x:row r="34" ht="86" customHeight="1">
      <x:c r="A34" s="46" t="str">
        <x:v>ACCESS.universal</x:v>
      </x:c>
      <x:c r="B34" s="46" t="str">
        <x:v>ACCESS</x:v>
      </x:c>
      <x:c r="C34" s="46" t="str">
        <x:v>Universal access</x:v>
      </x:c>
      <x:c r="D34" s="46" t="str">
        <x:v>Universal access: no-account users, disabilities, rural, offline as reach</x:v>
      </x:c>
      <x:c r="E34" s="46" t="str"/>
      <x:c r="F34" s="46" t="str"/>
    </x:row>
    <x:row r="35" ht="86" customHeight="1">
      <x:c r="A35" s="46" t="str">
        <x:v>STAB.disintermediation</x:v>
      </x:c>
      <x:c r="B35" s="46" t="str">
        <x:v>STAB</x:v>
      </x:c>
      <x:c r="C35" s="46" t="str">
        <x:v>Financial stability</x:v>
      </x:c>
      <x:c r="D35" s="46" t="str">
        <x:v>Financial stability: deposits, balance sheets, lending</x:v>
      </x:c>
      <x:c r="E35" s="46" t="str"/>
      <x:c r="F35" s="46" t="str"/>
    </x:row>
    <x:row r="36" ht="86" customHeight="1">
      <x:c r="A36" s="46" t="str">
        <x:v>OPS.resilience</x:v>
      </x:c>
      <x:c r="B36" s="46" t="str">
        <x:v>OPS</x:v>
      </x:c>
      <x:c r="C36" s="46" t="str">
        <x:v>Operational resilience</x:v>
      </x:c>
      <x:c r="D36" s="46" t="str">
        <x:v>Operational resilience: cyber, continuity, fraud, availability</x:v>
      </x:c>
      <x:c r="E36" s="46" t="str"/>
      <x:c r="F36" s="46" t="str"/>
    </x:row>
    <x:row r="37" ht="86" customHeight="1">
      <x:c r="A37" s="46" t="str">
        <x:v>ADOPT.experience</x:v>
      </x:c>
      <x:c r="B37" s="46" t="str">
        <x:v>ADOPT</x:v>
      </x:c>
      <x:c r="C37" s="46" t="str">
        <x:v>Adoption &amp; UX</x:v>
      </x:c>
      <x:c r="D37" s="46" t="str">
        <x:v>Adoption &amp; UX: convenience, merchants, fees, incentives, use cases</x:v>
      </x:c>
      <x:c r="E37" s="46" t="str"/>
      <x:c r="F37" s="46" t="str"/>
    </x:row>
    <x:row r="38" ht="86" customHeight="1">
      <x:c r="A38" s="46" t="str">
        <x:v>SYS.design</x:v>
      </x:c>
      <x:c r="B38" s="46" t="str">
        <x:v>SYS</x:v>
      </x:c>
      <x:c r="C38" s="46" t="str">
        <x:v>Core system design &amp; operating model</x:v>
      </x:c>
      <x:c r="D38" s="46" t="str">
        <x:v>Core system design &amp; operating model: issuance, operator roles, components, wallet parameters</x:v>
      </x:c>
      <x:c r="E38" s="46" t="str"/>
      <x:c r="F38" s="46" t="str"/>
    </x:row>
  </x:sheetData>
  <x:mergeCells>
    <x:mergeCell ref="A1:F1"/>
    <x:mergeCell ref="A2:F2"/>
  </x:mergeCells>
  <x:pageMargins left="0.7" right="0.7" top="0.75" bottom="0.75" header="0.3" footer="0.3"/>
  <x:tableParts count="1">
    <x:tablePart xmlns:r="http://schemas.openxmlformats.org/officeDocument/2006/relationships" r:id="R3e85b0fca68a49e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31" hidden="0" customWidth="1"/>
    <x:col min="2" max="2" width="16" hidden="0" customWidth="1"/>
    <x:col min="3" max="3" width="16" hidden="0" customWidth="1"/>
    <x:col min="4" max="4" width="16" hidden="0" customWidth="1"/>
  </x:cols>
  <x:sheetData>
    <x:row r="1" ht="30" customHeight="1">
      <x:c r="A1" s="3" t="str">
        <x:v>QC Summary — Martin</x:v>
      </x:c>
      <x:c r="B1" s="3"/>
      <x:c r="C1" s="3"/>
      <x:c r="D1" s="3"/>
    </x:row>
    <x:row r="2" ht="34" customHeight="1">
      <x:c r="A2" s="7" t="str">
        <x:v>Odevzdej až po odstranění všech pending/incomplete stavů a vyřešení needs_context.</x:v>
      </x:c>
      <x:c r="B2" s="7"/>
      <x:c r="C2" s="7"/>
      <x:c r="D2" s="7"/>
    </x:row>
    <x:row r="3">
      <x:c r="A3" s="13" t="str">
        <x:v>Metric</x:v>
      </x:c>
      <x:c r="B3" s="13" t="str">
        <x:v>Current</x:v>
      </x:c>
      <x:c r="C3" s="13" t="str">
        <x:v>Reference</x:v>
      </x:c>
      <x:c r="D3" s="13" t="str">
        <x:v>Value</x:v>
      </x:c>
    </x:row>
    <x:row r="4">
      <x:c r="A4" s="57" t="str">
        <x:v>Candidate total</x:v>
      </x:c>
      <x:c r="B4" s="60" t="n">
        <x:f>COUNTA('Candidate Review'!$A$4:$A$368)</x:f>
        <x:v>365</x:v>
      </x:c>
      <x:c r="C4" s="59" t="str">
        <x:v>Expected</x:v>
      </x:c>
      <x:c r="D4" s="59" t="n">
        <x:v>365</x:v>
      </x:c>
    </x:row>
    <x:row r="5">
      <x:c r="A5" s="57" t="str">
        <x:v>Candidate complete</x:v>
      </x:c>
      <x:c r="B5" s="60" t="n">
        <x:f>COUNTIF('Candidate Review'!$AB$4:$AB$368,"COMPLETE")</x:f>
        <x:v>0</x:v>
      </x:c>
      <x:c r="C5" s="59" t="str">
        <x:v>Target</x:v>
      </x:c>
      <x:c r="D5" s="59" t="n">
        <x:v>365</x:v>
      </x:c>
    </x:row>
    <x:row r="6">
      <x:c r="A6" s="57" t="str">
        <x:v>Candidate pending</x:v>
      </x:c>
      <x:c r="B6" s="60" t="n">
        <x:f>COUNTIF('Candidate Review'!$AB$4:$AB$368,"PENDING")</x:f>
        <x:v>365</x:v>
      </x:c>
      <x:c r="C6" s="59" t="str">
        <x:v>Target</x:v>
      </x:c>
      <x:c r="D6" s="59" t="n">
        <x:v>0</x:v>
      </x:c>
    </x:row>
    <x:row r="7">
      <x:c r="A7" s="57" t="str">
        <x:v>Candidate incomplete</x:v>
      </x:c>
      <x:c r="B7" s="60" t="n">
        <x:f>COUNTIF('Candidate Review'!$AB$4:$AB$368,"INCOMPLETE*")+COUNTIF('Candidate Review'!$AB$4:$AB$368,"SET_INITIALS")</x:f>
        <x:v>0</x:v>
      </x:c>
      <x:c r="C7" s="59" t="str">
        <x:v>Target</x:v>
      </x:c>
      <x:c r="D7" s="59" t="n">
        <x:v>0</x:v>
      </x:c>
    </x:row>
    <x:row r="8">
      <x:c r="A8" s="57" t="str">
        <x:v>Candidate needs context</x:v>
      </x:c>
      <x:c r="B8" s="60" t="n">
        <x:f>COUNTIF('Candidate Review'!$AB$4:$AB$368,"NEEDS_CONTEXT")</x:f>
        <x:v>0</x:v>
      </x:c>
      <x:c r="C8" s="59" t="str">
        <x:v>Target</x:v>
      </x:c>
      <x:c r="D8" s="59" t="n">
        <x:v>0</x:v>
      </x:c>
    </x:row>
    <x:row r="9">
      <x:c r="A9" s="57" t="str"/>
      <x:c r="B9" s="60" t="str"/>
      <x:c r="C9" s="59" t="str"/>
      <x:c r="D9" s="59" t="str"/>
    </x:row>
    <x:row r="10">
      <x:c r="A10" s="57" t="str">
        <x:v>Dual-empty total</x:v>
      </x:c>
      <x:c r="B10" s="60" t="n">
        <x:f>COUNTA('Dual Empty Audit'!$A$4:$A$39)</x:f>
        <x:v>36</x:v>
      </x:c>
      <x:c r="C10" s="59" t="str">
        <x:v>Expected</x:v>
      </x:c>
      <x:c r="D10" s="59" t="n">
        <x:v>36</x:v>
      </x:c>
    </x:row>
    <x:row r="11">
      <x:c r="A11" s="57" t="str">
        <x:v>Dual-empty complete</x:v>
      </x:c>
      <x:c r="B11" s="60" t="n">
        <x:f>COUNTIF('Dual Empty Audit'!$O$4:$O$39,"COMPLETE")</x:f>
        <x:v>0</x:v>
      </x:c>
      <x:c r="C11" s="59" t="str">
        <x:v>Target</x:v>
      </x:c>
      <x:c r="D11" s="59" t="n">
        <x:v>36</x:v>
      </x:c>
    </x:row>
    <x:row r="12">
      <x:c r="A12" s="57" t="str">
        <x:v>Dual-empty pending</x:v>
      </x:c>
      <x:c r="B12" s="60" t="n">
        <x:f>COUNTIF('Dual Empty Audit'!$O$4:$O$39,"PENDING")</x:f>
        <x:v>36</x:v>
      </x:c>
      <x:c r="C12" s="59" t="str">
        <x:v>Target</x:v>
      </x:c>
      <x:c r="D12" s="59" t="n">
        <x:v>0</x:v>
      </x:c>
    </x:row>
    <x:row r="13">
      <x:c r="A13" s="57" t="str">
        <x:v>Dual-empty incomplete</x:v>
      </x:c>
      <x:c r="B13" s="60" t="n">
        <x:f>COUNTIF('Dual Empty Audit'!$O$4:$O$39,"MISSING_SUPPLEMENT")+COUNTIF('Dual Empty Audit'!$O$4:$O$39,"SET_INITIALS")</x:f>
        <x:v>0</x:v>
      </x:c>
      <x:c r="C13" s="59" t="str">
        <x:v>Target</x:v>
      </x:c>
      <x:c r="D13" s="59" t="n">
        <x:v>0</x:v>
      </x:c>
    </x:row>
    <x:row r="14">
      <x:c r="A14" s="57" t="str">
        <x:v>Dual-empty needs context</x:v>
      </x:c>
      <x:c r="B14" s="60" t="n">
        <x:f>COUNTIF('Dual Empty Audit'!$O$4:$O$39,"NEEDS_CONTEXT")</x:f>
        <x:v>0</x:v>
      </x:c>
      <x:c r="C14" s="59" t="str">
        <x:v>Target</x:v>
      </x:c>
      <x:c r="D14" s="59" t="n">
        <x:v>0</x:v>
      </x:c>
    </x:row>
    <x:row r="15">
      <x:c r="A15" s="57" t="str">
        <x:v>Supplements used</x:v>
      </x:c>
      <x:c r="B15" s="60" t="n">
        <x:f>COUNTIF('Empty Supplements'!$M$4:$M$183,"&lt;&gt;UNUSED")</x:f>
        <x:v>0</x:v>
      </x:c>
      <x:c r="C15" s="59" t="str">
        <x:v>Information</x:v>
      </x:c>
      <x:c r="D15" s="59" t="str"/>
    </x:row>
    <x:row r="16">
      <x:c r="A16" s="57" t="str">
        <x:v>Supplements incomplete</x:v>
      </x:c>
      <x:c r="B16" s="60" t="n">
        <x:f>COUNTIF('Empty Supplements'!$M$4:$M$183,"INCOMPLETE")+COUNTIF('Empty Supplements'!$M$4:$M$183,"SET_INITIALS")</x:f>
        <x:v>0</x:v>
      </x:c>
      <x:c r="C16" s="59" t="str">
        <x:v>Target</x:v>
      </x:c>
      <x:c r="D16" s="59" t="n">
        <x:v>0</x:v>
      </x:c>
    </x:row>
  </x:sheetData>
  <x:mergeCells>
    <x:mergeCell ref="A1:D1"/>
    <x:mergeCell ref="A2:D2"/>
  </x:mergeCells>
  <x:conditionalFormatting sqref="B4:B5">
    <x:cfRule type="expression" dxfId="18" priority="1">
      <x:formula>B4=$D4</x:formula>
    </x:cfRule>
    <x:cfRule type="expression" dxfId="19" priority="2">
      <x:formula>B4&lt;&gt;$D4</x:formula>
    </x:cfRule>
  </x:conditionalFormatting>
  <x:conditionalFormatting sqref="B10:B11">
    <x:cfRule type="expression" dxfId="20" priority="3">
      <x:formula>B10=$D10</x:formula>
    </x:cfRule>
    <x:cfRule type="expression" dxfId="21" priority="4">
      <x:formula>B10&lt;&gt;$D10</x:formula>
    </x:cfRule>
  </x:conditionalFormatting>
  <x:conditionalFormatting sqref="B6:B8">
    <x:cfRule type="expression" dxfId="22" priority="5">
      <x:formula>B6=0</x:formula>
    </x:cfRule>
    <x:cfRule type="expression" dxfId="23" priority="6">
      <x:formula>B6&lt;&gt;0</x:formula>
    </x:cfRule>
  </x:conditionalFormatting>
  <x:conditionalFormatting sqref="B12:B14">
    <x:cfRule type="expression" dxfId="24" priority="7">
      <x:formula>B12=0</x:formula>
    </x:cfRule>
    <x:cfRule type="expression" dxfId="25" priority="8">
      <x:formula>B12&lt;&gt;0</x:formula>
    </x:cfRule>
  </x:conditionalFormatting>
  <x:conditionalFormatting sqref="B16:B16">
    <x:cfRule type="expression" dxfId="26" priority="9">
      <x:formula>B16=0</x:formula>
    </x:cfRule>
    <x:cfRule type="expression" dxfId="27" priority="10">
      <x:formula>B16&lt;&gt;0</x:formula>
    </x:cfRule>
  </x:conditionalFormatting>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2" hidden="0" customWidth="1"/>
    <x:col min="2" max="2" width="37" hidden="0" customWidth="1"/>
    <x:col min="3" max="3" width="17" hidden="0" customWidth="1"/>
    <x:col min="4" max="4" width="19" hidden="0" customWidth="1"/>
    <x:col min="5" max="5" width="21" hidden="0" customWidth="1"/>
    <x:col min="6" max="6" width="12" hidden="0" customWidth="1"/>
    <x:col min="7" max="7" width="14" hidden="0" customWidth="1"/>
    <x:col min="8" max="8" width="16" hidden="0" customWidth="1"/>
  </x:cols>
  <x:sheetData>
    <x:row r="1">
      <x:c r="A1" s="13" t="str">
        <x:v>inclusion_decision</x:v>
      </x:c>
      <x:c r="B1" s="13" t="str">
        <x:v>exclusion_reason</x:v>
      </x:c>
      <x:c r="C1" s="13" t="str">
        <x:v>odr</x:v>
      </x:c>
      <x:c r="D1" s="13" t="str">
        <x:v>privacy_direction</x:v>
      </x:c>
      <x:c r="E1" s="13" t="str">
        <x:v>privacy_relation</x:v>
      </x:c>
      <x:c r="F1" s="13" t="str">
        <x:v>strength</x:v>
      </x:c>
      <x:c r="G1" s="13" t="str">
        <x:v>confidence</x:v>
      </x:c>
      <x:c r="H1" s="13" t="str">
        <x:v>missed_claims</x:v>
      </x:c>
    </x:row>
    <x:row r="2">
      <x:c r="A2" s="50" t="str">
        <x:v>keep</x:v>
      </x:c>
      <x:c r="B2" s="50" t="str">
        <x:v>foreign_or_cited_research</x:v>
      </x:c>
      <x:c r="C2" s="50" t="str">
        <x:v>decision</x:v>
      </x:c>
      <x:c r="D2" s="50" t="str">
        <x:v>increases</x:v>
      </x:c>
      <x:c r="E2" s="50" t="str">
        <x:v>from_state</x:v>
      </x:c>
      <x:c r="F2" s="50" t="n">
        <x:v>1</x:v>
      </x:c>
      <x:c r="G2" s="50" t="str">
        <x:v>high</x:v>
      </x:c>
      <x:c r="H2" s="50" t="str">
        <x:v>yes</x:v>
      </x:c>
    </x:row>
    <x:row r="3">
      <x:c r="A3" s="50" t="str">
        <x:v>exclude</x:v>
      </x:c>
      <x:c r="B3" s="50" t="str">
        <x:v>generic_context</x:v>
      </x:c>
      <x:c r="C3" s="50" t="str">
        <x:v>proposal</x:v>
      </x:c>
      <x:c r="D3" s="50" t="str">
        <x:v>decreases</x:v>
      </x:c>
      <x:c r="E3" s="50" t="str">
        <x:v>from_intermediary</x:v>
      </x:c>
      <x:c r="F3" s="50" t="n">
        <x:v>2</x:v>
      </x:c>
      <x:c r="G3" s="50" t="str">
        <x:v>medium</x:v>
      </x:c>
      <x:c r="H3" s="50" t="str">
        <x:v>no</x:v>
      </x:c>
    </x:row>
    <x:row r="4">
      <x:c r="A4" s="50" t="str">
        <x:v>needs_context</x:v>
      </x:c>
      <x:c r="B4" s="50" t="str">
        <x:v>future_research_or_open_question</x:v>
      </x:c>
      <x:c r="C4" s="50" t="str">
        <x:v>finding</x:v>
      </x:c>
      <x:c r="D4" s="50" t="str">
        <x:v>conditional</x:v>
      </x:c>
      <x:c r="E4" s="50" t="str">
        <x:v>from_counterparty</x:v>
      </x:c>
      <x:c r="F4" s="50" t="n">
        <x:v>3</x:v>
      </x:c>
      <x:c r="G4" s="50" t="str">
        <x:v>low</x:v>
      </x:c>
      <x:c r="H4" s="50" t="str">
        <x:v>unclear</x:v>
      </x:c>
    </x:row>
    <x:row r="5">
      <x:c r="A5" s="50" t="str"/>
      <x:c r="B5" s="50" t="str">
        <x:v>stakeholder_or_consultant_not_adopted</x:v>
      </x:c>
      <x:c r="C5" s="50" t="str"/>
      <x:c r="D5" s="50" t="str">
        <x:v>neutral</x:v>
      </x:c>
      <x:c r="E5" s="50" t="str">
        <x:v>not_applicable</x:v>
      </x:c>
      <x:c r="F5" s="50" t="str"/>
      <x:c r="G5" s="50" t="str"/>
      <x:c r="H5" s="50" t="str"/>
    </x:row>
    <x:row r="6">
      <x:c r="A6" s="50" t="str"/>
      <x:c r="B6" s="50" t="str">
        <x:v>glossary_heading_or_list</x:v>
      </x:c>
      <x:c r="C6" s="50" t="str"/>
      <x:c r="D6" s="50" t="str"/>
      <x:c r="E6" s="50" t="str"/>
      <x:c r="F6" s="50" t="str"/>
      <x:c r="G6" s="50" t="str"/>
      <x:c r="H6" s="50" t="str"/>
    </x:row>
    <x:row r="7">
      <x:c r="A7" s="50" t="str"/>
      <x:c r="B7" s="50" t="str">
        <x:v>incomplete_fragment_or_ocr</x:v>
      </x:c>
      <x:c r="C7" s="50" t="str"/>
      <x:c r="D7" s="50" t="str"/>
      <x:c r="E7" s="50" t="str"/>
      <x:c r="F7" s="50" t="str"/>
      <x:c r="G7" s="50" t="str"/>
      <x:c r="H7" s="50" t="str"/>
    </x:row>
    <x:row r="8">
      <x:c r="A8" s="50" t="str"/>
      <x:c r="B8" s="50" t="str">
        <x:v>non_cbdc_or_off_scope</x:v>
      </x:c>
      <x:c r="C8" s="50" t="str"/>
      <x:c r="D8" s="50" t="str"/>
      <x:c r="E8" s="50" t="str"/>
      <x:c r="F8" s="50" t="str"/>
      <x:c r="G8" s="50" t="str"/>
      <x:c r="H8" s="50" t="str"/>
    </x:row>
    <x:row r="9">
      <x:c r="A9" s="50" t="str"/>
      <x:c r="B9" s="50" t="str">
        <x:v>duplicate_candidate</x:v>
      </x:c>
      <x:c r="C9" s="50" t="str"/>
      <x:c r="D9" s="50" t="str"/>
      <x:c r="E9" s="50" t="str"/>
      <x:c r="F9" s="50" t="str"/>
      <x:c r="G9" s="50" t="str"/>
      <x:c r="H9" s="50" t="str"/>
    </x:row>
    <x:row r="10">
      <x:c r="A10" s="50" t="str"/>
      <x:c r="B10" s="50" t="str">
        <x:v>other</x:v>
      </x:c>
      <x:c r="C10" s="50" t="str"/>
      <x:c r="D10" s="50" t="str"/>
      <x:c r="E10" s="50" t="str"/>
      <x:c r="F10" s="50" t="str"/>
      <x:c r="G10" s="50" t="str"/>
      <x:c r="H10" s="50" t="str"/>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31" hidden="0" customWidth="1"/>
    <x:col min="2" max="2" width="92" hidden="0" customWidth="1"/>
    <x:col min="3" max="3" width="48" hidden="0" customWidth="1"/>
  </x:cols>
  <x:sheetData>
    <x:row r="1" ht="30" customHeight="1">
      <x:c r="A1" s="3" t="str">
        <x:v>Frozen review metadata</x:v>
      </x:c>
      <x:c r="B1" s="3"/>
      <x:c r="C1" s="3"/>
    </x:row>
    <x:row r="3">
      <x:c r="A3" s="13" t="str">
        <x:v>Field</x:v>
      </x:c>
      <x:c r="B3" s="13" t="str">
        <x:v>Value</x:v>
      </x:c>
      <x:c r="C3" s="13" t="str">
        <x:v>Meaning</x:v>
      </x:c>
    </x:row>
    <x:row r="4" ht="42" customHeight="1">
      <x:c r="A4" s="46" t="str">
        <x:v>schema</x:v>
      </x:c>
      <x:c r="B4" s="46" t="str">
        <x:v>cbdc-v10.2e-blind-sampled-validation-workbook-v1</x:v>
      </x:c>
      <x:c r="C4" s="46" t="str">
        <x:v>Workbook payload schema</x:v>
      </x:c>
    </x:row>
    <x:row r="5" ht="42" customHeight="1">
      <x:c r="A5" s="46" t="str">
        <x:v>reviewer</x:v>
      </x:c>
      <x:c r="B5" s="46" t="str">
        <x:v>Martin</x:v>
      </x:c>
      <x:c r="C5" s="46" t="str">
        <x:v>Assigned reviewer</x:v>
      </x:c>
    </x:row>
    <x:row r="6" ht="42" customHeight="1">
      <x:c r="A6" s="46" t="str">
        <x:v>created_utc</x:v>
      </x:c>
      <x:c r="B6" s="46" t="n">
        <x:v>46259</x:v>
      </x:c>
      <x:c r="C6" s="46" t="str">
        <x:v>Protocol freeze date (normalized)</x:v>
      </x:c>
    </x:row>
    <x:row r="7" ht="42" customHeight="1">
      <x:c r="A7" s="46" t="str">
        <x:v>seed</x:v>
      </x:c>
      <x:c r="B7" s="46" t="str">
        <x:v>cbdc-v10.2e-sampled-validation-20260825-v1</x:v>
      </x:c>
      <x:c r="C7" s="46" t="str">
        <x:v>Deterministic allocation/sample seed</x:v>
      </x:c>
    </x:row>
    <x:row r="8" ht="42" customHeight="1">
      <x:c r="A8" s="46" t="str">
        <x:v>blinding</x:v>
      </x:c>
      <x:c r="B8" s="46" t="str">
        <x:v>provider identity, provider code, origin type, and sampling stratum absent</x:v>
      </x:c>
      <x:c r="C8" s="46" t="str">
        <x:v>Fields excluded from coder view</x:v>
      </x:c>
    </x:row>
    <x:row r="9" ht="42" customHeight="1">
      <x:c r="A9" s="46" t="str">
        <x:v>candidate_rows</x:v>
      </x:c>
      <x:c r="B9" s="46" t="n">
        <x:v>365</x:v>
      </x:c>
      <x:c r="C9" s="46" t="str">
        <x:v>Rows assigned to this reviewer</x:v>
      </x:c>
    </x:row>
    <x:row r="10" ht="42" customHeight="1">
      <x:c r="A10" s="46" t="str">
        <x:v>dual_empty_rows</x:v>
      </x:c>
      <x:c r="B10" s="46" t="n">
        <x:v>36</x:v>
      </x:c>
      <x:c r="C10" s="46" t="str">
        <x:v>Common independently reviewed sample</x:v>
      </x:c>
    </x:row>
    <x:row r="11" ht="42" customHeight="1">
      <x:c r="A11" s="46" t="str">
        <x:v>supplement_slots_per_unit</x:v>
      </x:c>
      <x:c r="B11" s="46" t="n">
        <x:v>5</x:v>
      </x:c>
      <x:c r="C11" s="46" t="str">
        <x:v>Maximum preallocated slots</x:v>
      </x:c>
    </x:row>
    <x:row r="12" ht="42" customHeight="1">
      <x:c r="A12" s="46" t="str">
        <x:v>population_candidates</x:v>
      </x:c>
      <x:c r="B12" s="46" t="n">
        <x:v>6949</x:v>
      </x:c>
      <x:c r="C12" s="46" t="str">
        <x:v>Deduplicated production candidate union</x:v>
      </x:c>
    </x:row>
    <x:row r="13" ht="42" customHeight="1">
      <x:c r="A13" s="46" t="str">
        <x:v>sample_candidates</x:v>
      </x:c>
      <x:c r="B13" s="46" t="n">
        <x:v>365</x:v>
      </x:c>
      <x:c r="C13" s="46" t="str">
        <x:v>Common probability sample coded by both reviewers</x:v>
      </x:c>
    </x:row>
    <x:row r="14" ht="42" customHeight="1">
      <x:c r="A14" s="46" t="str">
        <x:v>sample_fraction</x:v>
      </x:c>
      <x:c r="B14" s="61" t="n">
        <x:v>0.05252554324363218</x:v>
      </x:c>
      <x:c r="C14" s="46" t="str">
        <x:v>Sample / candidate population</x:v>
      </x:c>
    </x:row>
    <x:row r="15" ht="42" customHeight="1">
      <x:c r="A15" s="46" t="str">
        <x:v>confidence_level</x:v>
      </x:c>
      <x:c r="B15" s="61" t="n">
        <x:v>0.95</x:v>
      </x:c>
      <x:c r="C15" s="46" t="str">
        <x:v>Design confidence level</x:v>
      </x:c>
    </x:row>
    <x:row r="16" ht="42" customHeight="1">
      <x:c r="A16" s="46" t="str">
        <x:v>target_margin</x:v>
      </x:c>
      <x:c r="B16" s="61" t="n">
        <x:v>0.05</x:v>
      </x:c>
      <x:c r="C16" s="46" t="str">
        <x:v>Worst-case target half-width</x:v>
      </x:c>
    </x:row>
    <x:row r="17" ht="42" customHeight="1">
      <x:c r="A17" s="46" t="str">
        <x:v>achieved_worst_case_margin</x:v>
      </x:c>
      <x:c r="B17" s="61" t="n">
        <x:v>0.049933803705367555</x:v>
      </x:c>
      <x:c r="C17" s="46" t="str">
        <x:v>Finite-population corrected half-width at p=0.5</x:v>
      </x:c>
    </x:row>
    <x:row r="18" ht="42" customHeight="1">
      <x:c r="A18" s="46" t="str">
        <x:v>sampled_documents</x:v>
      </x:c>
      <x:c r="B18" s="46" t="n">
        <x:v>78</x:v>
      </x:c>
      <x:c r="C18" s="46" t="str">
        <x:v>Documents represented in sample</x:v>
      </x:c>
    </x:row>
    <x:row r="19" ht="42" customHeight="1">
      <x:c r="A19" s="46" t="str">
        <x:v>dual_empty_eligible</x:v>
      </x:c>
      <x:c r="B19" s="46" t="n">
        <x:v>359</x:v>
      </x:c>
      <x:c r="C19" s="46" t="str">
        <x:v>Separate dual-empty sampling frame</x:v>
      </x:c>
    </x:row>
    <x:row r="20" ht="42" customHeight="1">
      <x:c r="A20" s="46" t="str">
        <x:v>dual_empty_sample</x:v>
      </x:c>
      <x:c r="B20" s="46" t="n">
        <x:v>36</x:v>
      </x:c>
      <x:c r="C20" s="46" t="str">
        <x:v>Common dual-empty sample</x:v>
      </x:c>
    </x:row>
    <x:row r="21" ht="42" customHeight="1">
      <x:c r="A21" s="46" t="str">
        <x:v>payload_sha256</x:v>
      </x:c>
      <x:c r="B21" s="46" t="str">
        <x:v>2a53ba9a1967569f48ebc7aa66932872315aef94cd3b0f1fa464c5a1b2b28b29</x:v>
      </x:c>
      <x:c r="C21" s="46" t="str">
        <x:v>Blind payload hash</x:v>
      </x:c>
    </x:row>
    <x:row r="22" ht="42" customHeight="1">
      <x:c r="A22" s="46" t="str">
        <x:v>selection_rule</x:v>
      </x:c>
      <x:c r="B22" s="46" t="str">
        <x:v>SHA-256 rank without replacement within language × provider-origin stratum</x:v>
      </x:c>
      <x:c r="C22" s="46" t="str">
        <x:v>Frozen probability selection</x:v>
      </x:c>
    </x:row>
    <x:row r="23" ht="42" customHeight="1">
      <x:c r="A23" s="46" t="str">
        <x:v>analysis_weight</x:v>
      </x:c>
      <x:c r="B23" s="46" t="str">
        <x:v>inverse inclusion probability</x:v>
      </x:c>
      <x:c r="C23" s="46" t="str">
        <x:v>Required for population point estimates</x:v>
      </x:c>
    </x:row>
  </x:sheetData>
  <x:mergeCells>
    <x:mergeCell ref="A1:C1"/>
  </x:mergeCells>
  <x:pageMargins left="0.7" right="0.7" top="0.75" bottom="0.75" header="0.3" footer="0.3"/>
</x:worksheet>
</file>