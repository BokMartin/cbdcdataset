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a3b1b214bd248fa" /></Relationships>
</file>

<file path=xl/workbook.xml><?xml version="1.0" encoding="utf-8"?>
<x:workbook xmlns:x="http://schemas.openxmlformats.org/spreadsheetml/2006/main">
  <x:sheets>
    <x:sheet xmlns:r="http://schemas.openxmlformats.org/officeDocument/2006/relationships" name="Status" sheetId="1" r:id="Re2fa444422764805"/>
    <x:sheet xmlns:r="http://schemas.openxmlformats.org/officeDocument/2006/relationships" name="Reliability" sheetId="2" r:id="R6c211ddf6e794c5c"/>
    <x:sheet xmlns:r="http://schemas.openxmlformats.org/officeDocument/2006/relationships" name="Provider Checks" sheetId="3" r:id="R72e3593f1ee549be"/>
    <x:sheet xmlns:r="http://schemas.openxmlformats.org/officeDocument/2006/relationships" name="All Cases" sheetId="4" r:id="R4d9f8384b69c4271"/>
    <x:sheet xmlns:r="http://schemas.openxmlformats.org/officeDocument/2006/relationships" name="Adjudication Queue" sheetId="5" r:id="R64945ecf069a4284"/>
    <x:sheet xmlns:r="http://schemas.openxmlformats.org/officeDocument/2006/relationships" name="Dual Empty" sheetId="6" r:id="R6c60dc0b5b6048bf"/>
    <x:sheet xmlns:r="http://schemas.openxmlformats.org/officeDocument/2006/relationships" name="Supplements" sheetId="7" r:id="Rdcc9701374ab4541"/>
    <x:sheet xmlns:r="http://schemas.openxmlformats.org/officeDocument/2006/relationships" name="Methods" sheetId="8" r:id="R923c0010e7f9437a"/>
    <x:sheet xmlns:r="http://schemas.openxmlformats.org/officeDocument/2006/relationships" name="Lists" sheetId="9" r:id="R161e9516dfd54f6d"/>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0.000"/>
  </x:numFmts>
  <x:fonts count="10">
    <x:font>
      <x:sz val="11"/>
      <x:name val="Carlito"/>
    </x:font>
    <x:font>
      <x:b/>
      <x:sz val="15"/>
      <x:color rgb="FFFFFFFF"/>
      <x:name val="Carlito"/>
    </x:font>
    <x:font>
      <x:b/>
      <x:sz val="11"/>
      <x:color rgb="FF9C0006"/>
      <x:name val="Carlito"/>
    </x:font>
    <x:font>
      <x:b/>
      <x:sz val="11"/>
      <x:color rgb="FFFFFFFF"/>
      <x:name val="Carlito"/>
    </x:font>
    <x:font>
      <x:sz val="10"/>
      <x:color rgb="FF1F2937"/>
      <x:name val="Carlito"/>
    </x:font>
    <x:font>
      <x:b/>
      <x:sz val="10"/>
      <x:color rgb="FF1F2937"/>
      <x:name val="Calibri"/>
    </x:font>
    <x:font>
      <x:sz val="10"/>
      <x:color rgb="FF1F2937"/>
      <x:name val="Calibri"/>
    </x:font>
    <x:font>
      <x:b/>
      <x:sz val="15"/>
      <x:color rgb="FFFFFFFF"/>
      <x:name val="Calibri"/>
    </x:font>
    <x:font>
      <x:b/>
      <x:sz val="11"/>
      <x:color rgb="FF7F6000"/>
      <x:name val="Calibri"/>
    </x:font>
    <x:font>
      <x:b/>
      <x:sz val="11"/>
      <x:color rgb="FF7F6000"/>
      <x:name val="Carlito"/>
    </x:font>
  </x:fonts>
  <x:fills count="9">
    <x:fill>
      <x:patternFill patternType="none"/>
    </x:fill>
    <x:fill>
      <x:patternFill patternType="gray125"/>
    </x:fill>
    <x:fill>
      <x:patternFill patternType="solid">
        <x:fgColor rgb="FF17365D"/>
      </x:patternFill>
    </x:fill>
    <x:fill>
      <x:patternFill patternType="solid">
        <x:fgColor rgb="FFFCE4D6"/>
      </x:patternFill>
    </x:fill>
    <x:fill>
      <x:patternFill patternType="solid">
        <x:fgColor rgb="FF0F6B78"/>
      </x:patternFill>
    </x:fill>
    <x:fill>
      <x:patternFill patternType="solid">
        <x:fgColor rgb="FFD9EAF7"/>
      </x:patternFill>
    </x:fill>
    <x:fill>
      <x:patternFill patternType="solid">
        <x:fgColor rgb="FFFFF2CC"/>
      </x:patternFill>
    </x:fill>
    <x:fill>
      <x:patternFill patternType="solid">
        <x:fgColor rgb="FFF2F2F2"/>
      </x:patternFill>
    </x:fill>
    <x:fill>
      <x:patternFill patternType="solid">
        <x:fgColor rgb="FFFFF2CC"/>
      </x:patternFill>
    </x:fill>
  </x:fills>
  <x:borders count="29">
    <x:border/>
    <x:border>
      <x:left style="medium">
        <x:color rgb="FFC00000"/>
      </x:left>
      <x:top style="medium">
        <x:color rgb="FFC00000"/>
      </x:top>
    </x:border>
    <x:border>
      <x:top style="medium">
        <x:color rgb="FFC00000"/>
      </x:top>
    </x:border>
    <x:border>
      <x:right style="medium">
        <x:color rgb="FFC00000"/>
      </x:right>
      <x:top style="medium">
        <x:color rgb="FFC00000"/>
      </x:top>
    </x:border>
    <x:border>
      <x:left style="medium">
        <x:color rgb="FFC00000"/>
      </x:left>
      <x:bottom style="medium">
        <x:color rgb="FFC00000"/>
      </x:bottom>
    </x:border>
    <x:border>
      <x:bottom style="medium">
        <x:color rgb="FFC00000"/>
      </x:bottom>
    </x:border>
    <x:border>
      <x:right style="medium">
        <x:color rgb="FFC00000"/>
      </x:right>
      <x:bottom style="medium">
        <x:color rgb="FFC00000"/>
      </x:bottom>
    </x:border>
    <x:border>
      <x:left style="thin">
        <x:color rgb="FFB7C9D6"/>
      </x:left>
      <x:right style="thin">
        <x:color rgb="FFB7C9D6"/>
      </x:right>
      <x:top style="thin">
        <x:color rgb="FFB7C9D6"/>
      </x:top>
      <x:bottom style="thin">
        <x:color rgb="FFB7C9D6"/>
      </x:bottom>
    </x:border>
    <x:border>
      <x:bottom style="thin">
        <x:color rgb="FFD9E2F3"/>
      </x:bottom>
    </x:border>
    <x:border>
      <x:top style="thin">
        <x:color rgb="FFD9E2F3"/>
      </x:top>
      <x:bottom style="thin">
        <x:color rgb="FFD9E2F3"/>
      </x:bottom>
    </x:border>
    <x:border>
      <x:top style="thin">
        <x:color rgb="FFD9E2F3"/>
      </x:top>
      <x:bottom style="thin">
        <x:color rgb="FFB7C9D6"/>
      </x:bottom>
    </x:border>
    <x:border>
      <x:left style="thin">
        <x:color rgb="FFB7C9D6"/>
      </x:left>
      <x:top style="thin">
        <x:color rgb="FFB7C9D6"/>
      </x:top>
    </x:border>
    <x:border>
      <x:top style="thin">
        <x:color rgb="FFB7C9D6"/>
      </x:top>
    </x:border>
    <x:border>
      <x:right style="thin">
        <x:color rgb="FFB7C9D6"/>
      </x:right>
      <x:top style="thin">
        <x:color rgb="FFB7C9D6"/>
      </x:top>
    </x:border>
    <x:border>
      <x:left style="thin">
        <x:color rgb="FFB7C9D6"/>
      </x:left>
    </x:border>
    <x:border>
      <x:right style="thin">
        <x:color rgb="FFB7C9D6"/>
      </x:right>
    </x:border>
    <x:border>
      <x:left style="thin">
        <x:color rgb="FFB7C9D6"/>
      </x:left>
      <x:bottom style="thin">
        <x:color rgb="FFB7C9D6"/>
      </x:bottom>
    </x:border>
    <x:border>
      <x:bottom style="thin">
        <x:color rgb="FFB7C9D6"/>
      </x:bottom>
    </x:border>
    <x:border>
      <x:right style="thin">
        <x:color rgb="FFB7C9D6"/>
      </x:right>
      <x:bottom style="thin">
        <x:color rgb="FFB7C9D6"/>
      </x:bottom>
    </x:border>
    <x:border>
      <x:left style="medium">
        <x:color rgb="FFC00000"/>
      </x:left>
    </x:border>
    <x:border>
      <x:right style="medium">
        <x:color rgb="FFC00000"/>
      </x:right>
    </x:border>
    <x:border>
      <x:left style="medium">
        <x:color rgb="FFBF9000"/>
      </x:left>
      <x:top style="medium">
        <x:color rgb="FFBF9000"/>
      </x:top>
    </x:border>
    <x:border>
      <x:top style="medium">
        <x:color rgb="FFBF9000"/>
      </x:top>
    </x:border>
    <x:border>
      <x:right style="medium">
        <x:color rgb="FFBF9000"/>
      </x:right>
      <x:top style="medium">
        <x:color rgb="FFBF9000"/>
      </x:top>
    </x:border>
    <x:border>
      <x:left style="medium">
        <x:color rgb="FFBF9000"/>
      </x:left>
      <x:bottom style="medium">
        <x:color rgb="FFBF9000"/>
      </x:bottom>
    </x:border>
    <x:border>
      <x:bottom style="medium">
        <x:color rgb="FFBF9000"/>
      </x:bottom>
    </x:border>
    <x:border>
      <x:right style="medium">
        <x:color rgb="FFBF9000"/>
      </x:right>
      <x:bottom style="medium">
        <x:color rgb="FFBF9000"/>
      </x:bottom>
    </x:border>
    <x:border>
      <x:left style="medium">
        <x:color rgb="FFBF9000"/>
      </x:left>
    </x:border>
    <x:border>
      <x:right style="medium">
        <x:color rgb="FFBF9000"/>
      </x:right>
    </x:border>
  </x:borders>
  <x:cellStyleXfs count="1">
    <x:xf numFmtId="0" fontId="0" fillId="0" borderId="0"/>
  </x:cellStyleXfs>
  <x:cellXfs count="20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1" xfId="0" applyNumberFormat="1" applyFont="1" applyFill="1" applyBorder="1" applyAlignment="1">
      <x:alignment vertical="center" wrapText="1"/>
    </x:xf>
    <x:xf numFmtId="0" fontId="2" fillId="3" borderId="2" xfId="0" applyNumberFormat="1" applyFont="1" applyFill="1" applyBorder="1" applyAlignment="1">
      <x:alignment vertical="center" wrapText="1"/>
    </x:xf>
    <x:xf numFmtId="0" fontId="2" fillId="3" borderId="3" xfId="0" applyNumberFormat="1" applyFont="1" applyFill="1" applyBorder="1" applyAlignment="1">
      <x:alignment vertical="center" wrapText="1"/>
    </x:xf>
    <x:xf numFmtId="0" fontId="2" fillId="3" borderId="4" xfId="0" applyNumberFormat="1" applyFont="1" applyFill="1" applyBorder="1" applyAlignment="1">
      <x:alignment vertical="center" wrapText="1"/>
    </x:xf>
    <x:xf numFmtId="0" fontId="2" fillId="3" borderId="5" xfId="0" applyNumberFormat="1" applyFont="1" applyFill="1" applyBorder="1" applyAlignment="1">
      <x:alignment vertical="center" wrapText="1"/>
    </x:xf>
    <x:xf numFmtId="0" fontId="2" fillId="3" borderId="6"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7" xfId="0" applyNumberFormat="1" applyFont="1" applyFill="1" applyBorder="1"/>
    <x:xf numFmtId="0" fontId="3" fillId="4" borderId="7" xfId="0" applyNumberFormat="1" applyFont="1" applyFill="1" applyBorder="1" applyAlignment="1">
      <x:alignment wrapText="1"/>
    </x:xf>
    <x:xf numFmtId="0" fontId="3" fillId="4" borderId="7" xfId="0" applyNumberFormat="1" applyFont="1" applyFill="1" applyBorder="1" applyAlignment="1">
      <x:alignment vertical="center" wrapText="1"/>
    </x:xf>
    <x:xf numFmtId="0" fontId="4" fillId="0" borderId="0" xfId="0" applyNumberFormat="1" applyFont="1" applyFill="1" applyBorder="1"/>
    <x:xf numFmtId="0" fontId="4" fillId="0" borderId="8" xfId="0" applyNumberFormat="1" applyFont="1" applyFill="1" applyBorder="1"/>
    <x:xf numFmtId="0" fontId="4" fillId="0" borderId="9" xfId="0" applyNumberFormat="1" applyFont="1" applyFill="1" applyBorder="1"/>
    <x:xf numFmtId="0" fontId="4" fillId="0" borderId="10" xfId="0" applyNumberFormat="1" applyFont="1" applyFill="1" applyBorder="1"/>
    <x:xf numFmtId="0" fontId="4" fillId="0" borderId="8" xfId="0" applyNumberFormat="1" applyFont="1" applyFill="1" applyBorder="1" applyAlignment="1">
      <x:alignment wrapText="1"/>
    </x:xf>
    <x:xf numFmtId="0" fontId="4" fillId="0" borderId="9" xfId="0" applyNumberFormat="1" applyFont="1" applyFill="1" applyBorder="1" applyAlignment="1">
      <x:alignment wrapText="1"/>
    </x:xf>
    <x:xf numFmtId="0" fontId="4" fillId="0" borderId="10" xfId="0" applyNumberFormat="1" applyFont="1" applyFill="1" applyBorder="1" applyAlignment="1">
      <x:alignment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0" xfId="0" applyNumberFormat="1" applyFont="1" applyFill="1" applyBorder="1" applyAlignment="1">
      <x:alignment vertical="top" wrapText="1"/>
    </x:xf>
    <x:xf numFmtId="200" fontId="4" fillId="0" borderId="8" xfId="0" applyNumberFormat="1" applyFont="1" applyFill="1" applyBorder="1" applyAlignment="1">
      <x:alignment vertical="top" wrapText="1"/>
    </x:xf>
    <x:xf numFmtId="200" fontId="4" fillId="0" borderId="9" xfId="0" applyNumberFormat="1" applyFont="1" applyFill="1" applyBorder="1" applyAlignment="1">
      <x:alignment vertical="top" wrapText="1"/>
    </x:xf>
    <x:xf numFmtId="0" fontId="4" fillId="0" borderId="8" xfId="0" applyNumberFormat="1" applyFont="1" applyFill="1" applyBorder="1" applyAlignment="1">
      <x:alignment wrapText="0"/>
    </x:xf>
    <x:xf numFmtId="0" fontId="4" fillId="0" borderId="9" xfId="0" applyNumberFormat="1" applyFont="1" applyFill="1" applyBorder="1" applyAlignment="1">
      <x:alignment wrapText="0"/>
    </x:xf>
    <x:xf numFmtId="0" fontId="4" fillId="0" borderId="10" xfId="0" applyNumberFormat="1" applyFont="1" applyFill="1" applyBorder="1" applyAlignment="1">
      <x:alignment wrapText="0"/>
    </x:xf>
    <x:xf numFmtId="0" fontId="4" fillId="0" borderId="8" xfId="0" applyNumberFormat="1" applyFont="1" applyFill="1" applyBorder="1" applyAlignment="1">
      <x:alignment vertical="top" wrapText="0"/>
    </x:xf>
    <x:xf numFmtId="0" fontId="4" fillId="0" borderId="9" xfId="0" applyNumberFormat="1" applyFont="1" applyFill="1" applyBorder="1" applyAlignment="1">
      <x:alignment vertical="top" wrapText="0"/>
    </x:xf>
    <x:xf numFmtId="0" fontId="4" fillId="0" borderId="10" xfId="0" applyNumberFormat="1" applyFont="1" applyFill="1" applyBorder="1" applyAlignment="1">
      <x:alignment vertical="top" wrapText="0"/>
    </x:xf>
    <x:xf numFmtId="201" fontId="4" fillId="0" borderId="8" xfId="0" applyNumberFormat="1" applyFont="1" applyFill="1" applyBorder="1" applyAlignment="1">
      <x:alignment vertical="top" wrapText="0"/>
    </x:xf>
    <x:xf numFmtId="201" fontId="4" fillId="0" borderId="9" xfId="0" applyNumberFormat="1" applyFont="1" applyFill="1" applyBorder="1" applyAlignment="1">
      <x:alignment vertical="top" wrapText="0"/>
    </x:xf>
    <x:xf numFmtId="201" fontId="4" fillId="0" borderId="10" xfId="0" applyNumberFormat="1" applyFont="1" applyFill="1" applyBorder="1" applyAlignment="1">
      <x:alignment vertical="top" wrapText="0"/>
    </x:xf>
    <x:xf numFmtId="202" fontId="4" fillId="0" borderId="8" xfId="0" applyNumberFormat="1" applyFont="1" applyFill="1" applyBorder="1" applyAlignment="1">
      <x:alignment vertical="top" wrapText="0"/>
    </x:xf>
    <x:xf numFmtId="202" fontId="4" fillId="0" borderId="9" xfId="0" applyNumberFormat="1" applyFont="1" applyFill="1" applyBorder="1" applyAlignment="1">
      <x:alignment vertical="top" wrapText="0"/>
    </x:xf>
    <x:xf numFmtId="202" fontId="4" fillId="0" borderId="10" xfId="0" applyNumberFormat="1" applyFont="1" applyFill="1" applyBorder="1" applyAlignment="1">
      <x:alignment vertical="top" wrapText="0"/>
    </x:xf>
    <x:xf numFmtId="201" fontId="4" fillId="0" borderId="8" xfId="0" applyNumberFormat="1" applyFont="1" applyFill="1" applyBorder="1" applyAlignment="1">
      <x:alignment vertical="top" wrapText="1"/>
    </x:xf>
    <x:xf numFmtId="201" fontId="4" fillId="0" borderId="10" xfId="0" applyNumberFormat="1" applyFont="1" applyFill="1" applyBorder="1" applyAlignment="1">
      <x:alignment vertical="top" wrapText="1"/>
    </x:xf>
    <x:xf numFmtId="0" fontId="4" fillId="0" borderId="7" xfId="0" applyNumberFormat="1" applyFont="1" applyFill="1" applyBorder="1" applyAlignment="1">
      <x:alignment vertical="top" wrapText="1"/>
    </x:xf>
    <x:xf numFmtId="201" fontId="4" fillId="0" borderId="7" xfId="0" applyNumberFormat="1" applyFont="1" applyFill="1" applyBorder="1" applyAlignment="1">
      <x:alignment vertical="top" wrapText="1"/>
    </x:xf>
    <x:xf numFmtId="0" fontId="5" fillId="2" borderId="0" xfId="0" applyNumberFormat="1" applyFont="1" applyFill="1" applyBorder="1" applyAlignment="1">
      <x:alignment horizontal="left" vertical="center"/>
    </x:xf>
    <x:xf numFmtId="0" fontId="5" fillId="3" borderId="1" xfId="0" applyNumberFormat="1" applyFont="1" applyFill="1" applyBorder="1" applyAlignment="1">
      <x:alignment vertical="center" wrapText="1"/>
    </x:xf>
    <x:xf numFmtId="0" fontId="5" fillId="3" borderId="2" xfId="0" applyNumberFormat="1" applyFont="1" applyFill="1" applyBorder="1" applyAlignment="1">
      <x:alignment vertical="center" wrapText="1"/>
    </x:xf>
    <x:xf numFmtId="0" fontId="5" fillId="3" borderId="3" xfId="0" applyNumberFormat="1" applyFont="1" applyFill="1" applyBorder="1" applyAlignment="1">
      <x:alignment vertical="center" wrapText="1"/>
    </x:xf>
    <x:xf numFmtId="0" fontId="5" fillId="3" borderId="4" xfId="0" applyNumberFormat="1" applyFont="1" applyFill="1" applyBorder="1" applyAlignment="1">
      <x:alignment vertical="center" wrapText="1"/>
    </x:xf>
    <x:xf numFmtId="0" fontId="5" fillId="3" borderId="5" xfId="0" applyNumberFormat="1" applyFont="1" applyFill="1" applyBorder="1" applyAlignment="1">
      <x:alignment vertical="center" wrapText="1"/>
    </x:xf>
    <x:xf numFmtId="0" fontId="5" fillId="3" borderId="6" xfId="0" applyNumberFormat="1" applyFont="1" applyFill="1" applyBorder="1" applyAlignment="1">
      <x:alignment vertical="center" wrapText="1"/>
    </x:xf>
    <x:xf numFmtId="0" fontId="6" fillId="0" borderId="0" xfId="0" applyNumberFormat="1" applyFont="1" applyFill="1" applyBorder="1"/>
    <x:xf numFmtId="0" fontId="5" fillId="4" borderId="7" xfId="0" applyNumberFormat="1" applyFont="1" applyFill="1" applyBorder="1" applyAlignment="1">
      <x:alignment vertical="center" wrapText="1"/>
    </x:xf>
    <x:xf numFmtId="0" fontId="6" fillId="0" borderId="8" xfId="0" applyNumberFormat="1" applyFont="1" applyFill="1" applyBorder="1" applyAlignment="1">
      <x:alignment vertical="top" wrapText="1"/>
    </x:xf>
    <x:xf numFmtId="200" fontId="6" fillId="0" borderId="8" xfId="0" applyNumberFormat="1" applyFont="1" applyFill="1" applyBorder="1" applyAlignment="1">
      <x:alignment vertical="top" wrapText="1"/>
    </x:xf>
    <x:xf numFmtId="0" fontId="6" fillId="0" borderId="9" xfId="0" applyNumberFormat="1" applyFont="1" applyFill="1" applyBorder="1" applyAlignment="1">
      <x:alignment vertical="top" wrapText="1"/>
    </x:xf>
    <x:xf numFmtId="200" fontId="6" fillId="0" borderId="9" xfId="0" applyNumberFormat="1" applyFont="1" applyFill="1" applyBorder="1" applyAlignment="1">
      <x:alignment vertical="top" wrapText="1"/>
    </x:xf>
    <x:xf numFmtId="0" fontId="6" fillId="0" borderId="10" xfId="0" applyNumberFormat="1" applyFont="1" applyFill="1" applyBorder="1" applyAlignment="1">
      <x:alignment vertical="top" wrapText="1"/>
    </x:xf>
    <x:xf numFmtId="0" fontId="6" fillId="0" borderId="8" xfId="0" applyNumberFormat="1" applyFont="1" applyFill="1" applyBorder="1" applyAlignment="1">
      <x:alignment vertical="top" wrapText="0"/>
    </x:xf>
    <x:xf numFmtId="201" fontId="6" fillId="0" borderId="8" xfId="0" applyNumberFormat="1" applyFont="1" applyFill="1" applyBorder="1" applyAlignment="1">
      <x:alignment vertical="top" wrapText="0"/>
    </x:xf>
    <x:xf numFmtId="202" fontId="6" fillId="0" borderId="8" xfId="0" applyNumberFormat="1" applyFont="1" applyFill="1" applyBorder="1" applyAlignment="1">
      <x:alignment vertical="top" wrapText="0"/>
    </x:xf>
    <x:xf numFmtId="0" fontId="6" fillId="0" borderId="9" xfId="0" applyNumberFormat="1" applyFont="1" applyFill="1" applyBorder="1" applyAlignment="1">
      <x:alignment vertical="top" wrapText="0"/>
    </x:xf>
    <x:xf numFmtId="201" fontId="6" fillId="0" borderId="9" xfId="0" applyNumberFormat="1" applyFont="1" applyFill="1" applyBorder="1" applyAlignment="1">
      <x:alignment vertical="top" wrapText="0"/>
    </x:xf>
    <x:xf numFmtId="202" fontId="6" fillId="0" borderId="9" xfId="0" applyNumberFormat="1" applyFont="1" applyFill="1" applyBorder="1" applyAlignment="1">
      <x:alignment vertical="top" wrapText="0"/>
    </x:xf>
    <x:xf numFmtId="0" fontId="6" fillId="0" borderId="10" xfId="0" applyNumberFormat="1" applyFont="1" applyFill="1" applyBorder="1" applyAlignment="1">
      <x:alignment vertical="top" wrapText="0"/>
    </x:xf>
    <x:xf numFmtId="201" fontId="6" fillId="0" borderId="10" xfId="0" applyNumberFormat="1" applyFont="1" applyFill="1" applyBorder="1" applyAlignment="1">
      <x:alignment vertical="top" wrapText="0"/>
    </x:xf>
    <x:xf numFmtId="202" fontId="6" fillId="0" borderId="10" xfId="0" applyNumberFormat="1" applyFont="1" applyFill="1" applyBorder="1" applyAlignment="1">
      <x:alignment vertical="top" wrapText="0"/>
    </x:xf>
    <x:xf numFmtId="0" fontId="6" fillId="0" borderId="7" xfId="0" applyNumberFormat="1" applyFont="1" applyFill="1" applyBorder="1" applyAlignment="1">
      <x:alignment vertical="top" wrapText="1"/>
    </x:xf>
    <x:xf numFmtId="201" fontId="6" fillId="0" borderId="7" xfId="0" applyNumberFormat="1" applyFont="1" applyFill="1" applyBorder="1" applyAlignment="1">
      <x:alignment vertical="top" wrapText="1"/>
    </x:xf>
    <x:xf numFmtId="201" fontId="6" fillId="0" borderId="8" xfId="0" applyNumberFormat="1" applyFont="1" applyFill="1" applyBorder="1" applyAlignment="1">
      <x:alignment vertical="top" wrapText="1"/>
    </x:xf>
    <x:xf numFmtId="0" fontId="7" fillId="2" borderId="0" xfId="0" applyNumberFormat="1" applyFont="1" applyFill="1" applyBorder="1" applyAlignment="1">
      <x:alignment horizontal="left" vertical="center"/>
    </x:xf>
    <x:xf numFmtId="201" fontId="4" fillId="0" borderId="9" xfId="0" applyNumberFormat="1" applyFont="1" applyFill="1" applyBorder="1" applyAlignment="1">
      <x:alignment vertical="top" wrapText="1"/>
    </x:xf>
    <x:xf numFmtId="202" fontId="4" fillId="0" borderId="8" xfId="0" applyNumberFormat="1" applyFont="1" applyFill="1" applyBorder="1" applyAlignment="1">
      <x:alignment vertical="top" wrapText="1"/>
    </x:xf>
    <x:xf numFmtId="202" fontId="4" fillId="0" borderId="9" xfId="0" applyNumberFormat="1" applyFont="1" applyFill="1" applyBorder="1" applyAlignment="1">
      <x:alignment vertical="top" wrapText="1"/>
    </x:xf>
    <x:xf numFmtId="202" fontId="4" fillId="0" borderId="10" xfId="0" applyNumberFormat="1" applyFont="1" applyFill="1" applyBorder="1" applyAlignment="1">
      <x:alignment vertical="top" wrapText="1"/>
    </x:xf>
    <x:xf numFmtId="0" fontId="0" fillId="5" borderId="0" xfId="0" applyNumberFormat="1" applyFont="1" applyFill="1" applyBorder="1"/>
    <x:xf numFmtId="0" fontId="0" fillId="5" borderId="11" xfId="0" applyNumberFormat="1" applyFont="1" applyFill="1" applyBorder="1"/>
    <x:xf numFmtId="0" fontId="0" fillId="5" borderId="12" xfId="0" applyNumberFormat="1" applyFont="1" applyFill="1" applyBorder="1"/>
    <x:xf numFmtId="0" fontId="0" fillId="5" borderId="13" xfId="0" applyNumberFormat="1" applyFont="1" applyFill="1" applyBorder="1"/>
    <x:xf numFmtId="0" fontId="0" fillId="5" borderId="14" xfId="0" applyNumberFormat="1" applyFont="1" applyFill="1" applyBorder="1"/>
    <x:xf numFmtId="0" fontId="0" fillId="5" borderId="15" xfId="0" applyNumberFormat="1" applyFont="1" applyFill="1" applyBorder="1"/>
    <x:xf numFmtId="0" fontId="0" fillId="5" borderId="16" xfId="0" applyNumberFormat="1" applyFont="1" applyFill="1" applyBorder="1"/>
    <x:xf numFmtId="0" fontId="0" fillId="5" borderId="17" xfId="0" applyNumberFormat="1" applyFont="1" applyFill="1" applyBorder="1"/>
    <x:xf numFmtId="0" fontId="0" fillId="5" borderId="18" xfId="0" applyNumberFormat="1" applyFont="1" applyFill="1" applyBorder="1"/>
    <x:xf numFmtId="0" fontId="0" fillId="5" borderId="11" xfId="0" applyNumberFormat="1" applyFont="1" applyFill="1" applyBorder="1" applyAlignment="1">
      <x:alignment wrapText="1"/>
    </x:xf>
    <x:xf numFmtId="0" fontId="0" fillId="5" borderId="12" xfId="0" applyNumberFormat="1" applyFont="1" applyFill="1" applyBorder="1" applyAlignment="1">
      <x:alignment wrapText="1"/>
    </x:xf>
    <x:xf numFmtId="0" fontId="0" fillId="5" borderId="13" xfId="0" applyNumberFormat="1" applyFont="1" applyFill="1" applyBorder="1" applyAlignment="1">
      <x:alignment wrapText="1"/>
    </x:xf>
    <x:xf numFmtId="0" fontId="0" fillId="5" borderId="14" xfId="0" applyNumberFormat="1" applyFont="1" applyFill="1" applyBorder="1" applyAlignment="1">
      <x:alignment wrapText="1"/>
    </x:xf>
    <x:xf numFmtId="0" fontId="0" fillId="5" borderId="0" xfId="0" applyNumberFormat="1" applyFont="1" applyFill="1" applyBorder="1" applyAlignment="1">
      <x:alignment wrapText="1"/>
    </x:xf>
    <x:xf numFmtId="0" fontId="0" fillId="5" borderId="15" xfId="0" applyNumberFormat="1" applyFont="1" applyFill="1" applyBorder="1" applyAlignment="1">
      <x:alignment wrapText="1"/>
    </x:xf>
    <x:xf numFmtId="0" fontId="0" fillId="5" borderId="16" xfId="0" applyNumberFormat="1" applyFont="1" applyFill="1" applyBorder="1" applyAlignment="1">
      <x:alignment wrapText="1"/>
    </x:xf>
    <x:xf numFmtId="0" fontId="0" fillId="5" borderId="17" xfId="0" applyNumberFormat="1" applyFont="1" applyFill="1" applyBorder="1" applyAlignment="1">
      <x:alignment wrapText="1"/>
    </x:xf>
    <x:xf numFmtId="0" fontId="0" fillId="5" borderId="18" xfId="0" applyNumberFormat="1" applyFont="1" applyFill="1" applyBorder="1" applyAlignment="1">
      <x:alignment wrapText="1"/>
    </x:xf>
    <x:xf numFmtId="0" fontId="0" fillId="5" borderId="11" xfId="0" applyNumberFormat="1" applyFont="1" applyFill="1" applyBorder="1" applyAlignment="1">
      <x:alignment vertical="top" wrapText="1"/>
    </x:xf>
    <x:xf numFmtId="0" fontId="0" fillId="5" borderId="12"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0" fillId="5" borderId="14"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5" borderId="15" xfId="0" applyNumberFormat="1" applyFont="1" applyFill="1" applyBorder="1" applyAlignment="1">
      <x:alignment vertical="top" wrapText="1"/>
    </x:xf>
    <x:xf numFmtId="0" fontId="0" fillId="5" borderId="16" xfId="0" applyNumberFormat="1" applyFont="1" applyFill="1" applyBorder="1" applyAlignment="1">
      <x:alignment vertical="top" wrapText="1"/>
    </x:xf>
    <x:xf numFmtId="0" fontId="0" fillId="5" borderId="17" xfId="0" applyNumberFormat="1" applyFont="1" applyFill="1" applyBorder="1" applyAlignment="1">
      <x:alignment vertical="top" wrapText="1"/>
    </x:xf>
    <x:xf numFmtId="0" fontId="0" fillId="5" borderId="18" xfId="0" applyNumberFormat="1" applyFont="1" applyFill="1" applyBorder="1" applyAlignment="1">
      <x:alignment vertical="top" wrapText="1"/>
    </x:xf>
    <x:xf numFmtId="0" fontId="2" fillId="3" borderId="19" xfId="0" applyNumberFormat="1" applyFont="1" applyFill="1" applyBorder="1"/>
    <x:xf numFmtId="0" fontId="2" fillId="3" borderId="20" xfId="0" applyNumberFormat="1" applyFont="1" applyFill="1" applyBorder="1"/>
    <x:xf numFmtId="0" fontId="2" fillId="3" borderId="19"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20" xfId="0" applyNumberFormat="1" applyFont="1" applyFill="1" applyBorder="1" applyAlignment="1">
      <x:alignment wrapText="1"/>
    </x:xf>
    <x:xf numFmtId="0" fontId="2" fillId="3" borderId="1" xfId="0" applyNumberFormat="1" applyFont="1" applyFill="1" applyBorder="1" applyAlignment="1">
      <x:alignment vertical="top"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20"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8" xfId="0" applyNumberFormat="1" applyFont="1" applyFill="1" applyBorder="1">
      <x:extLst>
        <x:ext uri="{C7286773-470A-42A8-94C5-96B5CB345126}">
          <xfpb:xfComplement xmlns:xfpb="http://schemas.microsoft.com/office/spreadsheetml/2022/featurepropertybag" i="0"/>
        </x:ext>
      </x:extLst>
    </x:xf>
    <x:xf numFmtId="0" fontId="4" fillId="0" borderId="9" xfId="0" applyNumberFormat="1" applyFont="1" applyFill="1" applyBorder="1">
      <x:extLst>
        <x:ext uri="{C7286773-470A-42A8-94C5-96B5CB345126}">
          <xfpb:xfComplement xmlns:xfpb="http://schemas.microsoft.com/office/spreadsheetml/2022/featurepropertybag" i="0"/>
        </x:ext>
      </x:extLst>
    </x:xf>
    <x:xf numFmtId="0" fontId="4" fillId="0" borderId="10" xfId="0" applyNumberFormat="1" applyFont="1" applyFill="1" applyBorder="1">
      <x:extLst>
        <x:ext uri="{C7286773-470A-42A8-94C5-96B5CB345126}">
          <xfpb:xfComplement xmlns:xfpb="http://schemas.microsoft.com/office/spreadsheetml/2022/featurepropertybag" i="0"/>
        </x:ext>
      </x:extLst>
    </x:xf>
    <x:xf numFmtId="0" fontId="4" fillId="0" borderId="8"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9"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10"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8"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1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3" borderId="8"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3" borderId="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3" borderId="1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6" borderId="8" xfId="0" applyNumberFormat="1" applyFont="1" applyFill="1" applyBorder="1" applyAlignment="1">
      <x:alignment vertical="top" wrapText="1"/>
    </x:xf>
    <x:xf numFmtId="0" fontId="4" fillId="6" borderId="8"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6" borderId="9" xfId="0" applyNumberFormat="1" applyFont="1" applyFill="1" applyBorder="1" applyAlignment="1">
      <x:alignment vertical="top" wrapText="1"/>
    </x:xf>
    <x:xf numFmtId="0" fontId="4" fillId="6" borderId="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6" borderId="10" xfId="0" applyNumberFormat="1" applyFont="1" applyFill="1" applyBorder="1" applyAlignment="1">
      <x:alignment vertical="top" wrapText="1"/>
    </x:xf>
    <x:xf numFmtId="0" fontId="4" fillId="6" borderId="1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7" borderId="8" xfId="0" applyNumberFormat="1" applyFont="1" applyFill="1" applyBorder="1" applyAlignment="1">
      <x:alignment vertical="top" wrapText="1"/>
    </x:xf>
    <x:xf numFmtId="0" fontId="4" fillId="7" borderId="9" xfId="0" applyNumberFormat="1" applyFont="1" applyFill="1" applyBorder="1" applyAlignment="1">
      <x:alignment vertical="top" wrapText="1"/>
    </x:xf>
    <x:xf numFmtId="0" fontId="4" fillId="7" borderId="10" xfId="0" applyNumberFormat="1" applyFont="1" applyFill="1" applyBorder="1" applyAlignment="1">
      <x:alignment vertical="top" wrapText="1"/>
    </x:xf>
    <x:xf numFmtId="0" fontId="5" fillId="8" borderId="1" xfId="0" applyNumberFormat="1" applyFont="1" applyFill="1" applyBorder="1" applyAlignment="1">
      <x:alignment vertical="center" wrapText="1"/>
    </x:xf>
    <x:xf numFmtId="0" fontId="5" fillId="8" borderId="2" xfId="0" applyNumberFormat="1" applyFont="1" applyFill="1" applyBorder="1" applyAlignment="1">
      <x:alignment vertical="center" wrapText="1"/>
    </x:xf>
    <x:xf numFmtId="0" fontId="5" fillId="8" borderId="3" xfId="0" applyNumberFormat="1" applyFont="1" applyFill="1" applyBorder="1" applyAlignment="1">
      <x:alignment vertical="center" wrapText="1"/>
    </x:xf>
    <x:xf numFmtId="0" fontId="5" fillId="8" borderId="4" xfId="0" applyNumberFormat="1" applyFont="1" applyFill="1" applyBorder="1" applyAlignment="1">
      <x:alignment vertical="center" wrapText="1"/>
    </x:xf>
    <x:xf numFmtId="0" fontId="5" fillId="8" borderId="5" xfId="0" applyNumberFormat="1" applyFont="1" applyFill="1" applyBorder="1" applyAlignment="1">
      <x:alignment vertical="center" wrapText="1"/>
    </x:xf>
    <x:xf numFmtId="0" fontId="5" fillId="8" borderId="6" xfId="0" applyNumberFormat="1" applyFont="1" applyFill="1" applyBorder="1" applyAlignment="1">
      <x:alignment vertical="center" wrapText="1"/>
    </x:xf>
    <x:xf numFmtId="0" fontId="8" fillId="8" borderId="1" xfId="0" applyNumberFormat="1" applyFont="1" applyFill="1" applyBorder="1" applyAlignment="1">
      <x:alignment vertical="center" wrapText="1"/>
    </x:xf>
    <x:xf numFmtId="0" fontId="8" fillId="8" borderId="2" xfId="0" applyNumberFormat="1" applyFont="1" applyFill="1" applyBorder="1" applyAlignment="1">
      <x:alignment vertical="center" wrapText="1"/>
    </x:xf>
    <x:xf numFmtId="0" fontId="8" fillId="8" borderId="3" xfId="0" applyNumberFormat="1" applyFont="1" applyFill="1" applyBorder="1" applyAlignment="1">
      <x:alignment vertical="center" wrapText="1"/>
    </x:xf>
    <x:xf numFmtId="0" fontId="8" fillId="8" borderId="4" xfId="0" applyNumberFormat="1" applyFont="1" applyFill="1" applyBorder="1" applyAlignment="1">
      <x:alignment vertical="center" wrapText="1"/>
    </x:xf>
    <x:xf numFmtId="0" fontId="8" fillId="8" borderId="5" xfId="0" applyNumberFormat="1" applyFont="1" applyFill="1" applyBorder="1" applyAlignment="1">
      <x:alignment vertical="center" wrapText="1"/>
    </x:xf>
    <x:xf numFmtId="0" fontId="8" fillId="8" borderId="6" xfId="0" applyNumberFormat="1" applyFont="1" applyFill="1" applyBorder="1" applyAlignment="1">
      <x:alignment vertical="center" wrapText="1"/>
    </x:xf>
    <x:xf numFmtId="0" fontId="8" fillId="8" borderId="21" xfId="0" applyNumberFormat="1" applyFont="1" applyFill="1" applyBorder="1" applyAlignment="1">
      <x:alignment vertical="center" wrapText="1"/>
    </x:xf>
    <x:xf numFmtId="0" fontId="8" fillId="8" borderId="22" xfId="0" applyNumberFormat="1" applyFont="1" applyFill="1" applyBorder="1" applyAlignment="1">
      <x:alignment vertical="center" wrapText="1"/>
    </x:xf>
    <x:xf numFmtId="0" fontId="8" fillId="8" borderId="23" xfId="0" applyNumberFormat="1" applyFont="1" applyFill="1" applyBorder="1" applyAlignment="1">
      <x:alignment vertical="center" wrapText="1"/>
    </x:xf>
    <x:xf numFmtId="0" fontId="8" fillId="8" borderId="24" xfId="0" applyNumberFormat="1" applyFont="1" applyFill="1" applyBorder="1" applyAlignment="1">
      <x:alignment vertical="center" wrapText="1"/>
    </x:xf>
    <x:xf numFmtId="0" fontId="8" fillId="8" borderId="25" xfId="0" applyNumberFormat="1" applyFont="1" applyFill="1" applyBorder="1" applyAlignment="1">
      <x:alignment vertical="center" wrapText="1"/>
    </x:xf>
    <x:xf numFmtId="0" fontId="8" fillId="8" borderId="26" xfId="0" applyNumberFormat="1" applyFont="1" applyFill="1" applyBorder="1" applyAlignment="1">
      <x:alignment vertical="center" wrapText="1"/>
    </x:xf>
    <x:xf numFmtId="0" fontId="2" fillId="8" borderId="1" xfId="0" applyNumberFormat="1" applyFont="1" applyFill="1" applyBorder="1" applyAlignment="1">
      <x:alignment vertical="top" wrapText="1"/>
    </x:xf>
    <x:xf numFmtId="0" fontId="2" fillId="8" borderId="2" xfId="0" applyNumberFormat="1" applyFont="1" applyFill="1" applyBorder="1" applyAlignment="1">
      <x:alignment vertical="top" wrapText="1"/>
    </x:xf>
    <x:xf numFmtId="0" fontId="2" fillId="8" borderId="3" xfId="0" applyNumberFormat="1" applyFont="1" applyFill="1" applyBorder="1" applyAlignment="1">
      <x:alignment vertical="top" wrapText="1"/>
    </x:xf>
    <x:xf numFmtId="0" fontId="2" fillId="8" borderId="19"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2" fillId="8" borderId="20" xfId="0" applyNumberFormat="1" applyFont="1" applyFill="1" applyBorder="1" applyAlignment="1">
      <x:alignment vertical="top" wrapText="1"/>
    </x:xf>
    <x:xf numFmtId="0" fontId="2" fillId="8" borderId="4" xfId="0" applyNumberFormat="1" applyFont="1" applyFill="1" applyBorder="1" applyAlignment="1">
      <x:alignment vertical="top" wrapText="1"/>
    </x:xf>
    <x:xf numFmtId="0" fontId="2" fillId="8" borderId="5" xfId="0" applyNumberFormat="1" applyFont="1" applyFill="1" applyBorder="1" applyAlignment="1">
      <x:alignment vertical="top" wrapText="1"/>
    </x:xf>
    <x:xf numFmtId="0" fontId="2" fillId="8" borderId="6" xfId="0" applyNumberFormat="1" applyFont="1" applyFill="1" applyBorder="1" applyAlignment="1">
      <x:alignment vertical="top" wrapText="1"/>
    </x:xf>
    <x:xf numFmtId="0" fontId="9" fillId="8" borderId="1" xfId="0" applyNumberFormat="1" applyFont="1" applyFill="1" applyBorder="1" applyAlignment="1">
      <x:alignment vertical="top" wrapText="1"/>
    </x:xf>
    <x:xf numFmtId="0" fontId="9" fillId="8" borderId="2" xfId="0" applyNumberFormat="1" applyFont="1" applyFill="1" applyBorder="1" applyAlignment="1">
      <x:alignment vertical="top" wrapText="1"/>
    </x:xf>
    <x:xf numFmtId="0" fontId="9" fillId="8" borderId="3" xfId="0" applyNumberFormat="1" applyFont="1" applyFill="1" applyBorder="1" applyAlignment="1">
      <x:alignment vertical="top" wrapText="1"/>
    </x:xf>
    <x:xf numFmtId="0" fontId="9" fillId="8" borderId="19" xfId="0" applyNumberFormat="1" applyFont="1" applyFill="1" applyBorder="1" applyAlignment="1">
      <x:alignment vertical="top" wrapText="1"/>
    </x:xf>
    <x:xf numFmtId="0" fontId="9" fillId="8" borderId="0" xfId="0" applyNumberFormat="1" applyFont="1" applyFill="1" applyBorder="1" applyAlignment="1">
      <x:alignment vertical="top" wrapText="1"/>
    </x:xf>
    <x:xf numFmtId="0" fontId="9" fillId="8" borderId="20" xfId="0" applyNumberFormat="1" applyFont="1" applyFill="1" applyBorder="1" applyAlignment="1">
      <x:alignment vertical="top" wrapText="1"/>
    </x:xf>
    <x:xf numFmtId="0" fontId="9" fillId="8" borderId="4" xfId="0" applyNumberFormat="1" applyFont="1" applyFill="1" applyBorder="1" applyAlignment="1">
      <x:alignment vertical="top" wrapText="1"/>
    </x:xf>
    <x:xf numFmtId="0" fontId="9" fillId="8" borderId="5" xfId="0" applyNumberFormat="1" applyFont="1" applyFill="1" applyBorder="1" applyAlignment="1">
      <x:alignment vertical="top" wrapText="1"/>
    </x:xf>
    <x:xf numFmtId="0" fontId="9" fillId="8" borderId="6" xfId="0" applyNumberFormat="1" applyFont="1" applyFill="1" applyBorder="1" applyAlignment="1">
      <x:alignment vertical="top" wrapText="1"/>
    </x:xf>
    <x:xf numFmtId="0" fontId="9" fillId="8" borderId="21" xfId="0" applyNumberFormat="1" applyFont="1" applyFill="1" applyBorder="1" applyAlignment="1">
      <x:alignment vertical="top" wrapText="1"/>
    </x:xf>
    <x:xf numFmtId="0" fontId="9" fillId="8" borderId="22" xfId="0" applyNumberFormat="1" applyFont="1" applyFill="1" applyBorder="1" applyAlignment="1">
      <x:alignment vertical="top" wrapText="1"/>
    </x:xf>
    <x:xf numFmtId="0" fontId="9" fillId="8" borderId="23" xfId="0" applyNumberFormat="1" applyFont="1" applyFill="1" applyBorder="1" applyAlignment="1">
      <x:alignment vertical="top" wrapText="1"/>
    </x:xf>
    <x:xf numFmtId="0" fontId="9" fillId="8" borderId="27" xfId="0" applyNumberFormat="1" applyFont="1" applyFill="1" applyBorder="1" applyAlignment="1">
      <x:alignment vertical="top" wrapText="1"/>
    </x:xf>
    <x:xf numFmtId="0" fontId="9" fillId="8" xfId="0" applyNumberFormat="1" applyFont="1" applyFill="1" applyBorder="0" applyAlignment="1">
      <x:alignment vertical="top" wrapText="1"/>
    </x:xf>
    <x:xf numFmtId="0" fontId="9" fillId="8" borderId="28" xfId="0" applyNumberFormat="1" applyFont="1" applyFill="1" applyBorder="1" applyAlignment="1">
      <x:alignment vertical="top" wrapText="1"/>
    </x:xf>
    <x:xf numFmtId="0" fontId="9" fillId="8" borderId="24" xfId="0" applyNumberFormat="1" applyFont="1" applyFill="1" applyBorder="1" applyAlignment="1">
      <x:alignment vertical="top" wrapText="1"/>
    </x:xf>
    <x:xf numFmtId="0" fontId="9" fillId="8" borderId="25" xfId="0" applyNumberFormat="1" applyFont="1" applyFill="1" applyBorder="1" applyAlignment="1">
      <x:alignment vertical="top" wrapText="1"/>
    </x:xf>
    <x:xf numFmtId="0" fontId="9" fillId="8" borderId="26"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2ce90174e684cac" /><Relationship Type="http://schemas.openxmlformats.org/officeDocument/2006/relationships/theme" Target="/xl/theme/theme1.xml" Id="R5311070eccf24e21" /><Relationship Type="http://schemas.microsoft.com/office/2022/11/relationships/FeaturePropertyBag" Target="/xl/featurePropertyBag/featurePropertyBag.xml" Id="Re0f44f46a7054980" /><Relationship Type="http://schemas.openxmlformats.org/officeDocument/2006/relationships/sharedStrings" Target="/xl/sharedStrings.xml" Id="Rd390820992f443ba" /><Relationship Type="http://schemas.openxmlformats.org/officeDocument/2006/relationships/worksheet" Target="/xl/worksheets/sheet1.xml" Id="Re2fa444422764805" /><Relationship Type="http://schemas.openxmlformats.org/officeDocument/2006/relationships/worksheet" Target="/xl/worksheets/sheet2.xml" Id="R6c211ddf6e794c5c" /><Relationship Type="http://schemas.openxmlformats.org/officeDocument/2006/relationships/worksheet" Target="/xl/worksheets/sheet3.xml" Id="R72e3593f1ee549be" /><Relationship Type="http://schemas.openxmlformats.org/officeDocument/2006/relationships/worksheet" Target="/xl/worksheets/sheet4.xml" Id="R4d9f8384b69c4271" /><Relationship Type="http://schemas.openxmlformats.org/officeDocument/2006/relationships/worksheet" Target="/xl/worksheets/sheet5.xml" Id="R64945ecf069a4284" /><Relationship Type="http://schemas.openxmlformats.org/officeDocument/2006/relationships/worksheet" Target="/xl/worksheets/sheet6.xml" Id="R6c60dc0b5b6048bf" /><Relationship Type="http://schemas.openxmlformats.org/officeDocument/2006/relationships/worksheet" Target="/xl/worksheets/sheet7.xml" Id="Rdcc9701374ab4541" /><Relationship Type="http://schemas.openxmlformats.org/officeDocument/2006/relationships/worksheet" Target="/xl/worksheets/sheet8.xml" Id="R923c0010e7f9437a" /><Relationship Type="http://schemas.openxmlformats.org/officeDocument/2006/relationships/worksheet" Target="/xl/worksheets/sheet9.xml" Id="R161e9516dfd54f6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AllCasesTable" displayName="AllCasesTable" ref="A1:AO366" headerRowCount="1" totalsRowCount="0" totalsRowShown="0">
  <x:tableColumns count="41">
    <x:tableColumn id="1" name="Blind ID"/>
    <x:tableColumn id="2" name="Machine ID"/>
    <x:tableColumn id="3" name="Stratum"/>
    <x:tableColumn id="4" name="Weight"/>
    <x:tableColumn id="5" name="Provider origin"/>
    <x:tableColumn id="6" name="Document"/>
    <x:tableColumn id="7" name="Page"/>
    <x:tableColumn id="8" name="Language"/>
    <x:tableColumn id="9" name="Authority"/>
    <x:tableColumn id="10" name="Candidate span"/>
    <x:tableColumn id="11" name="Excluded untranslated"/>
    <x:tableColumn id="12" name="Martin decision"/>
    <x:tableColumn id="13" name="Dominik decision"/>
    <x:tableColumn id="14" name="Decision agreement"/>
    <x:tableColumn id="15" name="Martin code"/>
    <x:tableColumn id="16" name="Dominik code"/>
    <x:tableColumn id="17" name="Martin family"/>
    <x:tableColumn id="18" name="Dominik family"/>
    <x:tableColumn id="19" name="Martin ODR"/>
    <x:tableColumn id="20" name="Dominik ODR"/>
    <x:tableColumn id="21" name="Martin privacy direction"/>
    <x:tableColumn id="22" name="Dominik privacy direction"/>
    <x:tableColumn id="23" name="Martin privacy relation"/>
    <x:tableColumn id="24" name="Dominik privacy relation"/>
    <x:tableColumn id="25" name="Martin strength"/>
    <x:tableColumn id="26" name="Dominik strength"/>
    <x:tableColumn id="27" name="Martin confidence"/>
    <x:tableColumn id="28" name="Dominik confidence"/>
    <x:tableColumn id="29" name="Martin notes"/>
    <x:tableColumn id="30" name="Dominik notes"/>
    <x:tableColumn id="31" name="OpenAI code(s)"/>
    <x:tableColumn id="32" name="Claude code(s)"/>
    <x:tableColumn id="33" name="OpenAI ODR"/>
    <x:tableColumn id="34" name="Claude ODR"/>
    <x:tableColumn id="35" name="Analyzable"/>
    <x:tableColumn id="36" name="Martin keep"/>
    <x:tableColumn id="37" name="Dominik keep"/>
    <x:tableColumn id="38" name="Midpoint"/>
    <x:tableColumn id="39" name="Lower bound"/>
    <x:tableColumn id="40" name="Upper bound"/>
    <x:tableColumn id="41" name="Decision agree flag"/>
  </x:tableColumns>
  <x:tableStyleInfo name="TableStyleMedium2" showFirstColumn="0" showLastColumn="0" showRowStripes="1" showColumnStripes="0"/>
</x:table>
</file>

<file path=xl/tables/table2.xml><?xml version="1.0" encoding="utf-8"?>
<x:table xmlns:x="http://schemas.openxmlformats.org/spreadsheetml/2006/main" id="2" name="AdjudicationQueueTable" displayName="AdjudicationQueueTable" ref="A1:AF320" headerRowCount="1" totalsRowCount="0" totalsRowShown="0">
  <x:tableColumns count="32">
    <x:tableColumn id="1" name="Issue(s)"/>
    <x:tableColumn id="2" name="Blind ID"/>
    <x:tableColumn id="3" name="Machine ID"/>
    <x:tableColumn id="4" name="Stratum"/>
    <x:tableColumn id="5" name="Weight"/>
    <x:tableColumn id="6" name="Authority"/>
    <x:tableColumn id="7" name="Candidate span"/>
    <x:tableColumn id="8" name="Martin decision"/>
    <x:tableColumn id="9" name="Dominik decision"/>
    <x:tableColumn id="10" name="Martin code"/>
    <x:tableColumn id="11" name="Dominik code"/>
    <x:tableColumn id="12" name="Martin family"/>
    <x:tableColumn id="13" name="Dominik family"/>
    <x:tableColumn id="14" name="Martin ODR"/>
    <x:tableColumn id="15" name="Dominik ODR"/>
    <x:tableColumn id="16" name="Martin privacy direction"/>
    <x:tableColumn id="17" name="Dominik privacy direction"/>
    <x:tableColumn id="18" name="Martin privacy relation"/>
    <x:tableColumn id="19" name="Dominik privacy relation"/>
    <x:tableColumn id="20" name="Martin strength"/>
    <x:tableColumn id="21" name="Dominik strength"/>
    <x:tableColumn id="22" name="Martin notes"/>
    <x:tableColumn id="23" name="Dominik notes"/>
    <x:tableColumn id="24" name="Consensus decision"/>
    <x:tableColumn id="25" name="Consensus code"/>
    <x:tableColumn id="26" name="Consensus ODR"/>
    <x:tableColumn id="27" name="Consensus privacy direction"/>
    <x:tableColumn id="28" name="Consensus privacy relation"/>
    <x:tableColumn id="29" name="Consensus strength"/>
    <x:tableColumn id="30" name="Adjudicator"/>
    <x:tableColumn id="31" name="Adjudication notes"/>
    <x:tableColumn id="32" name="QC status"/>
  </x:tableColumns>
  <x:tableStyleInfo name="TableStyleMedium2" showFirstColumn="0" showLastColumn="0" showRowStripes="1" showColumnStripes="0"/>
</x:table>
</file>

<file path=xl/tables/table3.xml><?xml version="1.0" encoding="utf-8"?>
<x:table xmlns:x="http://schemas.openxmlformats.org/spreadsheetml/2006/main" id="3" name="DualEmptyTable" displayName="DualEmptyTable" ref="A1:J37" headerRowCount="1" totalsRowCount="0" totalsRowShown="0">
  <x:tableColumns count="10">
    <x:tableColumn id="1" name="Empty case"/>
    <x:tableColumn id="2" name="Authority"/>
    <x:tableColumn id="3" name="Authority note"/>
    <x:tableColumn id="4" name="Source text"/>
    <x:tableColumn id="5" name="Missed claims"/>
    <x:tableColumn id="6" name="Confidence"/>
    <x:tableColumn id="7" name="Notes"/>
    <x:tableColumn id="8" name="Unit ID"/>
    <x:tableColumn id="9" name="Render file"/>
    <x:tableColumn id="10" name="Excluded untranslat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table" Target="/xl/tables/table1.xml" Id="R7e510c856fb2489f" /></Relationships>
</file>

<file path=xl/worksheets/_rels/sheet5.xml.rels>&#65279;<?xml version="1.0" encoding="utf-8"?><Relationships xmlns="http://schemas.openxmlformats.org/package/2006/relationships"><Relationship Type="http://schemas.openxmlformats.org/officeDocument/2006/relationships/table" Target="/xl/tables/table2.xml" Id="Rcead8f9b1c524ec1" /></Relationships>
</file>

<file path=xl/worksheets/_rels/sheet6.xml.rels>&#65279;<?xml version="1.0" encoding="utf-8"?><Relationships xmlns="http://schemas.openxmlformats.org/package/2006/relationships"><Relationship Type="http://schemas.openxmlformats.org/officeDocument/2006/relationships/table" Target="/xl/tables/table3.xml" Id="R4c43f9ef685c4364"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6" hidden="0" customWidth="1"/>
    <x:col min="3" max="3" width="20" hidden="0" customWidth="1"/>
    <x:col min="4" max="4" width="20" hidden="0" customWidth="1"/>
    <x:col min="5" max="5" width="28" hidden="0" customWidth="1"/>
    <x:col min="6" max="6" width="28" hidden="0" customWidth="1"/>
    <x:col min="7" max="7" width="14" hidden="0" customWidth="1"/>
    <x:col min="8" max="8" width="14" hidden="0" customWidth="1"/>
  </x:cols>
  <x:sheetData>
    <x:row r="1" ht="26" customHeight="1">
      <x:c r="A1" s="84" t="str">
        <x:v>CBDC v10.2e — independent human audit (pre-adjudication)</x:v>
      </x:c>
      <x:c r="B1" s="84" t="str">
        <x:v>CBDC v10.2e — independent human audit (pre-adjudication)</x:v>
      </x:c>
      <x:c r="C1" s="84" t="str">
        <x:v>CBDC v10.2e — independent human audit (pre-adjudication)</x:v>
      </x:c>
      <x:c r="D1" s="84" t="str">
        <x:v>CBDC v10.2e — independent human audit (pre-adjudication)</x:v>
      </x:c>
      <x:c r="E1" s="84" t="str">
        <x:v>CBDC v10.2e — independent human audit (pre-adjudication)</x:v>
      </x:c>
      <x:c r="F1" s="84" t="str">
        <x:v>CBDC v10.2e — independent human audit (pre-adjudication)</x:v>
      </x:c>
      <x:c r="G1" s="84" t="str">
        <x:v>CBDC v10.2e — independent human audit (pre-adjudication)</x:v>
      </x:c>
      <x:c r="H1" s="84" t="str">
        <x:v>CBDC v10.2e — independent human audit (pre-adjudication)</x:v>
      </x:c>
    </x:row>
    <x:row r="2" ht="45" customHeight="1">
      <x:c r="A2" s="168" t="str">
        <x:v>STATUS: Both author workbooks were completed independently under the blind protocol; the authors confirmed the blind status on 27 August 2026. This release reports pre-adjudication metrics. The 136 inclusion disagreements and 319 cases with at least one substantive coding disagreement remain unresolved, so the 77.3% midpoint must not be described as a final consensus estimate.</x:v>
      </x:c>
      <x:c r="B2" s="169" t="str">
        <x:v>STATUS: Both author workbooks were completed independently under the blind protocol; the authors confirmed the blind status on 27 August 2026. This release reports pre-adjudication metrics. The 136 inclusion disagreements and 319 cases with at least one substantive coding disagreement remain unresolved, so the 77.3% midpoint must not be described as a final consensus estimate.</x:v>
      </x:c>
      <x:c r="C2" s="169" t="str">
        <x:v>STATUS: Both author workbooks were completed independently under the blind protocol; the authors confirmed the blind status on 27 August 2026. This release reports pre-adjudication metrics. The 136 inclusion disagreements and 319 cases with at least one substantive coding disagreement remain unresolved, so the 77.3% midpoint must not be described as a final consensus estimate.</x:v>
      </x:c>
      <x:c r="D2" s="169" t="str">
        <x:v>STATUS: Both author workbooks were completed independently under the blind protocol; the authors confirmed the blind status on 27 August 2026. This release reports pre-adjudication metrics. The 136 inclusion disagreements and 319 cases with at least one substantive coding disagreement remain unresolved, so the 77.3% midpoint must not be described as a final consensus estimate.</x:v>
      </x:c>
      <x:c r="E2" s="169" t="str">
        <x:v>STATUS: Both author workbooks were completed independently under the blind protocol; the authors confirmed the blind status on 27 August 2026. This release reports pre-adjudication metrics. The 136 inclusion disagreements and 319 cases with at least one substantive coding disagreement remain unresolved, so the 77.3% midpoint must not be described as a final consensus estimate.</x:v>
      </x:c>
      <x:c r="F2" s="169" t="str">
        <x:v>STATUS: Both author workbooks were completed independently under the blind protocol; the authors confirmed the blind status on 27 August 2026. This release reports pre-adjudication metrics. The 136 inclusion disagreements and 319 cases with at least one substantive coding disagreement remain unresolved, so the 77.3% midpoint must not be described as a final consensus estimate.</x:v>
      </x:c>
      <x:c r="G2" s="169" t="str">
        <x:v>STATUS: Both author workbooks were completed independently under the blind protocol; the authors confirmed the blind status on 27 August 2026. This release reports pre-adjudication metrics. The 136 inclusion disagreements and 319 cases with at least one substantive coding disagreement remain unresolved, so the 77.3% midpoint must not be described as a final consensus estimate.</x:v>
      </x:c>
      <x:c r="H2" s="170" t="str">
        <x:v>STATUS: Both author workbooks were completed independently under the blind protocol; the authors confirmed the blind status on 27 August 2026. This release reports pre-adjudication metrics. The 136 inclusion disagreements and 319 cases with at least one substantive coding disagreement remain unresolved, so the 77.3% midpoint must not be described as a final consensus estimate.</x:v>
      </x:c>
    </x:row>
    <x:row r="3" ht="45" customHeight="1">
      <x:c r="A3" s="171" t="str">
        <x:v>STATUS: Both author workbooks were completed independently under the blind protocol; the authors confirmed the blind status on 27 August 2026. This release reports pre-adjudication metrics. The 136 inclusion disagreements and 319 cases with at least one substantive coding disagreement remain unresolved, so the 77.3% midpoint must not be described as a final consensus estimate.</x:v>
      </x:c>
      <x:c r="B3" s="172" t="str">
        <x:v>STATUS: Both author workbooks were completed independently under the blind protocol; the authors confirmed the blind status on 27 August 2026. This release reports pre-adjudication metrics. The 136 inclusion disagreements and 319 cases with at least one substantive coding disagreement remain unresolved, so the 77.3% midpoint must not be described as a final consensus estimate.</x:v>
      </x:c>
      <x:c r="C3" s="172" t="str">
        <x:v>STATUS: Both author workbooks were completed independently under the blind protocol; the authors confirmed the blind status on 27 August 2026. This release reports pre-adjudication metrics. The 136 inclusion disagreements and 319 cases with at least one substantive coding disagreement remain unresolved, so the 77.3% midpoint must not be described as a final consensus estimate.</x:v>
      </x:c>
      <x:c r="D3" s="172" t="str">
        <x:v>STATUS: Both author workbooks were completed independently under the blind protocol; the authors confirmed the blind status on 27 August 2026. This release reports pre-adjudication metrics. The 136 inclusion disagreements and 319 cases with at least one substantive coding disagreement remain unresolved, so the 77.3% midpoint must not be described as a final consensus estimate.</x:v>
      </x:c>
      <x:c r="E3" s="172" t="str">
        <x:v>STATUS: Both author workbooks were completed independently under the blind protocol; the authors confirmed the blind status on 27 August 2026. This release reports pre-adjudication metrics. The 136 inclusion disagreements and 319 cases with at least one substantive coding disagreement remain unresolved, so the 77.3% midpoint must not be described as a final consensus estimate.</x:v>
      </x:c>
      <x:c r="F3" s="172" t="str">
        <x:v>STATUS: Both author workbooks were completed independently under the blind protocol; the authors confirmed the blind status on 27 August 2026. This release reports pre-adjudication metrics. The 136 inclusion disagreements and 319 cases with at least one substantive coding disagreement remain unresolved, so the 77.3% midpoint must not be described as a final consensus estimate.</x:v>
      </x:c>
      <x:c r="G3" s="172" t="str">
        <x:v>STATUS: Both author workbooks were completed independently under the blind protocol; the authors confirmed the blind status on 27 August 2026. This release reports pre-adjudication metrics. The 136 inclusion disagreements and 319 cases with at least one substantive coding disagreement remain unresolved, so the 77.3% midpoint must not be described as a final consensus estimate.</x:v>
      </x:c>
      <x:c r="H3" s="173" t="str">
        <x:v>STATUS: Both author workbooks were completed independently under the blind protocol; the authors confirmed the blind status on 27 August 2026. This release reports pre-adjudication metrics. The 136 inclusion disagreements and 319 cases with at least one substantive coding disagreement remain unresolved, so the 77.3% midpoint must not be described as a final consensus estimate.</x:v>
      </x:c>
    </x:row>
    <x:row r="4">
      <x:c r="A4" s="65"/>
      <x:c r="B4" s="65"/>
      <x:c r="C4" s="65"/>
      <x:c r="D4" s="65"/>
      <x:c r="E4" s="65"/>
      <x:c r="F4" s="65"/>
      <x:c r="G4" s="65"/>
      <x:c r="H4" s="65"/>
    </x:row>
    <x:row r="5">
      <x:c r="A5" s="66" t="str">
        <x:v>Sample status</x:v>
      </x:c>
      <x:c r="B5" s="66" t="str">
        <x:v>Value</x:v>
      </x:c>
      <x:c r="C5" s="66" t="str">
        <x:v>Interpretation</x:v>
      </x:c>
      <x:c r="D5" s="66" t="str">
        <x:v>Source</x:v>
      </x:c>
      <x:c r="E5" s="65"/>
      <x:c r="F5" s="65"/>
      <x:c r="G5" s="65"/>
      <x:c r="H5" s="65"/>
    </x:row>
    <x:row r="6">
      <x:c r="A6" s="67" t="str">
        <x:v>Frozen candidate sample</x:v>
      </x:c>
      <x:c r="B6" s="68" t="n">
        <x:v>365</x:v>
      </x:c>
      <x:c r="C6" s="67" t="str">
        <x:v>Common blind sample</x:v>
      </x:c>
      <x:c r="D6" s="67" t="str">
        <x:v>Freeze manifest</x:v>
      </x:c>
      <x:c r="E6" s="65"/>
      <x:c r="F6" s="65"/>
      <x:c r="G6" s="65"/>
      <x:c r="H6" s="65"/>
    </x:row>
    <x:row r="7">
      <x:c r="A7" s="69" t="str">
        <x:v>Analyzable candidates</x:v>
      </x:c>
      <x:c r="B7" s="70" t="n">
        <x:v>364</x:v>
      </x:c>
      <x:c r="C7" s="69" t="str">
        <x:v>SV-0250 excluded: foreign language without translation</x:v>
      </x:c>
      <x:c r="D7" s="69" t="str">
        <x:v>Available-case analysis</x:v>
      </x:c>
      <x:c r="E7" s="65"/>
      <x:c r="F7" s="65"/>
      <x:c r="G7" s="65"/>
      <x:c r="H7" s="65"/>
    </x:row>
    <x:row r="8">
      <x:c r="A8" s="69" t="str">
        <x:v>Inclusion disagreements</x:v>
      </x:c>
      <x:c r="B8" s="70" t="n">
        <x:v>136</x:v>
      </x:c>
      <x:c r="C8" s="69" t="str">
        <x:v>Require human adjudication</x:v>
      </x:c>
      <x:c r="D8" s="69" t="str">
        <x:v>Paired review</x:v>
      </x:c>
      <x:c r="E8" s="65"/>
      <x:c r="F8" s="65"/>
      <x:c r="G8" s="65"/>
      <x:c r="H8" s="65"/>
    </x:row>
    <x:row r="9">
      <x:c r="A9" s="69" t="str">
        <x:v>Both keep</x:v>
      </x:c>
      <x:c r="B9" s="70" t="n">
        <x:v>214</x:v>
      </x:c>
      <x:c r="C9" s="69" t="str">
        <x:v>Coding reliability denominator</x:v>
      </x:c>
      <x:c r="D9" s="69" t="str">
        <x:v>Paired review</x:v>
      </x:c>
      <x:c r="E9" s="65"/>
      <x:c r="F9" s="65"/>
      <x:c r="G9" s="65"/>
      <x:c r="H9" s="65"/>
    </x:row>
    <x:row r="10">
      <x:c r="A10" s="69" t="str">
        <x:v>Both exclude</x:v>
      </x:c>
      <x:c r="B10" s="70" t="n">
        <x:v>14</x:v>
      </x:c>
      <x:c r="C10" s="69" t="str">
        <x:v>Unambiguous negative cases</x:v>
      </x:c>
      <x:c r="D10" s="69" t="str">
        <x:v>Paired review</x:v>
      </x:c>
      <x:c r="E10" s="65"/>
      <x:c r="F10" s="65"/>
      <x:c r="G10" s="65"/>
      <x:c r="H10" s="65"/>
    </x:row>
    <x:row r="11">
      <x:c r="A11" s="69" t="str">
        <x:v>Adjudication queue</x:v>
      </x:c>
      <x:c r="B11" s="70" t="n">
        <x:v>319</x:v>
      </x:c>
      <x:c r="C11" s="69" t="str">
        <x:v>Any inclusion/code/ODR/privacy/strength difference</x:v>
      </x:c>
      <x:c r="D11" s="69" t="str">
        <x:v>Adjudication Queue</x:v>
      </x:c>
      <x:c r="E11" s="65"/>
      <x:c r="F11" s="65"/>
      <x:c r="G11" s="65"/>
      <x:c r="H11" s="65"/>
    </x:row>
    <x:row r="12">
      <x:c r="A12" s="71" t="str">
        <x:v>Confidence assumption</x:v>
      </x:c>
      <x:c r="B12" s="71" t="str">
        <x:v>high</x:v>
      </x:c>
      <x:c r="C12" s="71" t="str">
        <x:v>Applied to every human-coded row per author instruction</x:v>
      </x:c>
      <x:c r="D12" s="71" t="str">
        <x:v>All Cases / Dual Empty</x:v>
      </x:c>
      <x:c r="E12" s="65"/>
      <x:c r="F12" s="65"/>
      <x:c r="G12" s="65"/>
      <x:c r="H12" s="65"/>
    </x:row>
    <x:row r="13">
      <x:c r="A13" s="65"/>
      <x:c r="B13" s="65"/>
      <x:c r="C13" s="65"/>
      <x:c r="D13" s="65"/>
      <x:c r="E13" s="65"/>
      <x:c r="F13" s="65"/>
      <x:c r="G13" s="65"/>
      <x:c r="H13" s="65"/>
    </x:row>
    <x:row r="14">
      <x:c r="A14" s="66" t="str">
        <x:v>Intercoder metric</x:v>
      </x:c>
      <x:c r="B14" s="66" t="str">
        <x:v>N</x:v>
      </x:c>
      <x:c r="C14" s="66" t="str">
        <x:v>Agreement</x:v>
      </x:c>
      <x:c r="D14" s="66" t="str">
        <x:v>IPW agreement</x:v>
      </x:c>
      <x:c r="E14" s="66" t="str">
        <x:v>Krippendorff α</x:v>
      </x:c>
      <x:c r="F14" s="66" t="str">
        <x:v>Gwet AC1</x:v>
      </x:c>
      <x:c r="G14" s="65"/>
      <x:c r="H14" s="65"/>
    </x:row>
    <x:row r="15">
      <x:c r="A15" s="72" t="str">
        <x:v>Inclusion decision</x:v>
      </x:c>
      <x:c r="B15" s="72" t="n">
        <x:v>364</x:v>
      </x:c>
      <x:c r="C15" s="73" t="n">
        <x:v>0.6263736263736264</x:v>
      </x:c>
      <x:c r="D15" s="73" t="n">
        <x:v>0.62615270988289</x:v>
      </x:c>
      <x:c r="E15" s="74" t="n">
        <x:v>-0.06893271060370165</x:v>
      </x:c>
      <x:c r="F15" s="74" t="n">
        <x:v>0.4260272701975698</x:v>
      </x:c>
      <x:c r="G15" s="65"/>
      <x:c r="H15" s="65"/>
    </x:row>
    <x:row r="16">
      <x:c r="A16" s="75" t="str">
        <x:v>Exact code | both keep</x:v>
      </x:c>
      <x:c r="B16" s="75" t="n">
        <x:v>214</x:v>
      </x:c>
      <x:c r="C16" s="76" t="n">
        <x:v>0.4672897196261682</x:v>
      </x:c>
      <x:c r="D16" s="76" t="n">
        <x:v>0.4655089374464146</x:v>
      </x:c>
      <x:c r="E16" s="77" t="n">
        <x:v>0.4227060874515246</x:v>
      </x:c>
      <x:c r="F16" s="77" t="n">
        <x:v>0.4491792174594951</x:v>
      </x:c>
      <x:c r="G16" s="65"/>
      <x:c r="H16" s="65"/>
    </x:row>
    <x:row r="17">
      <x:c r="A17" s="75" t="str">
        <x:v>Family | both keep</x:v>
      </x:c>
      <x:c r="B17" s="75" t="n">
        <x:v>214</x:v>
      </x:c>
      <x:c r="C17" s="76" t="n">
        <x:v>0.5327102803738317</x:v>
      </x:c>
      <x:c r="D17" s="76" t="n">
        <x:v>0.53131778232459</x:v>
      </x:c>
      <x:c r="E17" s="77" t="n">
        <x:v>0.48418738373076264</x:v>
      </x:c>
      <x:c r="F17" s="77" t="n">
        <x:v>0.5027488230947612</x:v>
      </x:c>
      <x:c r="G17" s="65"/>
      <x:c r="H17" s="65"/>
    </x:row>
    <x:row r="18">
      <x:c r="A18" s="75" t="str">
        <x:v>ODR | both keep</x:v>
      </x:c>
      <x:c r="B18" s="75" t="n">
        <x:v>214</x:v>
      </x:c>
      <x:c r="C18" s="76" t="n">
        <x:v>0.5934579439252337</x:v>
      </x:c>
      <x:c r="D18" s="76" t="n">
        <x:v>0.5938884467322727</x:v>
      </x:c>
      <x:c r="E18" s="77" t="n">
        <x:v>0.3792671311845205</x:v>
      </x:c>
      <x:c r="F18" s="77" t="n">
        <x:v>0.39619092405360923</x:v>
      </x:c>
      <x:c r="G18" s="65"/>
      <x:c r="H18" s="65"/>
    </x:row>
    <x:row r="19">
      <x:c r="A19" s="75" t="str">
        <x:v>Privacy direction | both keep</x:v>
      </x:c>
      <x:c r="B19" s="75" t="n">
        <x:v>214</x:v>
      </x:c>
      <x:c r="C19" s="76" t="n">
        <x:v>0.9112149532710281</x:v>
      </x:c>
      <x:c r="D19" s="76" t="n">
        <x:v>0.9130814976243096</x:v>
      </x:c>
      <x:c r="E19" s="77" t="n">
        <x:v>0.5523862068965519</x:v>
      </x:c>
      <x:c r="F19" s="77" t="n">
        <x:v>0.9049448472828862</x:v>
      </x:c>
      <x:c r="G19" s="65"/>
      <x:c r="H19" s="65"/>
    </x:row>
    <x:row r="20">
      <x:c r="A20" s="75" t="str">
        <x:v>Privacy relation | both keep</x:v>
      </x:c>
      <x:c r="B20" s="75" t="n">
        <x:v>214</x:v>
      </x:c>
      <x:c r="C20" s="76" t="n">
        <x:v>0.9018691588785047</x:v>
      </x:c>
      <x:c r="D20" s="76" t="n">
        <x:v>0.9035514095307712</x:v>
      </x:c>
      <x:c r="E20" s="77" t="n">
        <x:v>0.4606315789473685</x:v>
      </x:c>
      <x:c r="F20" s="77" t="n">
        <x:v>0.8955495039724812</x:v>
      </x:c>
      <x:c r="G20" s="65"/>
      <x:c r="H20" s="65"/>
    </x:row>
    <x:row r="21">
      <x:c r="A21" s="78" t="str">
        <x:v>Strength | both keep</x:v>
      </x:c>
      <x:c r="B21" s="78" t="n">
        <x:v>214</x:v>
      </x:c>
      <x:c r="C21" s="79" t="n">
        <x:v>0.5420560747663551</x:v>
      </x:c>
      <x:c r="D21" s="79" t="n">
        <x:v>0.5423679023900367</x:v>
      </x:c>
      <x:c r="E21" s="80" t="n">
        <x:v>0.08401190788897639</x:v>
      </x:c>
      <x:c r="F21" s="80" t="n">
        <x:v>0.38990545454545444</x:v>
      </x:c>
      <x:c r="G21" s="65"/>
      <x:c r="H21" s="65"/>
    </x:row>
    <x:row r="22">
      <x:c r="A22" s="65"/>
      <x:c r="B22" s="65"/>
      <x:c r="C22" s="65"/>
      <x:c r="D22" s="65"/>
      <x:c r="E22" s="65"/>
      <x:c r="F22" s="65"/>
      <x:c r="G22" s="65"/>
      <x:c r="H22" s="65"/>
    </x:row>
    <x:row r="23">
      <x:c r="A23" s="65"/>
      <x:c r="B23" s="65"/>
      <x:c r="C23" s="65"/>
      <x:c r="D23" s="65"/>
      <x:c r="E23" s="65"/>
      <x:c r="F23" s="65"/>
      <x:c r="G23" s="65"/>
      <x:c r="H23" s="65"/>
    </x:row>
    <x:row r="24">
      <x:c r="A24" s="66" t="str">
        <x:v>Candidate-validity estimate</x:v>
      </x:c>
      <x:c r="B24" s="66" t="str">
        <x:v>Estimate</x:v>
      </x:c>
      <x:c r="C24" s="66" t="str">
        <x:v>95% low</x:v>
      </x:c>
      <x:c r="D24" s="66" t="str">
        <x:v>95% high</x:v>
      </x:c>
      <x:c r="E24" s="66" t="str">
        <x:v>Status</x:v>
      </x:c>
      <x:c r="F24" s="65"/>
      <x:c r="G24" s="65"/>
      <x:c r="H24" s="65"/>
    </x:row>
    <x:row r="25">
      <x:c r="A25" s="72" t="str">
        <x:v>Martin</x:v>
      </x:c>
      <x:c r="B25" s="73" t="n">
        <x:v>0.7855858699550238</x:v>
      </x:c>
      <x:c r="C25" s="73" t="n">
        <x:v>0.7553845988029219</x:v>
      </x:c>
      <x:c r="D25" s="73" t="n">
        <x:v>0.8157871411071257</x:v>
      </x:c>
      <x:c r="E25" s="72" t="str">
        <x:v>Reviewer-specific</x:v>
      </x:c>
      <x:c r="F25" s="65"/>
      <x:c r="G25" s="65"/>
      <x:c r="H25" s="65"/>
    </x:row>
    <x:row r="26">
      <x:c r="A26" s="75" t="str">
        <x:v>Dominik</x:v>
      </x:c>
      <x:c r="B26" s="76" t="n">
        <x:v>0.7606658603384752</x:v>
      </x:c>
      <x:c r="C26" s="76" t="n">
        <x:v>0.7378609417844926</x:v>
      </x:c>
      <x:c r="D26" s="76" t="n">
        <x:v>0.7834707788924578</x:v>
      </x:c>
      <x:c r="E26" s="75" t="str">
        <x:v>Reviewer-specific</x:v>
      </x:c>
      <x:c r="F26" s="65"/>
      <x:c r="G26" s="65"/>
      <x:c r="H26" s="65"/>
    </x:row>
    <x:row r="27">
      <x:c r="A27" s="75" t="str">
        <x:v>Pre-consensus midpoint</x:v>
      </x:c>
      <x:c r="B27" s="76" t="n">
        <x:v>0.7731258651467495</x:v>
      </x:c>
      <x:c r="C27" s="76" t="n">
        <x:v>0.7533502403284357</x:v>
      </x:c>
      <x:c r="D27" s="76" t="n">
        <x:v>0.7929014899650634</x:v>
      </x:c>
      <x:c r="E27" s="75" t="str">
        <x:v>Descriptive only</x:v>
      </x:c>
      <x:c r="F27" s="65"/>
      <x:c r="G27" s="65"/>
      <x:c r="H27" s="65"/>
    </x:row>
    <x:row r="28">
      <x:c r="A28" s="75" t="str">
        <x:v>Unresolved lower bound</x:v>
      </x:c>
      <x:c r="B28" s="76" t="n">
        <x:v>0.5857054914833013</x:v>
      </x:c>
      <x:c r="C28" s="76" t="n">
        <x:v>0.5545012715131727</x:v>
      </x:c>
      <x:c r="D28" s="76" t="n">
        <x:v>0.6169097114534299</x:v>
      </x:c>
      <x:c r="E28" s="75" t="str">
        <x:v>All disagreements -&gt; exclude</x:v>
      </x:c>
      <x:c r="F28" s="65"/>
      <x:c r="G28" s="65"/>
      <x:c r="H28" s="65"/>
    </x:row>
    <x:row r="29">
      <x:c r="A29" s="78" t="str">
        <x:v>Unresolved upper bound</x:v>
      </x:c>
      <x:c r="B29" s="79" t="n">
        <x:v>0.9605462388101975</x:v>
      </x:c>
      <x:c r="C29" s="79" t="n">
        <x:v>0.940084101817836</x:v>
      </x:c>
      <x:c r="D29" s="79" t="n">
        <x:v>0.9810083758025591</x:v>
      </x:c>
      <x:c r="E29" s="78" t="str">
        <x:v>All disagreements -&gt; keep</x:v>
      </x:c>
      <x:c r="F29" s="65"/>
      <x:c r="G29" s="65"/>
      <x:c r="H29" s="65"/>
    </x:row>
    <x:row r="30">
      <x:c r="A30" s="65"/>
      <x:c r="B30" s="65"/>
      <x:c r="C30" s="65"/>
      <x:c r="D30" s="65"/>
      <x:c r="E30" s="65"/>
      <x:c r="F30" s="65"/>
      <x:c r="G30" s="65"/>
      <x:c r="H30" s="65"/>
    </x:row>
    <x:row r="31">
      <x:c r="A31" s="66" t="str">
        <x:v>Post-unblinding sensitivity</x:v>
      </x:c>
      <x:c r="B31" s="66" t="str">
        <x:v>Human–OpenAI</x:v>
      </x:c>
      <x:c r="C31" s="66" t="str">
        <x:v>Human–Claude</x:v>
      </x:c>
      <x:c r="D31" s="66" t="str">
        <x:v>Observed pattern</x:v>
      </x:c>
      <x:c r="E31" s="66" t="str">
        <x:v>Interpretation boundary</x:v>
      </x:c>
      <x:c r="F31" s="66" t="str">
        <x:v>Reportable?</x:v>
      </x:c>
      <x:c r="G31" s="65"/>
      <x:c r="H31" s="65"/>
    </x:row>
    <x:row r="32">
      <x:c r="A32" s="81" t="str">
        <x:v>Martin: all five fields exact</x:v>
      </x:c>
      <x:c r="B32" s="82" t="n">
        <x:v>0.7643835616438356</x:v>
      </x:c>
      <x:c r="C32" s="82" t="n">
        <x:v>0.18082191780821918</x:v>
      </x:c>
      <x:c r="D32" s="81" t="str">
        <x:v>Strong OpenAI alignment</x:v>
      </x:c>
      <x:c r="E32" s="81" t="str">
        <x:v>Blind status confirmed; do not use one reviewer to rank providers</x:v>
      </x:c>
      <x:c r="F32" s="81" t="str">
        <x:v>Sensitivity only</x:v>
      </x:c>
      <x:c r="G32" s="65"/>
      <x:c r="H32" s="65"/>
    </x:row>
    <x:row r="33">
      <x:c r="A33" s="81" t="str">
        <x:v>Dominik: all five fields exact</x:v>
      </x:c>
      <x:c r="B33" s="82" t="n">
        <x:v>0.15342465753424658</x:v>
      </x:c>
      <x:c r="C33" s="82" t="n">
        <x:v>0.8986301369863013</x:v>
      </x:c>
      <x:c r="D33" s="81" t="str">
        <x:v>Strong Claude alignment</x:v>
      </x:c>
      <x:c r="E33" s="81" t="str">
        <x:v>Blind status confirmed; do not use one reviewer to rank providers</x:v>
      </x:c>
      <x:c r="F33" s="81" t="str">
        <x:v>Sensitivity only</x:v>
      </x:c>
      <x:c r="G33" s="65"/>
      <x:c r="H33" s="65"/>
    </x:row>
    <x:row r="34">
      <x:c r="A34" s="65"/>
      <x:c r="B34" s="65"/>
      <x:c r="C34" s="65"/>
      <x:c r="D34" s="65"/>
      <x:c r="E34" s="65"/>
      <x:c r="F34" s="65"/>
      <x:c r="G34" s="65"/>
      <x:c r="H34" s="65"/>
    </x:row>
    <x:row r="35">
      <x:c r="A35" s="66" t="str">
        <x:v>Dual-empty joint audit</x:v>
      </x:c>
      <x:c r="B35" s="66" t="str">
        <x:v>Observed</x:v>
      </x:c>
      <x:c r="C35" s="66" t="str">
        <x:v>Rate</x:v>
      </x:c>
      <x:c r="D35" s="66" t="str">
        <x:v>95% interval</x:v>
      </x:c>
      <x:c r="E35" s="66" t="str">
        <x:v>Interpretation</x:v>
      </x:c>
      <x:c r="F35" s="65"/>
      <x:c r="G35" s="65"/>
      <x:c r="H35" s="65"/>
    </x:row>
    <x:row r="36">
      <x:c r="A36" s="67" t="str">
        <x:v>Missed units</x:v>
      </x:c>
      <x:c r="B36" s="67" t="str">
        <x:v>1/31</x:v>
      </x:c>
      <x:c r="C36" s="83" t="n">
        <x:v>0.03225806451612903</x:v>
      </x:c>
      <x:c r="D36" s="67" t="str">
        <x:v>0.6%–16.2%</x:v>
      </x:c>
      <x:c r="E36" s="67" t="str">
        <x:v>Joint author audit; not independent</x:v>
      </x:c>
      <x:c r="F36" s="65"/>
      <x:c r="G36" s="65"/>
      <x:c r="H36" s="65"/>
    </x:row>
    <x:row r="37">
      <x:c r="A37" s="69" t="str">
        <x:v>Foreign/no-translation exclusions</x:v>
      </x:c>
      <x:c r="B37" s="69" t="n">
        <x:v>5</x:v>
      </x:c>
      <x:c r="C37" s="69"/>
      <x:c r="D37" s="69" t="str">
        <x:v>DE-0013, DE-0019, DE-0022, DE-0030, DE-0031</x:v>
      </x:c>
      <x:c r="E37" s="69" t="str">
        <x:v>Excluded from denominator</x:v>
      </x:c>
      <x:c r="F37" s="65"/>
      <x:c r="G37" s="65"/>
      <x:c r="H37" s="65"/>
    </x:row>
    <x:row r="38">
      <x:c r="A38" s="71" t="str">
        <x:v>Recovered supplemental claims</x:v>
      </x:c>
      <x:c r="B38" s="71" t="n">
        <x:v>2</x:v>
      </x:c>
      <x:c r="C38" s="71"/>
      <x:c r="D38" s="71" t="str">
        <x:v>DE-0009</x:v>
      </x:c>
      <x:c r="E38" s="71" t="str">
        <x:v>Two claims from DE-0009</x:v>
      </x:c>
      <x:c r="F38" s="65"/>
      <x:c r="G38" s="65"/>
      <x:c r="H38" s="65"/>
    </x:row>
    <x:row r="39">
      <x:c r="A39" s="65"/>
      <x:c r="B39" s="65"/>
      <x:c r="C39" s="65"/>
      <x:c r="D39" s="65"/>
      <x:c r="E39" s="65"/>
      <x:c r="F39" s="65"/>
      <x:c r="G39" s="65"/>
      <x:c r="H39" s="65"/>
    </x:row>
    <x:row r="40">
      <x:c r="A40" s="65"/>
      <x:c r="B40" s="65"/>
      <x:c r="C40" s="65"/>
      <x:c r="D40" s="65"/>
      <x:c r="E40" s="65"/>
      <x:c r="F40" s="65"/>
      <x:c r="G40" s="65"/>
      <x:c r="H40" s="65"/>
    </x:row>
  </x:sheetData>
  <x:mergeCells>
    <x:mergeCell ref="A1:H1"/>
    <x:mergeCell ref="A2:H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12" hidden="0" customWidth="1"/>
    <x:col min="3" max="3" width="12" hidden="0" customWidth="1"/>
    <x:col min="4" max="4" width="16" hidden="0" customWidth="1"/>
    <x:col min="5" max="5" width="16" hidden="0" customWidth="1"/>
    <x:col min="6" max="6" width="16" hidden="0" customWidth="1"/>
    <x:col min="7" max="7" width="16" hidden="0" customWidth="1"/>
    <x:col min="8" max="8" width="28" hidden="0" customWidth="1"/>
  </x:cols>
  <x:sheetData>
    <x:row r="1" ht="26" customHeight="1">
      <x:c r="A1" s="4" t="str">
        <x:v>Pre-consensus intercoder reliability</x:v>
      </x:c>
      <x:c r="B1" s="4" t="str">
        <x:v>Pre-consensus intercoder reliability</x:v>
      </x:c>
      <x:c r="C1" s="4" t="str">
        <x:v>Pre-consensus intercoder reliability</x:v>
      </x:c>
      <x:c r="D1" s="4" t="str">
        <x:v>Pre-consensus intercoder reliability</x:v>
      </x:c>
      <x:c r="E1" s="4" t="str">
        <x:v>Pre-consensus intercoder reliability</x:v>
      </x:c>
      <x:c r="F1" s="4" t="str">
        <x:v>Pre-consensus intercoder reliability</x:v>
      </x:c>
      <x:c r="G1" s="4" t="str">
        <x:v>Pre-consensus intercoder reliability</x:v>
      </x:c>
      <x:c r="H1" s="4" t="str">
        <x:v>Pre-consensus intercoder reliability</x:v>
      </x:c>
    </x:row>
    <x:row r="2">
      <x:c r="A2" s="29" t="str">
        <x:v>Metric</x:v>
      </x:c>
      <x:c r="B2" s="29" t="str">
        <x:v>N</x:v>
      </x:c>
      <x:c r="C2" s="29" t="str">
        <x:v>Agreements</x:v>
      </x:c>
      <x:c r="D2" s="29" t="str">
        <x:v>Agreement</x:v>
      </x:c>
      <x:c r="E2" s="29" t="str">
        <x:v>IPW agreement</x:v>
      </x:c>
      <x:c r="F2" s="29" t="str">
        <x:v>Krippendorff α</x:v>
      </x:c>
      <x:c r="G2" s="29" t="str">
        <x:v>Gwet AC1</x:v>
      </x:c>
      <x:c r="H2" s="29" t="str">
        <x:v>Interpretation</x:v>
      </x:c>
    </x:row>
    <x:row r="3">
      <x:c r="A3" s="37" t="str">
        <x:v>Inclusion decision</x:v>
      </x:c>
      <x:c r="B3" s="37" t="n">
        <x:v>364</x:v>
      </x:c>
      <x:c r="C3" s="37" t="n">
        <x:v>228</x:v>
      </x:c>
      <x:c r="D3" s="54" t="n">
        <x:v>0.6263736263736264</x:v>
      </x:c>
      <x:c r="E3" s="54" t="n">
        <x:v>0.62615270988289</x:v>
      </x:c>
      <x:c r="F3" s="86" t="n">
        <x:v>-0.06893271060370165</x:v>
      </x:c>
      <x:c r="G3" s="86" t="n">
        <x:v>0.4260272701975698</x:v>
      </x:c>
      <x:c r="H3" s="37" t="str">
        <x:v>Low; requires adjudication</x:v>
      </x:c>
    </x:row>
    <x:row r="4">
      <x:c r="A4" s="38" t="str">
        <x:v>Exact code | both keep</x:v>
      </x:c>
      <x:c r="B4" s="38" t="n">
        <x:v>214</x:v>
      </x:c>
      <x:c r="C4" s="38" t="n">
        <x:v>100</x:v>
      </x:c>
      <x:c r="D4" s="85" t="n">
        <x:v>0.4672897196261682</x:v>
      </x:c>
      <x:c r="E4" s="85" t="n">
        <x:v>0.4655089374464146</x:v>
      </x:c>
      <x:c r="F4" s="87" t="n">
        <x:v>0.4227060874515246</x:v>
      </x:c>
      <x:c r="G4" s="87" t="n">
        <x:v>0.4491792174594951</x:v>
      </x:c>
      <x:c r="H4" s="38" t="str">
        <x:v>Substantial disagreement</x:v>
      </x:c>
    </x:row>
    <x:row r="5">
      <x:c r="A5" s="38" t="str">
        <x:v>Family | both keep</x:v>
      </x:c>
      <x:c r="B5" s="38" t="n">
        <x:v>214</x:v>
      </x:c>
      <x:c r="C5" s="38" t="n">
        <x:v>114</x:v>
      </x:c>
      <x:c r="D5" s="85" t="n">
        <x:v>0.5327102803738317</x:v>
      </x:c>
      <x:c r="E5" s="85" t="n">
        <x:v>0.53131778232459</x:v>
      </x:c>
      <x:c r="F5" s="87" t="n">
        <x:v>0.48418738373076264</x:v>
      </x:c>
      <x:c r="G5" s="87" t="n">
        <x:v>0.5027488230947612</x:v>
      </x:c>
      <x:c r="H5" s="38" t="str">
        <x:v>Substantial disagreement</x:v>
      </x:c>
    </x:row>
    <x:row r="6">
      <x:c r="A6" s="38" t="str">
        <x:v>ODR | both keep</x:v>
      </x:c>
      <x:c r="B6" s="38" t="n">
        <x:v>214</x:v>
      </x:c>
      <x:c r="C6" s="38" t="n">
        <x:v>127</x:v>
      </x:c>
      <x:c r="D6" s="85" t="n">
        <x:v>0.5934579439252337</x:v>
      </x:c>
      <x:c r="E6" s="85" t="n">
        <x:v>0.5938884467322727</x:v>
      </x:c>
      <x:c r="F6" s="87" t="n">
        <x:v>0.3792671311845205</x:v>
      </x:c>
      <x:c r="G6" s="87" t="n">
        <x:v>0.39619092405360923</x:v>
      </x:c>
      <x:c r="H6" s="38" t="str">
        <x:v>Substantial disagreement</x:v>
      </x:c>
    </x:row>
    <x:row r="7">
      <x:c r="A7" s="38" t="str">
        <x:v>Privacy direction | both keep</x:v>
      </x:c>
      <x:c r="B7" s="38" t="n">
        <x:v>214</x:v>
      </x:c>
      <x:c r="C7" s="38" t="n">
        <x:v>195</x:v>
      </x:c>
      <x:c r="D7" s="85" t="n">
        <x:v>0.9112149532710281</x:v>
      </x:c>
      <x:c r="E7" s="85" t="n">
        <x:v>0.9130814976243096</x:v>
      </x:c>
      <x:c r="F7" s="87" t="n">
        <x:v>0.5523862068965519</x:v>
      </x:c>
      <x:c r="G7" s="87" t="n">
        <x:v>0.9049448472828862</x:v>
      </x:c>
      <x:c r="H7" s="38" t="str">
        <x:v>High raw agreement</x:v>
      </x:c>
    </x:row>
    <x:row r="8">
      <x:c r="A8" s="38" t="str">
        <x:v>Privacy relation | both keep</x:v>
      </x:c>
      <x:c r="B8" s="38" t="n">
        <x:v>214</x:v>
      </x:c>
      <x:c r="C8" s="38" t="n">
        <x:v>193</x:v>
      </x:c>
      <x:c r="D8" s="85" t="n">
        <x:v>0.9018691588785047</x:v>
      </x:c>
      <x:c r="E8" s="85" t="n">
        <x:v>0.9035514095307712</x:v>
      </x:c>
      <x:c r="F8" s="87" t="n">
        <x:v>0.4606315789473685</x:v>
      </x:c>
      <x:c r="G8" s="87" t="n">
        <x:v>0.8955495039724812</x:v>
      </x:c>
      <x:c r="H8" s="38" t="str">
        <x:v>High raw agreement</x:v>
      </x:c>
    </x:row>
    <x:row r="9">
      <x:c r="A9" s="39" t="str">
        <x:v>Strength | both keep</x:v>
      </x:c>
      <x:c r="B9" s="39" t="n">
        <x:v>214</x:v>
      </x:c>
      <x:c r="C9" s="39" t="n">
        <x:v>116</x:v>
      </x:c>
      <x:c r="D9" s="55" t="n">
        <x:v>0.5420560747663551</x:v>
      </x:c>
      <x:c r="E9" s="55" t="n">
        <x:v>0.5423679023900367</x:v>
      </x:c>
      <x:c r="F9" s="88" t="n">
        <x:v>0.08401190788897639</x:v>
      </x:c>
      <x:c r="G9" s="88" t="n">
        <x:v>0.38990545454545444</x:v>
      </x:c>
      <x:c r="H9" s="39" t="str">
        <x:v>Substantial disagreement</x:v>
      </x:c>
    </x:row>
    <x:row r="12">
      <x:c r="A12" s="107" t="str">
        <x:v>Krippendorff α is prevalence-sensitive and becomes negative for inclusion despite 62.6% raw agreement; Gwet AC1 is shown because it is more stable under skewed keep/exclude prevalence. Neither statistic repairs substantive disagreement. Exact code/family/ODR metrics use only the 214 cases both reviewers kept.</x:v>
      </x:c>
      <x:c r="B12" s="108" t="str">
        <x:v>Krippendorff α is prevalence-sensitive and becomes negative for inclusion despite 62.6% raw agreement; Gwet AC1 is shown because it is more stable under skewed keep/exclude prevalence. Neither statistic repairs substantive disagreement. Exact code/family/ODR metrics use only the 214 cases both reviewers kept.</x:v>
      </x:c>
      <x:c r="C12" s="108" t="str">
        <x:v>Krippendorff α is prevalence-sensitive and becomes negative for inclusion despite 62.6% raw agreement; Gwet AC1 is shown because it is more stable under skewed keep/exclude prevalence. Neither statistic repairs substantive disagreement. Exact code/family/ODR metrics use only the 214 cases both reviewers kept.</x:v>
      </x:c>
      <x:c r="D12" s="108" t="str">
        <x:v>Krippendorff α is prevalence-sensitive and becomes negative for inclusion despite 62.6% raw agreement; Gwet AC1 is shown because it is more stable under skewed keep/exclude prevalence. Neither statistic repairs substantive disagreement. Exact code/family/ODR metrics use only the 214 cases both reviewers kept.</x:v>
      </x:c>
      <x:c r="E12" s="108" t="str">
        <x:v>Krippendorff α is prevalence-sensitive and becomes negative for inclusion despite 62.6% raw agreement; Gwet AC1 is shown because it is more stable under skewed keep/exclude prevalence. Neither statistic repairs substantive disagreement. Exact code/family/ODR metrics use only the 214 cases both reviewers kept.</x:v>
      </x:c>
      <x:c r="F12" s="108" t="str">
        <x:v>Krippendorff α is prevalence-sensitive and becomes negative for inclusion despite 62.6% raw agreement; Gwet AC1 is shown because it is more stable under skewed keep/exclude prevalence. Neither statistic repairs substantive disagreement. Exact code/family/ODR metrics use only the 214 cases both reviewers kept.</x:v>
      </x:c>
      <x:c r="G12" s="108" t="str">
        <x:v>Krippendorff α is prevalence-sensitive and becomes negative for inclusion despite 62.6% raw agreement; Gwet AC1 is shown because it is more stable under skewed keep/exclude prevalence. Neither statistic repairs substantive disagreement. Exact code/family/ODR metrics use only the 214 cases both reviewers kept.</x:v>
      </x:c>
      <x:c r="H12" s="109" t="str">
        <x:v>Krippendorff α is prevalence-sensitive and becomes negative for inclusion despite 62.6% raw agreement; Gwet AC1 is shown because it is more stable under skewed keep/exclude prevalence. Neither statistic repairs substantive disagreement. Exact code/family/ODR metrics use only the 214 cases both reviewers kept.</x:v>
      </x:c>
    </x:row>
    <x:row r="13">
      <x:c r="A13" s="110" t="str">
        <x:v>Krippendorff α is prevalence-sensitive and becomes negative for inclusion despite 62.6% raw agreement; Gwet AC1 is shown because it is more stable under skewed keep/exclude prevalence. Neither statistic repairs substantive disagreement. Exact code/family/ODR metrics use only the 214 cases both reviewers kept.</x:v>
      </x:c>
      <x:c r="B13" s="111" t="str">
        <x:v>Krippendorff α is prevalence-sensitive and becomes negative for inclusion despite 62.6% raw agreement; Gwet AC1 is shown because it is more stable under skewed keep/exclude prevalence. Neither statistic repairs substantive disagreement. Exact code/family/ODR metrics use only the 214 cases both reviewers kept.</x:v>
      </x:c>
      <x:c r="C13" s="111" t="str">
        <x:v>Krippendorff α is prevalence-sensitive and becomes negative for inclusion despite 62.6% raw agreement; Gwet AC1 is shown because it is more stable under skewed keep/exclude prevalence. Neither statistic repairs substantive disagreement. Exact code/family/ODR metrics use only the 214 cases both reviewers kept.</x:v>
      </x:c>
      <x:c r="D13" s="111" t="str">
        <x:v>Krippendorff α is prevalence-sensitive and becomes negative for inclusion despite 62.6% raw agreement; Gwet AC1 is shown because it is more stable under skewed keep/exclude prevalence. Neither statistic repairs substantive disagreement. Exact code/family/ODR metrics use only the 214 cases both reviewers kept.</x:v>
      </x:c>
      <x:c r="E13" s="111" t="str">
        <x:v>Krippendorff α is prevalence-sensitive and becomes negative for inclusion despite 62.6% raw agreement; Gwet AC1 is shown because it is more stable under skewed keep/exclude prevalence. Neither statistic repairs substantive disagreement. Exact code/family/ODR metrics use only the 214 cases both reviewers kept.</x:v>
      </x:c>
      <x:c r="F13" s="111" t="str">
        <x:v>Krippendorff α is prevalence-sensitive and becomes negative for inclusion despite 62.6% raw agreement; Gwet AC1 is shown because it is more stable under skewed keep/exclude prevalence. Neither statistic repairs substantive disagreement. Exact code/family/ODR metrics use only the 214 cases both reviewers kept.</x:v>
      </x:c>
      <x:c r="G13" s="111" t="str">
        <x:v>Krippendorff α is prevalence-sensitive and becomes negative for inclusion despite 62.6% raw agreement; Gwet AC1 is shown because it is more stable under skewed keep/exclude prevalence. Neither statistic repairs substantive disagreement. Exact code/family/ODR metrics use only the 214 cases both reviewers kept.</x:v>
      </x:c>
      <x:c r="H13" s="112" t="str">
        <x:v>Krippendorff α is prevalence-sensitive and becomes negative for inclusion despite 62.6% raw agreement; Gwet AC1 is shown because it is more stable under skewed keep/exclude prevalence. Neither statistic repairs substantive disagreement. Exact code/family/ODR metrics use only the 214 cases both reviewers kept.</x:v>
      </x:c>
    </x:row>
    <x:row r="14">
      <x:c r="A14" s="113" t="str">
        <x:v>Krippendorff α is prevalence-sensitive and becomes negative for inclusion despite 62.6% raw agreement; Gwet AC1 is shown because it is more stable under skewed keep/exclude prevalence. Neither statistic repairs substantive disagreement. Exact code/family/ODR metrics use only the 214 cases both reviewers kept.</x:v>
      </x:c>
      <x:c r="B14" s="114" t="str">
        <x:v>Krippendorff α is prevalence-sensitive and becomes negative for inclusion despite 62.6% raw agreement; Gwet AC1 is shown because it is more stable under skewed keep/exclude prevalence. Neither statistic repairs substantive disagreement. Exact code/family/ODR metrics use only the 214 cases both reviewers kept.</x:v>
      </x:c>
      <x:c r="C14" s="114" t="str">
        <x:v>Krippendorff α is prevalence-sensitive and becomes negative for inclusion despite 62.6% raw agreement; Gwet AC1 is shown because it is more stable under skewed keep/exclude prevalence. Neither statistic repairs substantive disagreement. Exact code/family/ODR metrics use only the 214 cases both reviewers kept.</x:v>
      </x:c>
      <x:c r="D14" s="114" t="str">
        <x:v>Krippendorff α is prevalence-sensitive and becomes negative for inclusion despite 62.6% raw agreement; Gwet AC1 is shown because it is more stable under skewed keep/exclude prevalence. Neither statistic repairs substantive disagreement. Exact code/family/ODR metrics use only the 214 cases both reviewers kept.</x:v>
      </x:c>
      <x:c r="E14" s="114" t="str">
        <x:v>Krippendorff α is prevalence-sensitive and becomes negative for inclusion despite 62.6% raw agreement; Gwet AC1 is shown because it is more stable under skewed keep/exclude prevalence. Neither statistic repairs substantive disagreement. Exact code/family/ODR metrics use only the 214 cases both reviewers kept.</x:v>
      </x:c>
      <x:c r="F14" s="114" t="str">
        <x:v>Krippendorff α is prevalence-sensitive and becomes negative for inclusion despite 62.6% raw agreement; Gwet AC1 is shown because it is more stable under skewed keep/exclude prevalence. Neither statistic repairs substantive disagreement. Exact code/family/ODR metrics use only the 214 cases both reviewers kept.</x:v>
      </x:c>
      <x:c r="G14" s="114" t="str">
        <x:v>Krippendorff α is prevalence-sensitive and becomes negative for inclusion despite 62.6% raw agreement; Gwet AC1 is shown because it is more stable under skewed keep/exclude prevalence. Neither statistic repairs substantive disagreement. Exact code/family/ODR metrics use only the 214 cases both reviewers kept.</x:v>
      </x:c>
      <x:c r="H14" s="115" t="str">
        <x:v>Krippendorff α is prevalence-sensitive and becomes negative for inclusion despite 62.6% raw agreement; Gwet AC1 is shown because it is more stable under skewed keep/exclude prevalence. Neither statistic repairs substantive disagreement. Exact code/family/ODR metrics use only the 214 cases both reviewers kept.</x:v>
      </x:c>
    </x:row>
  </x:sheetData>
  <x:mergeCells>
    <x:mergeCell ref="A1:H1"/>
    <x:mergeCell ref="A12:H14"/>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5" hidden="0" customWidth="1"/>
    <x:col min="4" max="4" width="15" hidden="0" customWidth="1"/>
    <x:col min="5" max="5" width="17" hidden="0" customWidth="1"/>
    <x:col min="6" max="6" width="17" hidden="0" customWidth="1"/>
    <x:col min="7" max="7" width="17" hidden="0" customWidth="1"/>
    <x:col min="8" max="8" width="17" hidden="0" customWidth="1"/>
    <x:col min="9" max="9" width="17" hidden="0" customWidth="1"/>
    <x:col min="10" max="10" width="35" hidden="0" customWidth="1"/>
  </x:cols>
  <x:sheetData>
    <x:row r="1" ht="26" customHeight="1">
      <x:c r="A1" s="4" t="str">
        <x:v>Reviewer-specific human–provider checks (not consensus)</x:v>
      </x:c>
      <x:c r="B1" s="4" t="str">
        <x:v>Reviewer-specific human–provider checks (not consensus)</x:v>
      </x:c>
      <x:c r="C1" s="4" t="str">
        <x:v>Reviewer-specific human–provider checks (not consensus)</x:v>
      </x:c>
      <x:c r="D1" s="4" t="str">
        <x:v>Reviewer-specific human–provider checks (not consensus)</x:v>
      </x:c>
      <x:c r="E1" s="4" t="str">
        <x:v>Reviewer-specific human–provider checks (not consensus)</x:v>
      </x:c>
      <x:c r="F1" s="4" t="str">
        <x:v>Reviewer-specific human–provider checks (not consensus)</x:v>
      </x:c>
      <x:c r="G1" s="4" t="str">
        <x:v>Reviewer-specific human–provider checks (not consensus)</x:v>
      </x:c>
      <x:c r="H1" s="4" t="str">
        <x:v>Reviewer-specific human–provider checks (not consensus)</x:v>
      </x:c>
      <x:c r="I1" s="4" t="str">
        <x:v>Reviewer-specific human–provider checks (not consensus)</x:v>
      </x:c>
      <x:c r="J1" s="4" t="str">
        <x:v>Reviewer-specific human–provider checks (not consensus)</x:v>
      </x:c>
    </x:row>
    <x:row r="2">
      <x:c r="A2" s="29" t="str">
        <x:v>Provider</x:v>
      </x:c>
      <x:c r="B2" s="29" t="str">
        <x:v>Reviewer</x:v>
      </x:c>
      <x:c r="C2" s="29" t="str">
        <x:v>Attributable n</x:v>
      </x:c>
      <x:c r="D2" s="29" t="str">
        <x:v>Human kept n</x:v>
      </x:c>
      <x:c r="E2" s="29" t="str">
        <x:v>Candidate validity IPW</x:v>
      </x:c>
      <x:c r="F2" s="29" t="str">
        <x:v>Code member IPW</x:v>
      </x:c>
      <x:c r="G2" s="29" t="str">
        <x:v>Exact code set IPW</x:v>
      </x:c>
      <x:c r="H2" s="29" t="str">
        <x:v>Family IPW</x:v>
      </x:c>
      <x:c r="I2" s="29" t="str">
        <x:v>ODR IPW</x:v>
      </x:c>
      <x:c r="J2" s="29" t="str">
        <x:v>Boundary</x:v>
      </x:c>
    </x:row>
    <x:row r="3">
      <x:c r="A3" s="37" t="str">
        <x:v>OpenAI</x:v>
      </x:c>
      <x:c r="B3" s="37" t="str">
        <x:v>Martin</x:v>
      </x:c>
      <x:c r="C3" s="37" t="n">
        <x:v>296</x:v>
      </x:c>
      <x:c r="D3" s="37" t="n">
        <x:v>274</x:v>
      </x:c>
      <x:c r="E3" s="54" t="n">
        <x:v>0.9249667724020713</x:v>
      </x:c>
      <x:c r="F3" s="54" t="n">
        <x:v>0.8289470082068741</x:v>
      </x:c>
      <x:c r="G3" s="54" t="n">
        <x:v>0.8216128366697895</x:v>
      </x:c>
      <x:c r="H3" s="54" t="n">
        <x:v>0.8399482655125008</x:v>
      </x:c>
      <x:c r="I3" s="54" t="n">
        <x:v>0.9963042025256953</x:v>
      </x:c>
      <x:c r="J3" s="37" t="str">
        <x:v>Descriptive; blind confirmed, consensus not adjudicated</x:v>
      </x:c>
    </x:row>
    <x:row r="4">
      <x:c r="A4" s="38" t="str">
        <x:v>OpenAI</x:v>
      </x:c>
      <x:c r="B4" s="38" t="str">
        <x:v>Dominik</x:v>
      </x:c>
      <x:c r="C4" s="38" t="n">
        <x:v>296</x:v>
      </x:c>
      <x:c r="D4" s="38" t="n">
        <x:v>213</x:v>
      </x:c>
      <x:c r="E4" s="85" t="n">
        <x:v>0.7220023518716154</x:v>
      </x:c>
      <x:c r="F4" s="85" t="n">
        <x:v>0.43026124446117253</x:v>
      </x:c>
      <x:c r="G4" s="85" t="n">
        <x:v>0.4255632923303279</x:v>
      </x:c>
      <x:c r="H4" s="85" t="n">
        <x:v>0.4631469093770851</x:v>
      </x:c>
      <x:c r="I4" s="85" t="n">
        <x:v>0.6078869480419495</x:v>
      </x:c>
      <x:c r="J4" s="38" t="str">
        <x:v>Descriptive; blind confirmed, consensus not adjudicated</x:v>
      </x:c>
    </x:row>
    <x:row r="5">
      <x:c r="A5" s="38" t="str">
        <x:v>Claude</x:v>
      </x:c>
      <x:c r="B5" s="38" t="str">
        <x:v>Martin</x:v>
      </x:c>
      <x:c r="C5" s="38" t="n">
        <x:v>294</x:v>
      </x:c>
      <x:c r="D5" s="38" t="n">
        <x:v>226</x:v>
      </x:c>
      <x:c r="E5" s="85" t="n">
        <x:v>0.7649491778663361</x:v>
      </x:c>
      <x:c r="F5" s="85" t="n">
        <x:v>0.4140664159387903</x:v>
      </x:c>
      <x:c r="G5" s="85" t="n">
        <x:v>0.4140664159387903</x:v>
      </x:c>
      <x:c r="H5" s="85" t="n">
        <x:v>0.485248987009795</x:v>
      </x:c>
      <x:c r="I5" s="85" t="n">
        <x:v>0.5932549242803967</x:v>
      </x:c>
      <x:c r="J5" s="38" t="str">
        <x:v>Descriptive; blind confirmed, consensus not adjudicated</x:v>
      </x:c>
    </x:row>
    <x:row r="6">
      <x:c r="A6" s="39" t="str">
        <x:v>Claude</x:v>
      </x:c>
      <x:c r="B6" s="39" t="str">
        <x:v>Dominik</x:v>
      </x:c>
      <x:c r="C6" s="39" t="n">
        <x:v>294</x:v>
      </x:c>
      <x:c r="D6" s="39" t="n">
        <x:v>276</x:v>
      </x:c>
      <x:c r="E6" s="55" t="n">
        <x:v>0.9382144350196534</x:v>
      </x:c>
      <x:c r="F6" s="55" t="n">
        <x:v>0.9384590641116232</x:v>
      </x:c>
      <x:c r="G6" s="55" t="n">
        <x:v>0.9348390090593657</x:v>
      </x:c>
      <x:c r="H6" s="55" t="n">
        <x:v>0.945699174216138</x:v>
      </x:c>
      <x:c r="I6" s="55" t="n">
        <x:v>0.9963219396956307</x:v>
      </x:c>
      <x:c r="J6" s="39" t="str">
        <x:v>Descriptive; blind confirmed, consensus not adjudicated</x:v>
      </x:c>
    </x:row>
    <x:row r="8">
      <x:c r="A8" s="192" t="str">
        <x:v>Author-confirmed blind-design sensitivity: Martin matches OpenAI across inclusion, code, ODR, privacy direction and privacy relation on 76.4% of all 365 rows and Claude on 18.1%; Dominik matches Claude on 89.9% and OpenAI on 15.3%. Under the confirmed blind protocol, this is treated as a reviewer-by-provider interaction rather than answer-key exposure. Provider rankings must therefore not rely on a single reviewer; the ensemble and provider-specific sensitivity remain the appropriate reporting boundary.</x:v>
      </x:c>
      <x:c r="B8" s="193" t="str">
        <x:v>Author-confirmed blind-design sensitivity: Martin matches OpenAI across inclusion, code, ODR, privacy direction and privacy relation on 76.4% of all 365 rows and Claude on 18.1%; Dominik matches Claude on 89.9% and OpenAI on 15.3%. Under the confirmed blind protocol, this is treated as a reviewer-by-provider interaction rather than answer-key exposure. Provider rankings must therefore not rely on a single reviewer; the ensemble and provider-specific sensitivity remain the appropriate reporting boundary.</x:v>
      </x:c>
      <x:c r="C8" s="193" t="str">
        <x:v>Author-confirmed blind-design sensitivity: Martin matches OpenAI across inclusion, code, ODR, privacy direction and privacy relation on 76.4% of all 365 rows and Claude on 18.1%; Dominik matches Claude on 89.9% and OpenAI on 15.3%. Under the confirmed blind protocol, this is treated as a reviewer-by-provider interaction rather than answer-key exposure. Provider rankings must therefore not rely on a single reviewer; the ensemble and provider-specific sensitivity remain the appropriate reporting boundary.</x:v>
      </x:c>
      <x:c r="D8" s="193" t="str">
        <x:v>Author-confirmed blind-design sensitivity: Martin matches OpenAI across inclusion, code, ODR, privacy direction and privacy relation on 76.4% of all 365 rows and Claude on 18.1%; Dominik matches Claude on 89.9% and OpenAI on 15.3%. Under the confirmed blind protocol, this is treated as a reviewer-by-provider interaction rather than answer-key exposure. Provider rankings must therefore not rely on a single reviewer; the ensemble and provider-specific sensitivity remain the appropriate reporting boundary.</x:v>
      </x:c>
      <x:c r="E8" s="193" t="str">
        <x:v>Author-confirmed blind-design sensitivity: Martin matches OpenAI across inclusion, code, ODR, privacy direction and privacy relation on 76.4% of all 365 rows and Claude on 18.1%; Dominik matches Claude on 89.9% and OpenAI on 15.3%. Under the confirmed blind protocol, this is treated as a reviewer-by-provider interaction rather than answer-key exposure. Provider rankings must therefore not rely on a single reviewer; the ensemble and provider-specific sensitivity remain the appropriate reporting boundary.</x:v>
      </x:c>
      <x:c r="F8" s="193" t="str">
        <x:v>Author-confirmed blind-design sensitivity: Martin matches OpenAI across inclusion, code, ODR, privacy direction and privacy relation on 76.4% of all 365 rows and Claude on 18.1%; Dominik matches Claude on 89.9% and OpenAI on 15.3%. Under the confirmed blind protocol, this is treated as a reviewer-by-provider interaction rather than answer-key exposure. Provider rankings must therefore not rely on a single reviewer; the ensemble and provider-specific sensitivity remain the appropriate reporting boundary.</x:v>
      </x:c>
      <x:c r="G8" s="193" t="str">
        <x:v>Author-confirmed blind-design sensitivity: Martin matches OpenAI across inclusion, code, ODR, privacy direction and privacy relation on 76.4% of all 365 rows and Claude on 18.1%; Dominik matches Claude on 89.9% and OpenAI on 15.3%. Under the confirmed blind protocol, this is treated as a reviewer-by-provider interaction rather than answer-key exposure. Provider rankings must therefore not rely on a single reviewer; the ensemble and provider-specific sensitivity remain the appropriate reporting boundary.</x:v>
      </x:c>
      <x:c r="H8" s="193" t="str">
        <x:v>Author-confirmed blind-design sensitivity: Martin matches OpenAI across inclusion, code, ODR, privacy direction and privacy relation on 76.4% of all 365 rows and Claude on 18.1%; Dominik matches Claude on 89.9% and OpenAI on 15.3%. Under the confirmed blind protocol, this is treated as a reviewer-by-provider interaction rather than answer-key exposure. Provider rankings must therefore not rely on a single reviewer; the ensemble and provider-specific sensitivity remain the appropriate reporting boundary.</x:v>
      </x:c>
      <x:c r="I8" s="193" t="str">
        <x:v>Author-confirmed blind-design sensitivity: Martin matches OpenAI across inclusion, code, ODR, privacy direction and privacy relation on 76.4% of all 365 rows and Claude on 18.1%; Dominik matches Claude on 89.9% and OpenAI on 15.3%. Under the confirmed blind protocol, this is treated as a reviewer-by-provider interaction rather than answer-key exposure. Provider rankings must therefore not rely on a single reviewer; the ensemble and provider-specific sensitivity remain the appropriate reporting boundary.</x:v>
      </x:c>
      <x:c r="J8" s="194" t="str">
        <x:v>Author-confirmed blind-design sensitivity: Martin matches OpenAI across inclusion, code, ODR, privacy direction and privacy relation on 76.4% of all 365 rows and Claude on 18.1%; Dominik matches Claude on 89.9% and OpenAI on 15.3%. Under the confirmed blind protocol, this is treated as a reviewer-by-provider interaction rather than answer-key exposure. Provider rankings must therefore not rely on a single reviewer; the ensemble and provider-specific sensitivity remain the appropriate reporting boundary.</x:v>
      </x:c>
    </x:row>
    <x:row r="9">
      <x:c r="A9" s="195" t="str">
        <x:v>Author-confirmed blind-design sensitivity: Martin matches OpenAI across inclusion, code, ODR, privacy direction and privacy relation on 76.4% of all 365 rows and Claude on 18.1%; Dominik matches Claude on 89.9% and OpenAI on 15.3%. Under the confirmed blind protocol, this is treated as a reviewer-by-provider interaction rather than answer-key exposure. Provider rankings must therefore not rely on a single reviewer; the ensemble and provider-specific sensitivity remain the appropriate reporting boundary.</x:v>
      </x:c>
      <x:c r="B9" s="196" t="str">
        <x:v>Author-confirmed blind-design sensitivity: Martin matches OpenAI across inclusion, code, ODR, privacy direction and privacy relation on 76.4% of all 365 rows and Claude on 18.1%; Dominik matches Claude on 89.9% and OpenAI on 15.3%. Under the confirmed blind protocol, this is treated as a reviewer-by-provider interaction rather than answer-key exposure. Provider rankings must therefore not rely on a single reviewer; the ensemble and provider-specific sensitivity remain the appropriate reporting boundary.</x:v>
      </x:c>
      <x:c r="C9" s="196" t="str">
        <x:v>Author-confirmed blind-design sensitivity: Martin matches OpenAI across inclusion, code, ODR, privacy direction and privacy relation on 76.4% of all 365 rows and Claude on 18.1%; Dominik matches Claude on 89.9% and OpenAI on 15.3%. Under the confirmed blind protocol, this is treated as a reviewer-by-provider interaction rather than answer-key exposure. Provider rankings must therefore not rely on a single reviewer; the ensemble and provider-specific sensitivity remain the appropriate reporting boundary.</x:v>
      </x:c>
      <x:c r="D9" s="196" t="str">
        <x:v>Author-confirmed blind-design sensitivity: Martin matches OpenAI across inclusion, code, ODR, privacy direction and privacy relation on 76.4% of all 365 rows and Claude on 18.1%; Dominik matches Claude on 89.9% and OpenAI on 15.3%. Under the confirmed blind protocol, this is treated as a reviewer-by-provider interaction rather than answer-key exposure. Provider rankings must therefore not rely on a single reviewer; the ensemble and provider-specific sensitivity remain the appropriate reporting boundary.</x:v>
      </x:c>
      <x:c r="E9" s="196" t="str">
        <x:v>Author-confirmed blind-design sensitivity: Martin matches OpenAI across inclusion, code, ODR, privacy direction and privacy relation on 76.4% of all 365 rows and Claude on 18.1%; Dominik matches Claude on 89.9% and OpenAI on 15.3%. Under the confirmed blind protocol, this is treated as a reviewer-by-provider interaction rather than answer-key exposure. Provider rankings must therefore not rely on a single reviewer; the ensemble and provider-specific sensitivity remain the appropriate reporting boundary.</x:v>
      </x:c>
      <x:c r="F9" s="196" t="str">
        <x:v>Author-confirmed blind-design sensitivity: Martin matches OpenAI across inclusion, code, ODR, privacy direction and privacy relation on 76.4% of all 365 rows and Claude on 18.1%; Dominik matches Claude on 89.9% and OpenAI on 15.3%. Under the confirmed blind protocol, this is treated as a reviewer-by-provider interaction rather than answer-key exposure. Provider rankings must therefore not rely on a single reviewer; the ensemble and provider-specific sensitivity remain the appropriate reporting boundary.</x:v>
      </x:c>
      <x:c r="G9" s="196" t="str">
        <x:v>Author-confirmed blind-design sensitivity: Martin matches OpenAI across inclusion, code, ODR, privacy direction and privacy relation on 76.4% of all 365 rows and Claude on 18.1%; Dominik matches Claude on 89.9% and OpenAI on 15.3%. Under the confirmed blind protocol, this is treated as a reviewer-by-provider interaction rather than answer-key exposure. Provider rankings must therefore not rely on a single reviewer; the ensemble and provider-specific sensitivity remain the appropriate reporting boundary.</x:v>
      </x:c>
      <x:c r="H9" s="196" t="str">
        <x:v>Author-confirmed blind-design sensitivity: Martin matches OpenAI across inclusion, code, ODR, privacy direction and privacy relation on 76.4% of all 365 rows and Claude on 18.1%; Dominik matches Claude on 89.9% and OpenAI on 15.3%. Under the confirmed blind protocol, this is treated as a reviewer-by-provider interaction rather than answer-key exposure. Provider rankings must therefore not rely on a single reviewer; the ensemble and provider-specific sensitivity remain the appropriate reporting boundary.</x:v>
      </x:c>
      <x:c r="I9" s="196" t="str">
        <x:v>Author-confirmed blind-design sensitivity: Martin matches OpenAI across inclusion, code, ODR, privacy direction and privacy relation on 76.4% of all 365 rows and Claude on 18.1%; Dominik matches Claude on 89.9% and OpenAI on 15.3%. Under the confirmed blind protocol, this is treated as a reviewer-by-provider interaction rather than answer-key exposure. Provider rankings must therefore not rely on a single reviewer; the ensemble and provider-specific sensitivity remain the appropriate reporting boundary.</x:v>
      </x:c>
      <x:c r="J9" s="197" t="str">
        <x:v>Author-confirmed blind-design sensitivity: Martin matches OpenAI across inclusion, code, ODR, privacy direction and privacy relation on 76.4% of all 365 rows and Claude on 18.1%; Dominik matches Claude on 89.9% and OpenAI on 15.3%. Under the confirmed blind protocol, this is treated as a reviewer-by-provider interaction rather than answer-key exposure. Provider rankings must therefore not rely on a single reviewer; the ensemble and provider-specific sensitivity remain the appropriate reporting boundary.</x:v>
      </x:c>
    </x:row>
    <x:row r="10">
      <x:c r="A10" s="195" t="str">
        <x:v>Author-confirmed blind-design sensitivity: Martin matches OpenAI across inclusion, code, ODR, privacy direction and privacy relation on 76.4% of all 365 rows and Claude on 18.1%; Dominik matches Claude on 89.9% and OpenAI on 15.3%. Under the confirmed blind protocol, this is treated as a reviewer-by-provider interaction rather than answer-key exposure. Provider rankings must therefore not rely on a single reviewer; the ensemble and provider-specific sensitivity remain the appropriate reporting boundary.</x:v>
      </x:c>
      <x:c r="B10" s="196" t="str">
        <x:v>Author-confirmed blind-design sensitivity: Martin matches OpenAI across inclusion, code, ODR, privacy direction and privacy relation on 76.4% of all 365 rows and Claude on 18.1%; Dominik matches Claude on 89.9% and OpenAI on 15.3%. Under the confirmed blind protocol, this is treated as a reviewer-by-provider interaction rather than answer-key exposure. Provider rankings must therefore not rely on a single reviewer; the ensemble and provider-specific sensitivity remain the appropriate reporting boundary.</x:v>
      </x:c>
      <x:c r="C10" s="196" t="str">
        <x:v>Author-confirmed blind-design sensitivity: Martin matches OpenAI across inclusion, code, ODR, privacy direction and privacy relation on 76.4% of all 365 rows and Claude on 18.1%; Dominik matches Claude on 89.9% and OpenAI on 15.3%. Under the confirmed blind protocol, this is treated as a reviewer-by-provider interaction rather than answer-key exposure. Provider rankings must therefore not rely on a single reviewer; the ensemble and provider-specific sensitivity remain the appropriate reporting boundary.</x:v>
      </x:c>
      <x:c r="D10" s="196" t="str">
        <x:v>Author-confirmed blind-design sensitivity: Martin matches OpenAI across inclusion, code, ODR, privacy direction and privacy relation on 76.4% of all 365 rows and Claude on 18.1%; Dominik matches Claude on 89.9% and OpenAI on 15.3%. Under the confirmed blind protocol, this is treated as a reviewer-by-provider interaction rather than answer-key exposure. Provider rankings must therefore not rely on a single reviewer; the ensemble and provider-specific sensitivity remain the appropriate reporting boundary.</x:v>
      </x:c>
      <x:c r="E10" s="196" t="str">
        <x:v>Author-confirmed blind-design sensitivity: Martin matches OpenAI across inclusion, code, ODR, privacy direction and privacy relation on 76.4% of all 365 rows and Claude on 18.1%; Dominik matches Claude on 89.9% and OpenAI on 15.3%. Under the confirmed blind protocol, this is treated as a reviewer-by-provider interaction rather than answer-key exposure. Provider rankings must therefore not rely on a single reviewer; the ensemble and provider-specific sensitivity remain the appropriate reporting boundary.</x:v>
      </x:c>
      <x:c r="F10" s="196" t="str">
        <x:v>Author-confirmed blind-design sensitivity: Martin matches OpenAI across inclusion, code, ODR, privacy direction and privacy relation on 76.4% of all 365 rows and Claude on 18.1%; Dominik matches Claude on 89.9% and OpenAI on 15.3%. Under the confirmed blind protocol, this is treated as a reviewer-by-provider interaction rather than answer-key exposure. Provider rankings must therefore not rely on a single reviewer; the ensemble and provider-specific sensitivity remain the appropriate reporting boundary.</x:v>
      </x:c>
      <x:c r="G10" s="196" t="str">
        <x:v>Author-confirmed blind-design sensitivity: Martin matches OpenAI across inclusion, code, ODR, privacy direction and privacy relation on 76.4% of all 365 rows and Claude on 18.1%; Dominik matches Claude on 89.9% and OpenAI on 15.3%. Under the confirmed blind protocol, this is treated as a reviewer-by-provider interaction rather than answer-key exposure. Provider rankings must therefore not rely on a single reviewer; the ensemble and provider-specific sensitivity remain the appropriate reporting boundary.</x:v>
      </x:c>
      <x:c r="H10" s="196" t="str">
        <x:v>Author-confirmed blind-design sensitivity: Martin matches OpenAI across inclusion, code, ODR, privacy direction and privacy relation on 76.4% of all 365 rows and Claude on 18.1%; Dominik matches Claude on 89.9% and OpenAI on 15.3%. Under the confirmed blind protocol, this is treated as a reviewer-by-provider interaction rather than answer-key exposure. Provider rankings must therefore not rely on a single reviewer; the ensemble and provider-specific sensitivity remain the appropriate reporting boundary.</x:v>
      </x:c>
      <x:c r="I10" s="196" t="str">
        <x:v>Author-confirmed blind-design sensitivity: Martin matches OpenAI across inclusion, code, ODR, privacy direction and privacy relation on 76.4% of all 365 rows and Claude on 18.1%; Dominik matches Claude on 89.9% and OpenAI on 15.3%. Under the confirmed blind protocol, this is treated as a reviewer-by-provider interaction rather than answer-key exposure. Provider rankings must therefore not rely on a single reviewer; the ensemble and provider-specific sensitivity remain the appropriate reporting boundary.</x:v>
      </x:c>
      <x:c r="J10" s="197" t="str">
        <x:v>Author-confirmed blind-design sensitivity: Martin matches OpenAI across inclusion, code, ODR, privacy direction and privacy relation on 76.4% of all 365 rows and Claude on 18.1%; Dominik matches Claude on 89.9% and OpenAI on 15.3%. Under the confirmed blind protocol, this is treated as a reviewer-by-provider interaction rather than answer-key exposure. Provider rankings must therefore not rely on a single reviewer; the ensemble and provider-specific sensitivity remain the appropriate reporting boundary.</x:v>
      </x:c>
    </x:row>
    <x:row r="11">
      <x:c r="A11" s="198" t="str">
        <x:v>Author-confirmed blind-design sensitivity: Martin matches OpenAI across inclusion, code, ODR, privacy direction and privacy relation on 76.4% of all 365 rows and Claude on 18.1%; Dominik matches Claude on 89.9% and OpenAI on 15.3%. Under the confirmed blind protocol, this is treated as a reviewer-by-provider interaction rather than answer-key exposure. Provider rankings must therefore not rely on a single reviewer; the ensemble and provider-specific sensitivity remain the appropriate reporting boundary.</x:v>
      </x:c>
      <x:c r="B11" s="199" t="str">
        <x:v>Author-confirmed blind-design sensitivity: Martin matches OpenAI across inclusion, code, ODR, privacy direction and privacy relation on 76.4% of all 365 rows and Claude on 18.1%; Dominik matches Claude on 89.9% and OpenAI on 15.3%. Under the confirmed blind protocol, this is treated as a reviewer-by-provider interaction rather than answer-key exposure. Provider rankings must therefore not rely on a single reviewer; the ensemble and provider-specific sensitivity remain the appropriate reporting boundary.</x:v>
      </x:c>
      <x:c r="C11" s="199" t="str">
        <x:v>Author-confirmed blind-design sensitivity: Martin matches OpenAI across inclusion, code, ODR, privacy direction and privacy relation on 76.4% of all 365 rows and Claude on 18.1%; Dominik matches Claude on 89.9% and OpenAI on 15.3%. Under the confirmed blind protocol, this is treated as a reviewer-by-provider interaction rather than answer-key exposure. Provider rankings must therefore not rely on a single reviewer; the ensemble and provider-specific sensitivity remain the appropriate reporting boundary.</x:v>
      </x:c>
      <x:c r="D11" s="199" t="str">
        <x:v>Author-confirmed blind-design sensitivity: Martin matches OpenAI across inclusion, code, ODR, privacy direction and privacy relation on 76.4% of all 365 rows and Claude on 18.1%; Dominik matches Claude on 89.9% and OpenAI on 15.3%. Under the confirmed blind protocol, this is treated as a reviewer-by-provider interaction rather than answer-key exposure. Provider rankings must therefore not rely on a single reviewer; the ensemble and provider-specific sensitivity remain the appropriate reporting boundary.</x:v>
      </x:c>
      <x:c r="E11" s="199" t="str">
        <x:v>Author-confirmed blind-design sensitivity: Martin matches OpenAI across inclusion, code, ODR, privacy direction and privacy relation on 76.4% of all 365 rows and Claude on 18.1%; Dominik matches Claude on 89.9% and OpenAI on 15.3%. Under the confirmed blind protocol, this is treated as a reviewer-by-provider interaction rather than answer-key exposure. Provider rankings must therefore not rely on a single reviewer; the ensemble and provider-specific sensitivity remain the appropriate reporting boundary.</x:v>
      </x:c>
      <x:c r="F11" s="199" t="str">
        <x:v>Author-confirmed blind-design sensitivity: Martin matches OpenAI across inclusion, code, ODR, privacy direction and privacy relation on 76.4% of all 365 rows and Claude on 18.1%; Dominik matches Claude on 89.9% and OpenAI on 15.3%. Under the confirmed blind protocol, this is treated as a reviewer-by-provider interaction rather than answer-key exposure. Provider rankings must therefore not rely on a single reviewer; the ensemble and provider-specific sensitivity remain the appropriate reporting boundary.</x:v>
      </x:c>
      <x:c r="G11" s="199" t="str">
        <x:v>Author-confirmed blind-design sensitivity: Martin matches OpenAI across inclusion, code, ODR, privacy direction and privacy relation on 76.4% of all 365 rows and Claude on 18.1%; Dominik matches Claude on 89.9% and OpenAI on 15.3%. Under the confirmed blind protocol, this is treated as a reviewer-by-provider interaction rather than answer-key exposure. Provider rankings must therefore not rely on a single reviewer; the ensemble and provider-specific sensitivity remain the appropriate reporting boundary.</x:v>
      </x:c>
      <x:c r="H11" s="199" t="str">
        <x:v>Author-confirmed blind-design sensitivity: Martin matches OpenAI across inclusion, code, ODR, privacy direction and privacy relation on 76.4% of all 365 rows and Claude on 18.1%; Dominik matches Claude on 89.9% and OpenAI on 15.3%. Under the confirmed blind protocol, this is treated as a reviewer-by-provider interaction rather than answer-key exposure. Provider rankings must therefore not rely on a single reviewer; the ensemble and provider-specific sensitivity remain the appropriate reporting boundary.</x:v>
      </x:c>
      <x:c r="I11" s="199" t="str">
        <x:v>Author-confirmed blind-design sensitivity: Martin matches OpenAI across inclusion, code, ODR, privacy direction and privacy relation on 76.4% of all 365 rows and Claude on 18.1%; Dominik matches Claude on 89.9% and OpenAI on 15.3%. Under the confirmed blind protocol, this is treated as a reviewer-by-provider interaction rather than answer-key exposure. Provider rankings must therefore not rely on a single reviewer; the ensemble and provider-specific sensitivity remain the appropriate reporting boundary.</x:v>
      </x:c>
      <x:c r="J11" s="200" t="str">
        <x:v>Author-confirmed blind-design sensitivity: Martin matches OpenAI across inclusion, code, ODR, privacy direction and privacy relation on 76.4% of all 365 rows and Claude on 18.1%; Dominik matches Claude on 89.9% and OpenAI on 15.3%. Under the confirmed blind protocol, this is treated as a reviewer-by-provider interaction rather than answer-key exposure. Provider rankings must therefore not rely on a single reviewer; the ensemble and provider-specific sensitivity remain the appropriate reporting boundary.</x:v>
      </x:c>
    </x:row>
  </x:sheetData>
  <x:mergeCells>
    <x:mergeCell ref="A1:J1"/>
    <x:mergeCell ref="A8:J1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8" hidden="0" customWidth="1"/>
    <x:col min="4" max="4" width="14" hidden="0" customWidth="1"/>
    <x:col min="5" max="5" width="14" hidden="0" customWidth="1"/>
    <x:col min="6" max="6" width="14" hidden="0" customWidth="1"/>
    <x:col min="7" max="7" width="14" hidden="0" customWidth="1"/>
    <x:col min="8" max="8" width="14" hidden="0" customWidth="1"/>
    <x:col min="9" max="9" width="30" hidden="0" customWidth="1"/>
    <x:col min="10" max="10" width="52"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4" hidden="0" customWidth="1"/>
    <x:col min="36" max="36" width="14" hidden="0" customWidth="1"/>
    <x:col min="37" max="37" width="14" hidden="0" customWidth="1"/>
    <x:col min="38" max="38" width="14" hidden="0" customWidth="1"/>
    <x:col min="39" max="39" width="14" hidden="0" customWidth="1"/>
    <x:col min="40" max="40" width="14" hidden="0" customWidth="1"/>
    <x:col min="41" max="41" width="14" hidden="0" customWidth="1"/>
  </x:cols>
  <x:sheetData>
    <x:row r="1">
      <x:c r="A1" s="29" t="str">
        <x:v>Blind ID</x:v>
      </x:c>
      <x:c r="B1" s="29" t="str">
        <x:v>Machine ID</x:v>
      </x:c>
      <x:c r="C1" s="29" t="str">
        <x:v>Stratum</x:v>
      </x:c>
      <x:c r="D1" s="29" t="str">
        <x:v>Weight</x:v>
      </x:c>
      <x:c r="E1" s="29" t="str">
        <x:v>Provider origin</x:v>
      </x:c>
      <x:c r="F1" s="29" t="str">
        <x:v>Document</x:v>
      </x:c>
      <x:c r="G1" s="29" t="str">
        <x:v>Page</x:v>
      </x:c>
      <x:c r="H1" s="29" t="str">
        <x:v>Language</x:v>
      </x:c>
      <x:c r="I1" s="29" t="str">
        <x:v>Authority</x:v>
      </x:c>
      <x:c r="J1" s="29" t="str">
        <x:v>Candidate span</x:v>
      </x:c>
      <x:c r="K1" s="29" t="str">
        <x:v>Excluded untranslated</x:v>
      </x:c>
      <x:c r="L1" s="29" t="str">
        <x:v>Martin decision</x:v>
      </x:c>
      <x:c r="M1" s="29" t="str">
        <x:v>Dominik decision</x:v>
      </x:c>
      <x:c r="N1" s="29" t="str">
        <x:v>Decision agreement</x:v>
      </x:c>
      <x:c r="O1" s="29" t="str">
        <x:v>Martin code</x:v>
      </x:c>
      <x:c r="P1" s="29" t="str">
        <x:v>Dominik code</x:v>
      </x:c>
      <x:c r="Q1" s="29" t="str">
        <x:v>Martin family</x:v>
      </x:c>
      <x:c r="R1" s="29" t="str">
        <x:v>Dominik family</x:v>
      </x:c>
      <x:c r="S1" s="29" t="str">
        <x:v>Martin ODR</x:v>
      </x:c>
      <x:c r="T1" s="29" t="str">
        <x:v>Dominik ODR</x:v>
      </x:c>
      <x:c r="U1" s="29" t="str">
        <x:v>Martin privacy direction</x:v>
      </x:c>
      <x:c r="V1" s="29" t="str">
        <x:v>Dominik privacy direction</x:v>
      </x:c>
      <x:c r="W1" s="29" t="str">
        <x:v>Martin privacy relation</x:v>
      </x:c>
      <x:c r="X1" s="29" t="str">
        <x:v>Dominik privacy relation</x:v>
      </x:c>
      <x:c r="Y1" s="29" t="str">
        <x:v>Martin strength</x:v>
      </x:c>
      <x:c r="Z1" s="29" t="str">
        <x:v>Dominik strength</x:v>
      </x:c>
      <x:c r="AA1" s="29" t="str">
        <x:v>Martin confidence</x:v>
      </x:c>
      <x:c r="AB1" s="29" t="str">
        <x:v>Dominik confidence</x:v>
      </x:c>
      <x:c r="AC1" s="29" t="str">
        <x:v>Martin notes</x:v>
      </x:c>
      <x:c r="AD1" s="29" t="str">
        <x:v>Dominik notes</x:v>
      </x:c>
      <x:c r="AE1" s="29" t="str">
        <x:v>OpenAI code(s)</x:v>
      </x:c>
      <x:c r="AF1" s="29" t="str">
        <x:v>Claude code(s)</x:v>
      </x:c>
      <x:c r="AG1" s="29" t="str">
        <x:v>OpenAI ODR</x:v>
      </x:c>
      <x:c r="AH1" s="29" t="str">
        <x:v>Claude ODR</x:v>
      </x:c>
      <x:c r="AI1" s="29" t="str">
        <x:v>Analyzable</x:v>
      </x:c>
      <x:c r="AJ1" s="29" t="str">
        <x:v>Martin keep</x:v>
      </x:c>
      <x:c r="AK1" s="29" t="str">
        <x:v>Dominik keep</x:v>
      </x:c>
      <x:c r="AL1" s="29" t="str">
        <x:v>Midpoint</x:v>
      </x:c>
      <x:c r="AM1" s="29" t="str">
        <x:v>Lower bound</x:v>
      </x:c>
      <x:c r="AN1" s="29" t="str">
        <x:v>Upper bound</x:v>
      </x:c>
      <x:c r="AO1" s="29" t="str">
        <x:v>Decision agree flag</x:v>
      </x:c>
    </x:row>
    <x:row r="2">
      <x:c r="A2" s="37" t="str">
        <x:v>SV-0001</x:v>
      </x:c>
      <x:c r="B2" s="37" t="str">
        <x:v>PC-05908</x:v>
      </x:c>
      <x:c r="C2" s="37" t="str">
        <x:v>en|both</x:v>
      </x:c>
      <x:c r="D2" s="86" t="n">
        <x:v>19.069444444444443</x:v>
      </x:c>
      <x:c r="E2" s="37" t="str">
        <x:v>both</x:v>
      </x:c>
      <x:c r="F2" s="37" t="str">
        <x:v>UA_NBU_E-hryvnia_2019</x:v>
      </x:c>
      <x:c r="G2" s="37" t="n">
        <x:v>24</x:v>
      </x:c>
      <x:c r="H2" s="37" t="str">
        <x:v>en</x:v>
      </x:c>
      <x:c r="I2" s="37" t="str">
        <x:v>National Bank of Ukraine (e-hryvnia pilot)</x:v>
      </x:c>
      <x:c r="J2" s="37" t="str">
        <x:v>As the full -scale implementation of e -hryvnia in Ukraine’s 
payment market would require amendments to both current 
laws of Ukraine and NBU regulations, a decision was made 
for the period of the Pilot Project to act under the framework 
regulating the circulation of electronic money in Ukraine as a 
sufficient one for studying technologies and opportunities for 
the NBU to implement similar solutions.</x:v>
      </x:c>
      <x:c r="K2" s="141" t="b">
        <x:v>0</x:v>
      </x:c>
      <x:c r="L2" s="144" t="str">
        <x:v>keep</x:v>
      </x:c>
      <x:c r="M2" s="144" t="str">
        <x:v>keep</x:v>
      </x:c>
      <x:c r="N2" s="145" t="b">
        <x:v>1</x:v>
      </x:c>
      <x:c r="O2" s="144" t="str">
        <x:v>LEGAL.basis</x:v>
      </x:c>
      <x:c r="P2" s="144" t="str">
        <x:v>LEGAL.basis</x:v>
      </x:c>
      <x:c r="Q2" s="144" t="str">
        <x:v>LEGAL</x:v>
      </x:c>
      <x:c r="R2" s="144" t="str">
        <x:v>LEGAL</x:v>
      </x:c>
      <x:c r="S2" s="144" t="str">
        <x:v>decision</x:v>
      </x:c>
      <x:c r="T2" s="144" t="str">
        <x:v>decision</x:v>
      </x:c>
      <x:c r="U2" s="144" t="str">
        <x:v>neutral</x:v>
      </x:c>
      <x:c r="V2" s="144" t="str">
        <x:v>neutral</x:v>
      </x:c>
      <x:c r="W2" s="144" t="str">
        <x:v>not_applicable</x:v>
      </x:c>
      <x:c r="X2" s="144" t="str">
        <x:v>not_applicable</x:v>
      </x:c>
      <x:c r="Y2" s="144" t="n">
        <x:v>3</x:v>
      </x:c>
      <x:c r="Z2" s="144" t="n">
        <x:v>3</x:v>
      </x:c>
      <x:c r="AA2" s="144" t="str">
        <x:v>high</x:v>
      </x:c>
      <x:c r="AB2" s="144" t="str">
        <x:v>high</x:v>
      </x:c>
      <x:c r="AC2" s="144"/>
      <x:c r="AD2" s="144"/>
      <x:c r="AE2" s="150" t="str">
        <x:v>LEGAL.basis</x:v>
      </x:c>
      <x:c r="AF2" s="150" t="str">
        <x:v>LEGAL.basis</x:v>
      </x:c>
      <x:c r="AG2" s="150" t="str">
        <x:v>decision</x:v>
      </x:c>
      <x:c r="AH2" s="150" t="str">
        <x:v>decision</x:v>
      </x:c>
      <x:c r="AI2" s="153" t="n">
        <x:f>IF(K2,0,1)</x:f>
        <x:v>1</x:v>
      </x:c>
      <x:c r="AJ2" s="153" t="n">
        <x:f>IF(L2="keep",1,0)</x:f>
        <x:v>1</x:v>
      </x:c>
      <x:c r="AK2" s="153" t="n">
        <x:f>IF(M2="keep",1,0)</x:f>
        <x:v>1</x:v>
      </x:c>
      <x:c r="AL2" s="153" t="n">
        <x:f>(AJ2+AK2)/2</x:f>
        <x:v>1</x:v>
      </x:c>
      <x:c r="AM2" s="153" t="n">
        <x:f>MIN(AJ2,AK2)</x:f>
        <x:v>1</x:v>
      </x:c>
      <x:c r="AN2" s="153" t="n">
        <x:f>MAX(AJ2,AK2)</x:f>
        <x:v>1</x:v>
      </x:c>
      <x:c r="AO2" s="153" t="n">
        <x:f>IF(L2=M2,1,0)</x:f>
        <x:v>1</x:v>
      </x:c>
    </x:row>
    <x:row r="3">
      <x:c r="A3" s="38" t="str">
        <x:v>SV-0002</x:v>
      </x:c>
      <x:c r="B3" s="38" t="str">
        <x:v>PC-06104</x:v>
      </x:c>
      <x:c r="C3" s="38" t="str">
        <x:v>en|claude_only</x:v>
      </x:c>
      <x:c r="D3" s="87" t="n">
        <x:v>19.375</x:v>
      </x:c>
      <x:c r="E3" s="38" t="str">
        <x:v>claude_only</x:v>
      </x:c>
      <x:c r="F3" s="38" t="str">
        <x:v>UK_BoE_2020_OpportChall</x:v>
      </x:c>
      <x:c r="G3" s="38" t="n">
        <x:v>39</x:v>
      </x:c>
      <x:c r="H3" s="38" t="str">
        <x:v>en</x:v>
      </x:c>
      <x:c r="I3" s="38" t="str">
        <x:v>Bank of England and HM Treasury (digital pound)</x:v>
      </x:c>
      <x:c r="J3" s="38" t="str">
        <x:v>The most important design decision for CBDC would be whether to remunerate, ie pay interest on CBDC balances.</x:v>
      </x:c>
      <x:c r="K3" s="142" t="b">
        <x:v>0</x:v>
      </x:c>
      <x:c r="L3" s="146" t="str">
        <x:v>keep</x:v>
      </x:c>
      <x:c r="M3" s="146" t="str">
        <x:v>keep</x:v>
      </x:c>
      <x:c r="N3" s="147" t="b">
        <x:v>1</x:v>
      </x:c>
      <x:c r="O3" s="146" t="str">
        <x:v>PROG.remuneration_considered</x:v>
      </x:c>
      <x:c r="P3" s="146" t="str">
        <x:v>PROG.remuneration_considered</x:v>
      </x:c>
      <x:c r="Q3" s="146" t="str">
        <x:v>PROG</x:v>
      </x:c>
      <x:c r="R3" s="146" t="str">
        <x:v>PROG</x:v>
      </x:c>
      <x:c r="S3" s="146" t="str">
        <x:v>finding</x:v>
      </x:c>
      <x:c r="T3" s="146" t="str">
        <x:v>finding</x:v>
      </x:c>
      <x:c r="U3" s="146" t="str">
        <x:v>neutral</x:v>
      </x:c>
      <x:c r="V3" s="146" t="str">
        <x:v>neutral</x:v>
      </x:c>
      <x:c r="W3" s="146" t="str">
        <x:v>not_applicable</x:v>
      </x:c>
      <x:c r="X3" s="146" t="str">
        <x:v>not_applicable</x:v>
      </x:c>
      <x:c r="Y3" s="146" t="n">
        <x:v>1</x:v>
      </x:c>
      <x:c r="Z3" s="146" t="n">
        <x:v>3</x:v>
      </x:c>
      <x:c r="AA3" s="146" t="str">
        <x:v>high</x:v>
      </x:c>
      <x:c r="AB3" s="146" t="str">
        <x:v>high</x:v>
      </x:c>
      <x:c r="AC3" s="146"/>
      <x:c r="AD3" s="146" t="str">
        <x:v>x</x:v>
      </x:c>
      <x:c r="AE3" s="151"/>
      <x:c r="AF3" s="151" t="str">
        <x:v>PROG.remuneration_considered</x:v>
      </x:c>
      <x:c r="AG3" s="151"/>
      <x:c r="AH3" s="151" t="str">
        <x:v>proposal</x:v>
      </x:c>
      <x:c r="AI3" s="154" t="n">
        <x:f>IF(K3,0,1)</x:f>
        <x:v>1</x:v>
      </x:c>
      <x:c r="AJ3" s="154" t="n">
        <x:f>IF(L3="keep",1,0)</x:f>
        <x:v>1</x:v>
      </x:c>
      <x:c r="AK3" s="154" t="n">
        <x:f>IF(M3="keep",1,0)</x:f>
        <x:v>1</x:v>
      </x:c>
      <x:c r="AL3" s="154" t="n">
        <x:f>(AJ3+AK3)/2</x:f>
        <x:v>1</x:v>
      </x:c>
      <x:c r="AM3" s="154" t="n">
        <x:f>MIN(AJ3,AK3)</x:f>
        <x:v>1</x:v>
      </x:c>
      <x:c r="AN3" s="154" t="n">
        <x:f>MAX(AJ3,AK3)</x:f>
        <x:v>1</x:v>
      </x:c>
      <x:c r="AO3" s="154" t="n">
        <x:f>IF(L3=M3,1,0)</x:f>
        <x:v>1</x:v>
      </x:c>
    </x:row>
    <x:row r="4">
      <x:c r="A4" s="38" t="str">
        <x:v>SV-0003</x:v>
      </x:c>
      <x:c r="B4" s="38" t="str">
        <x:v>PC-02107</x:v>
      </x:c>
      <x:c r="C4" s="38" t="str">
        <x:v>en|claude_only</x:v>
      </x:c>
      <x:c r="D4" s="87" t="n">
        <x:v>19.375</x:v>
      </x:c>
      <x:c r="E4" s="38" t="str">
        <x:v>claude_only</x:v>
      </x:c>
      <x:c r="F4" s="38" t="str">
        <x:v>HK_HKMA_eHKD_PolicyDesign</x:v>
      </x:c>
      <x:c r="G4" s="38" t="n">
        <x:v>22</x:v>
      </x:c>
      <x:c r="H4" s="38" t="str">
        <x:v>en</x:v>
      </x:c>
      <x:c r="I4" s="38" t="str">
        <x:v>Hong Kong Monetary Authority (e-HKD)</x:v>
      </x:c>
      <x:c r="J4" s="38" t="str">
        <x:v>our 
assessment is that run risk for banks in Hong Kong would be very low given depositors ’ 
confidence in the Deposit Protection Scheme and the HKMA ’s prudential regulations 
and oversight, and e-HKD would not change the picture.</x:v>
      </x:c>
      <x:c r="K4" s="142" t="b">
        <x:v>0</x:v>
      </x:c>
      <x:c r="L4" s="146" t="str">
        <x:v>exclude</x:v>
      </x:c>
      <x:c r="M4" s="146" t="str">
        <x:v>keep</x:v>
      </x:c>
      <x:c r="N4" s="147" t="b">
        <x:v>0</x:v>
      </x:c>
      <x:c r="O4" s="146"/>
      <x:c r="P4" s="146" t="str">
        <x:v>STAB.disintermediation</x:v>
      </x:c>
      <x:c r="Q4" s="146" t="str"/>
      <x:c r="R4" s="146" t="str">
        <x:v>STAB</x:v>
      </x:c>
      <x:c r="S4" s="146"/>
      <x:c r="T4" s="146" t="str">
        <x:v>finding</x:v>
      </x:c>
      <x:c r="U4" s="146"/>
      <x:c r="V4" s="146" t="str">
        <x:v>neutral</x:v>
      </x:c>
      <x:c r="W4" s="146"/>
      <x:c r="X4" s="146" t="str">
        <x:v>not_applicable</x:v>
      </x:c>
      <x:c r="Y4" s="146"/>
      <x:c r="Z4" s="146" t="n">
        <x:v>3</x:v>
      </x:c>
      <x:c r="AA4" s="146" t="str">
        <x:v>high</x:v>
      </x:c>
      <x:c r="AB4" s="146" t="str">
        <x:v>high</x:v>
      </x:c>
      <x:c r="AC4" s="146"/>
      <x:c r="AD4" s="146"/>
      <x:c r="AE4" s="151"/>
      <x:c r="AF4" s="151" t="str">
        <x:v>STAB.disintermediation</x:v>
      </x:c>
      <x:c r="AG4" s="151"/>
      <x:c r="AH4" s="151" t="str">
        <x:v>finding</x:v>
      </x:c>
      <x:c r="AI4" s="154" t="n">
        <x:f>IF(K4,0,1)</x:f>
        <x:v>1</x:v>
      </x:c>
      <x:c r="AJ4" s="154" t="n">
        <x:f>IF(L4="keep",1,0)</x:f>
        <x:v>0</x:v>
      </x:c>
      <x:c r="AK4" s="154" t="n">
        <x:f>IF(M4="keep",1,0)</x:f>
        <x:v>1</x:v>
      </x:c>
      <x:c r="AL4" s="154" t="n">
        <x:f>(AJ4+AK4)/2</x:f>
        <x:v>0.5</x:v>
      </x:c>
      <x:c r="AM4" s="154" t="n">
        <x:f>MIN(AJ4,AK4)</x:f>
        <x:v>0</x:v>
      </x:c>
      <x:c r="AN4" s="154" t="n">
        <x:f>MAX(AJ4,AK4)</x:f>
        <x:v>1</x:v>
      </x:c>
      <x:c r="AO4" s="154" t="n">
        <x:f>IF(L4=M4,1,0)</x:f>
        <x:v>0</x:v>
      </x:c>
    </x:row>
    <x:row r="5">
      <x:c r="A5" s="38" t="str">
        <x:v>SV-0004</x:v>
      </x:c>
      <x:c r="B5" s="38" t="str">
        <x:v>PC-06312</x:v>
      </x:c>
      <x:c r="C5" s="38" t="str">
        <x:v>en|both</x:v>
      </x:c>
      <x:c r="D5" s="87" t="n">
        <x:v>19.069444444444443</x:v>
      </x:c>
      <x:c r="E5" s="38" t="str">
        <x:v>both</x:v>
      </x:c>
      <x:c r="F5" s="38" t="str">
        <x:v>UK_BoE_2023_TechWP</x:v>
      </x:c>
      <x:c r="G5" s="38" t="n">
        <x:v>56</x:v>
      </x:c>
      <x:c r="H5" s="38" t="str">
        <x:v>en</x:v>
      </x:c>
      <x:c r="I5" s="38" t="str">
        <x:v>Bank of England and HM Treasury (digital pound)</x:v>
      </x:c>
      <x:c r="J5" s="38" t="str">
        <x:v>A disposable alias, as the name suggests, is used for a short period of time. It is useful where 
a user wants to be able to conduct a transaction in private and not allow the recipient a 
record of their identity.</x:v>
      </x:c>
      <x:c r="K5" s="142" t="b">
        <x:v>0</x:v>
      </x:c>
      <x:c r="L5" s="146" t="str">
        <x:v>keep</x:v>
      </x:c>
      <x:c r="M5" s="146" t="str">
        <x:v>keep</x:v>
      </x:c>
      <x:c r="N5" s="147" t="b">
        <x:v>1</x:v>
      </x:c>
      <x:c r="O5" s="146" t="str">
        <x:v>PRIV.ANON</x:v>
      </x:c>
      <x:c r="P5" s="146" t="str">
        <x:v>PRIV.ANON</x:v>
      </x:c>
      <x:c r="Q5" s="146" t="str">
        <x:v>PRIV</x:v>
      </x:c>
      <x:c r="R5" s="146" t="str">
        <x:v>PRIV</x:v>
      </x:c>
      <x:c r="S5" s="146" t="str">
        <x:v>proposal</x:v>
      </x:c>
      <x:c r="T5" s="146" t="str">
        <x:v>proposal</x:v>
      </x:c>
      <x:c r="U5" s="146" t="str">
        <x:v>increases</x:v>
      </x:c>
      <x:c r="V5" s="146" t="str">
        <x:v>increases</x:v>
      </x:c>
      <x:c r="W5" s="146" t="str">
        <x:v>from_counterparty</x:v>
      </x:c>
      <x:c r="X5" s="146" t="str">
        <x:v>from_counterparty</x:v>
      </x:c>
      <x:c r="Y5" s="146" t="n">
        <x:v>2</x:v>
      </x:c>
      <x:c r="Z5" s="146" t="n">
        <x:v>2</x:v>
      </x:c>
      <x:c r="AA5" s="146" t="str">
        <x:v>high</x:v>
      </x:c>
      <x:c r="AB5" s="146" t="str">
        <x:v>high</x:v>
      </x:c>
      <x:c r="AC5" s="146"/>
      <x:c r="AD5" s="146"/>
      <x:c r="AE5" s="151" t="str">
        <x:v>PRIV.ANON</x:v>
      </x:c>
      <x:c r="AF5" s="151" t="str">
        <x:v>PRIV.ANON</x:v>
      </x:c>
      <x:c r="AG5" s="151" t="str">
        <x:v>proposal</x:v>
      </x:c>
      <x:c r="AH5" s="151" t="str">
        <x:v>proposal</x:v>
      </x:c>
      <x:c r="AI5" s="154" t="n">
        <x:f>IF(K5,0,1)</x:f>
        <x:v>1</x:v>
      </x:c>
      <x:c r="AJ5" s="154" t="n">
        <x:f>IF(L5="keep",1,0)</x:f>
        <x:v>1</x:v>
      </x:c>
      <x:c r="AK5" s="154" t="n">
        <x:f>IF(M5="keep",1,0)</x:f>
        <x:v>1</x:v>
      </x:c>
      <x:c r="AL5" s="154" t="n">
        <x:f>(AJ5+AK5)/2</x:f>
        <x:v>1</x:v>
      </x:c>
      <x:c r="AM5" s="154" t="n">
        <x:f>MIN(AJ5,AK5)</x:f>
        <x:v>1</x:v>
      </x:c>
      <x:c r="AN5" s="154" t="n">
        <x:f>MAX(AJ5,AK5)</x:f>
        <x:v>1</x:v>
      </x:c>
      <x:c r="AO5" s="154" t="n">
        <x:f>IF(L5=M5,1,0)</x:f>
        <x:v>1</x:v>
      </x:c>
    </x:row>
    <x:row r="6">
      <x:c r="A6" s="38" t="str">
        <x:v>SV-0005</x:v>
      </x:c>
      <x:c r="B6" s="38" t="str">
        <x:v>PC-05552</x:v>
      </x:c>
      <x:c r="C6" s="38" t="str">
        <x:v>en|both</x:v>
      </x:c>
      <x:c r="D6" s="87" t="n">
        <x:v>19.069444444444443</x:v>
      </x:c>
      <x:c r="E6" s="38" t="str">
        <x:v>both</x:v>
      </x:c>
      <x:c r="F6" s="38" t="str">
        <x:v>SZ_Eswatini_2024-Fintech-Digital-Lilangeni-Design-Paper</x:v>
      </x:c>
      <x:c r="G6" s="38" t="n">
        <x:v>36</x:v>
      </x:c>
      <x:c r="H6" s="38" t="str">
        <x:v>en</x:v>
      </x:c>
      <x:c r="I6" s="38" t="str">
        <x:v>Central Bank of Eswatini (Digital Lilangeni)</x:v>
      </x:c>
      <x:c r="J6" s="38" t="str">
        <x:v>The CBE keeps 
in mind the importance of a resilient CBDC solution, thereby focussing on both 
online and offline solutions.</x:v>
      </x:c>
      <x:c r="K6" s="142" t="b">
        <x:v>0</x:v>
      </x:c>
      <x:c r="L6" s="146" t="str">
        <x:v>keep</x:v>
      </x:c>
      <x:c r="M6" s="146" t="str">
        <x:v>keep</x:v>
      </x:c>
      <x:c r="N6" s="147" t="b">
        <x:v>1</x:v>
      </x:c>
      <x:c r="O6" s="146" t="str">
        <x:v>OPS.resilience</x:v>
      </x:c>
      <x:c r="P6" s="146" t="str">
        <x:v>OPS.resilience</x:v>
      </x:c>
      <x:c r="Q6" s="146" t="str">
        <x:v>OPS</x:v>
      </x:c>
      <x:c r="R6" s="146" t="str">
        <x:v>OPS</x:v>
      </x:c>
      <x:c r="S6" s="146" t="str">
        <x:v>proposal</x:v>
      </x:c>
      <x:c r="T6" s="146" t="str">
        <x:v>decision</x:v>
      </x:c>
      <x:c r="U6" s="146" t="str">
        <x:v>neutral</x:v>
      </x:c>
      <x:c r="V6" s="146" t="str">
        <x:v>neutral</x:v>
      </x:c>
      <x:c r="W6" s="146" t="str">
        <x:v>not_applicable</x:v>
      </x:c>
      <x:c r="X6" s="146" t="str">
        <x:v>not_applicable</x:v>
      </x:c>
      <x:c r="Y6" s="146" t="n">
        <x:v>2</x:v>
      </x:c>
      <x:c r="Z6" s="146" t="n">
        <x:v>3</x:v>
      </x:c>
      <x:c r="AA6" s="146" t="str">
        <x:v>high</x:v>
      </x:c>
      <x:c r="AB6" s="146" t="str">
        <x:v>high</x:v>
      </x:c>
      <x:c r="AC6" s="146"/>
      <x:c r="AD6" s="146" t="str">
        <x:v>x</x:v>
      </x:c>
      <x:c r="AE6" s="151" t="str">
        <x:v>OPS.resilience</x:v>
      </x:c>
      <x:c r="AF6" s="151" t="str">
        <x:v>CASH.relation;PROG.remuneration_no</x:v>
      </x:c>
      <x:c r="AG6" s="151" t="str">
        <x:v>proposal</x:v>
      </x:c>
      <x:c r="AH6" s="151" t="str">
        <x:v>decision</x:v>
      </x:c>
      <x:c r="AI6" s="154" t="n">
        <x:f>IF(K6,0,1)</x:f>
        <x:v>1</x:v>
      </x:c>
      <x:c r="AJ6" s="154" t="n">
        <x:f>IF(L6="keep",1,0)</x:f>
        <x:v>1</x:v>
      </x:c>
      <x:c r="AK6" s="154" t="n">
        <x:f>IF(M6="keep",1,0)</x:f>
        <x:v>1</x:v>
      </x:c>
      <x:c r="AL6" s="154" t="n">
        <x:f>(AJ6+AK6)/2</x:f>
        <x:v>1</x:v>
      </x:c>
      <x:c r="AM6" s="154" t="n">
        <x:f>MIN(AJ6,AK6)</x:f>
        <x:v>1</x:v>
      </x:c>
      <x:c r="AN6" s="154" t="n">
        <x:f>MAX(AJ6,AK6)</x:f>
        <x:v>1</x:v>
      </x:c>
      <x:c r="AO6" s="154" t="n">
        <x:f>IF(L6=M6,1,0)</x:f>
        <x:v>1</x:v>
      </x:c>
    </x:row>
    <x:row r="7">
      <x:c r="A7" s="38" t="str">
        <x:v>SV-0006</x:v>
      </x:c>
      <x:c r="B7" s="38" t="str">
        <x:v>PC-02398</x:v>
      </x:c>
      <x:c r="C7" s="38" t="str">
        <x:v>en|both</x:v>
      </x:c>
      <x:c r="D7" s="87" t="n">
        <x:v>19.069444444444443</x:v>
      </x:c>
      <x:c r="E7" s="38" t="str">
        <x:v>both</x:v>
      </x:c>
      <x:c r="F7" s="38" t="str">
        <x:v>ID_Indonesia_2022</x:v>
      </x:c>
      <x:c r="G7" s="38" t="n">
        <x:v>47</x:v>
      </x:c>
      <x:c r="H7" s="38" t="str">
        <x:v>en</x:v>
      </x:c>
      <x:c r="I7" s="38" t="str">
        <x:v>Bank Indonesia (Digital Rupiah)</x:v>
      </x:c>
      <x:c r="J7" s="38" t="str">
        <x:v>These	risks	would	be	tackled	through 	
stronger capital provisioning. Measures 
ranging from minimum capital 
requirements, systemic capital surcharge, 
to the establishment of a more prudent 
liquidity cushion will be taken as an integral 
part of Digital Rupiah design.</x:v>
      </x:c>
      <x:c r="K7" s="142" t="b">
        <x:v>0</x:v>
      </x:c>
      <x:c r="L7" s="146" t="str">
        <x:v>keep</x:v>
      </x:c>
      <x:c r="M7" s="146" t="str">
        <x:v>keep</x:v>
      </x:c>
      <x:c r="N7" s="147" t="b">
        <x:v>1</x:v>
      </x:c>
      <x:c r="O7" s="146" t="str">
        <x:v>STAB.disintermediation</x:v>
      </x:c>
      <x:c r="P7" s="146" t="str">
        <x:v>STAB.disintermediation</x:v>
      </x:c>
      <x:c r="Q7" s="146" t="str">
        <x:v>STAB</x:v>
      </x:c>
      <x:c r="R7" s="146" t="str">
        <x:v>STAB</x:v>
      </x:c>
      <x:c r="S7" s="146" t="str">
        <x:v>proposal</x:v>
      </x:c>
      <x:c r="T7" s="146" t="str">
        <x:v>decision</x:v>
      </x:c>
      <x:c r="U7" s="146" t="str">
        <x:v>neutral</x:v>
      </x:c>
      <x:c r="V7" s="146" t="str">
        <x:v>neutral</x:v>
      </x:c>
      <x:c r="W7" s="146" t="str">
        <x:v>not_applicable</x:v>
      </x:c>
      <x:c r="X7" s="146" t="str">
        <x:v>not_applicable</x:v>
      </x:c>
      <x:c r="Y7" s="146" t="n">
        <x:v>2</x:v>
      </x:c>
      <x:c r="Z7" s="146" t="n">
        <x:v>2</x:v>
      </x:c>
      <x:c r="AA7" s="146" t="str">
        <x:v>high</x:v>
      </x:c>
      <x:c r="AB7" s="146" t="str">
        <x:v>high</x:v>
      </x:c>
      <x:c r="AC7" s="146"/>
      <x:c r="AD7" s="146"/>
      <x:c r="AE7" s="151" t="str">
        <x:v>STAB.disintermediation</x:v>
      </x:c>
      <x:c r="AF7" s="151" t="str">
        <x:v>STAB.disintermediation</x:v>
      </x:c>
      <x:c r="AG7" s="151" t="str">
        <x:v>proposal</x:v>
      </x:c>
      <x:c r="AH7" s="151" t="str">
        <x:v>decision</x:v>
      </x:c>
      <x:c r="AI7" s="154" t="n">
        <x:f>IF(K7,0,1)</x:f>
        <x:v>1</x:v>
      </x:c>
      <x:c r="AJ7" s="154" t="n">
        <x:f>IF(L7="keep",1,0)</x:f>
        <x:v>1</x:v>
      </x:c>
      <x:c r="AK7" s="154" t="n">
        <x:f>IF(M7="keep",1,0)</x:f>
        <x:v>1</x:v>
      </x:c>
      <x:c r="AL7" s="154" t="n">
        <x:f>(AJ7+AK7)/2</x:f>
        <x:v>1</x:v>
      </x:c>
      <x:c r="AM7" s="154" t="n">
        <x:f>MIN(AJ7,AK7)</x:f>
        <x:v>1</x:v>
      </x:c>
      <x:c r="AN7" s="154" t="n">
        <x:f>MAX(AJ7,AK7)</x:f>
        <x:v>1</x:v>
      </x:c>
      <x:c r="AO7" s="154" t="n">
        <x:f>IF(L7=M7,1,0)</x:f>
        <x:v>1</x:v>
      </x:c>
    </x:row>
    <x:row r="8">
      <x:c r="A8" s="38" t="str">
        <x:v>SV-0007</x:v>
      </x:c>
      <x:c r="B8" s="38" t="str">
        <x:v>PC-06396</x:v>
      </x:c>
      <x:c r="C8" s="38" t="str">
        <x:v>en|claude_only</x:v>
      </x:c>
      <x:c r="D8" s="87" t="n">
        <x:v>19.375</x:v>
      </x:c>
      <x:c r="E8" s="38" t="str">
        <x:v>claude_only</x:v>
      </x:c>
      <x:c r="F8" s="38" t="str">
        <x:v>UN_ESCAP_ESCAP-2022-RP-National-study-central-bank-digital-currency-stablecoin-Maldives</x:v>
      </x:c>
      <x:c r="G8" s="38" t="n">
        <x:v>15</x:v>
      </x:c>
      <x:c r="H8" s="38" t="str">
        <x:v>en</x:v>
      </x:c>
      <x:c r="I8" s="38" t="str">
        <x:v>Maldives Monetary Authority / Maldives CBDC policy study</x:v>
      </x:c>
      <x:c r="J8" s="38" t="str">
        <x:v>There will need 
to be a unit within MMA (possibly two or three people) to deal with customer 
complaints and disputes.</x:v>
      </x:c>
      <x:c r="K8" s="142" t="b">
        <x:v>0</x:v>
      </x:c>
      <x:c r="L8" s="146" t="str">
        <x:v>exclude</x:v>
      </x:c>
      <x:c r="M8" s="146" t="str">
        <x:v>keep</x:v>
      </x:c>
      <x:c r="N8" s="147" t="b">
        <x:v>0</x:v>
      </x:c>
      <x:c r="O8" s="146"/>
      <x:c r="P8" s="146" t="str">
        <x:v>INST.mandate</x:v>
      </x:c>
      <x:c r="Q8" s="146" t="str"/>
      <x:c r="R8" s="146" t="str">
        <x:v>INST</x:v>
      </x:c>
      <x:c r="S8" s="146"/>
      <x:c r="T8" s="146" t="str">
        <x:v>proposal</x:v>
      </x:c>
      <x:c r="U8" s="146"/>
      <x:c r="V8" s="146" t="str">
        <x:v>neutral</x:v>
      </x:c>
      <x:c r="W8" s="146"/>
      <x:c r="X8" s="146" t="str">
        <x:v>not_applicable</x:v>
      </x:c>
      <x:c r="Y8" s="146"/>
      <x:c r="Z8" s="146" t="n">
        <x:v>2</x:v>
      </x:c>
      <x:c r="AA8" s="146" t="str">
        <x:v>high</x:v>
      </x:c>
      <x:c r="AB8" s="146" t="str">
        <x:v>high</x:v>
      </x:c>
      <x:c r="AC8" s="146"/>
      <x:c r="AD8" s="146"/>
      <x:c r="AE8" s="151"/>
      <x:c r="AF8" s="151" t="str">
        <x:v>INST.mandate</x:v>
      </x:c>
      <x:c r="AG8" s="151"/>
      <x:c r="AH8" s="151" t="str">
        <x:v>proposal</x:v>
      </x:c>
      <x:c r="AI8" s="154" t="n">
        <x:f>IF(K8,0,1)</x:f>
        <x:v>1</x:v>
      </x:c>
      <x:c r="AJ8" s="154" t="n">
        <x:f>IF(L8="keep",1,0)</x:f>
        <x:v>0</x:v>
      </x:c>
      <x:c r="AK8" s="154" t="n">
        <x:f>IF(M8="keep",1,0)</x:f>
        <x:v>1</x:v>
      </x:c>
      <x:c r="AL8" s="154" t="n">
        <x:f>(AJ8+AK8)/2</x:f>
        <x:v>0.5</x:v>
      </x:c>
      <x:c r="AM8" s="154" t="n">
        <x:f>MIN(AJ8,AK8)</x:f>
        <x:v>0</x:v>
      </x:c>
      <x:c r="AN8" s="154" t="n">
        <x:f>MAX(AJ8,AK8)</x:f>
        <x:v>1</x:v>
      </x:c>
      <x:c r="AO8" s="154" t="n">
        <x:f>IF(L8=M8,1,0)</x:f>
        <x:v>0</x:v>
      </x:c>
    </x:row>
    <x:row r="9">
      <x:c r="A9" s="38" t="str">
        <x:v>SV-0008</x:v>
      </x:c>
      <x:c r="B9" s="38" t="str">
        <x:v>PC-03790</x:v>
      </x:c>
      <x:c r="C9" s="38" t="str">
        <x:v>en|both</x:v>
      </x:c>
      <x:c r="D9" s="87" t="n">
        <x:v>19.069444444444443</x:v>
      </x:c>
      <x:c r="E9" s="38" t="str">
        <x:v>both</x:v>
      </x:c>
      <x:c r="F9" s="38" t="str">
        <x:v>JP_BoJ_PoC2</x:v>
      </x:c>
      <x:c r="G9" s="38" t="n">
        <x:v>8</x:v>
      </x:c>
      <x:c r="H9" s="38" t="str">
        <x:v>en</x:v>
      </x:c>
      <x:c r="I9" s="38" t="str">
        <x:v>Bank of Japan</x:v>
      </x:c>
      <x:c r="J9" s="38" t="str">
        <x:v>After the orchestration system calculates the amount in excess of the holding limit s and 
identifies user attributes, such as corporate or individual, it sends an automatic acceptance 
instruction to convert the subject amount to bank deposits, etc., to the ledger and the 
intermediary mockup.</x:v>
      </x:c>
      <x:c r="K9" s="142" t="b">
        <x:v>0</x:v>
      </x:c>
      <x:c r="L9" s="146" t="str">
        <x:v>keep</x:v>
      </x:c>
      <x:c r="M9" s="146" t="str">
        <x:v>keep</x:v>
      </x:c>
      <x:c r="N9" s="147" t="b">
        <x:v>1</x:v>
      </x:c>
      <x:c r="O9" s="146" t="str">
        <x:v>INTEROP.domestic</x:v>
      </x:c>
      <x:c r="P9" s="146" t="str">
        <x:v>SYS.design</x:v>
      </x:c>
      <x:c r="Q9" s="146" t="str">
        <x:v>INTEROP</x:v>
      </x:c>
      <x:c r="R9" s="146" t="str">
        <x:v>SYS</x:v>
      </x:c>
      <x:c r="S9" s="146" t="str">
        <x:v>decision</x:v>
      </x:c>
      <x:c r="T9" s="146" t="str">
        <x:v>finding</x:v>
      </x:c>
      <x:c r="U9" s="146" t="str">
        <x:v>neutral</x:v>
      </x:c>
      <x:c r="V9" s="146" t="str">
        <x:v>neutral</x:v>
      </x:c>
      <x:c r="W9" s="146" t="str">
        <x:v>not_applicable</x:v>
      </x:c>
      <x:c r="X9" s="146" t="str">
        <x:v>not_applicable</x:v>
      </x:c>
      <x:c r="Y9" s="146" t="n">
        <x:v>2</x:v>
      </x:c>
      <x:c r="Z9" s="146" t="n">
        <x:v>2</x:v>
      </x:c>
      <x:c r="AA9" s="146" t="str">
        <x:v>high</x:v>
      </x:c>
      <x:c r="AB9" s="146" t="str">
        <x:v>high</x:v>
      </x:c>
      <x:c r="AC9" s="146"/>
      <x:c r="AD9" s="146"/>
      <x:c r="AE9" s="151" t="str">
        <x:v>INTEROP.domestic</x:v>
      </x:c>
      <x:c r="AF9" s="151" t="str">
        <x:v>SYS.design</x:v>
      </x:c>
      <x:c r="AG9" s="151" t="str">
        <x:v>decision</x:v>
      </x:c>
      <x:c r="AH9" s="151" t="str">
        <x:v>finding</x:v>
      </x:c>
      <x:c r="AI9" s="154" t="n">
        <x:f>IF(K9,0,1)</x:f>
        <x:v>1</x:v>
      </x:c>
      <x:c r="AJ9" s="154" t="n">
        <x:f>IF(L9="keep",1,0)</x:f>
        <x:v>1</x:v>
      </x:c>
      <x:c r="AK9" s="154" t="n">
        <x:f>IF(M9="keep",1,0)</x:f>
        <x:v>1</x:v>
      </x:c>
      <x:c r="AL9" s="154" t="n">
        <x:f>(AJ9+AK9)/2</x:f>
        <x:v>1</x:v>
      </x:c>
      <x:c r="AM9" s="154" t="n">
        <x:f>MIN(AJ9,AK9)</x:f>
        <x:v>1</x:v>
      </x:c>
      <x:c r="AN9" s="154" t="n">
        <x:f>MAX(AJ9,AK9)</x:f>
        <x:v>1</x:v>
      </x:c>
      <x:c r="AO9" s="154" t="n">
        <x:f>IF(L9=M9,1,0)</x:f>
        <x:v>1</x:v>
      </x:c>
    </x:row>
    <x:row r="10">
      <x:c r="A10" s="38" t="str">
        <x:v>SV-0009</x:v>
      </x:c>
      <x:c r="B10" s="38" t="str">
        <x:v>PC-05389</x:v>
      </x:c>
      <x:c r="C10" s="38" t="str">
        <x:v>en|both</x:v>
      </x:c>
      <x:c r="D10" s="87" t="n">
        <x:v>19.069444444444443</x:v>
      </x:c>
      <x:c r="E10" s="38" t="str">
        <x:v>both</x:v>
      </x:c>
      <x:c r="F10" s="38" t="str">
        <x:v>SZ_Eswatini_2024-Fintech-Digital-Lilangeni-Design-Paper</x:v>
      </x:c>
      <x:c r="G10" s="38" t="n">
        <x:v>3</x:v>
      </x:c>
      <x:c r="H10" s="38" t="str">
        <x:v>en</x:v>
      </x:c>
      <x:c r="I10" s="38" t="str">
        <x:v>Central Bank of Eswatini (Digital Lilangeni)</x:v>
      </x:c>
      <x:c r="J10" s="38" t="str">
        <x:v>Consumers shou ld be 
able to make a payment in fewer and simple steps familiar to them and with no need for 
advanced digital literacy.</x:v>
      </x:c>
      <x:c r="K10" s="142" t="b">
        <x:v>0</x:v>
      </x:c>
      <x:c r="L10" s="146" t="str">
        <x:v>keep</x:v>
      </x:c>
      <x:c r="M10" s="146" t="str">
        <x:v>keep</x:v>
      </x:c>
      <x:c r="N10" s="147" t="b">
        <x:v>1</x:v>
      </x:c>
      <x:c r="O10" s="146" t="str">
        <x:v>ADOPT.experience</x:v>
      </x:c>
      <x:c r="P10" s="146" t="str">
        <x:v>ADOPT.experience</x:v>
      </x:c>
      <x:c r="Q10" s="146" t="str">
        <x:v>ADOPT</x:v>
      </x:c>
      <x:c r="R10" s="146" t="str">
        <x:v>ADOPT</x:v>
      </x:c>
      <x:c r="S10" s="146" t="str">
        <x:v>proposal</x:v>
      </x:c>
      <x:c r="T10" s="146" t="str">
        <x:v>proposal</x:v>
      </x:c>
      <x:c r="U10" s="146" t="str">
        <x:v>neutral</x:v>
      </x:c>
      <x:c r="V10" s="146" t="str">
        <x:v>neutral</x:v>
      </x:c>
      <x:c r="W10" s="146" t="str">
        <x:v>not_applicable</x:v>
      </x:c>
      <x:c r="X10" s="146" t="str">
        <x:v>not_applicable</x:v>
      </x:c>
      <x:c r="Y10" s="146" t="n">
        <x:v>2</x:v>
      </x:c>
      <x:c r="Z10" s="146" t="n">
        <x:v>2</x:v>
      </x:c>
      <x:c r="AA10" s="146" t="str">
        <x:v>high</x:v>
      </x:c>
      <x:c r="AB10" s="146" t="str">
        <x:v>high</x:v>
      </x:c>
      <x:c r="AC10" s="146"/>
      <x:c r="AD10" s="146"/>
      <x:c r="AE10" s="151" t="str">
        <x:v>ADOPT.experience</x:v>
      </x:c>
      <x:c r="AF10" s="151" t="str">
        <x:v>ADOPT.experience</x:v>
      </x:c>
      <x:c r="AG10" s="151" t="str">
        <x:v>proposal</x:v>
      </x:c>
      <x:c r="AH10" s="151" t="str">
        <x:v>proposal</x:v>
      </x:c>
      <x:c r="AI10" s="154" t="n">
        <x:f>IF(K10,0,1)</x:f>
        <x:v>1</x:v>
      </x:c>
      <x:c r="AJ10" s="154" t="n">
        <x:f>IF(L10="keep",1,0)</x:f>
        <x:v>1</x:v>
      </x:c>
      <x:c r="AK10" s="154" t="n">
        <x:f>IF(M10="keep",1,0)</x:f>
        <x:v>1</x:v>
      </x:c>
      <x:c r="AL10" s="154" t="n">
        <x:f>(AJ10+AK10)/2</x:f>
        <x:v>1</x:v>
      </x:c>
      <x:c r="AM10" s="154" t="n">
        <x:f>MIN(AJ10,AK10)</x:f>
        <x:v>1</x:v>
      </x:c>
      <x:c r="AN10" s="154" t="n">
        <x:f>MAX(AJ10,AK10)</x:f>
        <x:v>1</x:v>
      </x:c>
      <x:c r="AO10" s="154" t="n">
        <x:f>IF(L10=M10,1,0)</x:f>
        <x:v>1</x:v>
      </x:c>
    </x:row>
    <x:row r="11">
      <x:c r="A11" s="38" t="str">
        <x:v>SV-0010</x:v>
      </x:c>
      <x:c r="B11" s="38" t="str">
        <x:v>PC-02545</x:v>
      </x:c>
      <x:c r="C11" s="38" t="str">
        <x:v>en|both</x:v>
      </x:c>
      <x:c r="D11" s="87" t="n">
        <x:v>19.069444444444443</x:v>
      </x:c>
      <x:c r="E11" s="38" t="str">
        <x:v>both</x:v>
      </x:c>
      <x:c r="F11" s="38" t="str">
        <x:v>ID_Indonesia_2024</x:v>
      </x:c>
      <x:c r="G11" s="38" t="n">
        <x:v>21</x:v>
      </x:c>
      <x:c r="H11" s="38" t="str">
        <x:v>en</x:v>
      </x:c>
      <x:c r="I11" s="38" t="str">
        <x:v>Bank Indonesia (Digital Rupiah)</x:v>
      </x:c>
      <x:c r="J11" s="38" t="str">
        <x:v>In the 
wRD technology architecture, Bank Indonesia can 
manage 2 (two) types of digital assets: the Rupiah 
Digital and the digital securities.</x:v>
      </x:c>
      <x:c r="K11" s="142" t="b">
        <x:v>0</x:v>
      </x:c>
      <x:c r="L11" s="146" t="str">
        <x:v>keep</x:v>
      </x:c>
      <x:c r="M11" s="146" t="str">
        <x:v>exclude</x:v>
      </x:c>
      <x:c r="N11" s="147" t="b">
        <x:v>0</x:v>
      </x:c>
      <x:c r="O11" s="146" t="str">
        <x:v>SYS.design</x:v>
      </x:c>
      <x:c r="P11" s="146" t="str">
        <x:v>PRIV.BAL</x:v>
      </x:c>
      <x:c r="Q11" s="146" t="str">
        <x:v>SYS</x:v>
      </x:c>
      <x:c r="R11" s="146" t="str">
        <x:v>PRIV</x:v>
      </x:c>
      <x:c r="S11" s="146" t="str">
        <x:v>decision</x:v>
      </x:c>
      <x:c r="T11" s="146" t="str">
        <x:v>finding</x:v>
      </x:c>
      <x:c r="U11" s="146" t="str">
        <x:v>neutral</x:v>
      </x:c>
      <x:c r="V11" s="146" t="str">
        <x:v>conditional</x:v>
      </x:c>
      <x:c r="W11" s="146" t="str">
        <x:v>not_applicable</x:v>
      </x:c>
      <x:c r="X11" s="146" t="str">
        <x:v>from_state</x:v>
      </x:c>
      <x:c r="Y11" s="146" t="n">
        <x:v>3</x:v>
      </x:c>
      <x:c r="Z11" s="146" t="n">
        <x:v>3</x:v>
      </x:c>
      <x:c r="AA11" s="146" t="str">
        <x:v>high</x:v>
      </x:c>
      <x:c r="AB11" s="146" t="str">
        <x:v>high</x:v>
      </x:c>
      <x:c r="AC11" s="146"/>
      <x:c r="AD11" s="146" t="str">
        <x:v>x</x:v>
      </x:c>
      <x:c r="AE11" s="151" t="str">
        <x:v>SYS.design</x:v>
      </x:c>
      <x:c r="AF11" s="151" t="str">
        <x:v>PRIV.BAL</x:v>
      </x:c>
      <x:c r="AG11" s="151" t="str">
        <x:v>decision</x:v>
      </x:c>
      <x:c r="AH11" s="151" t="str">
        <x:v>finding</x:v>
      </x:c>
      <x:c r="AI11" s="154" t="n">
        <x:f>IF(K11,0,1)</x:f>
        <x:v>1</x:v>
      </x:c>
      <x:c r="AJ11" s="154" t="n">
        <x:f>IF(L11="keep",1,0)</x:f>
        <x:v>1</x:v>
      </x:c>
      <x:c r="AK11" s="154" t="n">
        <x:f>IF(M11="keep",1,0)</x:f>
        <x:v>0</x:v>
      </x:c>
      <x:c r="AL11" s="154" t="n">
        <x:f>(AJ11+AK11)/2</x:f>
        <x:v>0.5</x:v>
      </x:c>
      <x:c r="AM11" s="154" t="n">
        <x:f>MIN(AJ11,AK11)</x:f>
        <x:v>0</x:v>
      </x:c>
      <x:c r="AN11" s="154" t="n">
        <x:f>MAX(AJ11,AK11)</x:f>
        <x:v>1</x:v>
      </x:c>
      <x:c r="AO11" s="154" t="n">
        <x:f>IF(L11=M11,1,0)</x:f>
        <x:v>0</x:v>
      </x:c>
    </x:row>
    <x:row r="12">
      <x:c r="A12" s="38" t="str">
        <x:v>SV-0011</x:v>
      </x:c>
      <x:c r="B12" s="38" t="str">
        <x:v>PC-01383</x:v>
      </x:c>
      <x:c r="C12" s="38" t="str">
        <x:v>en|claude_only</x:v>
      </x:c>
      <x:c r="D12" s="87" t="n">
        <x:v>19.375</x:v>
      </x:c>
      <x:c r="E12" s="38" t="str">
        <x:v>claude_only</x:v>
      </x:c>
      <x:c r="F12" s="38" t="str">
        <x:v>EU_ECB_2024</x:v>
      </x:c>
      <x:c r="G12" s="38" t="n">
        <x:v>1</x:v>
      </x:c>
      <x:c r="H12" s="38" t="str">
        <x:v>en</x:v>
      </x:c>
      <x:c r="I12" s="38" t="str">
        <x:v>European Central Bank / Eurosystem (digital euro)</x:v>
      </x:c>
      <x:c r="J12" s="38" t="str">
        <x:v>Payment service providers 
(PSPs) would be able to use the digital euro infrastructure to create new payment 
services, which would in turn increase innovation and competition in the European 
payments sector.</x:v>
      </x:c>
      <x:c r="K12" s="142" t="b">
        <x:v>0</x:v>
      </x:c>
      <x:c r="L12" s="146" t="str">
        <x:v>exclude</x:v>
      </x:c>
      <x:c r="M12" s="146" t="str">
        <x:v>keep</x:v>
      </x:c>
      <x:c r="N12" s="147" t="b">
        <x:v>0</x:v>
      </x:c>
      <x:c r="O12" s="146"/>
      <x:c r="P12" s="146" t="str">
        <x:v>SYS.design</x:v>
      </x:c>
      <x:c r="Q12" s="146" t="str"/>
      <x:c r="R12" s="146" t="str">
        <x:v>SYS</x:v>
      </x:c>
      <x:c r="S12" s="146"/>
      <x:c r="T12" s="146" t="str">
        <x:v>proposal</x:v>
      </x:c>
      <x:c r="U12" s="146"/>
      <x:c r="V12" s="146" t="str">
        <x:v>neutral</x:v>
      </x:c>
      <x:c r="W12" s="146"/>
      <x:c r="X12" s="146" t="str">
        <x:v>not_applicable</x:v>
      </x:c>
      <x:c r="Y12" s="146"/>
      <x:c r="Z12" s="146" t="n">
        <x:v>1</x:v>
      </x:c>
      <x:c r="AA12" s="146" t="str">
        <x:v>high</x:v>
      </x:c>
      <x:c r="AB12" s="146" t="str">
        <x:v>high</x:v>
      </x:c>
      <x:c r="AC12" s="146"/>
      <x:c r="AD12" s="146"/>
      <x:c r="AE12" s="151"/>
      <x:c r="AF12" s="151" t="str">
        <x:v>SYS.design</x:v>
      </x:c>
      <x:c r="AG12" s="151"/>
      <x:c r="AH12" s="151" t="str">
        <x:v>proposal</x:v>
      </x:c>
      <x:c r="AI12" s="154" t="n">
        <x:f>IF(K12,0,1)</x:f>
        <x:v>1</x:v>
      </x:c>
      <x:c r="AJ12" s="154" t="n">
        <x:f>IF(L12="keep",1,0)</x:f>
        <x:v>0</x:v>
      </x:c>
      <x:c r="AK12" s="154" t="n">
        <x:f>IF(M12="keep",1,0)</x:f>
        <x:v>1</x:v>
      </x:c>
      <x:c r="AL12" s="154" t="n">
        <x:f>(AJ12+AK12)/2</x:f>
        <x:v>0.5</x:v>
      </x:c>
      <x:c r="AM12" s="154" t="n">
        <x:f>MIN(AJ12,AK12)</x:f>
        <x:v>0</x:v>
      </x:c>
      <x:c r="AN12" s="154" t="n">
        <x:f>MAX(AJ12,AK12)</x:f>
        <x:v>1</x:v>
      </x:c>
      <x:c r="AO12" s="154" t="n">
        <x:f>IF(L12=M12,1,0)</x:f>
        <x:v>0</x:v>
      </x:c>
    </x:row>
    <x:row r="13">
      <x:c r="A13" s="38" t="str">
        <x:v>SV-0012</x:v>
      </x:c>
      <x:c r="B13" s="38" t="str">
        <x:v>PC-06084</x:v>
      </x:c>
      <x:c r="C13" s="38" t="str">
        <x:v>en|both</x:v>
      </x:c>
      <x:c r="D13" s="87" t="n">
        <x:v>19.069444444444443</x:v>
      </x:c>
      <x:c r="E13" s="38" t="str">
        <x:v>both</x:v>
      </x:c>
      <x:c r="F13" s="38" t="str">
        <x:v>UK_BoE_2020_OpportChall</x:v>
      </x:c>
      <x:c r="G13" s="38" t="n">
        <x:v>34</x:v>
      </x:c>
      <x:c r="H13" s="38" t="str">
        <x:v>en</x:v>
      </x:c>
      <x:c r="I13" s="38" t="str">
        <x:v>Bank of England and HM Treasury (digital pound)</x:v>
      </x:c>
      <x:c r="J13" s="38" t="str">
        <x:v>the Bank and relevant regulators would need to set standards to ensure that Payment Interface 
Providers build systems that support inclusion and avoid barriers that arise as a result of technical literacy, 
disabilities or reliance on more expensive hardware (such as smartphones).</x:v>
      </x:c>
      <x:c r="K13" s="142" t="b">
        <x:v>0</x:v>
      </x:c>
      <x:c r="L13" s="146" t="str">
        <x:v>keep</x:v>
      </x:c>
      <x:c r="M13" s="146" t="str">
        <x:v>keep</x:v>
      </x:c>
      <x:c r="N13" s="147" t="b">
        <x:v>1</x:v>
      </x:c>
      <x:c r="O13" s="146" t="str">
        <x:v>INTEROP.domestic</x:v>
      </x:c>
      <x:c r="P13" s="146" t="str">
        <x:v>ACCESS.universal</x:v>
      </x:c>
      <x:c r="Q13" s="146" t="str">
        <x:v>INTEROP</x:v>
      </x:c>
      <x:c r="R13" s="146" t="str">
        <x:v>ACCESS</x:v>
      </x:c>
      <x:c r="S13" s="146" t="str">
        <x:v>proposal</x:v>
      </x:c>
      <x:c r="T13" s="146" t="str">
        <x:v>proposal</x:v>
      </x:c>
      <x:c r="U13" s="146" t="str">
        <x:v>neutral</x:v>
      </x:c>
      <x:c r="V13" s="146" t="str">
        <x:v>neutral</x:v>
      </x:c>
      <x:c r="W13" s="146" t="str">
        <x:v>not_applicable</x:v>
      </x:c>
      <x:c r="X13" s="146" t="str">
        <x:v>not_applicable</x:v>
      </x:c>
      <x:c r="Y13" s="146" t="n">
        <x:v>2</x:v>
      </x:c>
      <x:c r="Z13" s="146" t="n">
        <x:v>2</x:v>
      </x:c>
      <x:c r="AA13" s="146" t="str">
        <x:v>high</x:v>
      </x:c>
      <x:c r="AB13" s="146" t="str">
        <x:v>high</x:v>
      </x:c>
      <x:c r="AC13" s="146"/>
      <x:c r="AD13" s="146"/>
      <x:c r="AE13" s="151" t="str">
        <x:v>INTEROP.domestic</x:v>
      </x:c>
      <x:c r="AF13" s="151" t="str">
        <x:v>ACCESS.universal</x:v>
      </x:c>
      <x:c r="AG13" s="151" t="str">
        <x:v>proposal</x:v>
      </x:c>
      <x:c r="AH13" s="151" t="str">
        <x:v>proposal</x:v>
      </x:c>
      <x:c r="AI13" s="154" t="n">
        <x:f>IF(K13,0,1)</x:f>
        <x:v>1</x:v>
      </x:c>
      <x:c r="AJ13" s="154" t="n">
        <x:f>IF(L13="keep",1,0)</x:f>
        <x:v>1</x:v>
      </x:c>
      <x:c r="AK13" s="154" t="n">
        <x:f>IF(M13="keep",1,0)</x:f>
        <x:v>1</x:v>
      </x:c>
      <x:c r="AL13" s="154" t="n">
        <x:f>(AJ13+AK13)/2</x:f>
        <x:v>1</x:v>
      </x:c>
      <x:c r="AM13" s="154" t="n">
        <x:f>MIN(AJ13,AK13)</x:f>
        <x:v>1</x:v>
      </x:c>
      <x:c r="AN13" s="154" t="n">
        <x:f>MAX(AJ13,AK13)</x:f>
        <x:v>1</x:v>
      </x:c>
      <x:c r="AO13" s="154" t="n">
        <x:f>IF(L13=M13,1,0)</x:f>
        <x:v>1</x:v>
      </x:c>
    </x:row>
    <x:row r="14">
      <x:c r="A14" s="38" t="str">
        <x:v>SV-0013</x:v>
      </x:c>
      <x:c r="B14" s="38" t="str">
        <x:v>PC-04571</x:v>
      </x:c>
      <x:c r="C14" s="38" t="str">
        <x:v>en|both</x:v>
      </x:c>
      <x:c r="D14" s="87" t="n">
        <x:v>19.069444444444443</x:v>
      </x:c>
      <x:c r="E14" s="38" t="str">
        <x:v>both</x:v>
      </x:c>
      <x:c r="F14" s="38" t="str">
        <x:v>NZ_RBNZ_CBDCIssuesPaper_2021</x:v>
      </x:c>
      <x:c r="G14" s="38" t="n">
        <x:v>34</x:v>
      </x:c>
      <x:c r="H14" s="38" t="str">
        <x:v>en</x:v>
      </x:c>
      <x:c r="I14" s="38" t="str">
        <x:v>Reserve Bank of New Zealand</x:v>
      </x:c>
      <x:c r="J14" s="38" t="str">
        <x:v>Managed issuance: A CBDC should be issued and governed by the Reserve Bank in a manner that 
avoids unnecessary disruption to the cash system, the wider financial system and monetary policy 
settings</x:v>
      </x:c>
      <x:c r="K14" s="142" t="b">
        <x:v>0</x:v>
      </x:c>
      <x:c r="L14" s="146" t="str">
        <x:v>keep</x:v>
      </x:c>
      <x:c r="M14" s="146" t="str">
        <x:v>keep</x:v>
      </x:c>
      <x:c r="N14" s="147" t="b">
        <x:v>1</x:v>
      </x:c>
      <x:c r="O14" s="146" t="str">
        <x:v>OPS.resilience</x:v>
      </x:c>
      <x:c r="P14" s="146" t="str">
        <x:v>INST.mandate</x:v>
      </x:c>
      <x:c r="Q14" s="146" t="str">
        <x:v>OPS</x:v>
      </x:c>
      <x:c r="R14" s="146" t="str">
        <x:v>INST</x:v>
      </x:c>
      <x:c r="S14" s="146" t="str">
        <x:v>proposal</x:v>
      </x:c>
      <x:c r="T14" s="146" t="str">
        <x:v>proposal</x:v>
      </x:c>
      <x:c r="U14" s="146" t="str">
        <x:v>neutral</x:v>
      </x:c>
      <x:c r="V14" s="146" t="str">
        <x:v>neutral</x:v>
      </x:c>
      <x:c r="W14" s="146" t="str">
        <x:v>not_applicable</x:v>
      </x:c>
      <x:c r="X14" s="146" t="str">
        <x:v>not_applicable</x:v>
      </x:c>
      <x:c r="Y14" s="146" t="n">
        <x:v>3</x:v>
      </x:c>
      <x:c r="Z14" s="146" t="n">
        <x:v>2</x:v>
      </x:c>
      <x:c r="AA14" s="146" t="str">
        <x:v>high</x:v>
      </x:c>
      <x:c r="AB14" s="146" t="str">
        <x:v>high</x:v>
      </x:c>
      <x:c r="AC14" s="146"/>
      <x:c r="AD14" s="146"/>
      <x:c r="AE14" s="151" t="str">
        <x:v>OPS.resilience</x:v>
      </x:c>
      <x:c r="AF14" s="151" t="str">
        <x:v>INST.mandate</x:v>
      </x:c>
      <x:c r="AG14" s="151" t="str">
        <x:v>proposal</x:v>
      </x:c>
      <x:c r="AH14" s="151" t="str">
        <x:v>proposal</x:v>
      </x:c>
      <x:c r="AI14" s="154" t="n">
        <x:f>IF(K14,0,1)</x:f>
        <x:v>1</x:v>
      </x:c>
      <x:c r="AJ14" s="154" t="n">
        <x:f>IF(L14="keep",1,0)</x:f>
        <x:v>1</x:v>
      </x:c>
      <x:c r="AK14" s="154" t="n">
        <x:f>IF(M14="keep",1,0)</x:f>
        <x:v>1</x:v>
      </x:c>
      <x:c r="AL14" s="154" t="n">
        <x:f>(AJ14+AK14)/2</x:f>
        <x:v>1</x:v>
      </x:c>
      <x:c r="AM14" s="154" t="n">
        <x:f>MIN(AJ14,AK14)</x:f>
        <x:v>1</x:v>
      </x:c>
      <x:c r="AN14" s="154" t="n">
        <x:f>MAX(AJ14,AK14)</x:f>
        <x:v>1</x:v>
      </x:c>
      <x:c r="AO14" s="154" t="n">
        <x:f>IF(L14=M14,1,0)</x:f>
        <x:v>1</x:v>
      </x:c>
    </x:row>
    <x:row r="15">
      <x:c r="A15" s="38" t="str">
        <x:v>SV-0014</x:v>
      </x:c>
      <x:c r="B15" s="38" t="str">
        <x:v>PC-00927</x:v>
      </x:c>
      <x:c r="C15" s="38" t="str">
        <x:v>en|both</x:v>
      </x:c>
      <x:c r="D15" s="87" t="n">
        <x:v>19.069444444444443</x:v>
      </x:c>
      <x:c r="E15" s="38" t="str">
        <x:v>both</x:v>
      </x:c>
      <x:c r="F15" s="38" t="str">
        <x:v>CA_Jasper_Phase12_2017</x:v>
      </x:c>
      <x:c r="G15" s="38" t="n">
        <x:v>11</x:v>
      </x:c>
      <x:c r="H15" s="38" t="str">
        <x:v>en</x:v>
      </x:c>
      <x:c r="I15" s="38" t="str">
        <x:v>Bank of Canada and Payments Canada (Project Jasper)</x:v>
      </x:c>
      <x:c r="J15" s="38" t="str">
        <x:v>The Phase 1 solution was also not integrated with any 
external systems (including collateral management 
capabilities) and relied on a prefunded account, which 
is very inefficient and, if adopted, would substantially 
increase settlement costs for FI participants.</x:v>
      </x:c>
      <x:c r="K15" s="142" t="b">
        <x:v>0</x:v>
      </x:c>
      <x:c r="L15" s="146" t="str">
        <x:v>keep</x:v>
      </x:c>
      <x:c r="M15" s="146" t="str">
        <x:v>keep</x:v>
      </x:c>
      <x:c r="N15" s="147" t="b">
        <x:v>1</x:v>
      </x:c>
      <x:c r="O15" s="146" t="str">
        <x:v>SYS.design</x:v>
      </x:c>
      <x:c r="P15" s="146" t="str">
        <x:v>PROC.pilot_learning</x:v>
      </x:c>
      <x:c r="Q15" s="146" t="str">
        <x:v>SYS</x:v>
      </x:c>
      <x:c r="R15" s="146" t="str">
        <x:v>PROC</x:v>
      </x:c>
      <x:c r="S15" s="146" t="str">
        <x:v>decision</x:v>
      </x:c>
      <x:c r="T15" s="146" t="str">
        <x:v>finding</x:v>
      </x:c>
      <x:c r="U15" s="146" t="str">
        <x:v>neutral</x:v>
      </x:c>
      <x:c r="V15" s="146" t="str">
        <x:v>neutral</x:v>
      </x:c>
      <x:c r="W15" s="146" t="str">
        <x:v>not_applicable</x:v>
      </x:c>
      <x:c r="X15" s="146" t="str">
        <x:v>not_applicable</x:v>
      </x:c>
      <x:c r="Y15" s="146" t="n">
        <x:v>3</x:v>
      </x:c>
      <x:c r="Z15" s="146" t="n">
        <x:v>3</x:v>
      </x:c>
      <x:c r="AA15" s="146" t="str">
        <x:v>high</x:v>
      </x:c>
      <x:c r="AB15" s="146" t="str">
        <x:v>high</x:v>
      </x:c>
      <x:c r="AC15" s="146"/>
      <x:c r="AD15" s="146"/>
      <x:c r="AE15" s="151" t="str">
        <x:v>SYS.design</x:v>
      </x:c>
      <x:c r="AF15" s="151" t="str">
        <x:v>PROC.pilot_learning</x:v>
      </x:c>
      <x:c r="AG15" s="151" t="str">
        <x:v>decision</x:v>
      </x:c>
      <x:c r="AH15" s="151" t="str">
        <x:v>finding</x:v>
      </x:c>
      <x:c r="AI15" s="154" t="n">
        <x:f>IF(K15,0,1)</x:f>
        <x:v>1</x:v>
      </x:c>
      <x:c r="AJ15" s="154" t="n">
        <x:f>IF(L15="keep",1,0)</x:f>
        <x:v>1</x:v>
      </x:c>
      <x:c r="AK15" s="154" t="n">
        <x:f>IF(M15="keep",1,0)</x:f>
        <x:v>1</x:v>
      </x:c>
      <x:c r="AL15" s="154" t="n">
        <x:f>(AJ15+AK15)/2</x:f>
        <x:v>1</x:v>
      </x:c>
      <x:c r="AM15" s="154" t="n">
        <x:f>MIN(AJ15,AK15)</x:f>
        <x:v>1</x:v>
      </x:c>
      <x:c r="AN15" s="154" t="n">
        <x:f>MAX(AJ15,AK15)</x:f>
        <x:v>1</x:v>
      </x:c>
      <x:c r="AO15" s="154" t="n">
        <x:f>IF(L15=M15,1,0)</x:f>
        <x:v>1</x:v>
      </x:c>
    </x:row>
    <x:row r="16">
      <x:c r="A16" s="38" t="str">
        <x:v>SV-0015</x:v>
      </x:c>
      <x:c r="B16" s="38" t="str">
        <x:v>PC-04546</x:v>
      </x:c>
      <x:c r="C16" s="38" t="str">
        <x:v>en|openai_only</x:v>
      </x:c>
      <x:c r="D16" s="87" t="n">
        <x:v>19.21875</x:v>
      </x:c>
      <x:c r="E16" s="38" t="str">
        <x:v>openai_only</x:v>
      </x:c>
      <x:c r="F16" s="38" t="str">
        <x:v>NZ_RBNZ_CBDCIssuesPaper_2021</x:v>
      </x:c>
      <x:c r="G16" s="38" t="n">
        <x:v>26</x:v>
      </x:c>
      <x:c r="H16" s="38" t="str">
        <x:v>en</x:v>
      </x:c>
      <x:c r="I16" s="38" t="str">
        <x:v>Reserve Bank of New Zealand</x:v>
      </x:c>
      <x:c r="J16" s="38" t="str">
        <x:v>The Reserve Bank has high requirements for the reliability, scalability, 
throughput and resilience of its existing systemically important payments and settlement systems, 
and these would also apply to a CBDC.</x:v>
      </x:c>
      <x:c r="K16" s="142" t="b">
        <x:v>0</x:v>
      </x:c>
      <x:c r="L16" s="146" t="str">
        <x:v>keep</x:v>
      </x:c>
      <x:c r="M16" s="146" t="str">
        <x:v>exclude</x:v>
      </x:c>
      <x:c r="N16" s="147" t="b">
        <x:v>0</x:v>
      </x:c>
      <x:c r="O16" s="146" t="str">
        <x:v>OPS.resilience</x:v>
      </x:c>
      <x:c r="P16" s="146"/>
      <x:c r="Q16" s="146" t="str">
        <x:v>OPS</x:v>
      </x:c>
      <x:c r="R16" s="146" t="str"/>
      <x:c r="S16" s="146" t="str">
        <x:v>proposal</x:v>
      </x:c>
      <x:c r="T16" s="146"/>
      <x:c r="U16" s="146" t="str">
        <x:v>neutral</x:v>
      </x:c>
      <x:c r="V16" s="146"/>
      <x:c r="W16" s="146" t="str">
        <x:v>not_applicable</x:v>
      </x:c>
      <x:c r="X16" s="146"/>
      <x:c r="Y16" s="146" t="n">
        <x:v>3</x:v>
      </x:c>
      <x:c r="Z16" s="146"/>
      <x:c r="AA16" s="146" t="str">
        <x:v>high</x:v>
      </x:c>
      <x:c r="AB16" s="146" t="str">
        <x:v>high</x:v>
      </x:c>
      <x:c r="AC16" s="146"/>
      <x:c r="AD16" s="146"/>
      <x:c r="AE16" s="151" t="str">
        <x:v>OPS.resilience</x:v>
      </x:c>
      <x:c r="AF16" s="151"/>
      <x:c r="AG16" s="151" t="str">
        <x:v>proposal</x:v>
      </x:c>
      <x:c r="AH16" s="151"/>
      <x:c r="AI16" s="154" t="n">
        <x:f>IF(K16,0,1)</x:f>
        <x:v>1</x:v>
      </x:c>
      <x:c r="AJ16" s="154" t="n">
        <x:f>IF(L16="keep",1,0)</x:f>
        <x:v>1</x:v>
      </x:c>
      <x:c r="AK16" s="154" t="n">
        <x:f>IF(M16="keep",1,0)</x:f>
        <x:v>0</x:v>
      </x:c>
      <x:c r="AL16" s="154" t="n">
        <x:f>(AJ16+AK16)/2</x:f>
        <x:v>0.5</x:v>
      </x:c>
      <x:c r="AM16" s="154" t="n">
        <x:f>MIN(AJ16,AK16)</x:f>
        <x:v>0</x:v>
      </x:c>
      <x:c r="AN16" s="154" t="n">
        <x:f>MAX(AJ16,AK16)</x:f>
        <x:v>1</x:v>
      </x:c>
      <x:c r="AO16" s="154" t="n">
        <x:f>IF(L16=M16,1,0)</x:f>
        <x:v>0</x:v>
      </x:c>
    </x:row>
    <x:row r="17">
      <x:c r="A17" s="38" t="str">
        <x:v>SV-0016</x:v>
      </x:c>
      <x:c r="B17" s="38" t="str">
        <x:v>PC-06786</x:v>
      </x:c>
      <x:c r="C17" s="38" t="str">
        <x:v>en|claude_only</x:v>
      </x:c>
      <x:c r="D17" s="87" t="n">
        <x:v>19.375</x:v>
      </x:c>
      <x:c r="E17" s="38" t="str">
        <x:v>claude_only</x:v>
      </x:c>
      <x:c r="F17" s="38" t="str">
        <x:v>ZA_SARB_Project_Khokha_2_Full_Report_6_April_2022</x:v>
      </x:c>
      <x:c r="G17" s="38" t="n">
        <x:v>37</x:v>
      </x:c>
      <x:c r="H17" s="38" t="str">
        <x:v>en</x:v>
      </x:c>
      <x:c r="I17" s="38" t="str">
        <x:v>South African Reserve Bank</x:v>
      </x:c>
      <x:c r="J17" s="38" t="str">
        <x:v>The wCBDC and wToken implemented in the PK2 PoC, 
for example, could be limited in their usage to selected participants (e.g. only 
licensed banks) who had been placed on an approved participant list, that is 
white listed, by the SARB.</x:v>
      </x:c>
      <x:c r="K17" s="142" t="b">
        <x:v>0</x:v>
      </x:c>
      <x:c r="L17" s="146" t="str">
        <x:v>keep</x:v>
      </x:c>
      <x:c r="M17" s="146" t="str">
        <x:v>keep</x:v>
      </x:c>
      <x:c r="N17" s="147" t="b">
        <x:v>1</x:v>
      </x:c>
      <x:c r="O17" s="146" t="str">
        <x:v>INTEROP.domestic</x:v>
      </x:c>
      <x:c r="P17" s="146" t="str">
        <x:v>SYS.design</x:v>
      </x:c>
      <x:c r="Q17" s="146" t="str">
        <x:v>INTEROP</x:v>
      </x:c>
      <x:c r="R17" s="146" t="str">
        <x:v>SYS</x:v>
      </x:c>
      <x:c r="S17" s="146" t="str">
        <x:v>proposal</x:v>
      </x:c>
      <x:c r="T17" s="146" t="str">
        <x:v>finding</x:v>
      </x:c>
      <x:c r="U17" s="146" t="str">
        <x:v>decreases</x:v>
      </x:c>
      <x:c r="V17" s="146" t="str">
        <x:v>neutral</x:v>
      </x:c>
      <x:c r="W17" s="146" t="str">
        <x:v>from_intermediary</x:v>
      </x:c>
      <x:c r="X17" s="146" t="str">
        <x:v>not_applicable</x:v>
      </x:c>
      <x:c r="Y17" s="146" t="n">
        <x:v>2</x:v>
      </x:c>
      <x:c r="Z17" s="146" t="n">
        <x:v>3</x:v>
      </x:c>
      <x:c r="AA17" s="146" t="str">
        <x:v>high</x:v>
      </x:c>
      <x:c r="AB17" s="146" t="str">
        <x:v>high</x:v>
      </x:c>
      <x:c r="AC17" s="146"/>
      <x:c r="AD17" s="146"/>
      <x:c r="AE17" s="151"/>
      <x:c r="AF17" s="151" t="str">
        <x:v>SYS.design</x:v>
      </x:c>
      <x:c r="AG17" s="151"/>
      <x:c r="AH17" s="151" t="str">
        <x:v>finding</x:v>
      </x:c>
      <x:c r="AI17" s="154" t="n">
        <x:f>IF(K17,0,1)</x:f>
        <x:v>1</x:v>
      </x:c>
      <x:c r="AJ17" s="154" t="n">
        <x:f>IF(L17="keep",1,0)</x:f>
        <x:v>1</x:v>
      </x:c>
      <x:c r="AK17" s="154" t="n">
        <x:f>IF(M17="keep",1,0)</x:f>
        <x:v>1</x:v>
      </x:c>
      <x:c r="AL17" s="154" t="n">
        <x:f>(AJ17+AK17)/2</x:f>
        <x:v>1</x:v>
      </x:c>
      <x:c r="AM17" s="154" t="n">
        <x:f>MIN(AJ17,AK17)</x:f>
        <x:v>1</x:v>
      </x:c>
      <x:c r="AN17" s="154" t="n">
        <x:f>MAX(AJ17,AK17)</x:f>
        <x:v>1</x:v>
      </x:c>
      <x:c r="AO17" s="154" t="n">
        <x:f>IF(L17=M17,1,0)</x:f>
        <x:v>1</x:v>
      </x:c>
    </x:row>
    <x:row r="18">
      <x:c r="A18" s="38" t="str">
        <x:v>SV-0017</x:v>
      </x:c>
      <x:c r="B18" s="38" t="str">
        <x:v>PC-02458</x:v>
      </x:c>
      <x:c r="C18" s="38" t="str">
        <x:v>en|both</x:v>
      </x:c>
      <x:c r="D18" s="87" t="n">
        <x:v>19.069444444444443</x:v>
      </x:c>
      <x:c r="E18" s="38" t="str">
        <x:v>both</x:v>
      </x:c>
      <x:c r="F18" s="38" t="str">
        <x:v>ID_Indonesia_2023a</x:v>
      </x:c>
      <x:c r="G18" s="38" t="n">
        <x:v>12</x:v>
      </x:c>
      <x:c r="H18" s="38" t="str">
        <x:v>en</x:v>
      </x:c>
      <x:c r="I18" s="38" t="str">
        <x:v>Bank Indonesia (Digital Rupiah)</x:v>
      </x:c>
      <x:c r="J18" s="38" t="str">
        <x:v>The implementation of the above functions will be
facilitated by smart contract.</x:v>
      </x:c>
      <x:c r="K18" s="142" t="b">
        <x:v>0</x:v>
      </x:c>
      <x:c r="L18" s="146" t="str">
        <x:v>keep</x:v>
      </x:c>
      <x:c r="M18" s="146" t="str">
        <x:v>keep</x:v>
      </x:c>
      <x:c r="N18" s="147" t="b">
        <x:v>1</x:v>
      </x:c>
      <x:c r="O18" s="146" t="str">
        <x:v>PROG.generic</x:v>
      </x:c>
      <x:c r="P18" s="146" t="str">
        <x:v>PROG.generic</x:v>
      </x:c>
      <x:c r="Q18" s="146" t="str">
        <x:v>PROG</x:v>
      </x:c>
      <x:c r="R18" s="146" t="str">
        <x:v>PROG</x:v>
      </x:c>
      <x:c r="S18" s="146" t="str">
        <x:v>decision</x:v>
      </x:c>
      <x:c r="T18" s="146" t="str">
        <x:v>decision</x:v>
      </x:c>
      <x:c r="U18" s="146" t="str">
        <x:v>neutral</x:v>
      </x:c>
      <x:c r="V18" s="146" t="str">
        <x:v>neutral</x:v>
      </x:c>
      <x:c r="W18" s="146" t="str">
        <x:v>not_applicable</x:v>
      </x:c>
      <x:c r="X18" s="146" t="str">
        <x:v>not_applicable</x:v>
      </x:c>
      <x:c r="Y18" s="146" t="n">
        <x:v>2</x:v>
      </x:c>
      <x:c r="Z18" s="146" t="n">
        <x:v>2</x:v>
      </x:c>
      <x:c r="AA18" s="146" t="str">
        <x:v>high</x:v>
      </x:c>
      <x:c r="AB18" s="146" t="str">
        <x:v>high</x:v>
      </x:c>
      <x:c r="AC18" s="146"/>
      <x:c r="AD18" s="146"/>
      <x:c r="AE18" s="151" t="str">
        <x:v>PROG.generic</x:v>
      </x:c>
      <x:c r="AF18" s="151" t="str">
        <x:v>PROG.generic</x:v>
      </x:c>
      <x:c r="AG18" s="151" t="str">
        <x:v>decision</x:v>
      </x:c>
      <x:c r="AH18" s="151" t="str">
        <x:v>decision</x:v>
      </x:c>
      <x:c r="AI18" s="154" t="n">
        <x:f>IF(K18,0,1)</x:f>
        <x:v>1</x:v>
      </x:c>
      <x:c r="AJ18" s="154" t="n">
        <x:f>IF(L18="keep",1,0)</x:f>
        <x:v>1</x:v>
      </x:c>
      <x:c r="AK18" s="154" t="n">
        <x:f>IF(M18="keep",1,0)</x:f>
        <x:v>1</x:v>
      </x:c>
      <x:c r="AL18" s="154" t="n">
        <x:f>(AJ18+AK18)/2</x:f>
        <x:v>1</x:v>
      </x:c>
      <x:c r="AM18" s="154" t="n">
        <x:f>MIN(AJ18,AK18)</x:f>
        <x:v>1</x:v>
      </x:c>
      <x:c r="AN18" s="154" t="n">
        <x:f>MAX(AJ18,AK18)</x:f>
        <x:v>1</x:v>
      </x:c>
      <x:c r="AO18" s="154" t="n">
        <x:f>IF(L18=M18,1,0)</x:f>
        <x:v>1</x:v>
      </x:c>
    </x:row>
    <x:row r="19">
      <x:c r="A19" s="38" t="str">
        <x:v>SV-0018</x:v>
      </x:c>
      <x:c r="B19" s="38" t="str">
        <x:v>PC-04693</x:v>
      </x:c>
      <x:c r="C19" s="38" t="str">
        <x:v>en|claude_only</x:v>
      </x:c>
      <x:c r="D19" s="87" t="n">
        <x:v>19.375</x:v>
      </x:c>
      <x:c r="E19" s="38" t="str">
        <x:v>claude_only</x:v>
      </x:c>
      <x:c r="F19" s="38" t="str">
        <x:v>PH_Philippines_EFLP2024_1_2c</x:v>
      </x:c>
      <x:c r="G19" s="38" t="n">
        <x:v>5</x:v>
      </x:c>
      <x:c r="H19" s="38" t="str">
        <x:v>en</x:v>
      </x:c>
      <x:c r="I19" s="38" t="str">
        <x:v>Bangko Sentral ng Pilipinas</x:v>
      </x:c>
      <x:c r="J19" s="38" t="str">
        <x:v>Potential legal concern on retail CBDC issuance</x:v>
      </x:c>
      <x:c r="K19" s="142" t="b">
        <x:v>0</x:v>
      </x:c>
      <x:c r="L19" s="146" t="str">
        <x:v>exclude</x:v>
      </x:c>
      <x:c r="M19" s="146" t="str">
        <x:v>keep</x:v>
      </x:c>
      <x:c r="N19" s="147" t="b">
        <x:v>0</x:v>
      </x:c>
      <x:c r="O19" s="146"/>
      <x:c r="P19" s="146" t="str">
        <x:v>LEGAL.basis</x:v>
      </x:c>
      <x:c r="Q19" s="146" t="str"/>
      <x:c r="R19" s="146" t="str">
        <x:v>LEGAL</x:v>
      </x:c>
      <x:c r="S19" s="146"/>
      <x:c r="T19" s="146" t="str">
        <x:v>finding</x:v>
      </x:c>
      <x:c r="U19" s="146"/>
      <x:c r="V19" s="146" t="str">
        <x:v>neutral</x:v>
      </x:c>
      <x:c r="W19" s="146"/>
      <x:c r="X19" s="146" t="str">
        <x:v>not_applicable</x:v>
      </x:c>
      <x:c r="Y19" s="146"/>
      <x:c r="Z19" s="146" t="n">
        <x:v>1</x:v>
      </x:c>
      <x:c r="AA19" s="146" t="str">
        <x:v>high</x:v>
      </x:c>
      <x:c r="AB19" s="146" t="str">
        <x:v>high</x:v>
      </x:c>
      <x:c r="AC19" s="146"/>
      <x:c r="AD19" s="146"/>
      <x:c r="AE19" s="151"/>
      <x:c r="AF19" s="151" t="str">
        <x:v>LEGAL.basis</x:v>
      </x:c>
      <x:c r="AG19" s="151"/>
      <x:c r="AH19" s="151" t="str">
        <x:v>finding</x:v>
      </x:c>
      <x:c r="AI19" s="154" t="n">
        <x:f>IF(K19,0,1)</x:f>
        <x:v>1</x:v>
      </x:c>
      <x:c r="AJ19" s="154" t="n">
        <x:f>IF(L19="keep",1,0)</x:f>
        <x:v>0</x:v>
      </x:c>
      <x:c r="AK19" s="154" t="n">
        <x:f>IF(M19="keep",1,0)</x:f>
        <x:v>1</x:v>
      </x:c>
      <x:c r="AL19" s="154" t="n">
        <x:f>(AJ19+AK19)/2</x:f>
        <x:v>0.5</x:v>
      </x:c>
      <x:c r="AM19" s="154" t="n">
        <x:f>MIN(AJ19,AK19)</x:f>
        <x:v>0</x:v>
      </x:c>
      <x:c r="AN19" s="154" t="n">
        <x:f>MAX(AJ19,AK19)</x:f>
        <x:v>1</x:v>
      </x:c>
      <x:c r="AO19" s="154" t="n">
        <x:f>IF(L19=M19,1,0)</x:f>
        <x:v>0</x:v>
      </x:c>
    </x:row>
    <x:row r="20">
      <x:c r="A20" s="38" t="str">
        <x:v>SV-0019</x:v>
      </x:c>
      <x:c r="B20" s="38" t="str">
        <x:v>PC-02094</x:v>
      </x:c>
      <x:c r="C20" s="38" t="str">
        <x:v>en|openai_only</x:v>
      </x:c>
      <x:c r="D20" s="87" t="n">
        <x:v>19.21875</x:v>
      </x:c>
      <x:c r="E20" s="38" t="str">
        <x:v>openai_only</x:v>
      </x:c>
      <x:c r="F20" s="38" t="str">
        <x:v>HK_HKMA_eHKD_PolicyDesign</x:v>
      </x:c>
      <x:c r="G20" s="38" t="n">
        <x:v>17</x:v>
      </x:c>
      <x:c r="H20" s="38" t="str">
        <x:v>en</x:v>
      </x:c>
      <x:c r="I20" s="38" t="str">
        <x:v>Hong Kong Monetary Authority (e-HKD)</x:v>
      </x:c>
      <x:c r="J20" s="38" t="str">
        <x:v>Merchant 
acceptance ✓</x:v>
      </x:c>
      <x:c r="K20" s="142" t="b">
        <x:v>0</x:v>
      </x:c>
      <x:c r="L20" s="146" t="str">
        <x:v>exclude</x:v>
      </x:c>
      <x:c r="M20" s="146" t="str">
        <x:v>exclude</x:v>
      </x:c>
      <x:c r="N20" s="147" t="b">
        <x:v>1</x:v>
      </x:c>
      <x:c r="O20" s="146"/>
      <x:c r="P20" s="146"/>
      <x:c r="Q20" s="146" t="str"/>
      <x:c r="R20" s="146" t="str"/>
      <x:c r="S20" s="146"/>
      <x:c r="T20" s="146"/>
      <x:c r="U20" s="146"/>
      <x:c r="V20" s="146"/>
      <x:c r="W20" s="146"/>
      <x:c r="X20" s="146"/>
      <x:c r="Y20" s="146"/>
      <x:c r="Z20" s="146"/>
      <x:c r="AA20" s="146" t="str">
        <x:v>high</x:v>
      </x:c>
      <x:c r="AB20" s="146" t="str">
        <x:v>high</x:v>
      </x:c>
      <x:c r="AC20" s="146"/>
      <x:c r="AD20" s="146"/>
      <x:c r="AE20" s="151" t="str">
        <x:v>ADOPT.experience</x:v>
      </x:c>
      <x:c r="AF20" s="151"/>
      <x:c r="AG20" s="151" t="str">
        <x:v>decision</x:v>
      </x:c>
      <x:c r="AH20" s="151"/>
      <x:c r="AI20" s="154" t="n">
        <x:f>IF(K20,0,1)</x:f>
        <x:v>1</x:v>
      </x:c>
      <x:c r="AJ20" s="154" t="n">
        <x:f>IF(L20="keep",1,0)</x:f>
        <x:v>0</x:v>
      </x:c>
      <x:c r="AK20" s="154" t="n">
        <x:f>IF(M20="keep",1,0)</x:f>
        <x:v>0</x:v>
      </x:c>
      <x:c r="AL20" s="154" t="n">
        <x:f>(AJ20+AK20)/2</x:f>
        <x:v>0</x:v>
      </x:c>
      <x:c r="AM20" s="154" t="n">
        <x:f>MIN(AJ20,AK20)</x:f>
        <x:v>0</x:v>
      </x:c>
      <x:c r="AN20" s="154" t="n">
        <x:f>MAX(AJ20,AK20)</x:f>
        <x:v>0</x:v>
      </x:c>
      <x:c r="AO20" s="154" t="n">
        <x:f>IF(L20=M20,1,0)</x:f>
        <x:v>1</x:v>
      </x:c>
    </x:row>
    <x:row r="21">
      <x:c r="A21" s="38" t="str">
        <x:v>SV-0020</x:v>
      </x:c>
      <x:c r="B21" s="38" t="str">
        <x:v>PC-04952</x:v>
      </x:c>
      <x:c r="C21" s="38" t="str">
        <x:v>en|openai_only</x:v>
      </x:c>
      <x:c r="D21" s="87" t="n">
        <x:v>19.21875</x:v>
      </x:c>
      <x:c r="E21" s="38" t="str">
        <x:v>openai_only</x:v>
      </x:c>
      <x:c r="F21" s="38" t="str">
        <x:v>RU_Russia_consultation_paper_201013</x:v>
      </x:c>
      <x:c r="G21" s="38" t="n">
        <x:v>15</x:v>
      </x:c>
      <x:c r="H21" s="38" t="str">
        <x:v>en</x:v>
      </x:c>
      <x:c r="I21" s="38" t="str">
        <x:v>Bank of Russia (digital ruble)</x:v>
      </x:c>
      <x:c r="J21" s="38" t="str">
        <x:v>the introduction of a limit on the amount of funds to be transferred between an online wallet and 
an offline device;</x:v>
      </x:c>
      <x:c r="K21" s="142" t="b">
        <x:v>0</x:v>
      </x:c>
      <x:c r="L21" s="146" t="str">
        <x:v>keep</x:v>
      </x:c>
      <x:c r="M21" s="146" t="str">
        <x:v>exclude</x:v>
      </x:c>
      <x:c r="N21" s="147" t="b">
        <x:v>0</x:v>
      </x:c>
      <x:c r="O21" s="146" t="str">
        <x:v>AML.LIMIT</x:v>
      </x:c>
      <x:c r="P21" s="146"/>
      <x:c r="Q21" s="146" t="str">
        <x:v>AML</x:v>
      </x:c>
      <x:c r="R21" s="146" t="str"/>
      <x:c r="S21" s="146" t="str">
        <x:v>proposal</x:v>
      </x:c>
      <x:c r="T21" s="146"/>
      <x:c r="U21" s="146" t="str">
        <x:v>neutral</x:v>
      </x:c>
      <x:c r="V21" s="146"/>
      <x:c r="W21" s="146" t="str">
        <x:v>not_applicable</x:v>
      </x:c>
      <x:c r="X21" s="146"/>
      <x:c r="Y21" s="146" t="n">
        <x:v>2</x:v>
      </x:c>
      <x:c r="Z21" s="146"/>
      <x:c r="AA21" s="146" t="str">
        <x:v>high</x:v>
      </x:c>
      <x:c r="AB21" s="146" t="str">
        <x:v>high</x:v>
      </x:c>
      <x:c r="AC21" s="146"/>
      <x:c r="AD21" s="146"/>
      <x:c r="AE21" s="151" t="str">
        <x:v>AML.LIMIT</x:v>
      </x:c>
      <x:c r="AF21" s="151"/>
      <x:c r="AG21" s="151" t="str">
        <x:v>proposal</x:v>
      </x:c>
      <x:c r="AH21" s="151"/>
      <x:c r="AI21" s="154" t="n">
        <x:f>IF(K21,0,1)</x:f>
        <x:v>1</x:v>
      </x:c>
      <x:c r="AJ21" s="154" t="n">
        <x:f>IF(L21="keep",1,0)</x:f>
        <x:v>1</x:v>
      </x:c>
      <x:c r="AK21" s="154" t="n">
        <x:f>IF(M21="keep",1,0)</x:f>
        <x:v>0</x:v>
      </x:c>
      <x:c r="AL21" s="154" t="n">
        <x:f>(AJ21+AK21)/2</x:f>
        <x:v>0.5</x:v>
      </x:c>
      <x:c r="AM21" s="154" t="n">
        <x:f>MIN(AJ21,AK21)</x:f>
        <x:v>0</x:v>
      </x:c>
      <x:c r="AN21" s="154" t="n">
        <x:f>MAX(AJ21,AK21)</x:f>
        <x:v>1</x:v>
      </x:c>
      <x:c r="AO21" s="154" t="n">
        <x:f>IF(L21=M21,1,0)</x:f>
        <x:v>0</x:v>
      </x:c>
    </x:row>
    <x:row r="22">
      <x:c r="A22" s="38" t="str">
        <x:v>SV-0021</x:v>
      </x:c>
      <x:c r="B22" s="38" t="str">
        <x:v>PC-04091</x:v>
      </x:c>
      <x:c r="C22" s="38" t="str">
        <x:v>en|both</x:v>
      </x:c>
      <x:c r="D22" s="87" t="n">
        <x:v>19.069444444444443</x:v>
      </x:c>
      <x:c r="E22" s="38" t="str">
        <x:v>both</x:v>
      </x:c>
      <x:c r="F22" s="38" t="str">
        <x:v>NO_Norway_nb_memo_2_19_dsp</x:v>
      </x:c>
      <x:c r="G22" s="38" t="n">
        <x:v>17</x:v>
      </x:c>
      <x:c r="H22" s="38" t="str">
        <x:v>en</x:v>
      </x:c>
      <x:c r="I22" s="38" t="str">
        <x:v>Norges Bank (Norwegian CBDC work)</x:v>
      </x:c>
      <x:c r="J22" s="38" t="str">
        <x:v>Det vurderes ikke som nødvendig at DSP skal 
gi samme grad av anonymitet som kontanter.</x:v>
      </x:c>
      <x:c r="K22" s="142" t="b">
        <x:v>0</x:v>
      </x:c>
      <x:c r="L22" s="146" t="str">
        <x:v>keep</x:v>
      </x:c>
      <x:c r="M22" s="146" t="str">
        <x:v>keep</x:v>
      </x:c>
      <x:c r="N22" s="147" t="b">
        <x:v>1</x:v>
      </x:c>
      <x:c r="O22" s="146" t="str">
        <x:v>PRIV.ANON</x:v>
      </x:c>
      <x:c r="P22" s="146" t="str">
        <x:v>PRIV.ANON</x:v>
      </x:c>
      <x:c r="Q22" s="146" t="str">
        <x:v>PRIV</x:v>
      </x:c>
      <x:c r="R22" s="146" t="str">
        <x:v>PRIV</x:v>
      </x:c>
      <x:c r="S22" s="146" t="str">
        <x:v>proposal</x:v>
      </x:c>
      <x:c r="T22" s="146" t="str">
        <x:v>decision</x:v>
      </x:c>
      <x:c r="U22" s="146" t="str">
        <x:v>decreases</x:v>
      </x:c>
      <x:c r="V22" s="146" t="str">
        <x:v>decreases</x:v>
      </x:c>
      <x:c r="W22" s="146" t="str">
        <x:v>from_state</x:v>
      </x:c>
      <x:c r="X22" s="146" t="str">
        <x:v>not_applicable</x:v>
      </x:c>
      <x:c r="Y22" s="146" t="n">
        <x:v>2</x:v>
      </x:c>
      <x:c r="Z22" s="146" t="n">
        <x:v>3</x:v>
      </x:c>
      <x:c r="AA22" s="146" t="str">
        <x:v>high</x:v>
      </x:c>
      <x:c r="AB22" s="146" t="str">
        <x:v>high</x:v>
      </x:c>
      <x:c r="AC22" s="146"/>
      <x:c r="AD22" s="146"/>
      <x:c r="AE22" s="151" t="str">
        <x:v>PRIV.ANON</x:v>
      </x:c>
      <x:c r="AF22" s="151" t="str">
        <x:v>PRIV.ANON</x:v>
      </x:c>
      <x:c r="AG22" s="151" t="str">
        <x:v>proposal</x:v>
      </x:c>
      <x:c r="AH22" s="151" t="str">
        <x:v>decision</x:v>
      </x:c>
      <x:c r="AI22" s="154" t="n">
        <x:f>IF(K22,0,1)</x:f>
        <x:v>1</x:v>
      </x:c>
      <x:c r="AJ22" s="154" t="n">
        <x:f>IF(L22="keep",1,0)</x:f>
        <x:v>1</x:v>
      </x:c>
      <x:c r="AK22" s="154" t="n">
        <x:f>IF(M22="keep",1,0)</x:f>
        <x:v>1</x:v>
      </x:c>
      <x:c r="AL22" s="154" t="n">
        <x:f>(AJ22+AK22)/2</x:f>
        <x:v>1</x:v>
      </x:c>
      <x:c r="AM22" s="154" t="n">
        <x:f>MIN(AJ22,AK22)</x:f>
        <x:v>1</x:v>
      </x:c>
      <x:c r="AN22" s="154" t="n">
        <x:f>MAX(AJ22,AK22)</x:f>
        <x:v>1</x:v>
      </x:c>
      <x:c r="AO22" s="154" t="n">
        <x:f>IF(L22=M22,1,0)</x:f>
        <x:v>1</x:v>
      </x:c>
    </x:row>
    <x:row r="23">
      <x:c r="A23" s="38" t="str">
        <x:v>SV-0022</x:v>
      </x:c>
      <x:c r="B23" s="38" t="str">
        <x:v>PC-00402</x:v>
      </x:c>
      <x:c r="C23" s="38" t="str">
        <x:v>en|both</x:v>
      </x:c>
      <x:c r="D23" s="87" t="n">
        <x:v>19.069444444444443</x:v>
      </x:c>
      <x:c r="E23" s="38" t="str">
        <x:v>both</x:v>
      </x:c>
      <x:c r="F23" s="38" t="str">
        <x:v>AW_ARU_001</x:v>
      </x:c>
      <x:c r="G23" s="38" t="n">
        <x:v>118</x:v>
      </x:c>
      <x:c r="H23" s="38" t="str">
        <x:v>en</x:v>
      </x:c>
      <x:c r="I23" s="38" t="str">
        <x:v>Aruba policy study / Central Bank of Aruba</x:v>
      </x:c>
      <x:c r="J23" s="38" t="str">
        <x:v>This policy paper advises central banks 
to decentralize the customer-facing duties (retail payments 
clearing, KYC checks) to foster competition in the payments 
system.</x:v>
      </x:c>
      <x:c r="K23" s="142" t="b">
        <x:v>0</x:v>
      </x:c>
      <x:c r="L23" s="146" t="str">
        <x:v>keep</x:v>
      </x:c>
      <x:c r="M23" s="146" t="str">
        <x:v>exclude</x:v>
      </x:c>
      <x:c r="N23" s="147" t="b">
        <x:v>0</x:v>
      </x:c>
      <x:c r="O23" s="146" t="str">
        <x:v>KYC.INTERMED</x:v>
      </x:c>
      <x:c r="P23" s="146" t="str">
        <x:v>AML.LIMIT</x:v>
      </x:c>
      <x:c r="Q23" s="146" t="str">
        <x:v>KYC</x:v>
      </x:c>
      <x:c r="R23" s="146" t="str">
        <x:v>AML</x:v>
      </x:c>
      <x:c r="S23" s="146" t="str">
        <x:v>proposal</x:v>
      </x:c>
      <x:c r="T23" s="146" t="str">
        <x:v>proposal</x:v>
      </x:c>
      <x:c r="U23" s="146" t="str">
        <x:v>neutral</x:v>
      </x:c>
      <x:c r="V23" s="146" t="str">
        <x:v>neutral</x:v>
      </x:c>
      <x:c r="W23" s="146" t="str">
        <x:v>not_applicable</x:v>
      </x:c>
      <x:c r="X23" s="146" t="str">
        <x:v>not_applicable</x:v>
      </x:c>
      <x:c r="Y23" s="146" t="n">
        <x:v>2</x:v>
      </x:c>
      <x:c r="Z23" s="146" t="n">
        <x:v>3</x:v>
      </x:c>
      <x:c r="AA23" s="146" t="str">
        <x:v>high</x:v>
      </x:c>
      <x:c r="AB23" s="146" t="str">
        <x:v>high</x:v>
      </x:c>
      <x:c r="AC23" s="146"/>
      <x:c r="AD23" s="146" t="str">
        <x:v>x</x:v>
      </x:c>
      <x:c r="AE23" s="151" t="str">
        <x:v>KYC.INTERMED</x:v>
      </x:c>
      <x:c r="AF23" s="151" t="str">
        <x:v>AML.LIMIT;PROG.remuneration_no</x:v>
      </x:c>
      <x:c r="AG23" s="151" t="str">
        <x:v>proposal</x:v>
      </x:c>
      <x:c r="AH23" s="151" t="str">
        <x:v>proposal</x:v>
      </x:c>
      <x:c r="AI23" s="154" t="n">
        <x:f>IF(K23,0,1)</x:f>
        <x:v>1</x:v>
      </x:c>
      <x:c r="AJ23" s="154" t="n">
        <x:f>IF(L23="keep",1,0)</x:f>
        <x:v>1</x:v>
      </x:c>
      <x:c r="AK23" s="154" t="n">
        <x:f>IF(M23="keep",1,0)</x:f>
        <x:v>0</x:v>
      </x:c>
      <x:c r="AL23" s="154" t="n">
        <x:f>(AJ23+AK23)/2</x:f>
        <x:v>0.5</x:v>
      </x:c>
      <x:c r="AM23" s="154" t="n">
        <x:f>MIN(AJ23,AK23)</x:f>
        <x:v>0</x:v>
      </x:c>
      <x:c r="AN23" s="154" t="n">
        <x:f>MAX(AJ23,AK23)</x:f>
        <x:v>1</x:v>
      </x:c>
      <x:c r="AO23" s="154" t="n">
        <x:f>IF(L23=M23,1,0)</x:f>
        <x:v>0</x:v>
      </x:c>
    </x:row>
    <x:row r="24">
      <x:c r="A24" s="38" t="str">
        <x:v>SV-0023</x:v>
      </x:c>
      <x:c r="B24" s="38" t="str">
        <x:v>PC-03711</x:v>
      </x:c>
      <x:c r="C24" s="38" t="str">
        <x:v>en|both</x:v>
      </x:c>
      <x:c r="D24" s="87" t="n">
        <x:v>19.069444444444443</x:v>
      </x:c>
      <x:c r="E24" s="38" t="str">
        <x:v>both</x:v>
      </x:c>
      <x:c r="F24" s="38" t="str">
        <x:v>JP_BoJ_2022</x:v>
      </x:c>
      <x:c r="G24" s="38" t="n">
        <x:v>14</x:v>
      </x:c>
      <x:c r="H24" s="38" t="str">
        <x:v>en</x:v>
      </x:c>
      <x:c r="I24" s="38" t="str">
        <x:v>Bank of Japan</x:v>
      </x:c>
      <x:c r="J24" s="38" t="str">
        <x:v>we also looked at resistance to security risks 
and availability, but did not see any significant differences arising from the variation in the 
designs.</x:v>
      </x:c>
      <x:c r="K24" s="142" t="b">
        <x:v>0</x:v>
      </x:c>
      <x:c r="L24" s="146" t="str">
        <x:v>keep</x:v>
      </x:c>
      <x:c r="M24" s="146" t="str">
        <x:v>keep</x:v>
      </x:c>
      <x:c r="N24" s="147" t="b">
        <x:v>1</x:v>
      </x:c>
      <x:c r="O24" s="146" t="str">
        <x:v>PROC.pilot_learning</x:v>
      </x:c>
      <x:c r="P24" s="146" t="str">
        <x:v>OPS.resilience</x:v>
      </x:c>
      <x:c r="Q24" s="146" t="str">
        <x:v>PROC</x:v>
      </x:c>
      <x:c r="R24" s="146" t="str">
        <x:v>OPS</x:v>
      </x:c>
      <x:c r="S24" s="146" t="str">
        <x:v>finding</x:v>
      </x:c>
      <x:c r="T24" s="146" t="str">
        <x:v>finding</x:v>
      </x:c>
      <x:c r="U24" s="146" t="str">
        <x:v>neutral</x:v>
      </x:c>
      <x:c r="V24" s="146" t="str">
        <x:v>neutral</x:v>
      </x:c>
      <x:c r="W24" s="146" t="str">
        <x:v>not_applicable</x:v>
      </x:c>
      <x:c r="X24" s="146" t="str">
        <x:v>not_applicable</x:v>
      </x:c>
      <x:c r="Y24" s="146" t="n">
        <x:v>2</x:v>
      </x:c>
      <x:c r="Z24" s="146" t="n">
        <x:v>2</x:v>
      </x:c>
      <x:c r="AA24" s="146" t="str">
        <x:v>high</x:v>
      </x:c>
      <x:c r="AB24" s="146" t="str">
        <x:v>high</x:v>
      </x:c>
      <x:c r="AC24" s="146"/>
      <x:c r="AD24" s="146"/>
      <x:c r="AE24" s="151" t="str">
        <x:v>PROC.pilot_learning</x:v>
      </x:c>
      <x:c r="AF24" s="151" t="str">
        <x:v>OPS.resilience</x:v>
      </x:c>
      <x:c r="AG24" s="151" t="str">
        <x:v>finding</x:v>
      </x:c>
      <x:c r="AH24" s="151" t="str">
        <x:v>finding</x:v>
      </x:c>
      <x:c r="AI24" s="154" t="n">
        <x:f>IF(K24,0,1)</x:f>
        <x:v>1</x:v>
      </x:c>
      <x:c r="AJ24" s="154" t="n">
        <x:f>IF(L24="keep",1,0)</x:f>
        <x:v>1</x:v>
      </x:c>
      <x:c r="AK24" s="154" t="n">
        <x:f>IF(M24="keep",1,0)</x:f>
        <x:v>1</x:v>
      </x:c>
      <x:c r="AL24" s="154" t="n">
        <x:f>(AJ24+AK24)/2</x:f>
        <x:v>1</x:v>
      </x:c>
      <x:c r="AM24" s="154" t="n">
        <x:f>MIN(AJ24,AK24)</x:f>
        <x:v>1</x:v>
      </x:c>
      <x:c r="AN24" s="154" t="n">
        <x:f>MAX(AJ24,AK24)</x:f>
        <x:v>1</x:v>
      </x:c>
      <x:c r="AO24" s="154" t="n">
        <x:f>IF(L24=M24,1,0)</x:f>
        <x:v>1</x:v>
      </x:c>
    </x:row>
    <x:row r="25">
      <x:c r="A25" s="38" t="str">
        <x:v>SV-0024</x:v>
      </x:c>
      <x:c r="B25" s="38" t="str">
        <x:v>PC-02783</x:v>
      </x:c>
      <x:c r="C25" s="38" t="str">
        <x:v>en|both</x:v>
      </x:c>
      <x:c r="D25" s="87" t="n">
        <x:v>19.069444444444443</x:v>
      </x:c>
      <x:c r="E25" s="38" t="str">
        <x:v>both</x:v>
      </x:c>
      <x:c r="F25" s="38" t="str">
        <x:v>IL_BoI_2024</x:v>
      </x:c>
      <x:c r="G25" s="38" t="n">
        <x:v>41</x:v>
      </x:c>
      <x:c r="H25" s="38" t="str">
        <x:v>en</x:v>
      </x:c>
      <x:c r="I25" s="38" t="str">
        <x:v>Bank of Israel (digital shekel)</x:v>
      </x:c>
      <x:c r="J25" s="38" t="str">
        <x:v>The digital shekel system will also suppor t a model of an indirect PSP – an entity that 
provides end users with all the services that a PSP provides but is not directly connected 
technologically to the system , rather it  provides the services based on the technological 
connection of another PSP.</x:v>
      </x:c>
      <x:c r="K25" s="142" t="b">
        <x:v>0</x:v>
      </x:c>
      <x:c r="L25" s="146" t="str">
        <x:v>keep</x:v>
      </x:c>
      <x:c r="M25" s="146" t="str">
        <x:v>keep</x:v>
      </x:c>
      <x:c r="N25" s="147" t="b">
        <x:v>1</x:v>
      </x:c>
      <x:c r="O25" s="146" t="str">
        <x:v>SYS.design</x:v>
      </x:c>
      <x:c r="P25" s="146" t="str">
        <x:v>SYS.design</x:v>
      </x:c>
      <x:c r="Q25" s="146" t="str">
        <x:v>SYS</x:v>
      </x:c>
      <x:c r="R25" s="146" t="str">
        <x:v>SYS</x:v>
      </x:c>
      <x:c r="S25" s="146" t="str">
        <x:v>proposal</x:v>
      </x:c>
      <x:c r="T25" s="146" t="str">
        <x:v>decision</x:v>
      </x:c>
      <x:c r="U25" s="146" t="str">
        <x:v>neutral</x:v>
      </x:c>
      <x:c r="V25" s="146" t="str">
        <x:v>neutral</x:v>
      </x:c>
      <x:c r="W25" s="146" t="str">
        <x:v>not_applicable</x:v>
      </x:c>
      <x:c r="X25" s="146" t="str">
        <x:v>not_applicable</x:v>
      </x:c>
      <x:c r="Y25" s="146" t="n">
        <x:v>3</x:v>
      </x:c>
      <x:c r="Z25" s="146" t="n">
        <x:v>2</x:v>
      </x:c>
      <x:c r="AA25" s="146" t="str">
        <x:v>high</x:v>
      </x:c>
      <x:c r="AB25" s="146" t="str">
        <x:v>high</x:v>
      </x:c>
      <x:c r="AC25" s="146"/>
      <x:c r="AD25" s="146"/>
      <x:c r="AE25" s="151" t="str">
        <x:v>SYS.design</x:v>
      </x:c>
      <x:c r="AF25" s="151" t="str">
        <x:v>SYS.design</x:v>
      </x:c>
      <x:c r="AG25" s="151" t="str">
        <x:v>proposal</x:v>
      </x:c>
      <x:c r="AH25" s="151" t="str">
        <x:v>decision</x:v>
      </x:c>
      <x:c r="AI25" s="154" t="n">
        <x:f>IF(K25,0,1)</x:f>
        <x:v>1</x:v>
      </x:c>
      <x:c r="AJ25" s="154" t="n">
        <x:f>IF(L25="keep",1,0)</x:f>
        <x:v>1</x:v>
      </x:c>
      <x:c r="AK25" s="154" t="n">
        <x:f>IF(M25="keep",1,0)</x:f>
        <x:v>1</x:v>
      </x:c>
      <x:c r="AL25" s="154" t="n">
        <x:f>(AJ25+AK25)/2</x:f>
        <x:v>1</x:v>
      </x:c>
      <x:c r="AM25" s="154" t="n">
        <x:f>MIN(AJ25,AK25)</x:f>
        <x:v>1</x:v>
      </x:c>
      <x:c r="AN25" s="154" t="n">
        <x:f>MAX(AJ25,AK25)</x:f>
        <x:v>1</x:v>
      </x:c>
      <x:c r="AO25" s="154" t="n">
        <x:f>IF(L25=M25,1,0)</x:f>
        <x:v>1</x:v>
      </x:c>
    </x:row>
    <x:row r="26">
      <x:c r="A26" s="38" t="str">
        <x:v>SV-0025</x:v>
      </x:c>
      <x:c r="B26" s="38" t="str">
        <x:v>PC-00709</x:v>
      </x:c>
      <x:c r="C26" s="38" t="str">
        <x:v>en|both</x:v>
      </x:c>
      <x:c r="D26" s="87" t="n">
        <x:v>19.069444444444443</x:v>
      </x:c>
      <x:c r="E26" s="38" t="str">
        <x:v>both</x:v>
      </x:c>
      <x:c r="F26" s="38" t="str">
        <x:v>CA_BoC_RetailFeasibility_SDP2025_9</x:v>
      </x:c>
      <x:c r="G26" s="38" t="n">
        <x:v>10</x:v>
      </x:c>
      <x:c r="H26" s="38" t="str">
        <x:v>en</x:v>
      </x:c>
      <x:c r="I26" s="38" t="str">
        <x:v>Bank of Canada research on retail CBDC feasibility</x:v>
      </x:c>
      <x:c r="J26" s="38" t="str">
        <x:v>Macro-partitioned systems are less flexible than micro-partitioned systems 
because they do not support custody by end users.</x:v>
      </x:c>
      <x:c r="K26" s="142" t="b">
        <x:v>0</x:v>
      </x:c>
      <x:c r="L26" s="146" t="str">
        <x:v>keep</x:v>
      </x:c>
      <x:c r="M26" s="146" t="str">
        <x:v>keep</x:v>
      </x:c>
      <x:c r="N26" s="147" t="b">
        <x:v>1</x:v>
      </x:c>
      <x:c r="O26" s="146" t="str">
        <x:v>SYS.design</x:v>
      </x:c>
      <x:c r="P26" s="146" t="str">
        <x:v>SYS.design</x:v>
      </x:c>
      <x:c r="Q26" s="146" t="str">
        <x:v>SYS</x:v>
      </x:c>
      <x:c r="R26" s="146" t="str">
        <x:v>SYS</x:v>
      </x:c>
      <x:c r="S26" s="146" t="str">
        <x:v>proposal</x:v>
      </x:c>
      <x:c r="T26" s="146" t="str">
        <x:v>finding</x:v>
      </x:c>
      <x:c r="U26" s="146" t="str">
        <x:v>neutral</x:v>
      </x:c>
      <x:c r="V26" s="146" t="str">
        <x:v>neutral</x:v>
      </x:c>
      <x:c r="W26" s="146" t="str">
        <x:v>not_applicable</x:v>
      </x:c>
      <x:c r="X26" s="146" t="str">
        <x:v>not_applicable</x:v>
      </x:c>
      <x:c r="Y26" s="146" t="n">
        <x:v>2</x:v>
      </x:c>
      <x:c r="Z26" s="146" t="n">
        <x:v>1</x:v>
      </x:c>
      <x:c r="AA26" s="146" t="str">
        <x:v>high</x:v>
      </x:c>
      <x:c r="AB26" s="146" t="str">
        <x:v>high</x:v>
      </x:c>
      <x:c r="AC26" s="146"/>
      <x:c r="AD26" s="146"/>
      <x:c r="AE26" s="151" t="str">
        <x:v>SYS.design</x:v>
      </x:c>
      <x:c r="AF26" s="151" t="str">
        <x:v>SYS.design</x:v>
      </x:c>
      <x:c r="AG26" s="151" t="str">
        <x:v>proposal</x:v>
      </x:c>
      <x:c r="AH26" s="151" t="str">
        <x:v>finding</x:v>
      </x:c>
      <x:c r="AI26" s="154" t="n">
        <x:f>IF(K26,0,1)</x:f>
        <x:v>1</x:v>
      </x:c>
      <x:c r="AJ26" s="154" t="n">
        <x:f>IF(L26="keep",1,0)</x:f>
        <x:v>1</x:v>
      </x:c>
      <x:c r="AK26" s="154" t="n">
        <x:f>IF(M26="keep",1,0)</x:f>
        <x:v>1</x:v>
      </x:c>
      <x:c r="AL26" s="154" t="n">
        <x:f>(AJ26+AK26)/2</x:f>
        <x:v>1</x:v>
      </x:c>
      <x:c r="AM26" s="154" t="n">
        <x:f>MIN(AJ26,AK26)</x:f>
        <x:v>1</x:v>
      </x:c>
      <x:c r="AN26" s="154" t="n">
        <x:f>MAX(AJ26,AK26)</x:f>
        <x:v>1</x:v>
      </x:c>
      <x:c r="AO26" s="154" t="n">
        <x:f>IF(L26=M26,1,0)</x:f>
        <x:v>1</x:v>
      </x:c>
    </x:row>
    <x:row r="27">
      <x:c r="A27" s="38" t="str">
        <x:v>SV-0026</x:v>
      </x:c>
      <x:c r="B27" s="38" t="str">
        <x:v>PC-02632</x:v>
      </x:c>
      <x:c r="C27" s="38" t="str">
        <x:v>en|openai_only</x:v>
      </x:c>
      <x:c r="D27" s="87" t="n">
        <x:v>19.21875</x:v>
      </x:c>
      <x:c r="E27" s="38" t="str">
        <x:v>openai_only</x:v>
      </x:c>
      <x:c r="F27" s="38" t="str">
        <x:v>ID_Indonesia_2024</x:v>
      </x:c>
      <x:c r="G27" s="38" t="n">
        <x:v>47</x:v>
      </x:c>
      <x:c r="H27" s="38" t="str">
        <x:v>en</x:v>
      </x:c>
      <x:c r="I27" s="38" t="str">
        <x:v>Bank Indonesia (Digital Rupiah)</x:v>
      </x:c>
      <x:c r="J27" s="38" t="str">
        <x:v>Interoperability — Connectivity with other systems</x:v>
      </x:c>
      <x:c r="K27" s="142" t="b">
        <x:v>0</x:v>
      </x:c>
      <x:c r="L27" s="146" t="str">
        <x:v>exclude</x:v>
      </x:c>
      <x:c r="M27" s="146" t="str">
        <x:v>exclude</x:v>
      </x:c>
      <x:c r="N27" s="147" t="b">
        <x:v>1</x:v>
      </x:c>
      <x:c r="O27" s="146"/>
      <x:c r="P27" s="146"/>
      <x:c r="Q27" s="146" t="str"/>
      <x:c r="R27" s="146" t="str"/>
      <x:c r="S27" s="146"/>
      <x:c r="T27" s="146"/>
      <x:c r="U27" s="146"/>
      <x:c r="V27" s="146"/>
      <x:c r="W27" s="146"/>
      <x:c r="X27" s="146"/>
      <x:c r="Y27" s="146"/>
      <x:c r="Z27" s="146"/>
      <x:c r="AA27" s="146" t="str">
        <x:v>high</x:v>
      </x:c>
      <x:c r="AB27" s="146" t="str">
        <x:v>high</x:v>
      </x:c>
      <x:c r="AC27" s="146"/>
      <x:c r="AD27" s="146"/>
      <x:c r="AE27" s="151" t="str">
        <x:v>INTEROP.domestic</x:v>
      </x:c>
      <x:c r="AF27" s="151"/>
      <x:c r="AG27" s="151" t="str">
        <x:v>proposal</x:v>
      </x:c>
      <x:c r="AH27" s="151"/>
      <x:c r="AI27" s="154" t="n">
        <x:f>IF(K27,0,1)</x:f>
        <x:v>1</x:v>
      </x:c>
      <x:c r="AJ27" s="154" t="n">
        <x:f>IF(L27="keep",1,0)</x:f>
        <x:v>0</x:v>
      </x:c>
      <x:c r="AK27" s="154" t="n">
        <x:f>IF(M27="keep",1,0)</x:f>
        <x:v>0</x:v>
      </x:c>
      <x:c r="AL27" s="154" t="n">
        <x:f>(AJ27+AK27)/2</x:f>
        <x:v>0</x:v>
      </x:c>
      <x:c r="AM27" s="154" t="n">
        <x:f>MIN(AJ27,AK27)</x:f>
        <x:v>0</x:v>
      </x:c>
      <x:c r="AN27" s="154" t="n">
        <x:f>MAX(AJ27,AK27)</x:f>
        <x:v>0</x:v>
      </x:c>
      <x:c r="AO27" s="154" t="n">
        <x:f>IF(L27=M27,1,0)</x:f>
        <x:v>1</x:v>
      </x:c>
    </x:row>
    <x:row r="28">
      <x:c r="A28" s="38" t="str">
        <x:v>SV-0027</x:v>
      </x:c>
      <x:c r="B28" s="38" t="str">
        <x:v>PC-04426</x:v>
      </x:c>
      <x:c r="C28" s="38" t="str">
        <x:v>en|both</x:v>
      </x:c>
      <x:c r="D28" s="87" t="n">
        <x:v>19.069444444444443</x:v>
      </x:c>
      <x:c r="E28" s="38" t="str">
        <x:v>both</x:v>
      </x:c>
      <x:c r="F28" s="38" t="str">
        <x:v>NO_Norway_norges-bank-memo-1-2021</x:v>
      </x:c>
      <x:c r="G28" s="38" t="n">
        <x:v>55</x:v>
      </x:c>
      <x:c r="H28" s="38" t="str">
        <x:v>en</x:v>
      </x:c>
      <x:c r="I28" s="38" t="str">
        <x:v>Norges Bank (Norwegian CBDC work)</x:v>
      </x:c>
      <x:c r="J28" s="38" t="str">
        <x:v>Den direkte virkningen på bankenes finansieringskostnader av at publikum 
erstatter noe bankinnskudd med DSP, er lik differansen mellom den renten 
bankene betaler på innskudd og renten de vil betale på lån i sentralbanken, jf 
figur 10.</x:v>
      </x:c>
      <x:c r="K28" s="142" t="b">
        <x:v>0</x:v>
      </x:c>
      <x:c r="L28" s="146" t="str">
        <x:v>keep</x:v>
      </x:c>
      <x:c r="M28" s="146" t="str">
        <x:v>keep</x:v>
      </x:c>
      <x:c r="N28" s="147" t="b">
        <x:v>1</x:v>
      </x:c>
      <x:c r="O28" s="146" t="str">
        <x:v>STAB.disintermediation</x:v>
      </x:c>
      <x:c r="P28" s="146" t="str">
        <x:v>STAB.disintermediation</x:v>
      </x:c>
      <x:c r="Q28" s="146" t="str">
        <x:v>STAB</x:v>
      </x:c>
      <x:c r="R28" s="146" t="str">
        <x:v>STAB</x:v>
      </x:c>
      <x:c r="S28" s="146" t="str">
        <x:v>finding</x:v>
      </x:c>
      <x:c r="T28" s="146" t="str">
        <x:v>finding</x:v>
      </x:c>
      <x:c r="U28" s="146" t="str">
        <x:v>neutral</x:v>
      </x:c>
      <x:c r="V28" s="146" t="str">
        <x:v>neutral</x:v>
      </x:c>
      <x:c r="W28" s="146" t="str">
        <x:v>not_applicable</x:v>
      </x:c>
      <x:c r="X28" s="146" t="str">
        <x:v>not_applicable</x:v>
      </x:c>
      <x:c r="Y28" s="146" t="n">
        <x:v>2</x:v>
      </x:c>
      <x:c r="Z28" s="146" t="n">
        <x:v>2</x:v>
      </x:c>
      <x:c r="AA28" s="146" t="str">
        <x:v>high</x:v>
      </x:c>
      <x:c r="AB28" s="146" t="str">
        <x:v>high</x:v>
      </x:c>
      <x:c r="AC28" s="146"/>
      <x:c r="AD28" s="146"/>
      <x:c r="AE28" s="151" t="str">
        <x:v>STAB.disintermediation</x:v>
      </x:c>
      <x:c r="AF28" s="151" t="str">
        <x:v>STAB.disintermediation</x:v>
      </x:c>
      <x:c r="AG28" s="151" t="str">
        <x:v>finding</x:v>
      </x:c>
      <x:c r="AH28" s="151" t="str">
        <x:v>finding</x:v>
      </x:c>
      <x:c r="AI28" s="154" t="n">
        <x:f>IF(K28,0,1)</x:f>
        <x:v>1</x:v>
      </x:c>
      <x:c r="AJ28" s="154" t="n">
        <x:f>IF(L28="keep",1,0)</x:f>
        <x:v>1</x:v>
      </x:c>
      <x:c r="AK28" s="154" t="n">
        <x:f>IF(M28="keep",1,0)</x:f>
        <x:v>1</x:v>
      </x:c>
      <x:c r="AL28" s="154" t="n">
        <x:f>(AJ28+AK28)/2</x:f>
        <x:v>1</x:v>
      </x:c>
      <x:c r="AM28" s="154" t="n">
        <x:f>MIN(AJ28,AK28)</x:f>
        <x:v>1</x:v>
      </x:c>
      <x:c r="AN28" s="154" t="n">
        <x:f>MAX(AJ28,AK28)</x:f>
        <x:v>1</x:v>
      </x:c>
      <x:c r="AO28" s="154" t="n">
        <x:f>IF(L28=M28,1,0)</x:f>
        <x:v>1</x:v>
      </x:c>
    </x:row>
    <x:row r="29">
      <x:c r="A29" s="38" t="str">
        <x:v>SV-0028</x:v>
      </x:c>
      <x:c r="B29" s="38" t="str">
        <x:v>PC-05447</x:v>
      </x:c>
      <x:c r="C29" s="38" t="str">
        <x:v>en|both</x:v>
      </x:c>
      <x:c r="D29" s="87" t="n">
        <x:v>19.069444444444443</x:v>
      </x:c>
      <x:c r="E29" s="38" t="str">
        <x:v>both</x:v>
      </x:c>
      <x:c r="F29" s="38" t="str">
        <x:v>SZ_Eswatini_2024-Fintech-Digital-Lilangeni-Design-Paper</x:v>
      </x:c>
      <x:c r="G29" s="38" t="n">
        <x:v>19</x:v>
      </x:c>
      <x:c r="H29" s="38" t="str">
        <x:v>en</x:v>
      </x:c>
      <x:c r="I29" s="38" t="str">
        <x:v>Central Bank of Eswatini (Digital Lilangeni)</x:v>
      </x:c>
      <x:c r="J29" s="38" t="str">
        <x:v>As with the online use case, people are granted convertibility to physical Lilangeni at any 
time</x:v>
      </x:c>
      <x:c r="K29" s="142" t="b">
        <x:v>0</x:v>
      </x:c>
      <x:c r="L29" s="146" t="str">
        <x:v>keep</x:v>
      </x:c>
      <x:c r="M29" s="146" t="str">
        <x:v>keep</x:v>
      </x:c>
      <x:c r="N29" s="147" t="b">
        <x:v>1</x:v>
      </x:c>
      <x:c r="O29" s="146" t="str">
        <x:v>CASH.relation</x:v>
      </x:c>
      <x:c r="P29" s="146" t="str">
        <x:v>CASH.relation</x:v>
      </x:c>
      <x:c r="Q29" s="146" t="str">
        <x:v>CASH</x:v>
      </x:c>
      <x:c r="R29" s="146" t="str">
        <x:v>CASH</x:v>
      </x:c>
      <x:c r="S29" s="146" t="str">
        <x:v>proposal</x:v>
      </x:c>
      <x:c r="T29" s="146" t="str">
        <x:v>decision</x:v>
      </x:c>
      <x:c r="U29" s="146" t="str">
        <x:v>neutral</x:v>
      </x:c>
      <x:c r="V29" s="146" t="str">
        <x:v>neutral</x:v>
      </x:c>
      <x:c r="W29" s="146" t="str">
        <x:v>not_applicable</x:v>
      </x:c>
      <x:c r="X29" s="146" t="str">
        <x:v>not_applicable</x:v>
      </x:c>
      <x:c r="Y29" s="146" t="n">
        <x:v>3</x:v>
      </x:c>
      <x:c r="Z29" s="146" t="n">
        <x:v>3</x:v>
      </x:c>
      <x:c r="AA29" s="146" t="str">
        <x:v>high</x:v>
      </x:c>
      <x:c r="AB29" s="146" t="str">
        <x:v>high</x:v>
      </x:c>
      <x:c r="AC29" s="146"/>
      <x:c r="AD29" s="146"/>
      <x:c r="AE29" s="151" t="str">
        <x:v>CASH.relation</x:v>
      </x:c>
      <x:c r="AF29" s="151" t="str">
        <x:v>CASH.relation</x:v>
      </x:c>
      <x:c r="AG29" s="151" t="str">
        <x:v>proposal</x:v>
      </x:c>
      <x:c r="AH29" s="151" t="str">
        <x:v>decision</x:v>
      </x:c>
      <x:c r="AI29" s="154" t="n">
        <x:f>IF(K29,0,1)</x:f>
        <x:v>1</x:v>
      </x:c>
      <x:c r="AJ29" s="154" t="n">
        <x:f>IF(L29="keep",1,0)</x:f>
        <x:v>1</x:v>
      </x:c>
      <x:c r="AK29" s="154" t="n">
        <x:f>IF(M29="keep",1,0)</x:f>
        <x:v>1</x:v>
      </x:c>
      <x:c r="AL29" s="154" t="n">
        <x:f>(AJ29+AK29)/2</x:f>
        <x:v>1</x:v>
      </x:c>
      <x:c r="AM29" s="154" t="n">
        <x:f>MIN(AJ29,AK29)</x:f>
        <x:v>1</x:v>
      </x:c>
      <x:c r="AN29" s="154" t="n">
        <x:f>MAX(AJ29,AK29)</x:f>
        <x:v>1</x:v>
      </x:c>
      <x:c r="AO29" s="154" t="n">
        <x:f>IF(L29=M29,1,0)</x:f>
        <x:v>1</x:v>
      </x:c>
    </x:row>
    <x:row r="30">
      <x:c r="A30" s="38" t="str">
        <x:v>SV-0029</x:v>
      </x:c>
      <x:c r="B30" s="38" t="str">
        <x:v>PC-00267</x:v>
      </x:c>
      <x:c r="C30" s="38" t="str">
        <x:v>en|openai_only</x:v>
      </x:c>
      <x:c r="D30" s="87" t="n">
        <x:v>19.21875</x:v>
      </x:c>
      <x:c r="E30" s="38" t="str">
        <x:v>openai_only</x:v>
      </x:c>
      <x:c r="F30" s="38" t="str">
        <x:v>AU_RBA_002</x:v>
      </x:c>
      <x:c r="G30" s="38" t="n">
        <x:v>7</x:v>
      </x:c>
      <x:c r="H30" s="38" t="str">
        <x:v>en</x:v>
      </x:c>
      <x:c r="I30" s="38" t="str">
        <x:v>Reserve Bank of Australia and Digital Finance CRC (Australian CBDC pilot)</x:v>
      </x:c>
      <x:c r="J30" s="38" t="str">
        <x:v>This will be a stand-alone 
platform solely for the issuance and transactional operation of the pilot CBDC.</x:v>
      </x:c>
      <x:c r="K30" s="142" t="b">
        <x:v>0</x:v>
      </x:c>
      <x:c r="L30" s="146" t="str">
        <x:v>keep</x:v>
      </x:c>
      <x:c r="M30" s="146" t="str">
        <x:v>exclude</x:v>
      </x:c>
      <x:c r="N30" s="147" t="b">
        <x:v>0</x:v>
      </x:c>
      <x:c r="O30" s="146" t="str">
        <x:v>SYS.design</x:v>
      </x:c>
      <x:c r="P30" s="146"/>
      <x:c r="Q30" s="146" t="str">
        <x:v>SYS</x:v>
      </x:c>
      <x:c r="R30" s="146" t="str"/>
      <x:c r="S30" s="146" t="str">
        <x:v>decision</x:v>
      </x:c>
      <x:c r="T30" s="146"/>
      <x:c r="U30" s="146" t="str">
        <x:v>neutral</x:v>
      </x:c>
      <x:c r="V30" s="146"/>
      <x:c r="W30" s="146" t="str">
        <x:v>not_applicable</x:v>
      </x:c>
      <x:c r="X30" s="146"/>
      <x:c r="Y30" s="146" t="n">
        <x:v>3</x:v>
      </x:c>
      <x:c r="Z30" s="146"/>
      <x:c r="AA30" s="146" t="str">
        <x:v>high</x:v>
      </x:c>
      <x:c r="AB30" s="146" t="str">
        <x:v>high</x:v>
      </x:c>
      <x:c r="AC30" s="146"/>
      <x:c r="AD30" s="146"/>
      <x:c r="AE30" s="151" t="str">
        <x:v>SYS.design</x:v>
      </x:c>
      <x:c r="AF30" s="151"/>
      <x:c r="AG30" s="151" t="str">
        <x:v>decision</x:v>
      </x:c>
      <x:c r="AH30" s="151"/>
      <x:c r="AI30" s="154" t="n">
        <x:f>IF(K30,0,1)</x:f>
        <x:v>1</x:v>
      </x:c>
      <x:c r="AJ30" s="154" t="n">
        <x:f>IF(L30="keep",1,0)</x:f>
        <x:v>1</x:v>
      </x:c>
      <x:c r="AK30" s="154" t="n">
        <x:f>IF(M30="keep",1,0)</x:f>
        <x:v>0</x:v>
      </x:c>
      <x:c r="AL30" s="154" t="n">
        <x:f>(AJ30+AK30)/2</x:f>
        <x:v>0.5</x:v>
      </x:c>
      <x:c r="AM30" s="154" t="n">
        <x:f>MIN(AJ30,AK30)</x:f>
        <x:v>0</x:v>
      </x:c>
      <x:c r="AN30" s="154" t="n">
        <x:f>MAX(AJ30,AK30)</x:f>
        <x:v>1</x:v>
      </x:c>
      <x:c r="AO30" s="154" t="n">
        <x:f>IF(L30=M30,1,0)</x:f>
        <x:v>0</x:v>
      </x:c>
    </x:row>
    <x:row r="31">
      <x:c r="A31" s="38" t="str">
        <x:v>SV-0030</x:v>
      </x:c>
      <x:c r="B31" s="38" t="str">
        <x:v>PC-03943</x:v>
      </x:c>
      <x:c r="C31" s="38" t="str">
        <x:v>en|both</x:v>
      </x:c>
      <x:c r="D31" s="87" t="n">
        <x:v>19.069444444444443</x:v>
      </x:c>
      <x:c r="E31" s="38" t="str">
        <x:v>both</x:v>
      </x:c>
      <x:c r="F31" s="38" t="str">
        <x:v>MO_AMCM_eMOP_WP</x:v>
      </x:c>
      <x:c r="G31" s="38" t="n">
        <x:v>32</x:v>
      </x:c>
      <x:c r="H31" s="38" t="str">
        <x:v>en</x:v>
      </x:c>
      <x:c r="I31" s="38" t="str">
        <x:v>Monetary Authority of Macao (e-MOP)</x:v>
      </x:c>
      <x:c r="J31" s="38" t="str">
        <x:v>as a 
fully convertible currency, the design of e-MOP respects the policies 
and legal frameworks, as well as the monetary sovereignty, exchange 
rate regimes, and relevant exchange and remittance rules of other 
jurisdictions, in an endeavour to fulfill their regulatory and compliance 
requirements.</x:v>
      </x:c>
      <x:c r="K31" s="142" t="b">
        <x:v>0</x:v>
      </x:c>
      <x:c r="L31" s="146" t="str">
        <x:v>keep</x:v>
      </x:c>
      <x:c r="M31" s="146" t="str">
        <x:v>keep</x:v>
      </x:c>
      <x:c r="N31" s="147" t="b">
        <x:v>1</x:v>
      </x:c>
      <x:c r="O31" s="146" t="str">
        <x:v>INTEROP.domestic</x:v>
      </x:c>
      <x:c r="P31" s="146" t="str">
        <x:v>INTEROP.crossborder</x:v>
      </x:c>
      <x:c r="Q31" s="146" t="str">
        <x:v>INTEROP</x:v>
      </x:c>
      <x:c r="R31" s="146" t="str">
        <x:v>INTEROP</x:v>
      </x:c>
      <x:c r="S31" s="146" t="str">
        <x:v>decision</x:v>
      </x:c>
      <x:c r="T31" s="146" t="str">
        <x:v>decision</x:v>
      </x:c>
      <x:c r="U31" s="146" t="str">
        <x:v>neutral</x:v>
      </x:c>
      <x:c r="V31" s="146" t="str">
        <x:v>neutral</x:v>
      </x:c>
      <x:c r="W31" s="146" t="str">
        <x:v>not_applicable</x:v>
      </x:c>
      <x:c r="X31" s="146" t="str">
        <x:v>not_applicable</x:v>
      </x:c>
      <x:c r="Y31" s="146" t="n">
        <x:v>3</x:v>
      </x:c>
      <x:c r="Z31" s="146" t="n">
        <x:v>2</x:v>
      </x:c>
      <x:c r="AA31" s="146" t="str">
        <x:v>high</x:v>
      </x:c>
      <x:c r="AB31" s="146" t="str">
        <x:v>high</x:v>
      </x:c>
      <x:c r="AC31" s="146"/>
      <x:c r="AD31" s="146"/>
      <x:c r="AE31" s="151" t="str">
        <x:v>INTEROP.domestic</x:v>
      </x:c>
      <x:c r="AF31" s="151" t="str">
        <x:v>INTEROP.crossborder</x:v>
      </x:c>
      <x:c r="AG31" s="151" t="str">
        <x:v>decision</x:v>
      </x:c>
      <x:c r="AH31" s="151" t="str">
        <x:v>decision</x:v>
      </x:c>
      <x:c r="AI31" s="154" t="n">
        <x:f>IF(K31,0,1)</x:f>
        <x:v>1</x:v>
      </x:c>
      <x:c r="AJ31" s="154" t="n">
        <x:f>IF(L31="keep",1,0)</x:f>
        <x:v>1</x:v>
      </x:c>
      <x:c r="AK31" s="154" t="n">
        <x:f>IF(M31="keep",1,0)</x:f>
        <x:v>1</x:v>
      </x:c>
      <x:c r="AL31" s="154" t="n">
        <x:f>(AJ31+AK31)/2</x:f>
        <x:v>1</x:v>
      </x:c>
      <x:c r="AM31" s="154" t="n">
        <x:f>MIN(AJ31,AK31)</x:f>
        <x:v>1</x:v>
      </x:c>
      <x:c r="AN31" s="154" t="n">
        <x:f>MAX(AJ31,AK31)</x:f>
        <x:v>1</x:v>
      </x:c>
      <x:c r="AO31" s="154" t="n">
        <x:f>IF(L31=M31,1,0)</x:f>
        <x:v>1</x:v>
      </x:c>
    </x:row>
    <x:row r="32">
      <x:c r="A32" s="38" t="str">
        <x:v>SV-0031</x:v>
      </x:c>
      <x:c r="B32" s="38" t="str">
        <x:v>PC-03970</x:v>
      </x:c>
      <x:c r="C32" s="38" t="str">
        <x:v>en|claude_only</x:v>
      </x:c>
      <x:c r="D32" s="87" t="n">
        <x:v>19.375</x:v>
      </x:c>
      <x:c r="E32" s="38" t="str">
        <x:v>claude_only</x:v>
      </x:c>
      <x:c r="F32" s="38" t="str">
        <x:v>MO_AMCM_eMOP_WP</x:v>
      </x:c>
      <x:c r="G32" s="38" t="n">
        <x:v>40</x:v>
      </x:c>
      <x:c r="H32" s="38" t="str">
        <x:v>en</x:v>
      </x:c>
      <x:c r="I32" s="38" t="str">
        <x:v>Monetary Authority of Macao (e-MOP)</x:v>
      </x:c>
      <x:c r="J32" s="38" t="str">
        <x:v>On the premise of preserving 
the functions of currency, smart contracts with tamper-proof features 
and mechanisms to guarantee execution will be embedded into the 
system.</x:v>
      </x:c>
      <x:c r="K32" s="142" t="b">
        <x:v>0</x:v>
      </x:c>
      <x:c r="L32" s="146" t="str">
        <x:v>keep</x:v>
      </x:c>
      <x:c r="M32" s="146" t="str">
        <x:v>keep</x:v>
      </x:c>
      <x:c r="N32" s="147" t="b">
        <x:v>1</x:v>
      </x:c>
      <x:c r="O32" s="146" t="str">
        <x:v>PROG.generic</x:v>
      </x:c>
      <x:c r="P32" s="146" t="str">
        <x:v>SYS.design</x:v>
      </x:c>
      <x:c r="Q32" s="146" t="str">
        <x:v>PROG</x:v>
      </x:c>
      <x:c r="R32" s="146" t="str">
        <x:v>SYS</x:v>
      </x:c>
      <x:c r="S32" s="146" t="str">
        <x:v>decision</x:v>
      </x:c>
      <x:c r="T32" s="146" t="str">
        <x:v>decision</x:v>
      </x:c>
      <x:c r="U32" s="146" t="str">
        <x:v>neutral</x:v>
      </x:c>
      <x:c r="V32" s="146" t="str">
        <x:v>neutral</x:v>
      </x:c>
      <x:c r="W32" s="146" t="str">
        <x:v>not_applicable</x:v>
      </x:c>
      <x:c r="X32" s="146" t="str">
        <x:v>not_applicable</x:v>
      </x:c>
      <x:c r="Y32" s="146" t="n">
        <x:v>3</x:v>
      </x:c>
      <x:c r="Z32" s="146" t="n">
        <x:v>2</x:v>
      </x:c>
      <x:c r="AA32" s="146" t="str">
        <x:v>high</x:v>
      </x:c>
      <x:c r="AB32" s="146" t="str">
        <x:v>high</x:v>
      </x:c>
      <x:c r="AC32" s="146"/>
      <x:c r="AD32" s="146"/>
      <x:c r="AE32" s="151"/>
      <x:c r="AF32" s="151" t="str">
        <x:v>SYS.design</x:v>
      </x:c>
      <x:c r="AG32" s="151"/>
      <x:c r="AH32" s="151" t="str">
        <x:v>decision</x:v>
      </x:c>
      <x:c r="AI32" s="154" t="n">
        <x:f>IF(K32,0,1)</x:f>
        <x:v>1</x:v>
      </x:c>
      <x:c r="AJ32" s="154" t="n">
        <x:f>IF(L32="keep",1,0)</x:f>
        <x:v>1</x:v>
      </x:c>
      <x:c r="AK32" s="154" t="n">
        <x:f>IF(M32="keep",1,0)</x:f>
        <x:v>1</x:v>
      </x:c>
      <x:c r="AL32" s="154" t="n">
        <x:f>(AJ32+AK32)/2</x:f>
        <x:v>1</x:v>
      </x:c>
      <x:c r="AM32" s="154" t="n">
        <x:f>MIN(AJ32,AK32)</x:f>
        <x:v>1</x:v>
      </x:c>
      <x:c r="AN32" s="154" t="n">
        <x:f>MAX(AJ32,AK32)</x:f>
        <x:v>1</x:v>
      </x:c>
      <x:c r="AO32" s="154" t="n">
        <x:f>IF(L32=M32,1,0)</x:f>
        <x:v>1</x:v>
      </x:c>
    </x:row>
    <x:row r="33">
      <x:c r="A33" s="38" t="str">
        <x:v>SV-0032</x:v>
      </x:c>
      <x:c r="B33" s="38" t="str">
        <x:v>PC-01013</x:v>
      </x:c>
      <x:c r="C33" s="38" t="str">
        <x:v>en|both</x:v>
      </x:c>
      <x:c r="D33" s="87" t="n">
        <x:v>19.069444444444443</x:v>
      </x:c>
      <x:c r="E33" s="38" t="str">
        <x:v>both</x:v>
      </x:c>
      <x:c r="F33" s="38" t="str">
        <x:v>CA_Jasper_Phase12_2017</x:v>
      </x:c>
      <x:c r="G33" s="38" t="n">
        <x:v>29</x:v>
      </x:c>
      <x:c r="H33" s="38" t="str">
        <x:v>en</x:v>
      </x:c>
      <x:c r="I33" s="38" t="str">
        <x:v>Bank of Canada and Payments Canada (Project Jasper)</x:v>
      </x:c>
      <x:c r="J33" s="38" t="str">
        <x:v>The exhale process in the Jasper LSM option involves 
the Bank of Canada paying out the pooled DDR  
balance that it accumulated during the inhale step to 
each participant in accordance with the outcome of 
the offsetting process.</x:v>
      </x:c>
      <x:c r="K33" s="142" t="b">
        <x:v>0</x:v>
      </x:c>
      <x:c r="L33" s="146" t="str">
        <x:v>keep</x:v>
      </x:c>
      <x:c r="M33" s="146" t="str">
        <x:v>keep</x:v>
      </x:c>
      <x:c r="N33" s="147" t="b">
        <x:v>1</x:v>
      </x:c>
      <x:c r="O33" s="146" t="str">
        <x:v>SYS.design</x:v>
      </x:c>
      <x:c r="P33" s="146" t="str">
        <x:v>SYS.design</x:v>
      </x:c>
      <x:c r="Q33" s="146" t="str">
        <x:v>SYS</x:v>
      </x:c>
      <x:c r="R33" s="146" t="str">
        <x:v>SYS</x:v>
      </x:c>
      <x:c r="S33" s="146" t="str">
        <x:v>finding</x:v>
      </x:c>
      <x:c r="T33" s="146" t="str">
        <x:v>decision</x:v>
      </x:c>
      <x:c r="U33" s="146" t="str">
        <x:v>neutral</x:v>
      </x:c>
      <x:c r="V33" s="146" t="str">
        <x:v>neutral</x:v>
      </x:c>
      <x:c r="W33" s="146" t="str">
        <x:v>not_applicable</x:v>
      </x:c>
      <x:c r="X33" s="146" t="str">
        <x:v>not_applicable</x:v>
      </x:c>
      <x:c r="Y33" s="146" t="n">
        <x:v>1</x:v>
      </x:c>
      <x:c r="Z33" s="146" t="n">
        <x:v>2</x:v>
      </x:c>
      <x:c r="AA33" s="146" t="str">
        <x:v>high</x:v>
      </x:c>
      <x:c r="AB33" s="146" t="str">
        <x:v>high</x:v>
      </x:c>
      <x:c r="AC33" s="146"/>
      <x:c r="AD33" s="146"/>
      <x:c r="AE33" s="151" t="str">
        <x:v>SYS.design</x:v>
      </x:c>
      <x:c r="AF33" s="151" t="str">
        <x:v>SYS.design</x:v>
      </x:c>
      <x:c r="AG33" s="151" t="str">
        <x:v>finding</x:v>
      </x:c>
      <x:c r="AH33" s="151" t="str">
        <x:v>decision</x:v>
      </x:c>
      <x:c r="AI33" s="154" t="n">
        <x:f>IF(K33,0,1)</x:f>
        <x:v>1</x:v>
      </x:c>
      <x:c r="AJ33" s="154" t="n">
        <x:f>IF(L33="keep",1,0)</x:f>
        <x:v>1</x:v>
      </x:c>
      <x:c r="AK33" s="154" t="n">
        <x:f>IF(M33="keep",1,0)</x:f>
        <x:v>1</x:v>
      </x:c>
      <x:c r="AL33" s="154" t="n">
        <x:f>(AJ33+AK33)/2</x:f>
        <x:v>1</x:v>
      </x:c>
      <x:c r="AM33" s="154" t="n">
        <x:f>MIN(AJ33,AK33)</x:f>
        <x:v>1</x:v>
      </x:c>
      <x:c r="AN33" s="154" t="n">
        <x:f>MAX(AJ33,AK33)</x:f>
        <x:v>1</x:v>
      </x:c>
      <x:c r="AO33" s="154" t="n">
        <x:f>IF(L33=M33,1,0)</x:f>
        <x:v>1</x:v>
      </x:c>
    </x:row>
    <x:row r="34">
      <x:c r="A34" s="38" t="str">
        <x:v>SV-0033</x:v>
      </x:c>
      <x:c r="B34" s="38" t="str">
        <x:v>PC-05681</x:v>
      </x:c>
      <x:c r="C34" s="38" t="str">
        <x:v>en|both</x:v>
      </x:c>
      <x:c r="D34" s="87" t="n">
        <x:v>19.069444444444443</x:v>
      </x:c>
      <x:c r="E34" s="38" t="str">
        <x:v>both</x:v>
      </x:c>
      <x:c r="F34" s="38" t="str">
        <x:v>TR_DigitalLira_Phase2_2025</x:v>
      </x:c>
      <x:c r="G34" s="38" t="n">
        <x:v>10</x:v>
      </x:c>
      <x:c r="H34" s="38" t="str">
        <x:v>en</x:v>
      </x:c>
      <x:c r="I34" s="38" t="str">
        <x:v>Central Bank of the Republic of Turkiye (Digital Turkish Lira)</x:v>
      </x:c>
      <x:c r="J34" s="38" t="str">
        <x:v>Designs and developments have been made to detect attacks as soon as offline money is 
converted into online balance.</x:v>
      </x:c>
      <x:c r="K34" s="142" t="b">
        <x:v>0</x:v>
      </x:c>
      <x:c r="L34" s="146" t="str">
        <x:v>keep</x:v>
      </x:c>
      <x:c r="M34" s="146" t="str">
        <x:v>keep</x:v>
      </x:c>
      <x:c r="N34" s="147" t="b">
        <x:v>1</x:v>
      </x:c>
      <x:c r="O34" s="146" t="str">
        <x:v>OPS.resilience</x:v>
      </x:c>
      <x:c r="P34" s="146" t="str">
        <x:v>OPS.resilience</x:v>
      </x:c>
      <x:c r="Q34" s="146" t="str">
        <x:v>OPS</x:v>
      </x:c>
      <x:c r="R34" s="146" t="str">
        <x:v>OPS</x:v>
      </x:c>
      <x:c r="S34" s="146" t="str">
        <x:v>decision</x:v>
      </x:c>
      <x:c r="T34" s="146" t="str">
        <x:v>decision</x:v>
      </x:c>
      <x:c r="U34" s="146" t="str">
        <x:v>neutral</x:v>
      </x:c>
      <x:c r="V34" s="146" t="str">
        <x:v>neutral</x:v>
      </x:c>
      <x:c r="W34" s="146" t="str">
        <x:v>not_applicable</x:v>
      </x:c>
      <x:c r="X34" s="146" t="str">
        <x:v>not_applicable</x:v>
      </x:c>
      <x:c r="Y34" s="146" t="n">
        <x:v>2</x:v>
      </x:c>
      <x:c r="Z34" s="146" t="n">
        <x:v>2</x:v>
      </x:c>
      <x:c r="AA34" s="146" t="str">
        <x:v>high</x:v>
      </x:c>
      <x:c r="AB34" s="146" t="str">
        <x:v>high</x:v>
      </x:c>
      <x:c r="AC34" s="146"/>
      <x:c r="AD34" s="146"/>
      <x:c r="AE34" s="151" t="str">
        <x:v>OPS.resilience</x:v>
      </x:c>
      <x:c r="AF34" s="151" t="str">
        <x:v>OPS.resilience</x:v>
      </x:c>
      <x:c r="AG34" s="151" t="str">
        <x:v>decision</x:v>
      </x:c>
      <x:c r="AH34" s="151" t="str">
        <x:v>decision</x:v>
      </x:c>
      <x:c r="AI34" s="154" t="n">
        <x:f>IF(K34,0,1)</x:f>
        <x:v>1</x:v>
      </x:c>
      <x:c r="AJ34" s="154" t="n">
        <x:f>IF(L34="keep",1,0)</x:f>
        <x:v>1</x:v>
      </x:c>
      <x:c r="AK34" s="154" t="n">
        <x:f>IF(M34="keep",1,0)</x:f>
        <x:v>1</x:v>
      </x:c>
      <x:c r="AL34" s="154" t="n">
        <x:f>(AJ34+AK34)/2</x:f>
        <x:v>1</x:v>
      </x:c>
      <x:c r="AM34" s="154" t="n">
        <x:f>MIN(AJ34,AK34)</x:f>
        <x:v>1</x:v>
      </x:c>
      <x:c r="AN34" s="154" t="n">
        <x:f>MAX(AJ34,AK34)</x:f>
        <x:v>1</x:v>
      </x:c>
      <x:c r="AO34" s="154" t="n">
        <x:f>IF(L34=M34,1,0)</x:f>
        <x:v>1</x:v>
      </x:c>
    </x:row>
    <x:row r="35">
      <x:c r="A35" s="38" t="str">
        <x:v>SV-0034</x:v>
      </x:c>
      <x:c r="B35" s="38" t="str">
        <x:v>PC-06666</x:v>
      </x:c>
      <x:c r="C35" s="38" t="str">
        <x:v>en|both</x:v>
      </x:c>
      <x:c r="D35" s="87" t="n">
        <x:v>19.069444444444443</x:v>
      </x:c>
      <x:c r="E35" s="38" t="str">
        <x:v>both</x:v>
      </x:c>
      <x:c r="F35" s="38" t="str">
        <x:v>UY_BCU_Seven_Lessons_2022</x:v>
      </x:c>
      <x:c r="G35" s="38" t="n">
        <x:v>8</x:v>
      </x:c>
      <x:c r="H35" s="38" t="str">
        <x:v>en</x:v>
      </x:c>
      <x:c r="I35" s="38" t="str">
        <x:v>Banco Central del Uruguay (e-Peso pilot)</x:v>
      </x:c>
      <x:c r="J35" s="38" t="str">
        <x:v>The design decision of a token -based CBDC that involves the transfer of a token directly 
between wallets has worked properly in many ways</x:v>
      </x:c>
      <x:c r="K35" s="142" t="b">
        <x:v>0</x:v>
      </x:c>
      <x:c r="L35" s="146" t="str">
        <x:v>keep</x:v>
      </x:c>
      <x:c r="M35" s="146" t="str">
        <x:v>keep</x:v>
      </x:c>
      <x:c r="N35" s="147" t="b">
        <x:v>1</x:v>
      </x:c>
      <x:c r="O35" s="146" t="str">
        <x:v>TECH.TOKEN.considered</x:v>
      </x:c>
      <x:c r="P35" s="146" t="str">
        <x:v>TECH.TOKEN.decided_yes</x:v>
      </x:c>
      <x:c r="Q35" s="146" t="str">
        <x:v>TECH</x:v>
      </x:c>
      <x:c r="R35" s="146" t="str">
        <x:v>TECH</x:v>
      </x:c>
      <x:c r="S35" s="146" t="str">
        <x:v>finding</x:v>
      </x:c>
      <x:c r="T35" s="146" t="str">
        <x:v>decision</x:v>
      </x:c>
      <x:c r="U35" s="146" t="str">
        <x:v>neutral</x:v>
      </x:c>
      <x:c r="V35" s="146" t="str">
        <x:v>neutral</x:v>
      </x:c>
      <x:c r="W35" s="146" t="str">
        <x:v>not_applicable</x:v>
      </x:c>
      <x:c r="X35" s="146" t="str">
        <x:v>not_applicable</x:v>
      </x:c>
      <x:c r="Y35" s="146" t="n">
        <x:v>3</x:v>
      </x:c>
      <x:c r="Z35" s="146" t="n">
        <x:v>3</x:v>
      </x:c>
      <x:c r="AA35" s="146" t="str">
        <x:v>high</x:v>
      </x:c>
      <x:c r="AB35" s="146" t="str">
        <x:v>high</x:v>
      </x:c>
      <x:c r="AC35" s="146"/>
      <x:c r="AD35" s="146"/>
      <x:c r="AE35" s="151" t="str">
        <x:v>OPS.resilience</x:v>
      </x:c>
      <x:c r="AF35" s="151" t="str">
        <x:v>TECH.TOKEN.decided_yes</x:v>
      </x:c>
      <x:c r="AG35" s="151" t="str">
        <x:v>finding</x:v>
      </x:c>
      <x:c r="AH35" s="151" t="str">
        <x:v>decision</x:v>
      </x:c>
      <x:c r="AI35" s="154" t="n">
        <x:f>IF(K35,0,1)</x:f>
        <x:v>1</x:v>
      </x:c>
      <x:c r="AJ35" s="154" t="n">
        <x:f>IF(L35="keep",1,0)</x:f>
        <x:v>1</x:v>
      </x:c>
      <x:c r="AK35" s="154" t="n">
        <x:f>IF(M35="keep",1,0)</x:f>
        <x:v>1</x:v>
      </x:c>
      <x:c r="AL35" s="154" t="n">
        <x:f>(AJ35+AK35)/2</x:f>
        <x:v>1</x:v>
      </x:c>
      <x:c r="AM35" s="154" t="n">
        <x:f>MIN(AJ35,AK35)</x:f>
        <x:v>1</x:v>
      </x:c>
      <x:c r="AN35" s="154" t="n">
        <x:f>MAX(AJ35,AK35)</x:f>
        <x:v>1</x:v>
      </x:c>
      <x:c r="AO35" s="154" t="n">
        <x:f>IF(L35=M35,1,0)</x:f>
        <x:v>1</x:v>
      </x:c>
    </x:row>
    <x:row r="36">
      <x:c r="A36" s="38" t="str">
        <x:v>SV-0035</x:v>
      </x:c>
      <x:c r="B36" s="38" t="str">
        <x:v>PC-04735</x:v>
      </x:c>
      <x:c r="C36" s="38" t="str">
        <x:v>en|both</x:v>
      </x:c>
      <x:c r="D36" s="87" t="n">
        <x:v>19.069444444444443</x:v>
      </x:c>
      <x:c r="E36" s="38" t="str">
        <x:v>both</x:v>
      </x:c>
      <x:c r="F36" s="38" t="str">
        <x:v>PW_Palau_Phase1_Report</x:v>
      </x:c>
      <x:c r="G36" s="38" t="n">
        <x:v>13</x:v>
      </x:c>
      <x:c r="H36" s="38" t="str">
        <x:v>en</x:v>
      </x:c>
      <x:c r="I36" s="38" t="str">
        <x:v>Republic of Palau (Palau Stablecoin programme)</x:v>
      </x:c>
      <x:c r="J36" s="38" t="str">
        <x:v>81.3% of the respondents find ATM withdrawals the most valuable savings in using PSC. 55% 
consider other transactions fees savings most valuable</x:v>
      </x:c>
      <x:c r="K36" s="142" t="b">
        <x:v>0</x:v>
      </x:c>
      <x:c r="L36" s="146" t="str">
        <x:v>keep</x:v>
      </x:c>
      <x:c r="M36" s="146" t="str">
        <x:v>keep</x:v>
      </x:c>
      <x:c r="N36" s="147" t="b">
        <x:v>1</x:v>
      </x:c>
      <x:c r="O36" s="146" t="str">
        <x:v>ADOPT.experience</x:v>
      </x:c>
      <x:c r="P36" s="146" t="str">
        <x:v>ADOPT.experience</x:v>
      </x:c>
      <x:c r="Q36" s="146" t="str">
        <x:v>ADOPT</x:v>
      </x:c>
      <x:c r="R36" s="146" t="str">
        <x:v>ADOPT</x:v>
      </x:c>
      <x:c r="S36" s="146" t="str">
        <x:v>finding</x:v>
      </x:c>
      <x:c r="T36" s="146" t="str">
        <x:v>finding</x:v>
      </x:c>
      <x:c r="U36" s="146" t="str">
        <x:v>neutral</x:v>
      </x:c>
      <x:c r="V36" s="146" t="str">
        <x:v>neutral</x:v>
      </x:c>
      <x:c r="W36" s="146" t="str">
        <x:v>not_applicable</x:v>
      </x:c>
      <x:c r="X36" s="146" t="str">
        <x:v>not_applicable</x:v>
      </x:c>
      <x:c r="Y36" s="146" t="n">
        <x:v>2</x:v>
      </x:c>
      <x:c r="Z36" s="146" t="n">
        <x:v>2</x:v>
      </x:c>
      <x:c r="AA36" s="146" t="str">
        <x:v>high</x:v>
      </x:c>
      <x:c r="AB36" s="146" t="str">
        <x:v>high</x:v>
      </x:c>
      <x:c r="AC36" s="146"/>
      <x:c r="AD36" s="146"/>
      <x:c r="AE36" s="151" t="str">
        <x:v>ADOPT.experience</x:v>
      </x:c>
      <x:c r="AF36" s="151" t="str">
        <x:v>ADOPT.experience</x:v>
      </x:c>
      <x:c r="AG36" s="151" t="str">
        <x:v>finding</x:v>
      </x:c>
      <x:c r="AH36" s="151" t="str">
        <x:v>finding</x:v>
      </x:c>
      <x:c r="AI36" s="154" t="n">
        <x:f>IF(K36,0,1)</x:f>
        <x:v>1</x:v>
      </x:c>
      <x:c r="AJ36" s="154" t="n">
        <x:f>IF(L36="keep",1,0)</x:f>
        <x:v>1</x:v>
      </x:c>
      <x:c r="AK36" s="154" t="n">
        <x:f>IF(M36="keep",1,0)</x:f>
        <x:v>1</x:v>
      </x:c>
      <x:c r="AL36" s="154" t="n">
        <x:f>(AJ36+AK36)/2</x:f>
        <x:v>1</x:v>
      </x:c>
      <x:c r="AM36" s="154" t="n">
        <x:f>MIN(AJ36,AK36)</x:f>
        <x:v>1</x:v>
      </x:c>
      <x:c r="AN36" s="154" t="n">
        <x:f>MAX(AJ36,AK36)</x:f>
        <x:v>1</x:v>
      </x:c>
      <x:c r="AO36" s="154" t="n">
        <x:f>IF(L36=M36,1,0)</x:f>
        <x:v>1</x:v>
      </x:c>
    </x:row>
    <x:row r="37">
      <x:c r="A37" s="38" t="str">
        <x:v>SV-0036</x:v>
      </x:c>
      <x:c r="B37" s="38" t="str">
        <x:v>PC-06197</x:v>
      </x:c>
      <x:c r="C37" s="38" t="str">
        <x:v>en|both</x:v>
      </x:c>
      <x:c r="D37" s="87" t="n">
        <x:v>19.069444444444443</x:v>
      </x:c>
      <x:c r="E37" s="38" t="str">
        <x:v>both</x:v>
      </x:c>
      <x:c r="F37" s="38" t="str">
        <x:v>UK_BoE_2023_TechWP</x:v>
      </x:c>
      <x:c r="G37" s="38" t="n">
        <x:v>17</x:v>
      </x:c>
      <x:c r="H37" s="38" t="str">
        <x:v>en</x:v>
      </x:c>
      <x:c r="I37" s="38" t="str">
        <x:v>Bank of England and HM Treasury (digital pound)</x:v>
      </x:c>
      <x:c r="J37" s="38" t="str">
        <x:v>Not everyone has a smart device or finds it easy to use one, so 
users could also have physical card options for CBDC payments.</x:v>
      </x:c>
      <x:c r="K37" s="142" t="b">
        <x:v>0</x:v>
      </x:c>
      <x:c r="L37" s="146" t="str">
        <x:v>keep</x:v>
      </x:c>
      <x:c r="M37" s="146" t="str">
        <x:v>keep</x:v>
      </x:c>
      <x:c r="N37" s="147" t="b">
        <x:v>1</x:v>
      </x:c>
      <x:c r="O37" s="146" t="str">
        <x:v>ACCESS.universal</x:v>
      </x:c>
      <x:c r="P37" s="146" t="str">
        <x:v>SYS.design</x:v>
      </x:c>
      <x:c r="Q37" s="146" t="str">
        <x:v>ACCESS</x:v>
      </x:c>
      <x:c r="R37" s="146" t="str">
        <x:v>SYS</x:v>
      </x:c>
      <x:c r="S37" s="146" t="str">
        <x:v>proposal</x:v>
      </x:c>
      <x:c r="T37" s="146" t="str">
        <x:v>proposal</x:v>
      </x:c>
      <x:c r="U37" s="146" t="str">
        <x:v>neutral</x:v>
      </x:c>
      <x:c r="V37" s="146" t="str">
        <x:v>neutral</x:v>
      </x:c>
      <x:c r="W37" s="146" t="str">
        <x:v>not_applicable</x:v>
      </x:c>
      <x:c r="X37" s="146" t="str">
        <x:v>not_applicable</x:v>
      </x:c>
      <x:c r="Y37" s="146" t="n">
        <x:v>2</x:v>
      </x:c>
      <x:c r="Z37" s="146" t="n">
        <x:v>3</x:v>
      </x:c>
      <x:c r="AA37" s="146" t="str">
        <x:v>high</x:v>
      </x:c>
      <x:c r="AB37" s="146" t="str">
        <x:v>high</x:v>
      </x:c>
      <x:c r="AC37" s="146"/>
      <x:c r="AD37" s="146"/>
      <x:c r="AE37" s="151" t="str">
        <x:v>ACCESS.universal</x:v>
      </x:c>
      <x:c r="AF37" s="151" t="str">
        <x:v>SYS.design</x:v>
      </x:c>
      <x:c r="AG37" s="151" t="str">
        <x:v>proposal</x:v>
      </x:c>
      <x:c r="AH37" s="151" t="str">
        <x:v>proposal</x:v>
      </x:c>
      <x:c r="AI37" s="154" t="n">
        <x:f>IF(K37,0,1)</x:f>
        <x:v>1</x:v>
      </x:c>
      <x:c r="AJ37" s="154" t="n">
        <x:f>IF(L37="keep",1,0)</x:f>
        <x:v>1</x:v>
      </x:c>
      <x:c r="AK37" s="154" t="n">
        <x:f>IF(M37="keep",1,0)</x:f>
        <x:v>1</x:v>
      </x:c>
      <x:c r="AL37" s="154" t="n">
        <x:f>(AJ37+AK37)/2</x:f>
        <x:v>1</x:v>
      </x:c>
      <x:c r="AM37" s="154" t="n">
        <x:f>MIN(AJ37,AK37)</x:f>
        <x:v>1</x:v>
      </x:c>
      <x:c r="AN37" s="154" t="n">
        <x:f>MAX(AJ37,AK37)</x:f>
        <x:v>1</x:v>
      </x:c>
      <x:c r="AO37" s="154" t="n">
        <x:f>IF(L37=M37,1,0)</x:f>
        <x:v>1</x:v>
      </x:c>
    </x:row>
    <x:row r="38">
      <x:c r="A38" s="38" t="str">
        <x:v>SV-0037</x:v>
      </x:c>
      <x:c r="B38" s="38" t="str">
        <x:v>PC-00575</x:v>
      </x:c>
      <x:c r="C38" s="38" t="str">
        <x:v>en|both</x:v>
      </x:c>
      <x:c r="D38" s="87" t="n">
        <x:v>19.069444444444443</x:v>
      </x:c>
      <x:c r="E38" s="38" t="str">
        <x:v>both</x:v>
      </x:c>
      <x:c r="F38" s="38" t="str">
        <x:v>BS_Bahamas_SandDollar_2019</x:v>
      </x:c>
      <x:c r="G38" s="38" t="n">
        <x:v>14</x:v>
      </x:c>
      <x:c r="H38" s="38" t="str">
        <x:v>en</x:v>
      </x:c>
      <x:c r="I38" s="38" t="str">
        <x:v>Central Bank of The Bahamas (Sand Dollar)</x:v>
      </x:c>
      <x:c r="J38" s="38" t="str">
        <x:v>The Central Bank will vary these limits over time as may be necessary to satisfy the robustness of 
the AML/CFT regime, under the p rinciple that the more elevated due -diligence would always 
enable accounts to operate with higher transactions limits.</x:v>
      </x:c>
      <x:c r="K38" s="142" t="b">
        <x:v>0</x:v>
      </x:c>
      <x:c r="L38" s="146" t="str">
        <x:v>keep</x:v>
      </x:c>
      <x:c r="M38" s="146" t="str">
        <x:v>keep</x:v>
      </x:c>
      <x:c r="N38" s="147" t="b">
        <x:v>1</x:v>
      </x:c>
      <x:c r="O38" s="146" t="str">
        <x:v>KYC.INTERMED</x:v>
      </x:c>
      <x:c r="P38" s="146" t="str">
        <x:v>KYC.TIER</x:v>
      </x:c>
      <x:c r="Q38" s="146" t="str">
        <x:v>KYC</x:v>
      </x:c>
      <x:c r="R38" s="146" t="str">
        <x:v>KYC</x:v>
      </x:c>
      <x:c r="S38" s="146" t="str">
        <x:v>proposal</x:v>
      </x:c>
      <x:c r="T38" s="146" t="str">
        <x:v>decision</x:v>
      </x:c>
      <x:c r="U38" s="146" t="str">
        <x:v>neutral</x:v>
      </x:c>
      <x:c r="V38" s="146" t="str">
        <x:v>neutral</x:v>
      </x:c>
      <x:c r="W38" s="146" t="str">
        <x:v>not_applicable</x:v>
      </x:c>
      <x:c r="X38" s="146" t="str">
        <x:v>not_applicable</x:v>
      </x:c>
      <x:c r="Y38" s="146" t="n">
        <x:v>2</x:v>
      </x:c>
      <x:c r="Z38" s="146" t="n">
        <x:v>2</x:v>
      </x:c>
      <x:c r="AA38" s="146" t="str">
        <x:v>high</x:v>
      </x:c>
      <x:c r="AB38" s="146" t="str">
        <x:v>high</x:v>
      </x:c>
      <x:c r="AC38" s="146"/>
      <x:c r="AD38" s="146"/>
      <x:c r="AE38" s="151" t="str">
        <x:v>KYC.INTERMED</x:v>
      </x:c>
      <x:c r="AF38" s="151" t="str">
        <x:v>KYC.TIER</x:v>
      </x:c>
      <x:c r="AG38" s="151" t="str">
        <x:v>proposal</x:v>
      </x:c>
      <x:c r="AH38" s="151" t="str">
        <x:v>decision</x:v>
      </x:c>
      <x:c r="AI38" s="154" t="n">
        <x:f>IF(K38,0,1)</x:f>
        <x:v>1</x:v>
      </x:c>
      <x:c r="AJ38" s="154" t="n">
        <x:f>IF(L38="keep",1,0)</x:f>
        <x:v>1</x:v>
      </x:c>
      <x:c r="AK38" s="154" t="n">
        <x:f>IF(M38="keep",1,0)</x:f>
        <x:v>1</x:v>
      </x:c>
      <x:c r="AL38" s="154" t="n">
        <x:f>(AJ38+AK38)/2</x:f>
        <x:v>1</x:v>
      </x:c>
      <x:c r="AM38" s="154" t="n">
        <x:f>MIN(AJ38,AK38)</x:f>
        <x:v>1</x:v>
      </x:c>
      <x:c r="AN38" s="154" t="n">
        <x:f>MAX(AJ38,AK38)</x:f>
        <x:v>1</x:v>
      </x:c>
      <x:c r="AO38" s="154" t="n">
        <x:f>IF(L38=M38,1,0)</x:f>
        <x:v>1</x:v>
      </x:c>
    </x:row>
    <x:row r="39">
      <x:c r="A39" s="38" t="str">
        <x:v>SV-0038</x:v>
      </x:c>
      <x:c r="B39" s="38" t="str">
        <x:v>PC-01438</x:v>
      </x:c>
      <x:c r="C39" s="38" t="str">
        <x:v>en|both</x:v>
      </x:c>
      <x:c r="D39" s="87" t="n">
        <x:v>19.069444444444443</x:v>
      </x:c>
      <x:c r="E39" s="38" t="str">
        <x:v>both</x:v>
      </x:c>
      <x:c r="F39" s="38" t="str">
        <x:v>EU_ECB_ClosingReport_2025</x:v>
      </x:c>
      <x:c r="G39" s="38" t="n">
        <x:v>10</x:v>
      </x:c>
      <x:c r="H39" s="38" t="str">
        <x:v>en</x:v>
      </x:c>
      <x:c r="I39" s="38" t="str">
        <x:v>European Central Bank / Eurosystem (digital euro)</x:v>
      </x:c>
      <x:c r="J39" s="38" t="str">
        <x:v>It
would ensure that PSPs deliver consistent basic digital euro services, enabling a uniform user
experience regardless of the country or PSP involved.</x:v>
      </x:c>
      <x:c r="K39" s="142" t="b">
        <x:v>0</x:v>
      </x:c>
      <x:c r="L39" s="146" t="str">
        <x:v>keep</x:v>
      </x:c>
      <x:c r="M39" s="146" t="str">
        <x:v>keep</x:v>
      </x:c>
      <x:c r="N39" s="147" t="b">
        <x:v>1</x:v>
      </x:c>
      <x:c r="O39" s="146" t="str">
        <x:v>INTEROP.crossborder</x:v>
      </x:c>
      <x:c r="P39" s="146" t="str">
        <x:v>INTEROP.domestic</x:v>
      </x:c>
      <x:c r="Q39" s="146" t="str">
        <x:v>INTEROP</x:v>
      </x:c>
      <x:c r="R39" s="146" t="str">
        <x:v>INTEROP</x:v>
      </x:c>
      <x:c r="S39" s="146" t="str">
        <x:v>proposal</x:v>
      </x:c>
      <x:c r="T39" s="146" t="str">
        <x:v>proposal</x:v>
      </x:c>
      <x:c r="U39" s="146" t="str">
        <x:v>neutral</x:v>
      </x:c>
      <x:c r="V39" s="146" t="str">
        <x:v>neutral</x:v>
      </x:c>
      <x:c r="W39" s="146" t="str">
        <x:v>not_applicable</x:v>
      </x:c>
      <x:c r="X39" s="146" t="str">
        <x:v>not_applicable</x:v>
      </x:c>
      <x:c r="Y39" s="146" t="n">
        <x:v>2</x:v>
      </x:c>
      <x:c r="Z39" s="146" t="n">
        <x:v>2</x:v>
      </x:c>
      <x:c r="AA39" s="146" t="str">
        <x:v>high</x:v>
      </x:c>
      <x:c r="AB39" s="146" t="str">
        <x:v>high</x:v>
      </x:c>
      <x:c r="AC39" s="146"/>
      <x:c r="AD39" s="146"/>
      <x:c r="AE39" s="151" t="str">
        <x:v>INTEROP.domestic</x:v>
      </x:c>
      <x:c r="AF39" s="151" t="str">
        <x:v>INTEROP.domestic</x:v>
      </x:c>
      <x:c r="AG39" s="151" t="str">
        <x:v>proposal</x:v>
      </x:c>
      <x:c r="AH39" s="151" t="str">
        <x:v>proposal</x:v>
      </x:c>
      <x:c r="AI39" s="154" t="n">
        <x:f>IF(K39,0,1)</x:f>
        <x:v>1</x:v>
      </x:c>
      <x:c r="AJ39" s="154" t="n">
        <x:f>IF(L39="keep",1,0)</x:f>
        <x:v>1</x:v>
      </x:c>
      <x:c r="AK39" s="154" t="n">
        <x:f>IF(M39="keep",1,0)</x:f>
        <x:v>1</x:v>
      </x:c>
      <x:c r="AL39" s="154" t="n">
        <x:f>(AJ39+AK39)/2</x:f>
        <x:v>1</x:v>
      </x:c>
      <x:c r="AM39" s="154" t="n">
        <x:f>MIN(AJ39,AK39)</x:f>
        <x:v>1</x:v>
      </x:c>
      <x:c r="AN39" s="154" t="n">
        <x:f>MAX(AJ39,AK39)</x:f>
        <x:v>1</x:v>
      </x:c>
      <x:c r="AO39" s="154" t="n">
        <x:f>IF(L39=M39,1,0)</x:f>
        <x:v>1</x:v>
      </x:c>
    </x:row>
    <x:row r="40">
      <x:c r="A40" s="38" t="str">
        <x:v>SV-0039</x:v>
      </x:c>
      <x:c r="B40" s="38" t="str">
        <x:v>PC-04717</x:v>
      </x:c>
      <x:c r="C40" s="38" t="str">
        <x:v>en|both</x:v>
      </x:c>
      <x:c r="D40" s="87" t="n">
        <x:v>19.069444444444443</x:v>
      </x:c>
      <x:c r="E40" s="38" t="str">
        <x:v>both</x:v>
      </x:c>
      <x:c r="F40" s="38" t="str">
        <x:v>PW_Palau_Phase1_Report</x:v>
      </x:c>
      <x:c r="G40" s="38" t="n">
        <x:v>7</x:v>
      </x:c>
      <x:c r="H40" s="38" t="str">
        <x:v>en</x:v>
      </x:c>
      <x:c r="I40" s="38" t="str">
        <x:v>Republic of Palau (Palau Stablecoin programme)</x:v>
      </x:c>
      <x:c r="J40" s="38" t="str">
        <x:v>Once created, those wallets were then registered in the CBDC Platform (i.e. 
the PSC issuer &amp; distribution system) with both user registration and PSC distribution managed by the 
MOF staff.</x:v>
      </x:c>
      <x:c r="K40" s="142" t="b">
        <x:v>0</x:v>
      </x:c>
      <x:c r="L40" s="146" t="str">
        <x:v>keep</x:v>
      </x:c>
      <x:c r="M40" s="146" t="str">
        <x:v>keep</x:v>
      </x:c>
      <x:c r="N40" s="147" t="b">
        <x:v>1</x:v>
      </x:c>
      <x:c r="O40" s="146" t="str">
        <x:v>INST.mandate</x:v>
      </x:c>
      <x:c r="P40" s="146" t="str">
        <x:v>SYS.design</x:v>
      </x:c>
      <x:c r="Q40" s="146" t="str">
        <x:v>INST</x:v>
      </x:c>
      <x:c r="R40" s="146" t="str">
        <x:v>SYS</x:v>
      </x:c>
      <x:c r="S40" s="146" t="str">
        <x:v>decision</x:v>
      </x:c>
      <x:c r="T40" s="146" t="str">
        <x:v>decision</x:v>
      </x:c>
      <x:c r="U40" s="146" t="str">
        <x:v>neutral</x:v>
      </x:c>
      <x:c r="V40" s="146" t="str">
        <x:v>neutral</x:v>
      </x:c>
      <x:c r="W40" s="146" t="str">
        <x:v>not_applicable</x:v>
      </x:c>
      <x:c r="X40" s="146" t="str">
        <x:v>not_applicable</x:v>
      </x:c>
      <x:c r="Y40" s="146" t="n">
        <x:v>3</x:v>
      </x:c>
      <x:c r="Z40" s="146" t="n">
        <x:v>2</x:v>
      </x:c>
      <x:c r="AA40" s="146" t="str">
        <x:v>high</x:v>
      </x:c>
      <x:c r="AB40" s="146" t="str">
        <x:v>high</x:v>
      </x:c>
      <x:c r="AC40" s="146"/>
      <x:c r="AD40" s="146"/>
      <x:c r="AE40" s="151" t="str">
        <x:v>INST.mandate</x:v>
      </x:c>
      <x:c r="AF40" s="151" t="str">
        <x:v>SYS.design</x:v>
      </x:c>
      <x:c r="AG40" s="151" t="str">
        <x:v>decision</x:v>
      </x:c>
      <x:c r="AH40" s="151" t="str">
        <x:v>decision</x:v>
      </x:c>
      <x:c r="AI40" s="154" t="n">
        <x:f>IF(K40,0,1)</x:f>
        <x:v>1</x:v>
      </x:c>
      <x:c r="AJ40" s="154" t="n">
        <x:f>IF(L40="keep",1,0)</x:f>
        <x:v>1</x:v>
      </x:c>
      <x:c r="AK40" s="154" t="n">
        <x:f>IF(M40="keep",1,0)</x:f>
        <x:v>1</x:v>
      </x:c>
      <x:c r="AL40" s="154" t="n">
        <x:f>(AJ40+AK40)/2</x:f>
        <x:v>1</x:v>
      </x:c>
      <x:c r="AM40" s="154" t="n">
        <x:f>MIN(AJ40,AK40)</x:f>
        <x:v>1</x:v>
      </x:c>
      <x:c r="AN40" s="154" t="n">
        <x:f>MAX(AJ40,AK40)</x:f>
        <x:v>1</x:v>
      </x:c>
      <x:c r="AO40" s="154" t="n">
        <x:f>IF(L40=M40,1,0)</x:f>
        <x:v>1</x:v>
      </x:c>
    </x:row>
    <x:row r="41">
      <x:c r="A41" s="38" t="str">
        <x:v>SV-0040</x:v>
      </x:c>
      <x:c r="B41" s="38" t="str">
        <x:v>PC-06262</x:v>
      </x:c>
      <x:c r="C41" s="38" t="str">
        <x:v>en|both</x:v>
      </x:c>
      <x:c r="D41" s="87" t="n">
        <x:v>19.069444444444443</x:v>
      </x:c>
      <x:c r="E41" s="38" t="str">
        <x:v>both</x:v>
      </x:c>
      <x:c r="F41" s="38" t="str">
        <x:v>UK_BoE_2023_TechWP</x:v>
      </x:c>
      <x:c r="G41" s="38" t="n">
        <x:v>38</x:v>
      </x:c>
      <x:c r="H41" s="38" t="str">
        <x:v>en</x:v>
      </x:c>
      <x:c r="I41" s="38" t="str">
        <x:v>Bank of England and HM Treasury (digital pound)</x:v>
      </x:c>
      <x:c r="J41" s="38" t="str">
        <x:v>The introduction of offline payments for payment resilience in the event of 
network disruption introduces the double spend risk (Section 4.8).</x:v>
      </x:c>
      <x:c r="K41" s="142" t="b">
        <x:v>0</x:v>
      </x:c>
      <x:c r="L41" s="146" t="str">
        <x:v>keep</x:v>
      </x:c>
      <x:c r="M41" s="146" t="str">
        <x:v>keep</x:v>
      </x:c>
      <x:c r="N41" s="147" t="b">
        <x:v>1</x:v>
      </x:c>
      <x:c r="O41" s="146" t="str">
        <x:v>OPS.resilience</x:v>
      </x:c>
      <x:c r="P41" s="146" t="str">
        <x:v>OPS.resilience</x:v>
      </x:c>
      <x:c r="Q41" s="146" t="str">
        <x:v>OPS</x:v>
      </x:c>
      <x:c r="R41" s="146" t="str">
        <x:v>OPS</x:v>
      </x:c>
      <x:c r="S41" s="146" t="str">
        <x:v>proposal</x:v>
      </x:c>
      <x:c r="T41" s="146" t="str">
        <x:v>finding</x:v>
      </x:c>
      <x:c r="U41" s="146" t="str">
        <x:v>neutral</x:v>
      </x:c>
      <x:c r="V41" s="146" t="str">
        <x:v>neutral</x:v>
      </x:c>
      <x:c r="W41" s="146" t="str">
        <x:v>not_applicable</x:v>
      </x:c>
      <x:c r="X41" s="146" t="str">
        <x:v>not_applicable</x:v>
      </x:c>
      <x:c r="Y41" s="146" t="n">
        <x:v>2</x:v>
      </x:c>
      <x:c r="Z41" s="146" t="n">
        <x:v>2</x:v>
      </x:c>
      <x:c r="AA41" s="146" t="str">
        <x:v>high</x:v>
      </x:c>
      <x:c r="AB41" s="146" t="str">
        <x:v>high</x:v>
      </x:c>
      <x:c r="AC41" s="146"/>
      <x:c r="AD41" s="146"/>
      <x:c r="AE41" s="151" t="str">
        <x:v>OPS.resilience</x:v>
      </x:c>
      <x:c r="AF41" s="151" t="str">
        <x:v>OPS.resilience</x:v>
      </x:c>
      <x:c r="AG41" s="151" t="str">
        <x:v>proposal</x:v>
      </x:c>
      <x:c r="AH41" s="151" t="str">
        <x:v>finding</x:v>
      </x:c>
      <x:c r="AI41" s="154" t="n">
        <x:f>IF(K41,0,1)</x:f>
        <x:v>1</x:v>
      </x:c>
      <x:c r="AJ41" s="154" t="n">
        <x:f>IF(L41="keep",1,0)</x:f>
        <x:v>1</x:v>
      </x:c>
      <x:c r="AK41" s="154" t="n">
        <x:f>IF(M41="keep",1,0)</x:f>
        <x:v>1</x:v>
      </x:c>
      <x:c r="AL41" s="154" t="n">
        <x:f>(AJ41+AK41)/2</x:f>
        <x:v>1</x:v>
      </x:c>
      <x:c r="AM41" s="154" t="n">
        <x:f>MIN(AJ41,AK41)</x:f>
        <x:v>1</x:v>
      </x:c>
      <x:c r="AN41" s="154" t="n">
        <x:f>MAX(AJ41,AK41)</x:f>
        <x:v>1</x:v>
      </x:c>
      <x:c r="AO41" s="154" t="n">
        <x:f>IF(L41=M41,1,0)</x:f>
        <x:v>1</x:v>
      </x:c>
    </x:row>
    <x:row r="42">
      <x:c r="A42" s="38" t="str">
        <x:v>SV-0041</x:v>
      </x:c>
      <x:c r="B42" s="38" t="str">
        <x:v>PC-04520</x:v>
      </x:c>
      <x:c r="C42" s="38" t="str">
        <x:v>en|claude_only</x:v>
      </x:c>
      <x:c r="D42" s="87" t="n">
        <x:v>19.375</x:v>
      </x:c>
      <x:c r="E42" s="38" t="str">
        <x:v>claude_only</x:v>
      </x:c>
      <x:c r="F42" s="38" t="str">
        <x:v>NO_Norway_norges-bank-papers-2---phase-4---final-report</x:v>
      </x:c>
      <x:c r="G42" s="38" t="n">
        <x:v>16</x:v>
      </x:c>
      <x:c r="H42" s="38" t="str">
        <x:v>en</x:v>
      </x:c>
      <x:c r="I42" s="38" t="str">
        <x:v>Norges Bank</x:v>
      </x:c>
      <x:c r="J42" s="38" t="str">
        <x:v>At least one dedicated payment service that is independent of banks' systems.</x:v>
      </x:c>
      <x:c r="K42" s="142" t="b">
        <x:v>0</x:v>
      </x:c>
      <x:c r="L42" s="146" t="str">
        <x:v>exclude</x:v>
      </x:c>
      <x:c r="M42" s="146" t="str">
        <x:v>exclude</x:v>
      </x:c>
      <x:c r="N42" s="147" t="b">
        <x:v>1</x:v>
      </x:c>
      <x:c r="O42" s="146"/>
      <x:c r="P42" s="146" t="str">
        <x:v>SYS.design</x:v>
      </x:c>
      <x:c r="Q42" s="146" t="str"/>
      <x:c r="R42" s="146" t="str">
        <x:v>SYS</x:v>
      </x:c>
      <x:c r="S42" s="146"/>
      <x:c r="T42" s="146" t="str">
        <x:v>proposal</x:v>
      </x:c>
      <x:c r="U42" s="146"/>
      <x:c r="V42" s="146" t="str">
        <x:v>neutral</x:v>
      </x:c>
      <x:c r="W42" s="146"/>
      <x:c r="X42" s="146" t="str">
        <x:v>not_applicable</x:v>
      </x:c>
      <x:c r="Y42" s="146"/>
      <x:c r="Z42" s="146" t="n">
        <x:v>2</x:v>
      </x:c>
      <x:c r="AA42" s="146" t="str">
        <x:v>high</x:v>
      </x:c>
      <x:c r="AB42" s="146" t="str">
        <x:v>high</x:v>
      </x:c>
      <x:c r="AC42" s="146"/>
      <x:c r="AD42" s="146" t="str">
        <x:v>x</x:v>
      </x:c>
      <x:c r="AE42" s="151"/>
      <x:c r="AF42" s="151" t="str">
        <x:v>SYS.design</x:v>
      </x:c>
      <x:c r="AG42" s="151"/>
      <x:c r="AH42" s="151" t="str">
        <x:v>proposal</x:v>
      </x:c>
      <x:c r="AI42" s="154" t="n">
        <x:f>IF(K42,0,1)</x:f>
        <x:v>1</x:v>
      </x:c>
      <x:c r="AJ42" s="154" t="n">
        <x:f>IF(L42="keep",1,0)</x:f>
        <x:v>0</x:v>
      </x:c>
      <x:c r="AK42" s="154" t="n">
        <x:f>IF(M42="keep",1,0)</x:f>
        <x:v>0</x:v>
      </x:c>
      <x:c r="AL42" s="154" t="n">
        <x:f>(AJ42+AK42)/2</x:f>
        <x:v>0</x:v>
      </x:c>
      <x:c r="AM42" s="154" t="n">
        <x:f>MIN(AJ42,AK42)</x:f>
        <x:v>0</x:v>
      </x:c>
      <x:c r="AN42" s="154" t="n">
        <x:f>MAX(AJ42,AK42)</x:f>
        <x:v>0</x:v>
      </x:c>
      <x:c r="AO42" s="154" t="n">
        <x:f>IF(L42=M42,1,0)</x:f>
        <x:v>1</x:v>
      </x:c>
    </x:row>
    <x:row r="43">
      <x:c r="A43" s="38" t="str">
        <x:v>SV-0042</x:v>
      </x:c>
      <x:c r="B43" s="38" t="str">
        <x:v>PC-03432</x:v>
      </x:c>
      <x:c r="C43" s="38" t="str">
        <x:v>en|openai_only</x:v>
      </x:c>
      <x:c r="D43" s="87" t="n">
        <x:v>19.21875</x:v>
      </x:c>
      <x:c r="E43" s="38" t="str">
        <x:v>openai_only</x:v>
      </x:c>
      <x:c r="F43" s="38" t="str">
        <x:v>IN_RBI_ConceptNote_2022</x:v>
      </x:c>
      <x:c r="G43" s="38" t="n">
        <x:v>40</x:v>
      </x:c>
      <x:c r="H43" s="38" t="str">
        <x:v>en</x:v>
      </x:c>
      <x:c r="I43" s="38" t="str">
        <x:v>Reserve Bank of India (digital rupee)</x:v>
      </x:c>
      <x:c r="J43" s="38" t="str">
        <x:v>The customer protection 
framework for CBDC must consider the 
variations in the digital l iteracy of consumers 
and ways to increase consumer understanding 
and transparency so that an informed choice is 
made by them while adopting the CBDC.</x:v>
      </x:c>
      <x:c r="K43" s="142" t="b">
        <x:v>0</x:v>
      </x:c>
      <x:c r="L43" s="146" t="str">
        <x:v>keep</x:v>
      </x:c>
      <x:c r="M43" s="146" t="str">
        <x:v>exclude</x:v>
      </x:c>
      <x:c r="N43" s="147" t="b">
        <x:v>0</x:v>
      </x:c>
      <x:c r="O43" s="146" t="str">
        <x:v>ADOPT.experience</x:v>
      </x:c>
      <x:c r="P43" s="146"/>
      <x:c r="Q43" s="146" t="str">
        <x:v>ADOPT</x:v>
      </x:c>
      <x:c r="R43" s="146" t="str"/>
      <x:c r="S43" s="146" t="str">
        <x:v>proposal</x:v>
      </x:c>
      <x:c r="T43" s="146"/>
      <x:c r="U43" s="146" t="str">
        <x:v>neutral</x:v>
      </x:c>
      <x:c r="V43" s="146"/>
      <x:c r="W43" s="146" t="str">
        <x:v>not_applicable</x:v>
      </x:c>
      <x:c r="X43" s="146"/>
      <x:c r="Y43" s="146" t="n">
        <x:v>2</x:v>
      </x:c>
      <x:c r="Z43" s="146"/>
      <x:c r="AA43" s="146" t="str">
        <x:v>high</x:v>
      </x:c>
      <x:c r="AB43" s="146" t="str">
        <x:v>high</x:v>
      </x:c>
      <x:c r="AC43" s="146"/>
      <x:c r="AD43" s="146"/>
      <x:c r="AE43" s="151" t="str">
        <x:v>ADOPT.experience</x:v>
      </x:c>
      <x:c r="AF43" s="151"/>
      <x:c r="AG43" s="151" t="str">
        <x:v>proposal</x:v>
      </x:c>
      <x:c r="AH43" s="151"/>
      <x:c r="AI43" s="154" t="n">
        <x:f>IF(K43,0,1)</x:f>
        <x:v>1</x:v>
      </x:c>
      <x:c r="AJ43" s="154" t="n">
        <x:f>IF(L43="keep",1,0)</x:f>
        <x:v>1</x:v>
      </x:c>
      <x:c r="AK43" s="154" t="n">
        <x:f>IF(M43="keep",1,0)</x:f>
        <x:v>0</x:v>
      </x:c>
      <x:c r="AL43" s="154" t="n">
        <x:f>(AJ43+AK43)/2</x:f>
        <x:v>0.5</x:v>
      </x:c>
      <x:c r="AM43" s="154" t="n">
        <x:f>MIN(AJ43,AK43)</x:f>
        <x:v>0</x:v>
      </x:c>
      <x:c r="AN43" s="154" t="n">
        <x:f>MAX(AJ43,AK43)</x:f>
        <x:v>1</x:v>
      </x:c>
      <x:c r="AO43" s="154" t="n">
        <x:f>IF(L43=M43,1,0)</x:f>
        <x:v>0</x:v>
      </x:c>
    </x:row>
    <x:row r="44">
      <x:c r="A44" s="38" t="str">
        <x:v>SV-0043</x:v>
      </x:c>
      <x:c r="B44" s="38" t="str">
        <x:v>PC-01682</x:v>
      </x:c>
      <x:c r="C44" s="38" t="str">
        <x:v>en|both</x:v>
      </x:c>
      <x:c r="D44" s="87" t="n">
        <x:v>19.069444444444443</x:v>
      </x:c>
      <x:c r="E44" s="38" t="str">
        <x:v>both</x:v>
      </x:c>
      <x:c r="F44" s="38" t="str">
        <x:v>GH_Ghana_2021</x:v>
      </x:c>
      <x:c r="G44" s="38" t="n">
        <x:v>29</x:v>
      </x:c>
      <x:c r="H44" s="38" t="str">
        <x:v>en</x:v>
      </x:c>
      <x:c r="I44" s="38" t="str">
        <x:v>Bank of Ghana (eCedi)</x:v>
      </x:c>
      <x:c r="J44" s="38" t="str">
        <x:v>One 
of the eCedi’s technical solutions addressing cyber-
attack prevention is the separation of the issuance 
and distribution modules of the core infrastructure.</x:v>
      </x:c>
      <x:c r="K44" s="142" t="b">
        <x:v>0</x:v>
      </x:c>
      <x:c r="L44" s="146" t="str">
        <x:v>keep</x:v>
      </x:c>
      <x:c r="M44" s="146" t="str">
        <x:v>keep</x:v>
      </x:c>
      <x:c r="N44" s="147" t="b">
        <x:v>1</x:v>
      </x:c>
      <x:c r="O44" s="146" t="str">
        <x:v>OPS.resilience</x:v>
      </x:c>
      <x:c r="P44" s="146" t="str">
        <x:v>OPS.resilience</x:v>
      </x:c>
      <x:c r="Q44" s="146" t="str">
        <x:v>OPS</x:v>
      </x:c>
      <x:c r="R44" s="146" t="str">
        <x:v>OPS</x:v>
      </x:c>
      <x:c r="S44" s="146" t="str">
        <x:v>decision</x:v>
      </x:c>
      <x:c r="T44" s="146" t="str">
        <x:v>proposal</x:v>
      </x:c>
      <x:c r="U44" s="146" t="str">
        <x:v>neutral</x:v>
      </x:c>
      <x:c r="V44" s="146" t="str">
        <x:v>neutral</x:v>
      </x:c>
      <x:c r="W44" s="146" t="str">
        <x:v>not_applicable</x:v>
      </x:c>
      <x:c r="X44" s="146" t="str">
        <x:v>not_applicable</x:v>
      </x:c>
      <x:c r="Y44" s="146" t="n">
        <x:v>3</x:v>
      </x:c>
      <x:c r="Z44" s="146" t="n">
        <x:v>2</x:v>
      </x:c>
      <x:c r="AA44" s="146" t="str">
        <x:v>high</x:v>
      </x:c>
      <x:c r="AB44" s="146" t="str">
        <x:v>high</x:v>
      </x:c>
      <x:c r="AC44" s="146"/>
      <x:c r="AD44" s="146"/>
      <x:c r="AE44" s="151" t="str">
        <x:v>OPS.resilience</x:v>
      </x:c>
      <x:c r="AF44" s="151" t="str">
        <x:v>OPS.resilience</x:v>
      </x:c>
      <x:c r="AG44" s="151" t="str">
        <x:v>decision</x:v>
      </x:c>
      <x:c r="AH44" s="151" t="str">
        <x:v>proposal</x:v>
      </x:c>
      <x:c r="AI44" s="154" t="n">
        <x:f>IF(K44,0,1)</x:f>
        <x:v>1</x:v>
      </x:c>
      <x:c r="AJ44" s="154" t="n">
        <x:f>IF(L44="keep",1,0)</x:f>
        <x:v>1</x:v>
      </x:c>
      <x:c r="AK44" s="154" t="n">
        <x:f>IF(M44="keep",1,0)</x:f>
        <x:v>1</x:v>
      </x:c>
      <x:c r="AL44" s="154" t="n">
        <x:f>(AJ44+AK44)/2</x:f>
        <x:v>1</x:v>
      </x:c>
      <x:c r="AM44" s="154" t="n">
        <x:f>MIN(AJ44,AK44)</x:f>
        <x:v>1</x:v>
      </x:c>
      <x:c r="AN44" s="154" t="n">
        <x:f>MAX(AJ44,AK44)</x:f>
        <x:v>1</x:v>
      </x:c>
      <x:c r="AO44" s="154" t="n">
        <x:f>IF(L44=M44,1,0)</x:f>
        <x:v>1</x:v>
      </x:c>
    </x:row>
    <x:row r="45">
      <x:c r="A45" s="38" t="str">
        <x:v>SV-0044</x:v>
      </x:c>
      <x:c r="B45" s="38" t="str">
        <x:v>PC-01665</x:v>
      </x:c>
      <x:c r="C45" s="38" t="str">
        <x:v>en|both</x:v>
      </x:c>
      <x:c r="D45" s="87" t="n">
        <x:v>19.069444444444443</x:v>
      </x:c>
      <x:c r="E45" s="38" t="str">
        <x:v>both</x:v>
      </x:c>
      <x:c r="F45" s="38" t="str">
        <x:v>GH_Ghana_2021</x:v>
      </x:c>
      <x:c r="G45" s="38" t="n">
        <x:v>27</x:v>
      </x:c>
      <x:c r="H45" s="38" t="str">
        <x:v>en</x:v>
      </x:c>
      <x:c r="I45" s="38" t="str">
        <x:v>Bank of Ghana (eCedi)</x:v>
      </x:c>
      <x:c r="J45" s="38" t="str">
        <x:v>The KYC regime for eCedi will be risk-based and 
therefore provide for tiered KYC access criteria 
to meet the needs of diverse user groups. In this 
regard, eCedi wallets with different requirements 
for the identification checks depending on the 
thresholds and daily/aggregate transaction limits, 
and maximum account balances will be available.</x:v>
      </x:c>
      <x:c r="K45" s="142" t="b">
        <x:v>0</x:v>
      </x:c>
      <x:c r="L45" s="146" t="str">
        <x:v>keep</x:v>
      </x:c>
      <x:c r="M45" s="146" t="str">
        <x:v>keep</x:v>
      </x:c>
      <x:c r="N45" s="147" t="b">
        <x:v>1</x:v>
      </x:c>
      <x:c r="O45" s="146" t="str">
        <x:v>KYC.TIER</x:v>
      </x:c>
      <x:c r="P45" s="146" t="str">
        <x:v>KYC.TIER</x:v>
      </x:c>
      <x:c r="Q45" s="146" t="str">
        <x:v>KYC</x:v>
      </x:c>
      <x:c r="R45" s="146" t="str">
        <x:v>KYC</x:v>
      </x:c>
      <x:c r="S45" s="146" t="str">
        <x:v>proposal</x:v>
      </x:c>
      <x:c r="T45" s="146" t="str">
        <x:v>decision</x:v>
      </x:c>
      <x:c r="U45" s="146" t="str">
        <x:v>neutral</x:v>
      </x:c>
      <x:c r="V45" s="146" t="str">
        <x:v>neutral</x:v>
      </x:c>
      <x:c r="W45" s="146" t="str">
        <x:v>not_applicable</x:v>
      </x:c>
      <x:c r="X45" s="146" t="str">
        <x:v>not_applicable</x:v>
      </x:c>
      <x:c r="Y45" s="146" t="n">
        <x:v>2</x:v>
      </x:c>
      <x:c r="Z45" s="146" t="n">
        <x:v>3</x:v>
      </x:c>
      <x:c r="AA45" s="146" t="str">
        <x:v>high</x:v>
      </x:c>
      <x:c r="AB45" s="146" t="str">
        <x:v>high</x:v>
      </x:c>
      <x:c r="AC45" s="146"/>
      <x:c r="AD45" s="146"/>
      <x:c r="AE45" s="151" t="str">
        <x:v>ADOPT.experience</x:v>
      </x:c>
      <x:c r="AF45" s="151" t="str">
        <x:v>KYC.TIER</x:v>
      </x:c>
      <x:c r="AG45" s="151" t="str">
        <x:v>proposal</x:v>
      </x:c>
      <x:c r="AH45" s="151" t="str">
        <x:v>decision</x:v>
      </x:c>
      <x:c r="AI45" s="154" t="n">
        <x:f>IF(K45,0,1)</x:f>
        <x:v>1</x:v>
      </x:c>
      <x:c r="AJ45" s="154" t="n">
        <x:f>IF(L45="keep",1,0)</x:f>
        <x:v>1</x:v>
      </x:c>
      <x:c r="AK45" s="154" t="n">
        <x:f>IF(M45="keep",1,0)</x:f>
        <x:v>1</x:v>
      </x:c>
      <x:c r="AL45" s="154" t="n">
        <x:f>(AJ45+AK45)/2</x:f>
        <x:v>1</x:v>
      </x:c>
      <x:c r="AM45" s="154" t="n">
        <x:f>MIN(AJ45,AK45)</x:f>
        <x:v>1</x:v>
      </x:c>
      <x:c r="AN45" s="154" t="n">
        <x:f>MAX(AJ45,AK45)</x:f>
        <x:v>1</x:v>
      </x:c>
      <x:c r="AO45" s="154" t="n">
        <x:f>IF(L45=M45,1,0)</x:f>
        <x:v>1</x:v>
      </x:c>
    </x:row>
    <x:row r="46">
      <x:c r="A46" s="38" t="str">
        <x:v>SV-0045</x:v>
      </x:c>
      <x:c r="B46" s="38" t="str">
        <x:v>PC-01204</x:v>
      </x:c>
      <x:c r="C46" s="38" t="str">
        <x:v>en|both</x:v>
      </x:c>
      <x:c r="D46" s="87" t="n">
        <x:v>19.069444444444443</x:v>
      </x:c>
      <x:c r="E46" s="38" t="str">
        <x:v>both</x:v>
      </x:c>
      <x:c r="F46" s="38" t="str">
        <x:v>CN_China_2021</x:v>
      </x:c>
      <x:c r="G46" s="38" t="n">
        <x:v>6</x:v>
      </x:c>
      <x:c r="H46" s="38" t="str">
        <x:v>en</x:v>
      </x:c>
      <x:c r="I46" s="38" t="str">
        <x:v>People's Bank of China (e-CNY)</x:v>
      </x:c>
      <x:c r="J46" s="38" t="str">
        <x:v>a
s
e
-
C
N
Y
i
s
s
e
t
t
l
e
d
upon
pa
y
m
e
nt
,
bus
i
ne
s
s
e
s
a
nd
r
e
l
a
t
e
d
pa
r
t
i
e
s
c
a
n
i
m
pr
ove
c
a
s
h
f
l
ow
w
hi
l
e
e
nj
oy
i
ng
m
or
e
c
onve
ni
e
nt
pa
y
m
e
nt
s
e
r
vi
c
e
s
.</x:v>
      </x:c>
      <x:c r="K46" s="142" t="b">
        <x:v>0</x:v>
      </x:c>
      <x:c r="L46" s="146" t="str">
        <x:v>keep</x:v>
      </x:c>
      <x:c r="M46" s="146" t="str">
        <x:v>keep</x:v>
      </x:c>
      <x:c r="N46" s="147" t="b">
        <x:v>1</x:v>
      </x:c>
      <x:c r="O46" s="146" t="str">
        <x:v>LEGAL.basis</x:v>
      </x:c>
      <x:c r="P46" s="146" t="str">
        <x:v>ADOPT.experience</x:v>
      </x:c>
      <x:c r="Q46" s="146" t="str">
        <x:v>LEGAL</x:v>
      </x:c>
      <x:c r="R46" s="146" t="str">
        <x:v>ADOPT</x:v>
      </x:c>
      <x:c r="S46" s="146" t="str">
        <x:v>decision</x:v>
      </x:c>
      <x:c r="T46" s="146" t="str">
        <x:v>decision</x:v>
      </x:c>
      <x:c r="U46" s="146" t="str">
        <x:v>neutral</x:v>
      </x:c>
      <x:c r="V46" s="146" t="str">
        <x:v>neutral</x:v>
      </x:c>
      <x:c r="W46" s="146" t="str">
        <x:v>not_applicable</x:v>
      </x:c>
      <x:c r="X46" s="146" t="str">
        <x:v>not_applicable</x:v>
      </x:c>
      <x:c r="Y46" s="146" t="n">
        <x:v>3</x:v>
      </x:c>
      <x:c r="Z46" s="146" t="n">
        <x:v>2</x:v>
      </x:c>
      <x:c r="AA46" s="146" t="str">
        <x:v>high</x:v>
      </x:c>
      <x:c r="AB46" s="146" t="str">
        <x:v>high</x:v>
      </x:c>
      <x:c r="AC46" s="146"/>
      <x:c r="AD46" s="146"/>
      <x:c r="AE46" s="151" t="str">
        <x:v>LEGAL.basis</x:v>
      </x:c>
      <x:c r="AF46" s="151" t="str">
        <x:v>ADOPT.experience</x:v>
      </x:c>
      <x:c r="AG46" s="151" t="str">
        <x:v>decision</x:v>
      </x:c>
      <x:c r="AH46" s="151" t="str">
        <x:v>decision</x:v>
      </x:c>
      <x:c r="AI46" s="154" t="n">
        <x:f>IF(K46,0,1)</x:f>
        <x:v>1</x:v>
      </x:c>
      <x:c r="AJ46" s="154" t="n">
        <x:f>IF(L46="keep",1,0)</x:f>
        <x:v>1</x:v>
      </x:c>
      <x:c r="AK46" s="154" t="n">
        <x:f>IF(M46="keep",1,0)</x:f>
        <x:v>1</x:v>
      </x:c>
      <x:c r="AL46" s="154" t="n">
        <x:f>(AJ46+AK46)/2</x:f>
        <x:v>1</x:v>
      </x:c>
      <x:c r="AM46" s="154" t="n">
        <x:f>MIN(AJ46,AK46)</x:f>
        <x:v>1</x:v>
      </x:c>
      <x:c r="AN46" s="154" t="n">
        <x:f>MAX(AJ46,AK46)</x:f>
        <x:v>1</x:v>
      </x:c>
      <x:c r="AO46" s="154" t="n">
        <x:f>IF(L46=M46,1,0)</x:f>
        <x:v>1</x:v>
      </x:c>
    </x:row>
    <x:row r="47">
      <x:c r="A47" s="38" t="str">
        <x:v>SV-0046</x:v>
      </x:c>
      <x:c r="B47" s="38" t="str">
        <x:v>PC-02886</x:v>
      </x:c>
      <x:c r="C47" s="38" t="str">
        <x:v>en|both</x:v>
      </x:c>
      <x:c r="D47" s="87" t="n">
        <x:v>19.069444444444443</x:v>
      </x:c>
      <x:c r="E47" s="38" t="str">
        <x:v>both</x:v>
      </x:c>
      <x:c r="F47" s="38" t="str">
        <x:v>IL_BoI_2024</x:v>
      </x:c>
      <x:c r="G47" s="38" t="n">
        <x:v>66</x:v>
      </x:c>
      <x:c r="H47" s="38" t="str">
        <x:v>en</x:v>
      </x:c>
      <x:c r="I47" s="38" t="str">
        <x:v>Bank of Israel (digital shekel)</x:v>
      </x:c>
      <x:c r="J47" s="38" t="str">
        <x:v>In the described mechanism, the Bank of Israel acts as an intermediary between the end user 
and the FI operating the ATM.</x:v>
      </x:c>
      <x:c r="K47" s="142" t="b">
        <x:v>0</x:v>
      </x:c>
      <x:c r="L47" s="146" t="str">
        <x:v>keep</x:v>
      </x:c>
      <x:c r="M47" s="146" t="str">
        <x:v>keep</x:v>
      </x:c>
      <x:c r="N47" s="147" t="b">
        <x:v>1</x:v>
      </x:c>
      <x:c r="O47" s="146" t="str">
        <x:v>SYS.design</x:v>
      </x:c>
      <x:c r="P47" s="146" t="str">
        <x:v>SYS.design</x:v>
      </x:c>
      <x:c r="Q47" s="146" t="str">
        <x:v>SYS</x:v>
      </x:c>
      <x:c r="R47" s="146" t="str">
        <x:v>SYS</x:v>
      </x:c>
      <x:c r="S47" s="146" t="str">
        <x:v>proposal</x:v>
      </x:c>
      <x:c r="T47" s="146" t="str">
        <x:v>decision</x:v>
      </x:c>
      <x:c r="U47" s="146" t="str">
        <x:v>neutral</x:v>
      </x:c>
      <x:c r="V47" s="146" t="str">
        <x:v>neutral</x:v>
      </x:c>
      <x:c r="W47" s="146" t="str">
        <x:v>not_applicable</x:v>
      </x:c>
      <x:c r="X47" s="146" t="str">
        <x:v>not_applicable</x:v>
      </x:c>
      <x:c r="Y47" s="146" t="n">
        <x:v>3</x:v>
      </x:c>
      <x:c r="Z47" s="146" t="n">
        <x:v>2</x:v>
      </x:c>
      <x:c r="AA47" s="146" t="str">
        <x:v>high</x:v>
      </x:c>
      <x:c r="AB47" s="146" t="str">
        <x:v>high</x:v>
      </x:c>
      <x:c r="AC47" s="146"/>
      <x:c r="AD47" s="146"/>
      <x:c r="AE47" s="151" t="str">
        <x:v>SYS.design</x:v>
      </x:c>
      <x:c r="AF47" s="151" t="str">
        <x:v>SYS.design</x:v>
      </x:c>
      <x:c r="AG47" s="151" t="str">
        <x:v>proposal</x:v>
      </x:c>
      <x:c r="AH47" s="151" t="str">
        <x:v>decision</x:v>
      </x:c>
      <x:c r="AI47" s="154" t="n">
        <x:f>IF(K47,0,1)</x:f>
        <x:v>1</x:v>
      </x:c>
      <x:c r="AJ47" s="154" t="n">
        <x:f>IF(L47="keep",1,0)</x:f>
        <x:v>1</x:v>
      </x:c>
      <x:c r="AK47" s="154" t="n">
        <x:f>IF(M47="keep",1,0)</x:f>
        <x:v>1</x:v>
      </x:c>
      <x:c r="AL47" s="154" t="n">
        <x:f>(AJ47+AK47)/2</x:f>
        <x:v>1</x:v>
      </x:c>
      <x:c r="AM47" s="154" t="n">
        <x:f>MIN(AJ47,AK47)</x:f>
        <x:v>1</x:v>
      </x:c>
      <x:c r="AN47" s="154" t="n">
        <x:f>MAX(AJ47,AK47)</x:f>
        <x:v>1</x:v>
      </x:c>
      <x:c r="AO47" s="154" t="n">
        <x:f>IF(L47=M47,1,0)</x:f>
        <x:v>1</x:v>
      </x:c>
    </x:row>
    <x:row r="48">
      <x:c r="A48" s="38" t="str">
        <x:v>SV-0047</x:v>
      </x:c>
      <x:c r="B48" s="38" t="str">
        <x:v>PC-01596</x:v>
      </x:c>
      <x:c r="C48" s="38" t="str">
        <x:v>en|both</x:v>
      </x:c>
      <x:c r="D48" s="87" t="n">
        <x:v>19.069444444444443</x:v>
      </x:c>
      <x:c r="E48" s="38" t="str">
        <x:v>both</x:v>
      </x:c>
      <x:c r="F48" s="38" t="str">
        <x:v>GH_Ghana_2021</x:v>
      </x:c>
      <x:c r="G48" s="38" t="n">
        <x:v>14</x:v>
      </x:c>
      <x:c r="H48" s="38" t="str">
        <x:v>en</x:v>
      </x:c>
      <x:c r="I48" s="38" t="str">
        <x:v>Bank of Ghana (eCedi)</x:v>
      </x:c>
      <x:c r="J48" s="38" t="str">
        <x:v>increase the speed and convenience 
of cashless payments</x:v>
      </x:c>
      <x:c r="K48" s="142" t="b">
        <x:v>0</x:v>
      </x:c>
      <x:c r="L48" s="146" t="str">
        <x:v>keep</x:v>
      </x:c>
      <x:c r="M48" s="146" t="str">
        <x:v>keep</x:v>
      </x:c>
      <x:c r="N48" s="147" t="b">
        <x:v>1</x:v>
      </x:c>
      <x:c r="O48" s="146" t="str">
        <x:v>ADOPT.experience</x:v>
      </x:c>
      <x:c r="P48" s="146" t="str">
        <x:v>ADOPT.experience</x:v>
      </x:c>
      <x:c r="Q48" s="146" t="str">
        <x:v>ADOPT</x:v>
      </x:c>
      <x:c r="R48" s="146" t="str">
        <x:v>ADOPT</x:v>
      </x:c>
      <x:c r="S48" s="146" t="str">
        <x:v>proposal</x:v>
      </x:c>
      <x:c r="T48" s="146" t="str">
        <x:v>proposal</x:v>
      </x:c>
      <x:c r="U48" s="146" t="str">
        <x:v>neutral</x:v>
      </x:c>
      <x:c r="V48" s="146" t="str">
        <x:v>neutral</x:v>
      </x:c>
      <x:c r="W48" s="146" t="str">
        <x:v>not_applicable</x:v>
      </x:c>
      <x:c r="X48" s="146" t="str">
        <x:v>not_applicable</x:v>
      </x:c>
      <x:c r="Y48" s="146" t="n">
        <x:v>2</x:v>
      </x:c>
      <x:c r="Z48" s="146" t="n">
        <x:v>1</x:v>
      </x:c>
      <x:c r="AA48" s="146" t="str">
        <x:v>high</x:v>
      </x:c>
      <x:c r="AB48" s="146" t="str">
        <x:v>high</x:v>
      </x:c>
      <x:c r="AC48" s="146"/>
      <x:c r="AD48" s="146"/>
      <x:c r="AE48" s="151" t="str">
        <x:v>ADOPT.experience</x:v>
      </x:c>
      <x:c r="AF48" s="151" t="str">
        <x:v>ADOPT.experience</x:v>
      </x:c>
      <x:c r="AG48" s="151" t="str">
        <x:v>proposal</x:v>
      </x:c>
      <x:c r="AH48" s="151" t="str">
        <x:v>proposal</x:v>
      </x:c>
      <x:c r="AI48" s="154" t="n">
        <x:f>IF(K48,0,1)</x:f>
        <x:v>1</x:v>
      </x:c>
      <x:c r="AJ48" s="154" t="n">
        <x:f>IF(L48="keep",1,0)</x:f>
        <x:v>1</x:v>
      </x:c>
      <x:c r="AK48" s="154" t="n">
        <x:f>IF(M48="keep",1,0)</x:f>
        <x:v>1</x:v>
      </x:c>
      <x:c r="AL48" s="154" t="n">
        <x:f>(AJ48+AK48)/2</x:f>
        <x:v>1</x:v>
      </x:c>
      <x:c r="AM48" s="154" t="n">
        <x:f>MIN(AJ48,AK48)</x:f>
        <x:v>1</x:v>
      </x:c>
      <x:c r="AN48" s="154" t="n">
        <x:f>MAX(AJ48,AK48)</x:f>
        <x:v>1</x:v>
      </x:c>
      <x:c r="AO48" s="154" t="n">
        <x:f>IF(L48=M48,1,0)</x:f>
        <x:v>1</x:v>
      </x:c>
    </x:row>
    <x:row r="49">
      <x:c r="A49" s="38" t="str">
        <x:v>SV-0048</x:v>
      </x:c>
      <x:c r="B49" s="38" t="str">
        <x:v>PC-01217</x:v>
      </x:c>
      <x:c r="C49" s="38" t="str">
        <x:v>en|openai_only</x:v>
      </x:c>
      <x:c r="D49" s="87" t="n">
        <x:v>19.21875</x:v>
      </x:c>
      <x:c r="E49" s="38" t="str">
        <x:v>openai_only</x:v>
      </x:c>
      <x:c r="F49" s="38" t="str">
        <x:v>CN_China_2021</x:v>
      </x:c>
      <x:c r="G49" s="38" t="n">
        <x:v>8</x:v>
      </x:c>
      <x:c r="H49" s="38" t="str">
        <x:v>en</x:v>
      </x:c>
      <x:c r="I49" s="38" t="str">
        <x:v>People's Bank of China (e-CNY)</x:v>
      </x:c>
      <x:c r="J49" s="38" t="str">
        <x:v>C
ons
i
s
t
e
nt
w
i
t
h
t
he
m
a
na
ge
m
e
nt
of
phy
s
i
c
a
l
R
M
B
,
t
he
P
B
O
C
doe
s
not
c
ha
r
g
e
a
ut
hor
i
z
e
d
ope
r
a
t
or
s
f
or
e
x
c
ha
nge
a
nd
c
i
r
c
ul
a
t
i
on
s
e
r
vi
c
e
s
,
a
nd
t
he
ope
r
a
t
or
s
do
not
c
ha
r
g
e
i
ndi
vi
dua
l
c
l
i
e
nt
s
f
or
t
he
e
xc
ha
nge
of
e
-
C
N
Y
e
i
t
he
r
.</x:v>
      </x:c>
      <x:c r="K49" s="142" t="b">
        <x:v>0</x:v>
      </x:c>
      <x:c r="L49" s="146" t="str">
        <x:v>keep</x:v>
      </x:c>
      <x:c r="M49" s="146" t="str">
        <x:v>exclude</x:v>
      </x:c>
      <x:c r="N49" s="147" t="b">
        <x:v>0</x:v>
      </x:c>
      <x:c r="O49" s="146" t="str">
        <x:v>ADOPT.experience</x:v>
      </x:c>
      <x:c r="P49" s="146"/>
      <x:c r="Q49" s="146" t="str">
        <x:v>ADOPT</x:v>
      </x:c>
      <x:c r="R49" s="146" t="str"/>
      <x:c r="S49" s="146" t="str">
        <x:v>decision</x:v>
      </x:c>
      <x:c r="T49" s="146"/>
      <x:c r="U49" s="146" t="str">
        <x:v>neutral</x:v>
      </x:c>
      <x:c r="V49" s="146"/>
      <x:c r="W49" s="146" t="str">
        <x:v>not_applicable</x:v>
      </x:c>
      <x:c r="X49" s="146"/>
      <x:c r="Y49" s="146" t="n">
        <x:v>2</x:v>
      </x:c>
      <x:c r="Z49" s="146"/>
      <x:c r="AA49" s="146" t="str">
        <x:v>high</x:v>
      </x:c>
      <x:c r="AB49" s="146" t="str">
        <x:v>high</x:v>
      </x:c>
      <x:c r="AC49" s="146"/>
      <x:c r="AD49" s="146"/>
      <x:c r="AE49" s="151" t="str">
        <x:v>ADOPT.experience</x:v>
      </x:c>
      <x:c r="AF49" s="151"/>
      <x:c r="AG49" s="151" t="str">
        <x:v>decision</x:v>
      </x:c>
      <x:c r="AH49" s="151"/>
      <x:c r="AI49" s="154" t="n">
        <x:f>IF(K49,0,1)</x:f>
        <x:v>1</x:v>
      </x:c>
      <x:c r="AJ49" s="154" t="n">
        <x:f>IF(L49="keep",1,0)</x:f>
        <x:v>1</x:v>
      </x:c>
      <x:c r="AK49" s="154" t="n">
        <x:f>IF(M49="keep",1,0)</x:f>
        <x:v>0</x:v>
      </x:c>
      <x:c r="AL49" s="154" t="n">
        <x:f>(AJ49+AK49)/2</x:f>
        <x:v>0.5</x:v>
      </x:c>
      <x:c r="AM49" s="154" t="n">
        <x:f>MIN(AJ49,AK49)</x:f>
        <x:v>0</x:v>
      </x:c>
      <x:c r="AN49" s="154" t="n">
        <x:f>MAX(AJ49,AK49)</x:f>
        <x:v>1</x:v>
      </x:c>
      <x:c r="AO49" s="154" t="n">
        <x:f>IF(L49=M49,1,0)</x:f>
        <x:v>0</x:v>
      </x:c>
    </x:row>
    <x:row r="50">
      <x:c r="A50" s="38" t="str">
        <x:v>SV-0049</x:v>
      </x:c>
      <x:c r="B50" s="38" t="str">
        <x:v>PC-05304</x:v>
      </x:c>
      <x:c r="C50" s="38" t="str">
        <x:v>en|both</x:v>
      </x:c>
      <x:c r="D50" s="87" t="n">
        <x:v>19.069444444444443</x:v>
      </x:c>
      <x:c r="E50" s="38" t="str">
        <x:v>both</x:v>
      </x:c>
      <x:c r="F50" s="38" t="str">
        <x:v>SG_MAS_mas-project-orchid-report</x:v>
      </x:c>
      <x:c r="G50" s="38" t="n">
        <x:v>25</x:v>
      </x:c>
      <x:c r="H50" s="38" t="str">
        <x:v>en</x:v>
      </x:c>
      <x:c r="I50" s="38" t="str">
        <x:v>Monetary Authority of Singapore (Project Orchid / purpose-bound money)</x:v>
      </x:c>
      <x:c r="J50" s="38" t="str">
        <x:v>PBM for donations are traceable and programmable 
donations such that beneficiaries could only receive 
the underlying digital currency when conditions  
are met.</x:v>
      </x:c>
      <x:c r="K50" s="142" t="b">
        <x:v>0</x:v>
      </x:c>
      <x:c r="L50" s="146" t="str">
        <x:v>keep</x:v>
      </x:c>
      <x:c r="M50" s="146" t="str">
        <x:v>keep</x:v>
      </x:c>
      <x:c r="N50" s="147" t="b">
        <x:v>1</x:v>
      </x:c>
      <x:c r="O50" s="146" t="str">
        <x:v>PROG.generic</x:v>
      </x:c>
      <x:c r="P50" s="146" t="str">
        <x:v>PROG.generic</x:v>
      </x:c>
      <x:c r="Q50" s="146" t="str">
        <x:v>PROG</x:v>
      </x:c>
      <x:c r="R50" s="146" t="str">
        <x:v>PROG</x:v>
      </x:c>
      <x:c r="S50" s="146" t="str">
        <x:v>proposal</x:v>
      </x:c>
      <x:c r="T50" s="146" t="str">
        <x:v>proposal</x:v>
      </x:c>
      <x:c r="U50" s="146" t="str">
        <x:v>neutral</x:v>
      </x:c>
      <x:c r="V50" s="146" t="str">
        <x:v>neutral</x:v>
      </x:c>
      <x:c r="W50" s="146" t="str">
        <x:v>not_applicable</x:v>
      </x:c>
      <x:c r="X50" s="146" t="str">
        <x:v>not_applicable</x:v>
      </x:c>
      <x:c r="Y50" s="146" t="n">
        <x:v>2</x:v>
      </x:c>
      <x:c r="Z50" s="146" t="n">
        <x:v>2</x:v>
      </x:c>
      <x:c r="AA50" s="146" t="str">
        <x:v>high</x:v>
      </x:c>
      <x:c r="AB50" s="146" t="str">
        <x:v>high</x:v>
      </x:c>
      <x:c r="AC50" s="146"/>
      <x:c r="AD50" s="146" t="str">
        <x:v>x</x:v>
      </x:c>
      <x:c r="AE50" s="151" t="str">
        <x:v>PROG.generic</x:v>
      </x:c>
      <x:c r="AF50" s="151" t="str">
        <x:v>PROG.restriction</x:v>
      </x:c>
      <x:c r="AG50" s="151" t="str">
        <x:v>proposal</x:v>
      </x:c>
      <x:c r="AH50" s="151" t="str">
        <x:v>proposal</x:v>
      </x:c>
      <x:c r="AI50" s="154" t="n">
        <x:f>IF(K50,0,1)</x:f>
        <x:v>1</x:v>
      </x:c>
      <x:c r="AJ50" s="154" t="n">
        <x:f>IF(L50="keep",1,0)</x:f>
        <x:v>1</x:v>
      </x:c>
      <x:c r="AK50" s="154" t="n">
        <x:f>IF(M50="keep",1,0)</x:f>
        <x:v>1</x:v>
      </x:c>
      <x:c r="AL50" s="154" t="n">
        <x:f>(AJ50+AK50)/2</x:f>
        <x:v>1</x:v>
      </x:c>
      <x:c r="AM50" s="154" t="n">
        <x:f>MIN(AJ50,AK50)</x:f>
        <x:v>1</x:v>
      </x:c>
      <x:c r="AN50" s="154" t="n">
        <x:f>MAX(AJ50,AK50)</x:f>
        <x:v>1</x:v>
      </x:c>
      <x:c r="AO50" s="154" t="n">
        <x:f>IF(L50=M50,1,0)</x:f>
        <x:v>1</x:v>
      </x:c>
    </x:row>
    <x:row r="51">
      <x:c r="A51" s="38" t="str">
        <x:v>SV-0050</x:v>
      </x:c>
      <x:c r="B51" s="38" t="str">
        <x:v>PC-03820</x:v>
      </x:c>
      <x:c r="C51" s="38" t="str">
        <x:v>en|both</x:v>
      </x:c>
      <x:c r="D51" s="87" t="n">
        <x:v>19.069444444444443</x:v>
      </x:c>
      <x:c r="E51" s="38" t="str">
        <x:v>both</x:v>
      </x:c>
      <x:c r="F51" s="38" t="str">
        <x:v>JP_BoJ_PoC2</x:v>
      </x:c>
      <x:c r="G51" s="38" t="n">
        <x:v>17</x:v>
      </x:c>
      <x:c r="H51" s="38" t="str">
        <x:v>en</x:v>
      </x:c>
      <x:c r="I51" s="38" t="str">
        <x:v>Bank of Japan</x:v>
      </x:c>
      <x:c r="J51" s="38" t="str">
        <x:v>To prevent a situation where only one transfer succeeds 
and the other fails, the following is implemented:
(1) Only the amount of A’s CBDC and B’s other asset to be 
transferred should be set aside to avoid transfer failures 
due to insufficient balances, etc.
(2)
・ Transfer the reserved portion only if the process in (1) is 
successful for both CBDC and the other asset.
・ If either CBDC or the other asset fails to process in (1), return 
to the original state (release reserved amount).</x:v>
      </x:c>
      <x:c r="K51" s="142" t="b">
        <x:v>0</x:v>
      </x:c>
      <x:c r="L51" s="146" t="str">
        <x:v>keep</x:v>
      </x:c>
      <x:c r="M51" s="146" t="str">
        <x:v>keep</x:v>
      </x:c>
      <x:c r="N51" s="147" t="b">
        <x:v>1</x:v>
      </x:c>
      <x:c r="O51" s="146" t="str">
        <x:v>INTEROP.domestic</x:v>
      </x:c>
      <x:c r="P51" s="146" t="str">
        <x:v>SYS.design</x:v>
      </x:c>
      <x:c r="Q51" s="146" t="str">
        <x:v>INTEROP</x:v>
      </x:c>
      <x:c r="R51" s="146" t="str">
        <x:v>SYS</x:v>
      </x:c>
      <x:c r="S51" s="146" t="str">
        <x:v>decision</x:v>
      </x:c>
      <x:c r="T51" s="146" t="str">
        <x:v>finding</x:v>
      </x:c>
      <x:c r="U51" s="146" t="str">
        <x:v>neutral</x:v>
      </x:c>
      <x:c r="V51" s="146" t="str">
        <x:v>neutral</x:v>
      </x:c>
      <x:c r="W51" s="146" t="str">
        <x:v>not_applicable</x:v>
      </x:c>
      <x:c r="X51" s="146" t="str">
        <x:v>not_applicable</x:v>
      </x:c>
      <x:c r="Y51" s="146" t="n">
        <x:v>2</x:v>
      </x:c>
      <x:c r="Z51" s="146" t="n">
        <x:v>2</x:v>
      </x:c>
      <x:c r="AA51" s="146" t="str">
        <x:v>high</x:v>
      </x:c>
      <x:c r="AB51" s="146" t="str">
        <x:v>high</x:v>
      </x:c>
      <x:c r="AC51" s="146"/>
      <x:c r="AD51" s="146"/>
      <x:c r="AE51" s="151" t="str">
        <x:v>INTEROP.domestic</x:v>
      </x:c>
      <x:c r="AF51" s="151" t="str">
        <x:v>SYS.design</x:v>
      </x:c>
      <x:c r="AG51" s="151" t="str">
        <x:v>decision</x:v>
      </x:c>
      <x:c r="AH51" s="151" t="str">
        <x:v>finding</x:v>
      </x:c>
      <x:c r="AI51" s="154" t="n">
        <x:f>IF(K51,0,1)</x:f>
        <x:v>1</x:v>
      </x:c>
      <x:c r="AJ51" s="154" t="n">
        <x:f>IF(L51="keep",1,0)</x:f>
        <x:v>1</x:v>
      </x:c>
      <x:c r="AK51" s="154" t="n">
        <x:f>IF(M51="keep",1,0)</x:f>
        <x:v>1</x:v>
      </x:c>
      <x:c r="AL51" s="154" t="n">
        <x:f>(AJ51+AK51)/2</x:f>
        <x:v>1</x:v>
      </x:c>
      <x:c r="AM51" s="154" t="n">
        <x:f>MIN(AJ51,AK51)</x:f>
        <x:v>1</x:v>
      </x:c>
      <x:c r="AN51" s="154" t="n">
        <x:f>MAX(AJ51,AK51)</x:f>
        <x:v>1</x:v>
      </x:c>
      <x:c r="AO51" s="154" t="n">
        <x:f>IF(L51=M51,1,0)</x:f>
        <x:v>1</x:v>
      </x:c>
    </x:row>
    <x:row r="52">
      <x:c r="A52" s="38" t="str">
        <x:v>SV-0051</x:v>
      </x:c>
      <x:c r="B52" s="38" t="str">
        <x:v>PC-06051</x:v>
      </x:c>
      <x:c r="C52" s="38" t="str">
        <x:v>en|both</x:v>
      </x:c>
      <x:c r="D52" s="87" t="n">
        <x:v>19.069444444444443</x:v>
      </x:c>
      <x:c r="E52" s="38" t="str">
        <x:v>both</x:v>
      </x:c>
      <x:c r="F52" s="38" t="str">
        <x:v>UK_BoE_2020_OpportChall</x:v>
      </x:c>
      <x:c r="G52" s="38" t="n">
        <x:v>27</x:v>
      </x:c>
      <x:c r="H52" s="38" t="str">
        <x:v>en</x:v>
      </x:c>
      <x:c r="I52" s="38" t="str">
        <x:v>Bank of England and HM Treasury (digital pound)</x:v>
      </x:c>
      <x:c r="J52" s="38" t="str">
        <x:v>The centre of the CBDC payment system would be a core ledger (database) that records CBDC value itself, and 
processes the payments (transactions) made using CBDC.</x:v>
      </x:c>
      <x:c r="K52" s="142" t="b">
        <x:v>0</x:v>
      </x:c>
      <x:c r="L52" s="146" t="str">
        <x:v>keep</x:v>
      </x:c>
      <x:c r="M52" s="146" t="str">
        <x:v>keep</x:v>
      </x:c>
      <x:c r="N52" s="147" t="b">
        <x:v>1</x:v>
      </x:c>
      <x:c r="O52" s="146" t="str">
        <x:v>SYS.design</x:v>
      </x:c>
      <x:c r="P52" s="146" t="str">
        <x:v>SYS.design</x:v>
      </x:c>
      <x:c r="Q52" s="146" t="str">
        <x:v>SYS</x:v>
      </x:c>
      <x:c r="R52" s="146" t="str">
        <x:v>SYS</x:v>
      </x:c>
      <x:c r="S52" s="146" t="str">
        <x:v>proposal</x:v>
      </x:c>
      <x:c r="T52" s="146" t="str">
        <x:v>proposal</x:v>
      </x:c>
      <x:c r="U52" s="146" t="str">
        <x:v>neutral</x:v>
      </x:c>
      <x:c r="V52" s="146" t="str">
        <x:v>neutral</x:v>
      </x:c>
      <x:c r="W52" s="146" t="str">
        <x:v>not_applicable</x:v>
      </x:c>
      <x:c r="X52" s="146" t="str">
        <x:v>not_applicable</x:v>
      </x:c>
      <x:c r="Y52" s="146" t="n">
        <x:v>3</x:v>
      </x:c>
      <x:c r="Z52" s="146" t="n">
        <x:v>3</x:v>
      </x:c>
      <x:c r="AA52" s="146" t="str">
        <x:v>high</x:v>
      </x:c>
      <x:c r="AB52" s="146" t="str">
        <x:v>high</x:v>
      </x:c>
      <x:c r="AC52" s="146"/>
      <x:c r="AD52" s="146"/>
      <x:c r="AE52" s="151" t="str">
        <x:v>SYS.design</x:v>
      </x:c>
      <x:c r="AF52" s="151" t="str">
        <x:v>SYS.design</x:v>
      </x:c>
      <x:c r="AG52" s="151" t="str">
        <x:v>proposal</x:v>
      </x:c>
      <x:c r="AH52" s="151" t="str">
        <x:v>proposal</x:v>
      </x:c>
      <x:c r="AI52" s="154" t="n">
        <x:f>IF(K52,0,1)</x:f>
        <x:v>1</x:v>
      </x:c>
      <x:c r="AJ52" s="154" t="n">
        <x:f>IF(L52="keep",1,0)</x:f>
        <x:v>1</x:v>
      </x:c>
      <x:c r="AK52" s="154" t="n">
        <x:f>IF(M52="keep",1,0)</x:f>
        <x:v>1</x:v>
      </x:c>
      <x:c r="AL52" s="154" t="n">
        <x:f>(AJ52+AK52)/2</x:f>
        <x:v>1</x:v>
      </x:c>
      <x:c r="AM52" s="154" t="n">
        <x:f>MIN(AJ52,AK52)</x:f>
        <x:v>1</x:v>
      </x:c>
      <x:c r="AN52" s="154" t="n">
        <x:f>MAX(AJ52,AK52)</x:f>
        <x:v>1</x:v>
      </x:c>
      <x:c r="AO52" s="154" t="n">
        <x:f>IF(L52=M52,1,0)</x:f>
        <x:v>1</x:v>
      </x:c>
    </x:row>
    <x:row r="53">
      <x:c r="A53" s="38" t="str">
        <x:v>SV-0052</x:v>
      </x:c>
      <x:c r="B53" s="38" t="str">
        <x:v>PC-05864</x:v>
      </x:c>
      <x:c r="C53" s="38" t="str">
        <x:v>en|both</x:v>
      </x:c>
      <x:c r="D53" s="87" t="n">
        <x:v>19.069444444444443</x:v>
      </x:c>
      <x:c r="E53" s="38" t="str">
        <x:v>both</x:v>
      </x:c>
      <x:c r="F53" s="38" t="str">
        <x:v>UA_NBU_E-hryvnia_2019</x:v>
      </x:c>
      <x:c r="G53" s="38" t="n">
        <x:v>5</x:v>
      </x:c>
      <x:c r="H53" s="38" t="str">
        <x:v>en</x:v>
      </x:c>
      <x:c r="I53" s="38" t="str">
        <x:v>National Bank of Ukraine (e-hryvnia pilot)</x:v>
      </x:c>
      <x:c r="J53" s="38" t="str">
        <x:v>the e-hryvnia is not a  yield bearing instrument, and 
therefore, it works as a medium of exchange, not as 
a store of value.</x:v>
      </x:c>
      <x:c r="K53" s="142" t="b">
        <x:v>0</x:v>
      </x:c>
      <x:c r="L53" s="146" t="str">
        <x:v>keep</x:v>
      </x:c>
      <x:c r="M53" s="146" t="str">
        <x:v>keep</x:v>
      </x:c>
      <x:c r="N53" s="147" t="b">
        <x:v>1</x:v>
      </x:c>
      <x:c r="O53" s="146" t="str">
        <x:v>PROG.remuneration_no</x:v>
      </x:c>
      <x:c r="P53" s="146" t="str">
        <x:v>PROG.remuneration_no</x:v>
      </x:c>
      <x:c r="Q53" s="146" t="str">
        <x:v>PROG</x:v>
      </x:c>
      <x:c r="R53" s="146" t="str">
        <x:v>PROG</x:v>
      </x:c>
      <x:c r="S53" s="146" t="str">
        <x:v>proposal</x:v>
      </x:c>
      <x:c r="T53" s="146" t="str">
        <x:v>decision</x:v>
      </x:c>
      <x:c r="U53" s="146" t="str">
        <x:v>neutral</x:v>
      </x:c>
      <x:c r="V53" s="146" t="str">
        <x:v>neutral</x:v>
      </x:c>
      <x:c r="W53" s="146" t="str">
        <x:v>not_applicable</x:v>
      </x:c>
      <x:c r="X53" s="146" t="str">
        <x:v>not_applicable</x:v>
      </x:c>
      <x:c r="Y53" s="146" t="n">
        <x:v>1</x:v>
      </x:c>
      <x:c r="Z53" s="146" t="n">
        <x:v>3</x:v>
      </x:c>
      <x:c r="AA53" s="146" t="str">
        <x:v>high</x:v>
      </x:c>
      <x:c r="AB53" s="146" t="str">
        <x:v>high</x:v>
      </x:c>
      <x:c r="AC53" s="146"/>
      <x:c r="AD53" s="146"/>
      <x:c r="AE53" s="151" t="str">
        <x:v>SYS.design</x:v>
      </x:c>
      <x:c r="AF53" s="151" t="str">
        <x:v>PROG.remuneration_no</x:v>
      </x:c>
      <x:c r="AG53" s="151" t="str">
        <x:v>proposal</x:v>
      </x:c>
      <x:c r="AH53" s="151" t="str">
        <x:v>decision</x:v>
      </x:c>
      <x:c r="AI53" s="154" t="n">
        <x:f>IF(K53,0,1)</x:f>
        <x:v>1</x:v>
      </x:c>
      <x:c r="AJ53" s="154" t="n">
        <x:f>IF(L53="keep",1,0)</x:f>
        <x:v>1</x:v>
      </x:c>
      <x:c r="AK53" s="154" t="n">
        <x:f>IF(M53="keep",1,0)</x:f>
        <x:v>1</x:v>
      </x:c>
      <x:c r="AL53" s="154" t="n">
        <x:f>(AJ53+AK53)/2</x:f>
        <x:v>1</x:v>
      </x:c>
      <x:c r="AM53" s="154" t="n">
        <x:f>MIN(AJ53,AK53)</x:f>
        <x:v>1</x:v>
      </x:c>
      <x:c r="AN53" s="154" t="n">
        <x:f>MAX(AJ53,AK53)</x:f>
        <x:v>1</x:v>
      </x:c>
      <x:c r="AO53" s="154" t="n">
        <x:f>IF(L53=M53,1,0)</x:f>
        <x:v>1</x:v>
      </x:c>
    </x:row>
    <x:row r="54">
      <x:c r="A54" s="38" t="str">
        <x:v>SV-0053</x:v>
      </x:c>
      <x:c r="B54" s="38" t="str">
        <x:v>PC-06178</x:v>
      </x:c>
      <x:c r="C54" s="38" t="str">
        <x:v>en|both</x:v>
      </x:c>
      <x:c r="D54" s="87" t="n">
        <x:v>19.069444444444443</x:v>
      </x:c>
      <x:c r="E54" s="38" t="str">
        <x:v>both</x:v>
      </x:c>
      <x:c r="F54" s="38" t="str">
        <x:v>UK_BoE_2023_TechWP</x:v>
      </x:c>
      <x:c r="G54" s="38" t="n">
        <x:v>7</x:v>
      </x:c>
      <x:c r="H54" s="38" t="str">
        <x:v>en</x:v>
      </x:c>
      <x:c r="I54" s="38" t="str">
        <x:v>Bank of England and HM Treasury (digital pound)</x:v>
      </x:c>
      <x:c r="J54" s="38" t="str">
        <x:v>The Bank will not pursue central bank-initiated programmable functions. 
This means that the Bank will not program CBDC to restrict its use.</x:v>
      </x:c>
      <x:c r="K54" s="142" t="b">
        <x:v>0</x:v>
      </x:c>
      <x:c r="L54" s="146" t="str">
        <x:v>keep</x:v>
      </x:c>
      <x:c r="M54" s="146" t="str">
        <x:v>exclude</x:v>
      </x:c>
      <x:c r="N54" s="147" t="b">
        <x:v>0</x:v>
      </x:c>
      <x:c r="O54" s="146" t="str">
        <x:v>PROG.generic</x:v>
      </x:c>
      <x:c r="P54" s="146" t="str">
        <x:v>PROG.restriction</x:v>
      </x:c>
      <x:c r="Q54" s="146" t="str">
        <x:v>PROG</x:v>
      </x:c>
      <x:c r="R54" s="146" t="str">
        <x:v>PROG</x:v>
      </x:c>
      <x:c r="S54" s="146" t="str">
        <x:v>proposal</x:v>
      </x:c>
      <x:c r="T54" s="146" t="str">
        <x:v>decision</x:v>
      </x:c>
      <x:c r="U54" s="146" t="str">
        <x:v>neutral</x:v>
      </x:c>
      <x:c r="V54" s="146" t="str">
        <x:v>neutral</x:v>
      </x:c>
      <x:c r="W54" s="146" t="str">
        <x:v>not_applicable</x:v>
      </x:c>
      <x:c r="X54" s="146" t="str">
        <x:v>not_applicable</x:v>
      </x:c>
      <x:c r="Y54" s="146" t="n">
        <x:v>2</x:v>
      </x:c>
      <x:c r="Z54" s="146" t="n">
        <x:v>3</x:v>
      </x:c>
      <x:c r="AA54" s="146" t="str">
        <x:v>high</x:v>
      </x:c>
      <x:c r="AB54" s="146" t="str">
        <x:v>high</x:v>
      </x:c>
      <x:c r="AC54" s="146"/>
      <x:c r="AD54" s="146" t="str">
        <x:v>x</x:v>
      </x:c>
      <x:c r="AE54" s="151" t="str">
        <x:v>SYS.design</x:v>
      </x:c>
      <x:c r="AF54" s="151" t="str">
        <x:v>PROG.restriction</x:v>
      </x:c>
      <x:c r="AG54" s="151" t="str">
        <x:v>proposal</x:v>
      </x:c>
      <x:c r="AH54" s="151" t="str">
        <x:v>decision</x:v>
      </x:c>
      <x:c r="AI54" s="154" t="n">
        <x:f>IF(K54,0,1)</x:f>
        <x:v>1</x:v>
      </x:c>
      <x:c r="AJ54" s="154" t="n">
        <x:f>IF(L54="keep",1,0)</x:f>
        <x:v>1</x:v>
      </x:c>
      <x:c r="AK54" s="154" t="n">
        <x:f>IF(M54="keep",1,0)</x:f>
        <x:v>0</x:v>
      </x:c>
      <x:c r="AL54" s="154" t="n">
        <x:f>(AJ54+AK54)/2</x:f>
        <x:v>0.5</x:v>
      </x:c>
      <x:c r="AM54" s="154" t="n">
        <x:f>MIN(AJ54,AK54)</x:f>
        <x:v>0</x:v>
      </x:c>
      <x:c r="AN54" s="154" t="n">
        <x:f>MAX(AJ54,AK54)</x:f>
        <x:v>1</x:v>
      </x:c>
      <x:c r="AO54" s="154" t="n">
        <x:f>IF(L54=M54,1,0)</x:f>
        <x:v>0</x:v>
      </x:c>
    </x:row>
    <x:row r="55">
      <x:c r="A55" s="38" t="str">
        <x:v>SV-0054</x:v>
      </x:c>
      <x:c r="B55" s="38" t="str">
        <x:v>PC-02424</x:v>
      </x:c>
      <x:c r="C55" s="38" t="str">
        <x:v>en|claude_only</x:v>
      </x:c>
      <x:c r="D55" s="87" t="n">
        <x:v>19.375</x:v>
      </x:c>
      <x:c r="E55" s="38" t="str">
        <x:v>claude_only</x:v>
      </x:c>
      <x:c r="F55" s="38" t="str">
        <x:v>ID_Indonesia_2023a</x:v>
      </x:c>
      <x:c r="G55" s="38" t="n">
        <x:v>4</x:v>
      </x:c>
      <x:c r="H55" s="38" t="str">
        <x:v>en</x:v>
      </x:c>
      <x:c r="I55" s="38" t="str">
        <x:v>Bank Indonesia (Digital Rupiah)</x:v>
      </x:c>
      <x:c r="J55" s="38" t="str">
        <x:v>This CP provides an overview of the Digital Rupiah design for the
first stage of its development (immediate stage), namely the wholesale
Digital Rupiah cash ledger which includes the introduction of the
technology and basic functionalities constituting the issuance, redemption,
and transference of funds.</x:v>
      </x:c>
      <x:c r="K55" s="142" t="b">
        <x:v>0</x:v>
      </x:c>
      <x:c r="L55" s="146" t="str">
        <x:v>exclude</x:v>
      </x:c>
      <x:c r="M55" s="146" t="str">
        <x:v>keep</x:v>
      </x:c>
      <x:c r="N55" s="147" t="b">
        <x:v>0</x:v>
      </x:c>
      <x:c r="O55" s="146"/>
      <x:c r="P55" s="146" t="str">
        <x:v>SYS.design</x:v>
      </x:c>
      <x:c r="Q55" s="146" t="str"/>
      <x:c r="R55" s="146" t="str">
        <x:v>SYS</x:v>
      </x:c>
      <x:c r="S55" s="146"/>
      <x:c r="T55" s="146" t="str">
        <x:v>decision</x:v>
      </x:c>
      <x:c r="U55" s="146"/>
      <x:c r="V55" s="146" t="str">
        <x:v>neutral</x:v>
      </x:c>
      <x:c r="W55" s="146"/>
      <x:c r="X55" s="146" t="str">
        <x:v>not_applicable</x:v>
      </x:c>
      <x:c r="Y55" s="146"/>
      <x:c r="Z55" s="146" t="n">
        <x:v>2</x:v>
      </x:c>
      <x:c r="AA55" s="146" t="str">
        <x:v>high</x:v>
      </x:c>
      <x:c r="AB55" s="146" t="str">
        <x:v>high</x:v>
      </x:c>
      <x:c r="AC55" s="146"/>
      <x:c r="AD55" s="146"/>
      <x:c r="AE55" s="151"/>
      <x:c r="AF55" s="151" t="str">
        <x:v>SYS.design</x:v>
      </x:c>
      <x:c r="AG55" s="151"/>
      <x:c r="AH55" s="151" t="str">
        <x:v>decision</x:v>
      </x:c>
      <x:c r="AI55" s="154" t="n">
        <x:f>IF(K55,0,1)</x:f>
        <x:v>1</x:v>
      </x:c>
      <x:c r="AJ55" s="154" t="n">
        <x:f>IF(L55="keep",1,0)</x:f>
        <x:v>0</x:v>
      </x:c>
      <x:c r="AK55" s="154" t="n">
        <x:f>IF(M55="keep",1,0)</x:f>
        <x:v>1</x:v>
      </x:c>
      <x:c r="AL55" s="154" t="n">
        <x:f>(AJ55+AK55)/2</x:f>
        <x:v>0.5</x:v>
      </x:c>
      <x:c r="AM55" s="154" t="n">
        <x:f>MIN(AJ55,AK55)</x:f>
        <x:v>0</x:v>
      </x:c>
      <x:c r="AN55" s="154" t="n">
        <x:f>MAX(AJ55,AK55)</x:f>
        <x:v>1</x:v>
      </x:c>
      <x:c r="AO55" s="154" t="n">
        <x:f>IF(L55=M55,1,0)</x:f>
        <x:v>0</x:v>
      </x:c>
    </x:row>
    <x:row r="56">
      <x:c r="A56" s="38" t="str">
        <x:v>SV-0055</x:v>
      </x:c>
      <x:c r="B56" s="38" t="str">
        <x:v>PC-02715</x:v>
      </x:c>
      <x:c r="C56" s="38" t="str">
        <x:v>en|claude_only</x:v>
      </x:c>
      <x:c r="D56" s="87" t="n">
        <x:v>19.375</x:v>
      </x:c>
      <x:c r="E56" s="38" t="str">
        <x:v>claude_only</x:v>
      </x:c>
      <x:c r="F56" s="38" t="str">
        <x:v>IL_BoI_2024</x:v>
      </x:c>
      <x:c r="G56" s="38" t="n">
        <x:v>26</x:v>
      </x:c>
      <x:c r="H56" s="38" t="str">
        <x:v>en</x:v>
      </x:c>
      <x:c r="I56" s="38" t="str">
        <x:v>Bank of Israel (digital shekel)</x:v>
      </x:c>
      <x:c r="J56" s="38" t="str">
        <x:v>The DS payment system is 
an innovative system built from scratch.</x:v>
      </x:c>
      <x:c r="K56" s="142" t="b">
        <x:v>0</x:v>
      </x:c>
      <x:c r="L56" s="146" t="str">
        <x:v>exclude</x:v>
      </x:c>
      <x:c r="M56" s="146" t="str">
        <x:v>exclude</x:v>
      </x:c>
      <x:c r="N56" s="147" t="b">
        <x:v>1</x:v>
      </x:c>
      <x:c r="O56" s="146"/>
      <x:c r="P56" s="146" t="str">
        <x:v>SYS.design</x:v>
      </x:c>
      <x:c r="Q56" s="146" t="str"/>
      <x:c r="R56" s="146" t="str">
        <x:v>SYS</x:v>
      </x:c>
      <x:c r="S56" s="146"/>
      <x:c r="T56" s="146" t="str">
        <x:v>decision</x:v>
      </x:c>
      <x:c r="U56" s="146"/>
      <x:c r="V56" s="146" t="str">
        <x:v>neutral</x:v>
      </x:c>
      <x:c r="W56" s="146"/>
      <x:c r="X56" s="146" t="str">
        <x:v>not_applicable</x:v>
      </x:c>
      <x:c r="Y56" s="146"/>
      <x:c r="Z56" s="146" t="n">
        <x:v>2</x:v>
      </x:c>
      <x:c r="AA56" s="146" t="str">
        <x:v>high</x:v>
      </x:c>
      <x:c r="AB56" s="146" t="str">
        <x:v>high</x:v>
      </x:c>
      <x:c r="AC56" s="146"/>
      <x:c r="AD56" s="146" t="str">
        <x:v>x</x:v>
      </x:c>
      <x:c r="AE56" s="151"/>
      <x:c r="AF56" s="151" t="str">
        <x:v>SYS.design</x:v>
      </x:c>
      <x:c r="AG56" s="151"/>
      <x:c r="AH56" s="151" t="str">
        <x:v>decision</x:v>
      </x:c>
      <x:c r="AI56" s="154" t="n">
        <x:f>IF(K56,0,1)</x:f>
        <x:v>1</x:v>
      </x:c>
      <x:c r="AJ56" s="154" t="n">
        <x:f>IF(L56="keep",1,0)</x:f>
        <x:v>0</x:v>
      </x:c>
      <x:c r="AK56" s="154" t="n">
        <x:f>IF(M56="keep",1,0)</x:f>
        <x:v>0</x:v>
      </x:c>
      <x:c r="AL56" s="154" t="n">
        <x:f>(AJ56+AK56)/2</x:f>
        <x:v>0</x:v>
      </x:c>
      <x:c r="AM56" s="154" t="n">
        <x:f>MIN(AJ56,AK56)</x:f>
        <x:v>0</x:v>
      </x:c>
      <x:c r="AN56" s="154" t="n">
        <x:f>MAX(AJ56,AK56)</x:f>
        <x:v>0</x:v>
      </x:c>
      <x:c r="AO56" s="154" t="n">
        <x:f>IF(L56=M56,1,0)</x:f>
        <x:v>1</x:v>
      </x:c>
    </x:row>
    <x:row r="57">
      <x:c r="A57" s="38" t="str">
        <x:v>SV-0056</x:v>
      </x:c>
      <x:c r="B57" s="38" t="str">
        <x:v>PC-04018</x:v>
      </x:c>
      <x:c r="C57" s="38" t="str">
        <x:v>en|both</x:v>
      </x:c>
      <x:c r="D57" s="87" t="n">
        <x:v>19.069444444444443</x:v>
      </x:c>
      <x:c r="E57" s="38" t="str">
        <x:v>both</x:v>
      </x:c>
      <x:c r="F57" s="38" t="str">
        <x:v>NA_BoN_2022</x:v>
      </x:c>
      <x:c r="G57" s="38" t="n">
        <x:v>3</x:v>
      </x:c>
      <x:c r="H57" s="38" t="str">
        <x:v>en</x:v>
      </x:c>
      <x:c r="I57" s="38" t="str">
        <x:v>Bank of Namibia (Namibian CBDC work)</x:v>
      </x:c>
      <x:c r="J57" s="38" t="str">
        <x:v>In the context of  Namibia, the motivation  for a possible CBDC lies in further extending 
financial inclusion.</x:v>
      </x:c>
      <x:c r="K57" s="142" t="b">
        <x:v>0</x:v>
      </x:c>
      <x:c r="L57" s="146" t="str">
        <x:v>keep</x:v>
      </x:c>
      <x:c r="M57" s="146" t="str">
        <x:v>keep</x:v>
      </x:c>
      <x:c r="N57" s="147" t="b">
        <x:v>1</x:v>
      </x:c>
      <x:c r="O57" s="146" t="str">
        <x:v>ACCESS.universal</x:v>
      </x:c>
      <x:c r="P57" s="146" t="str">
        <x:v>ACCESS.universal</x:v>
      </x:c>
      <x:c r="Q57" s="146" t="str">
        <x:v>ACCESS</x:v>
      </x:c>
      <x:c r="R57" s="146" t="str">
        <x:v>ACCESS</x:v>
      </x:c>
      <x:c r="S57" s="146" t="str">
        <x:v>proposal</x:v>
      </x:c>
      <x:c r="T57" s="146" t="str">
        <x:v>proposal</x:v>
      </x:c>
      <x:c r="U57" s="146" t="str">
        <x:v>neutral</x:v>
      </x:c>
      <x:c r="V57" s="146" t="str">
        <x:v>neutral</x:v>
      </x:c>
      <x:c r="W57" s="146" t="str">
        <x:v>not_applicable</x:v>
      </x:c>
      <x:c r="X57" s="146" t="str">
        <x:v>not_applicable</x:v>
      </x:c>
      <x:c r="Y57" s="146" t="n">
        <x:v>2</x:v>
      </x:c>
      <x:c r="Z57" s="146" t="n">
        <x:v>2</x:v>
      </x:c>
      <x:c r="AA57" s="146" t="str">
        <x:v>high</x:v>
      </x:c>
      <x:c r="AB57" s="146" t="str">
        <x:v>high</x:v>
      </x:c>
      <x:c r="AC57" s="146"/>
      <x:c r="AD57" s="146"/>
      <x:c r="AE57" s="151" t="str">
        <x:v>ACCESS.universal</x:v>
      </x:c>
      <x:c r="AF57" s="151" t="str">
        <x:v>ACCESS.universal</x:v>
      </x:c>
      <x:c r="AG57" s="151" t="str">
        <x:v>proposal</x:v>
      </x:c>
      <x:c r="AH57" s="151" t="str">
        <x:v>proposal</x:v>
      </x:c>
      <x:c r="AI57" s="154" t="n">
        <x:f>IF(K57,0,1)</x:f>
        <x:v>1</x:v>
      </x:c>
      <x:c r="AJ57" s="154" t="n">
        <x:f>IF(L57="keep",1,0)</x:f>
        <x:v>1</x:v>
      </x:c>
      <x:c r="AK57" s="154" t="n">
        <x:f>IF(M57="keep",1,0)</x:f>
        <x:v>1</x:v>
      </x:c>
      <x:c r="AL57" s="154" t="n">
        <x:f>(AJ57+AK57)/2</x:f>
        <x:v>1</x:v>
      </x:c>
      <x:c r="AM57" s="154" t="n">
        <x:f>MIN(AJ57,AK57)</x:f>
        <x:v>1</x:v>
      </x:c>
      <x:c r="AN57" s="154" t="n">
        <x:f>MAX(AJ57,AK57)</x:f>
        <x:v>1</x:v>
      </x:c>
      <x:c r="AO57" s="154" t="n">
        <x:f>IF(L57=M57,1,0)</x:f>
        <x:v>1</x:v>
      </x:c>
    </x:row>
    <x:row r="58">
      <x:c r="A58" s="38" t="str">
        <x:v>SV-0057</x:v>
      </x:c>
      <x:c r="B58" s="38" t="str">
        <x:v>PC-00637</x:v>
      </x:c>
      <x:c r="C58" s="38" t="str">
        <x:v>en|openai_only</x:v>
      </x:c>
      <x:c r="D58" s="87" t="n">
        <x:v>19.21875</x:v>
      </x:c>
      <x:c r="E58" s="38" t="str">
        <x:v>openai_only</x:v>
      </x:c>
      <x:c r="F58" s="38" t="str">
        <x:v>CA_BoC_2017</x:v>
      </x:c>
      <x:c r="G58" s="38" t="n">
        <x:v>26</x:v>
      </x:c>
      <x:c r="H58" s="38" t="str">
        <x:v>en</x:v>
      </x:c>
      <x:c r="I58" s="38" t="str">
        <x:v>Bank of Canada</x:v>
      </x:c>
      <x:c r="J58" s="38" t="str">
        <x:v>I-CBDC would not be anonymous (as noted above), which would impair its appeal for 
some retail transactions.</x:v>
      </x:c>
      <x:c r="K58" s="142" t="b">
        <x:v>0</x:v>
      </x:c>
      <x:c r="L58" s="146" t="str">
        <x:v>keep</x:v>
      </x:c>
      <x:c r="M58" s="146" t="str">
        <x:v>exclude</x:v>
      </x:c>
      <x:c r="N58" s="147" t="b">
        <x:v>0</x:v>
      </x:c>
      <x:c r="O58" s="146" t="str">
        <x:v>PRIV.ANON</x:v>
      </x:c>
      <x:c r="P58" s="146"/>
      <x:c r="Q58" s="146" t="str">
        <x:v>PRIV</x:v>
      </x:c>
      <x:c r="R58" s="146" t="str"/>
      <x:c r="S58" s="146" t="str">
        <x:v>finding</x:v>
      </x:c>
      <x:c r="T58" s="146"/>
      <x:c r="U58" s="146" t="str">
        <x:v>decreases</x:v>
      </x:c>
      <x:c r="V58" s="146"/>
      <x:c r="W58" s="146" t="str">
        <x:v>from_state</x:v>
      </x:c>
      <x:c r="X58" s="146"/>
      <x:c r="Y58" s="146" t="n">
        <x:v>2</x:v>
      </x:c>
      <x:c r="Z58" s="146"/>
      <x:c r="AA58" s="146" t="str">
        <x:v>high</x:v>
      </x:c>
      <x:c r="AB58" s="146" t="str">
        <x:v>high</x:v>
      </x:c>
      <x:c r="AC58" s="146"/>
      <x:c r="AD58" s="146"/>
      <x:c r="AE58" s="151" t="str">
        <x:v>PRIV.ANON</x:v>
      </x:c>
      <x:c r="AF58" s="151"/>
      <x:c r="AG58" s="151" t="str">
        <x:v>finding</x:v>
      </x:c>
      <x:c r="AH58" s="151"/>
      <x:c r="AI58" s="154" t="n">
        <x:f>IF(K58,0,1)</x:f>
        <x:v>1</x:v>
      </x:c>
      <x:c r="AJ58" s="154" t="n">
        <x:f>IF(L58="keep",1,0)</x:f>
        <x:v>1</x:v>
      </x:c>
      <x:c r="AK58" s="154" t="n">
        <x:f>IF(M58="keep",1,0)</x:f>
        <x:v>0</x:v>
      </x:c>
      <x:c r="AL58" s="154" t="n">
        <x:f>(AJ58+AK58)/2</x:f>
        <x:v>0.5</x:v>
      </x:c>
      <x:c r="AM58" s="154" t="n">
        <x:f>MIN(AJ58,AK58)</x:f>
        <x:v>0</x:v>
      </x:c>
      <x:c r="AN58" s="154" t="n">
        <x:f>MAX(AJ58,AK58)</x:f>
        <x:v>1</x:v>
      </x:c>
      <x:c r="AO58" s="154" t="n">
        <x:f>IF(L58=M58,1,0)</x:f>
        <x:v>0</x:v>
      </x:c>
    </x:row>
    <x:row r="59">
      <x:c r="A59" s="38" t="str">
        <x:v>SV-0058</x:v>
      </x:c>
      <x:c r="B59" s="38" t="str">
        <x:v>PC-04445</x:v>
      </x:c>
      <x:c r="C59" s="38" t="str">
        <x:v>en|claude_only</x:v>
      </x:c>
      <x:c r="D59" s="87" t="n">
        <x:v>19.375</x:v>
      </x:c>
      <x:c r="E59" s="38" t="str">
        <x:v>claude_only</x:v>
      </x:c>
      <x:c r="F59" s="38" t="str">
        <x:v>NO_Norway_norges-bank-memo-1-2021</x:v>
      </x:c>
      <x:c r="G59" s="38" t="n">
        <x:v>62</x:v>
      </x:c>
      <x:c r="H59" s="38" t="str">
        <x:v>en</x:v>
      </x:c>
      <x:c r="I59" s="38" t="str">
        <x:v>Norges Bank (Norwegian CBDC work)</x:v>
      </x:c>
      <x:c r="J59" s="38" t="str">
        <x:v>Da Norges Bank startet arbeidet med DSP, var hovedmotivasjonen 
sentralbankens formål med å legge til rette for et sikkert og effektivt 
betalingssystem, uten å virke negativt for de andre formålene i 
sentralbankloven.</x:v>
      </x:c>
      <x:c r="K59" s="142" t="b">
        <x:v>0</x:v>
      </x:c>
      <x:c r="L59" s="146" t="str">
        <x:v>exclude</x:v>
      </x:c>
      <x:c r="M59" s="146" t="str">
        <x:v>keep</x:v>
      </x:c>
      <x:c r="N59" s="147" t="b">
        <x:v>0</x:v>
      </x:c>
      <x:c r="O59" s="146"/>
      <x:c r="P59" s="146" t="str">
        <x:v>INST.mandate</x:v>
      </x:c>
      <x:c r="Q59" s="146" t="str"/>
      <x:c r="R59" s="146" t="str">
        <x:v>INST</x:v>
      </x:c>
      <x:c r="S59" s="146"/>
      <x:c r="T59" s="146" t="str">
        <x:v>finding</x:v>
      </x:c>
      <x:c r="U59" s="146"/>
      <x:c r="V59" s="146" t="str">
        <x:v>neutral</x:v>
      </x:c>
      <x:c r="W59" s="146"/>
      <x:c r="X59" s="146" t="str">
        <x:v>not_applicable</x:v>
      </x:c>
      <x:c r="Y59" s="146"/>
      <x:c r="Z59" s="146" t="n">
        <x:v>2</x:v>
      </x:c>
      <x:c r="AA59" s="146" t="str">
        <x:v>high</x:v>
      </x:c>
      <x:c r="AB59" s="146" t="str">
        <x:v>high</x:v>
      </x:c>
      <x:c r="AC59" s="146"/>
      <x:c r="AD59" s="146"/>
      <x:c r="AE59" s="151"/>
      <x:c r="AF59" s="151" t="str">
        <x:v>INST.mandate</x:v>
      </x:c>
      <x:c r="AG59" s="151"/>
      <x:c r="AH59" s="151" t="str">
        <x:v>finding</x:v>
      </x:c>
      <x:c r="AI59" s="154" t="n">
        <x:f>IF(K59,0,1)</x:f>
        <x:v>1</x:v>
      </x:c>
      <x:c r="AJ59" s="154" t="n">
        <x:f>IF(L59="keep",1,0)</x:f>
        <x:v>0</x:v>
      </x:c>
      <x:c r="AK59" s="154" t="n">
        <x:f>IF(M59="keep",1,0)</x:f>
        <x:v>1</x:v>
      </x:c>
      <x:c r="AL59" s="154" t="n">
        <x:f>(AJ59+AK59)/2</x:f>
        <x:v>0.5</x:v>
      </x:c>
      <x:c r="AM59" s="154" t="n">
        <x:f>MIN(AJ59,AK59)</x:f>
        <x:v>0</x:v>
      </x:c>
      <x:c r="AN59" s="154" t="n">
        <x:f>MAX(AJ59,AK59)</x:f>
        <x:v>1</x:v>
      </x:c>
      <x:c r="AO59" s="154" t="n">
        <x:f>IF(L59=M59,1,0)</x:f>
        <x:v>0</x:v>
      </x:c>
    </x:row>
    <x:row r="60">
      <x:c r="A60" s="38" t="str">
        <x:v>SV-0059</x:v>
      </x:c>
      <x:c r="B60" s="38" t="str">
        <x:v>PC-00792</x:v>
      </x:c>
      <x:c r="C60" s="38" t="str">
        <x:v>en|both</x:v>
      </x:c>
      <x:c r="D60" s="87" t="n">
        <x:v>19.069444444444443</x:v>
      </x:c>
      <x:c r="E60" s="38" t="str">
        <x:v>both</x:v>
      </x:c>
      <x:c r="F60" s="38" t="str">
        <x:v>CA_BoC_RetailFeasibility_SDP2025_9</x:v>
      </x:c>
      <x:c r="G60" s="38" t="n">
        <x:v>38</x:v>
      </x:c>
      <x:c r="H60" s="38" t="str">
        <x:v>en</x:v>
      </x:c>
      <x:c r="I60" s="38" t="str">
        <x:v>Bank of Canada research on retail CBDC feasibility</x:v>
      </x:c>
      <x:c r="J60" s="38" t="str">
        <x:v>Our assessment of two variants of OpenCBDC 2PC for auditability 
indicates that mechanisms similar to either of them would be feasible functionally to audit the 
supply and detect a discrepancy , i.e., furnish a binary yes/no answer to the question “ Did 
tampering occur?”</x:v>
      </x:c>
      <x:c r="K60" s="142" t="b">
        <x:v>0</x:v>
      </x:c>
      <x:c r="L60" s="146" t="str">
        <x:v>keep</x:v>
      </x:c>
      <x:c r="M60" s="146" t="str">
        <x:v>keep</x:v>
      </x:c>
      <x:c r="N60" s="147" t="b">
        <x:v>1</x:v>
      </x:c>
      <x:c r="O60" s="146" t="str">
        <x:v>PRIV.MIN</x:v>
      </x:c>
      <x:c r="P60" s="146" t="str">
        <x:v>SYS.design</x:v>
      </x:c>
      <x:c r="Q60" s="146" t="str">
        <x:v>PRIV</x:v>
      </x:c>
      <x:c r="R60" s="146" t="str">
        <x:v>SYS</x:v>
      </x:c>
      <x:c r="S60" s="146" t="str">
        <x:v>proposal</x:v>
      </x:c>
      <x:c r="T60" s="146" t="str">
        <x:v>finding</x:v>
      </x:c>
      <x:c r="U60" s="146" t="str">
        <x:v>increases</x:v>
      </x:c>
      <x:c r="V60" s="146" t="str">
        <x:v>neutral</x:v>
      </x:c>
      <x:c r="W60" s="146" t="str">
        <x:v>from_state</x:v>
      </x:c>
      <x:c r="X60" s="146" t="str">
        <x:v>not_applicable</x:v>
      </x:c>
      <x:c r="Y60" s="146" t="n">
        <x:v>2</x:v>
      </x:c>
      <x:c r="Z60" s="146" t="n">
        <x:v>2</x:v>
      </x:c>
      <x:c r="AA60" s="146" t="str">
        <x:v>high</x:v>
      </x:c>
      <x:c r="AB60" s="146" t="str">
        <x:v>high</x:v>
      </x:c>
      <x:c r="AC60" s="146"/>
      <x:c r="AD60" s="146"/>
      <x:c r="AE60" s="151" t="str">
        <x:v>PRIV.MIN</x:v>
      </x:c>
      <x:c r="AF60" s="151" t="str">
        <x:v>SYS.design</x:v>
      </x:c>
      <x:c r="AG60" s="151" t="str">
        <x:v>proposal</x:v>
      </x:c>
      <x:c r="AH60" s="151" t="str">
        <x:v>finding</x:v>
      </x:c>
      <x:c r="AI60" s="154" t="n">
        <x:f>IF(K60,0,1)</x:f>
        <x:v>1</x:v>
      </x:c>
      <x:c r="AJ60" s="154" t="n">
        <x:f>IF(L60="keep",1,0)</x:f>
        <x:v>1</x:v>
      </x:c>
      <x:c r="AK60" s="154" t="n">
        <x:f>IF(M60="keep",1,0)</x:f>
        <x:v>1</x:v>
      </x:c>
      <x:c r="AL60" s="154" t="n">
        <x:f>(AJ60+AK60)/2</x:f>
        <x:v>1</x:v>
      </x:c>
      <x:c r="AM60" s="154" t="n">
        <x:f>MIN(AJ60,AK60)</x:f>
        <x:v>1</x:v>
      </x:c>
      <x:c r="AN60" s="154" t="n">
        <x:f>MAX(AJ60,AK60)</x:f>
        <x:v>1</x:v>
      </x:c>
      <x:c r="AO60" s="154" t="n">
        <x:f>IF(L60=M60,1,0)</x:f>
        <x:v>1</x:v>
      </x:c>
    </x:row>
    <x:row r="61">
      <x:c r="A61" s="38" t="str">
        <x:v>SV-0060</x:v>
      </x:c>
      <x:c r="B61" s="38" t="str">
        <x:v>PC-05581</x:v>
      </x:c>
      <x:c r="C61" s="38" t="str">
        <x:v>en|both</x:v>
      </x:c>
      <x:c r="D61" s="87" t="n">
        <x:v>19.069444444444443</x:v>
      </x:c>
      <x:c r="E61" s="38" t="str">
        <x:v>both</x:v>
      </x:c>
      <x:c r="F61" s="38" t="str">
        <x:v>TH_Thailand_rCBDC_Conclusion_Report</x:v>
      </x:c>
      <x:c r="G61" s="38" t="n">
        <x:v>7</x:v>
      </x:c>
      <x:c r="H61" s="38" t="str">
        <x:v>en</x:v>
      </x:c>
      <x:c r="I61" s="38" t="str">
        <x:v>Bank of Thailand (retail CBDC pilot)</x:v>
      </x:c>
      <x:c r="J61" s="38" t="str">
        <x:v>Retail CBDC Pilot Program
Real-value CBDC pilot testing with 
retail users and merchants, as well 
as exploration for feasibility of 
innovative use cases</x:v>
      </x:c>
      <x:c r="K61" s="142" t="b">
        <x:v>0</x:v>
      </x:c>
      <x:c r="L61" s="146" t="str">
        <x:v>exclude</x:v>
      </x:c>
      <x:c r="M61" s="146" t="str">
        <x:v>keep</x:v>
      </x:c>
      <x:c r="N61" s="147" t="b">
        <x:v>0</x:v>
      </x:c>
      <x:c r="O61" s="146"/>
      <x:c r="P61" s="146" t="str">
        <x:v>SYS.design</x:v>
      </x:c>
      <x:c r="Q61" s="146" t="str"/>
      <x:c r="R61" s="146" t="str">
        <x:v>SYS</x:v>
      </x:c>
      <x:c r="S61" s="146"/>
      <x:c r="T61" s="146" t="str">
        <x:v>decision</x:v>
      </x:c>
      <x:c r="U61" s="146"/>
      <x:c r="V61" s="146" t="str">
        <x:v>neutral</x:v>
      </x:c>
      <x:c r="W61" s="146"/>
      <x:c r="X61" s="146" t="str">
        <x:v>not_applicable</x:v>
      </x:c>
      <x:c r="Y61" s="146"/>
      <x:c r="Z61" s="146" t="n">
        <x:v>2</x:v>
      </x:c>
      <x:c r="AA61" s="146" t="str">
        <x:v>high</x:v>
      </x:c>
      <x:c r="AB61" s="146" t="str">
        <x:v>high</x:v>
      </x:c>
      <x:c r="AC61" s="146"/>
      <x:c r="AD61" s="146"/>
      <x:c r="AE61" s="151" t="str">
        <x:v>SYS.design</x:v>
      </x:c>
      <x:c r="AF61" s="151" t="str">
        <x:v>SYS.design</x:v>
      </x:c>
      <x:c r="AG61" s="151" t="str">
        <x:v>finding</x:v>
      </x:c>
      <x:c r="AH61" s="151" t="str">
        <x:v>decision</x:v>
      </x:c>
      <x:c r="AI61" s="154" t="n">
        <x:f>IF(K61,0,1)</x:f>
        <x:v>1</x:v>
      </x:c>
      <x:c r="AJ61" s="154" t="n">
        <x:f>IF(L61="keep",1,0)</x:f>
        <x:v>0</x:v>
      </x:c>
      <x:c r="AK61" s="154" t="n">
        <x:f>IF(M61="keep",1,0)</x:f>
        <x:v>1</x:v>
      </x:c>
      <x:c r="AL61" s="154" t="n">
        <x:f>(AJ61+AK61)/2</x:f>
        <x:v>0.5</x:v>
      </x:c>
      <x:c r="AM61" s="154" t="n">
        <x:f>MIN(AJ61,AK61)</x:f>
        <x:v>0</x:v>
      </x:c>
      <x:c r="AN61" s="154" t="n">
        <x:f>MAX(AJ61,AK61)</x:f>
        <x:v>1</x:v>
      </x:c>
      <x:c r="AO61" s="154" t="n">
        <x:f>IF(L61=M61,1,0)</x:f>
        <x:v>0</x:v>
      </x:c>
    </x:row>
    <x:row r="62">
      <x:c r="A62" s="38" t="str">
        <x:v>SV-0061</x:v>
      </x:c>
      <x:c r="B62" s="38" t="str">
        <x:v>PC-05937</x:v>
      </x:c>
      <x:c r="C62" s="38" t="str">
        <x:v>en|both</x:v>
      </x:c>
      <x:c r="D62" s="87" t="n">
        <x:v>19.069444444444443</x:v>
      </x:c>
      <x:c r="E62" s="38" t="str">
        <x:v>both</x:v>
      </x:c>
      <x:c r="F62" s="38" t="str">
        <x:v>UA_NBU_E-hryvnia_2019</x:v>
      </x:c>
      <x:c r="G62" s="38" t="n">
        <x:v>28</x:v>
      </x:c>
      <x:c r="H62" s="38" t="str">
        <x:v>en</x:v>
      </x:c>
      <x:c r="I62" s="38" t="str">
        <x:v>National Bank of Ukraine (e-hryvnia pilot)</x:v>
      </x:c>
      <x:c r="J62" s="38" t="str">
        <x:v>Based on the above criteria, the NBU selected the distributed 
ledger technology, in particular the private version of the 
Stellar protocol, to study opportunities of issuing e -hryvnia 
and to carry out the Pilot Project.</x:v>
      </x:c>
      <x:c r="K62" s="142" t="b">
        <x:v>0</x:v>
      </x:c>
      <x:c r="L62" s="146" t="str">
        <x:v>keep</x:v>
      </x:c>
      <x:c r="M62" s="146" t="str">
        <x:v>keep</x:v>
      </x:c>
      <x:c r="N62" s="147" t="b">
        <x:v>1</x:v>
      </x:c>
      <x:c r="O62" s="146" t="str">
        <x:v>TECH.DLT</x:v>
      </x:c>
      <x:c r="P62" s="146" t="str">
        <x:v>TECH.DLT</x:v>
      </x:c>
      <x:c r="Q62" s="146" t="str">
        <x:v>TECH</x:v>
      </x:c>
      <x:c r="R62" s="146" t="str">
        <x:v>TECH</x:v>
      </x:c>
      <x:c r="S62" s="146" t="str">
        <x:v>decision</x:v>
      </x:c>
      <x:c r="T62" s="146" t="str">
        <x:v>decision</x:v>
      </x:c>
      <x:c r="U62" s="146" t="str">
        <x:v>neutral</x:v>
      </x:c>
      <x:c r="V62" s="146" t="str">
        <x:v>neutral</x:v>
      </x:c>
      <x:c r="W62" s="146" t="str">
        <x:v>not_applicable</x:v>
      </x:c>
      <x:c r="X62" s="146" t="str">
        <x:v>not_applicable</x:v>
      </x:c>
      <x:c r="Y62" s="146" t="n">
        <x:v>3</x:v>
      </x:c>
      <x:c r="Z62" s="146" t="n">
        <x:v>3</x:v>
      </x:c>
      <x:c r="AA62" s="146" t="str">
        <x:v>high</x:v>
      </x:c>
      <x:c r="AB62" s="146" t="str">
        <x:v>high</x:v>
      </x:c>
      <x:c r="AC62" s="146"/>
      <x:c r="AD62" s="146"/>
      <x:c r="AE62" s="151" t="str">
        <x:v>TECH.DLT</x:v>
      </x:c>
      <x:c r="AF62" s="151" t="str">
        <x:v>TECH.DLT</x:v>
      </x:c>
      <x:c r="AG62" s="151" t="str">
        <x:v>decision</x:v>
      </x:c>
      <x:c r="AH62" s="151" t="str">
        <x:v>decision</x:v>
      </x:c>
      <x:c r="AI62" s="154" t="n">
        <x:f>IF(K62,0,1)</x:f>
        <x:v>1</x:v>
      </x:c>
      <x:c r="AJ62" s="154" t="n">
        <x:f>IF(L62="keep",1,0)</x:f>
        <x:v>1</x:v>
      </x:c>
      <x:c r="AK62" s="154" t="n">
        <x:f>IF(M62="keep",1,0)</x:f>
        <x:v>1</x:v>
      </x:c>
      <x:c r="AL62" s="154" t="n">
        <x:f>(AJ62+AK62)/2</x:f>
        <x:v>1</x:v>
      </x:c>
      <x:c r="AM62" s="154" t="n">
        <x:f>MIN(AJ62,AK62)</x:f>
        <x:v>1</x:v>
      </x:c>
      <x:c r="AN62" s="154" t="n">
        <x:f>MAX(AJ62,AK62)</x:f>
        <x:v>1</x:v>
      </x:c>
      <x:c r="AO62" s="154" t="n">
        <x:f>IF(L62=M62,1,0)</x:f>
        <x:v>1</x:v>
      </x:c>
    </x:row>
    <x:row r="63">
      <x:c r="A63" s="38" t="str">
        <x:v>SV-0062</x:v>
      </x:c>
      <x:c r="B63" s="38" t="str">
        <x:v>PC-02059</x:v>
      </x:c>
      <x:c r="C63" s="38" t="str">
        <x:v>en|both</x:v>
      </x:c>
      <x:c r="D63" s="87" t="n">
        <x:v>19.069444444444443</x:v>
      </x:c>
      <x:c r="E63" s="38" t="str">
        <x:v>both</x:v>
      </x:c>
      <x:c r="F63" s="38" t="str">
        <x:v>HK_HKMA_eHKD_Phase2_2025</x:v>
      </x:c>
      <x:c r="G63" s="38" t="n">
        <x:v>34</x:v>
      </x:c>
      <x:c r="H63" s="38" t="str">
        <x:v>en</x:v>
      </x:c>
      <x:c r="I63" s="38" t="str">
        <x:v>Hong Kong Monetary Authority (e-HKD Phase 2 pilots)</x:v>
      </x:c>
      <x:c r="J63" s="38" t="str">
        <x:v>It was found that ZKPs improved privacy 
with similar settlement times but significantly 
increased gas fees37, making them up to 320 
times more expensive than transactions which 
do not use any PETs, due to their computational 
intensity.</x:v>
      </x:c>
      <x:c r="K63" s="142" t="b">
        <x:v>0</x:v>
      </x:c>
      <x:c r="L63" s="146" t="str">
        <x:v>keep</x:v>
      </x:c>
      <x:c r="M63" s="146" t="str">
        <x:v>keep</x:v>
      </x:c>
      <x:c r="N63" s="147" t="b">
        <x:v>1</x:v>
      </x:c>
      <x:c r="O63" s="146" t="str">
        <x:v>PRIV.BAL</x:v>
      </x:c>
      <x:c r="P63" s="146" t="str">
        <x:v>SYS.design</x:v>
      </x:c>
      <x:c r="Q63" s="146" t="str">
        <x:v>PRIV</x:v>
      </x:c>
      <x:c r="R63" s="146" t="str">
        <x:v>SYS</x:v>
      </x:c>
      <x:c r="S63" s="146" t="str">
        <x:v>finding</x:v>
      </x:c>
      <x:c r="T63" s="146" t="str">
        <x:v>finding</x:v>
      </x:c>
      <x:c r="U63" s="146" t="str">
        <x:v>neutral</x:v>
      </x:c>
      <x:c r="V63" s="146" t="str">
        <x:v>neutral</x:v>
      </x:c>
      <x:c r="W63" s="146" t="str">
        <x:v>not_applicable</x:v>
      </x:c>
      <x:c r="X63" s="146" t="str">
        <x:v>not_applicable</x:v>
      </x:c>
      <x:c r="Y63" s="146" t="n">
        <x:v>3</x:v>
      </x:c>
      <x:c r="Z63" s="146" t="n">
        <x:v>1</x:v>
      </x:c>
      <x:c r="AA63" s="146" t="str">
        <x:v>high</x:v>
      </x:c>
      <x:c r="AB63" s="146" t="str">
        <x:v>high</x:v>
      </x:c>
      <x:c r="AC63" s="146"/>
      <x:c r="AD63" s="146"/>
      <x:c r="AE63" s="151" t="str">
        <x:v>PRIV.PET</x:v>
      </x:c>
      <x:c r="AF63" s="151" t="str">
        <x:v>SYS.design</x:v>
      </x:c>
      <x:c r="AG63" s="151" t="str">
        <x:v>finding</x:v>
      </x:c>
      <x:c r="AH63" s="151" t="str">
        <x:v>finding</x:v>
      </x:c>
      <x:c r="AI63" s="154" t="n">
        <x:f>IF(K63,0,1)</x:f>
        <x:v>1</x:v>
      </x:c>
      <x:c r="AJ63" s="154" t="n">
        <x:f>IF(L63="keep",1,0)</x:f>
        <x:v>1</x:v>
      </x:c>
      <x:c r="AK63" s="154" t="n">
        <x:f>IF(M63="keep",1,0)</x:f>
        <x:v>1</x:v>
      </x:c>
      <x:c r="AL63" s="154" t="n">
        <x:f>(AJ63+AK63)/2</x:f>
        <x:v>1</x:v>
      </x:c>
      <x:c r="AM63" s="154" t="n">
        <x:f>MIN(AJ63,AK63)</x:f>
        <x:v>1</x:v>
      </x:c>
      <x:c r="AN63" s="154" t="n">
        <x:f>MAX(AJ63,AK63)</x:f>
        <x:v>1</x:v>
      </x:c>
      <x:c r="AO63" s="154" t="n">
        <x:f>IF(L63=M63,1,0)</x:f>
        <x:v>1</x:v>
      </x:c>
    </x:row>
    <x:row r="64">
      <x:c r="A64" s="38" t="str">
        <x:v>SV-0063</x:v>
      </x:c>
      <x:c r="B64" s="38" t="str">
        <x:v>PC-00719</x:v>
      </x:c>
      <x:c r="C64" s="38" t="str">
        <x:v>en|openai_only</x:v>
      </x:c>
      <x:c r="D64" s="87" t="n">
        <x:v>19.21875</x:v>
      </x:c>
      <x:c r="E64" s="38" t="str">
        <x:v>openai_only</x:v>
      </x:c>
      <x:c r="F64" s="38" t="str">
        <x:v>CA_BoC_RetailFeasibility_SDP2025_9</x:v>
      </x:c>
      <x:c r="G64" s="38" t="n">
        <x:v>16</x:v>
      </x:c>
      <x:c r="H64" s="38" t="str">
        <x:v>en</x:v>
      </x:c>
      <x:c r="I64" s="38" t="str">
        <x:v>Bank of Canada research on retail CBDC feasibility</x:v>
      </x:c>
      <x:c r="J64" s="38" t="str">
        <x:v>Hence, a type-U receiver must be present to receive 
payment.</x:v>
      </x:c>
      <x:c r="K64" s="142" t="b">
        <x:v>0</x:v>
      </x:c>
      <x:c r="L64" s="146" t="str">
        <x:v>keep</x:v>
      </x:c>
      <x:c r="M64" s="146" t="str">
        <x:v>exclude</x:v>
      </x:c>
      <x:c r="N64" s="147" t="b">
        <x:v>0</x:v>
      </x:c>
      <x:c r="O64" s="146" t="str">
        <x:v>SYS.design</x:v>
      </x:c>
      <x:c r="P64" s="146"/>
      <x:c r="Q64" s="146" t="str">
        <x:v>SYS</x:v>
      </x:c>
      <x:c r="R64" s="146" t="str"/>
      <x:c r="S64" s="146" t="str">
        <x:v>finding</x:v>
      </x:c>
      <x:c r="T64" s="146"/>
      <x:c r="U64" s="146" t="str">
        <x:v>neutral</x:v>
      </x:c>
      <x:c r="V64" s="146"/>
      <x:c r="W64" s="146" t="str">
        <x:v>not_applicable</x:v>
      </x:c>
      <x:c r="X64" s="146"/>
      <x:c r="Y64" s="146" t="n">
        <x:v>2</x:v>
      </x:c>
      <x:c r="Z64" s="146"/>
      <x:c r="AA64" s="146" t="str">
        <x:v>high</x:v>
      </x:c>
      <x:c r="AB64" s="146" t="str">
        <x:v>high</x:v>
      </x:c>
      <x:c r="AC64" s="146"/>
      <x:c r="AD64" s="146"/>
      <x:c r="AE64" s="151" t="str">
        <x:v>SYS.design</x:v>
      </x:c>
      <x:c r="AF64" s="151"/>
      <x:c r="AG64" s="151" t="str">
        <x:v>finding</x:v>
      </x:c>
      <x:c r="AH64" s="151"/>
      <x:c r="AI64" s="154" t="n">
        <x:f>IF(K64,0,1)</x:f>
        <x:v>1</x:v>
      </x:c>
      <x:c r="AJ64" s="154" t="n">
        <x:f>IF(L64="keep",1,0)</x:f>
        <x:v>1</x:v>
      </x:c>
      <x:c r="AK64" s="154" t="n">
        <x:f>IF(M64="keep",1,0)</x:f>
        <x:v>0</x:v>
      </x:c>
      <x:c r="AL64" s="154" t="n">
        <x:f>(AJ64+AK64)/2</x:f>
        <x:v>0.5</x:v>
      </x:c>
      <x:c r="AM64" s="154" t="n">
        <x:f>MIN(AJ64,AK64)</x:f>
        <x:v>0</x:v>
      </x:c>
      <x:c r="AN64" s="154" t="n">
        <x:f>MAX(AJ64,AK64)</x:f>
        <x:v>1</x:v>
      </x:c>
      <x:c r="AO64" s="154" t="n">
        <x:f>IF(L64=M64,1,0)</x:f>
        <x:v>0</x:v>
      </x:c>
    </x:row>
    <x:row r="65">
      <x:c r="A65" s="38" t="str">
        <x:v>SV-0064</x:v>
      </x:c>
      <x:c r="B65" s="38" t="str">
        <x:v>PC-06791</x:v>
      </x:c>
      <x:c r="C65" s="38" t="str">
        <x:v>en|both</x:v>
      </x:c>
      <x:c r="D65" s="87" t="n">
        <x:v>19.069444444444443</x:v>
      </x:c>
      <x:c r="E65" s="38" t="str">
        <x:v>both</x:v>
      </x:c>
      <x:c r="F65" s="38" t="str">
        <x:v>ZA_SARB_Project_Khokha_2_Full_Report_6_April_2022</x:v>
      </x:c>
      <x:c r="G65" s="38" t="n">
        <x:v>39</x:v>
      </x:c>
      <x:c r="H65" s="38" t="str">
        <x:v>en</x:v>
      </x:c>
      <x:c r="I65" s="38" t="str">
        <x:v>South African Reserve Bank</x:v>
      </x:c>
      <x:c r="J65" s="38" t="str">
        <x:v>Additionally, the 
wToken was redeemable for wCBDC, which 
increased participants’ options and further 
reduced (liquidity) risk.</x:v>
      </x:c>
      <x:c r="K65" s="142" t="b">
        <x:v>0</x:v>
      </x:c>
      <x:c r="L65" s="146" t="str">
        <x:v>keep</x:v>
      </x:c>
      <x:c r="M65" s="146" t="str">
        <x:v>keep</x:v>
      </x:c>
      <x:c r="N65" s="147" t="b">
        <x:v>1</x:v>
      </x:c>
      <x:c r="O65" s="146" t="str">
        <x:v>INTEROP.domestic</x:v>
      </x:c>
      <x:c r="P65" s="146" t="str">
        <x:v>SYS.design</x:v>
      </x:c>
      <x:c r="Q65" s="146" t="str">
        <x:v>INTEROP</x:v>
      </x:c>
      <x:c r="R65" s="146" t="str">
        <x:v>SYS</x:v>
      </x:c>
      <x:c r="S65" s="146" t="str">
        <x:v>finding</x:v>
      </x:c>
      <x:c r="T65" s="146" t="str">
        <x:v>finding</x:v>
      </x:c>
      <x:c r="U65" s="146" t="str">
        <x:v>neutral</x:v>
      </x:c>
      <x:c r="V65" s="146" t="str">
        <x:v>neutral</x:v>
      </x:c>
      <x:c r="W65" s="146" t="str">
        <x:v>not_applicable</x:v>
      </x:c>
      <x:c r="X65" s="146" t="str">
        <x:v>not_applicable</x:v>
      </x:c>
      <x:c r="Y65" s="146" t="n">
        <x:v>2</x:v>
      </x:c>
      <x:c r="Z65" s="146" t="n">
        <x:v>2</x:v>
      </x:c>
      <x:c r="AA65" s="146" t="str">
        <x:v>high</x:v>
      </x:c>
      <x:c r="AB65" s="146" t="str">
        <x:v>high</x:v>
      </x:c>
      <x:c r="AC65" s="146"/>
      <x:c r="AD65" s="146"/>
      <x:c r="AE65" s="151" t="str">
        <x:v>INTEROP.domestic</x:v>
      </x:c>
      <x:c r="AF65" s="151" t="str">
        <x:v>SYS.design</x:v>
      </x:c>
      <x:c r="AG65" s="151" t="str">
        <x:v>finding</x:v>
      </x:c>
      <x:c r="AH65" s="151" t="str">
        <x:v>finding</x:v>
      </x:c>
      <x:c r="AI65" s="154" t="n">
        <x:f>IF(K65,0,1)</x:f>
        <x:v>1</x:v>
      </x:c>
      <x:c r="AJ65" s="154" t="n">
        <x:f>IF(L65="keep",1,0)</x:f>
        <x:v>1</x:v>
      </x:c>
      <x:c r="AK65" s="154" t="n">
        <x:f>IF(M65="keep",1,0)</x:f>
        <x:v>1</x:v>
      </x:c>
      <x:c r="AL65" s="154" t="n">
        <x:f>(AJ65+AK65)/2</x:f>
        <x:v>1</x:v>
      </x:c>
      <x:c r="AM65" s="154" t="n">
        <x:f>MIN(AJ65,AK65)</x:f>
        <x:v>1</x:v>
      </x:c>
      <x:c r="AN65" s="154" t="n">
        <x:f>MAX(AJ65,AK65)</x:f>
        <x:v>1</x:v>
      </x:c>
      <x:c r="AO65" s="154" t="n">
        <x:f>IF(L65=M65,1,0)</x:f>
        <x:v>1</x:v>
      </x:c>
    </x:row>
    <x:row r="66">
      <x:c r="A66" s="38" t="str">
        <x:v>SV-0065</x:v>
      </x:c>
      <x:c r="B66" s="38" t="str">
        <x:v>PC-05464</x:v>
      </x:c>
      <x:c r="C66" s="38" t="str">
        <x:v>en|both</x:v>
      </x:c>
      <x:c r="D66" s="87" t="n">
        <x:v>19.069444444444443</x:v>
      </x:c>
      <x:c r="E66" s="38" t="str">
        <x:v>both</x:v>
      </x:c>
      <x:c r="F66" s="38" t="str">
        <x:v>SZ_Eswatini_2024-Fintech-Digital-Lilangeni-Design-Paper</x:v>
      </x:c>
      <x:c r="G66" s="38" t="n">
        <x:v>23</x:v>
      </x:c>
      <x:c r="H66" s="38" t="str">
        <x:v>en</x:v>
      </x:c>
      <x:c r="I66" s="38" t="str">
        <x:v>Central Bank of Eswatini (Digital Lilangeni)</x:v>
      </x:c>
      <x:c r="J66" s="38" t="str">
        <x:v>Only if universal access to digital central bank money is ensured 
would it be seen as a true complement to cash and be accepted as such.</x:v>
      </x:c>
      <x:c r="K66" s="142" t="b">
        <x:v>0</x:v>
      </x:c>
      <x:c r="L66" s="146" t="str">
        <x:v>keep</x:v>
      </x:c>
      <x:c r="M66" s="146" t="str">
        <x:v>keep</x:v>
      </x:c>
      <x:c r="N66" s="147" t="b">
        <x:v>1</x:v>
      </x:c>
      <x:c r="O66" s="146" t="str">
        <x:v>CASH.relation</x:v>
      </x:c>
      <x:c r="P66" s="146" t="str">
        <x:v>CASH.relation</x:v>
      </x:c>
      <x:c r="Q66" s="146" t="str">
        <x:v>CASH</x:v>
      </x:c>
      <x:c r="R66" s="146" t="str">
        <x:v>CASH</x:v>
      </x:c>
      <x:c r="S66" s="146" t="str">
        <x:v>proposal</x:v>
      </x:c>
      <x:c r="T66" s="146" t="str">
        <x:v>decision</x:v>
      </x:c>
      <x:c r="U66" s="146" t="str">
        <x:v>neutral</x:v>
      </x:c>
      <x:c r="V66" s="146" t="str">
        <x:v>neutral</x:v>
      </x:c>
      <x:c r="W66" s="146" t="str">
        <x:v>not_applicable</x:v>
      </x:c>
      <x:c r="X66" s="146" t="str">
        <x:v>not_applicable</x:v>
      </x:c>
      <x:c r="Y66" s="146" t="n">
        <x:v>2</x:v>
      </x:c>
      <x:c r="Z66" s="146" t="n">
        <x:v>2</x:v>
      </x:c>
      <x:c r="AA66" s="146" t="str">
        <x:v>high</x:v>
      </x:c>
      <x:c r="AB66" s="146" t="str">
        <x:v>high</x:v>
      </x:c>
      <x:c r="AC66" s="146"/>
      <x:c r="AD66" s="146"/>
      <x:c r="AE66" s="151" t="str">
        <x:v>CASH.relation</x:v>
      </x:c>
      <x:c r="AF66" s="151" t="str">
        <x:v>CASH.relation</x:v>
      </x:c>
      <x:c r="AG66" s="151" t="str">
        <x:v>proposal</x:v>
      </x:c>
      <x:c r="AH66" s="151" t="str">
        <x:v>decision</x:v>
      </x:c>
      <x:c r="AI66" s="154" t="n">
        <x:f>IF(K66,0,1)</x:f>
        <x:v>1</x:v>
      </x:c>
      <x:c r="AJ66" s="154" t="n">
        <x:f>IF(L66="keep",1,0)</x:f>
        <x:v>1</x:v>
      </x:c>
      <x:c r="AK66" s="154" t="n">
        <x:f>IF(M66="keep",1,0)</x:f>
        <x:v>1</x:v>
      </x:c>
      <x:c r="AL66" s="154" t="n">
        <x:f>(AJ66+AK66)/2</x:f>
        <x:v>1</x:v>
      </x:c>
      <x:c r="AM66" s="154" t="n">
        <x:f>MIN(AJ66,AK66)</x:f>
        <x:v>1</x:v>
      </x:c>
      <x:c r="AN66" s="154" t="n">
        <x:f>MAX(AJ66,AK66)</x:f>
        <x:v>1</x:v>
      </x:c>
      <x:c r="AO66" s="154" t="n">
        <x:f>IF(L66=M66,1,0)</x:f>
        <x:v>1</x:v>
      </x:c>
    </x:row>
    <x:row r="67">
      <x:c r="A67" s="38" t="str">
        <x:v>SV-0066</x:v>
      </x:c>
      <x:c r="B67" s="38" t="str">
        <x:v>PC-06434</x:v>
      </x:c>
      <x:c r="C67" s="38" t="str">
        <x:v>en|claude_only</x:v>
      </x:c>
      <x:c r="D67" s="87" t="n">
        <x:v>19.375</x:v>
      </x:c>
      <x:c r="E67" s="38" t="str">
        <x:v>claude_only</x:v>
      </x:c>
      <x:c r="F67" s="38" t="str">
        <x:v>UN_ESCAP_ESCAP-2022-RP-National-study-central-bank-digital-currency-stablecoin-Maldives</x:v>
      </x:c>
      <x:c r="G67" s="38" t="n">
        <x:v>46</x:v>
      </x:c>
      <x:c r="H67" s="38" t="str">
        <x:v>en</x:v>
      </x:c>
      <x:c r="I67" s="38" t="str">
        <x:v>Maldives Monetary Authority / Maldives CBDC policy study</x:v>
      </x:c>
      <x:c r="J67" s="38" t="str">
        <x:v>3. Reduction in costs (cash supply, cash handling, transaction costs etc) 
by identifying functions that would create public benefits from 
reduction in the use of cash.</x:v>
      </x:c>
      <x:c r="K67" s="142" t="b">
        <x:v>0</x:v>
      </x:c>
      <x:c r="L67" s="146" t="str">
        <x:v>exclude</x:v>
      </x:c>
      <x:c r="M67" s="146" t="str">
        <x:v>keep</x:v>
      </x:c>
      <x:c r="N67" s="147" t="b">
        <x:v>0</x:v>
      </x:c>
      <x:c r="O67" s="146"/>
      <x:c r="P67" s="146" t="str">
        <x:v>CASH.relation</x:v>
      </x:c>
      <x:c r="Q67" s="146" t="str"/>
      <x:c r="R67" s="146" t="str">
        <x:v>CASH</x:v>
      </x:c>
      <x:c r="S67" s="146"/>
      <x:c r="T67" s="146" t="str">
        <x:v>proposal</x:v>
      </x:c>
      <x:c r="U67" s="146"/>
      <x:c r="V67" s="146" t="str">
        <x:v>neutral</x:v>
      </x:c>
      <x:c r="W67" s="146"/>
      <x:c r="X67" s="146" t="str">
        <x:v>not_applicable</x:v>
      </x:c>
      <x:c r="Y67" s="146"/>
      <x:c r="Z67" s="146" t="n">
        <x:v>2</x:v>
      </x:c>
      <x:c r="AA67" s="146" t="str">
        <x:v>high</x:v>
      </x:c>
      <x:c r="AB67" s="146" t="str">
        <x:v>high</x:v>
      </x:c>
      <x:c r="AC67" s="146"/>
      <x:c r="AD67" s="146"/>
      <x:c r="AE67" s="151"/>
      <x:c r="AF67" s="151" t="str">
        <x:v>CASH.relation</x:v>
      </x:c>
      <x:c r="AG67" s="151"/>
      <x:c r="AH67" s="151" t="str">
        <x:v>proposal</x:v>
      </x:c>
      <x:c r="AI67" s="154" t="n">
        <x:f>IF(K67,0,1)</x:f>
        <x:v>1</x:v>
      </x:c>
      <x:c r="AJ67" s="154" t="n">
        <x:f>IF(L67="keep",1,0)</x:f>
        <x:v>0</x:v>
      </x:c>
      <x:c r="AK67" s="154" t="n">
        <x:f>IF(M67="keep",1,0)</x:f>
        <x:v>1</x:v>
      </x:c>
      <x:c r="AL67" s="154" t="n">
        <x:f>(AJ67+AK67)/2</x:f>
        <x:v>0.5</x:v>
      </x:c>
      <x:c r="AM67" s="154" t="n">
        <x:f>MIN(AJ67,AK67)</x:f>
        <x:v>0</x:v>
      </x:c>
      <x:c r="AN67" s="154" t="n">
        <x:f>MAX(AJ67,AK67)</x:f>
        <x:v>1</x:v>
      </x:c>
      <x:c r="AO67" s="154" t="n">
        <x:f>IF(L67=M67,1,0)</x:f>
        <x:v>0</x:v>
      </x:c>
    </x:row>
    <x:row r="68">
      <x:c r="A68" s="38" t="str">
        <x:v>SV-0067</x:v>
      </x:c>
      <x:c r="B68" s="38" t="str">
        <x:v>PC-01564</x:v>
      </x:c>
      <x:c r="C68" s="38" t="str">
        <x:v>fr|openai_only</x:v>
      </x:c>
      <x:c r="D68" s="87" t="n">
        <x:v>1</x:v>
      </x:c>
      <x:c r="E68" s="38" t="str">
        <x:v>openai_only</x:v>
      </x:c>
      <x:c r="F68" s="38" t="str">
        <x:v>FR_BdF_2022</x:v>
      </x:c>
      <x:c r="G68" s="38" t="n">
        <x:v>11</x:v>
      </x:c>
      <x:c r="H68" s="38" t="str">
        <x:v>fr</x:v>
      </x:c>
      <x:c r="I68" s="38" t="str">
        <x:v>Banque de France (wholesale CBDC programme)</x:v>
      </x:c>
      <x:c r="J68" s="38" t="str">
        <x:v>They 
also confirmed that central banks can retain 
control of the CBDC over these different 
types of DLTs, in particular by exploiting 
the programmability features of central bank 
money provided by this technology.</x:v>
      </x:c>
      <x:c r="K68" s="142" t="b">
        <x:v>0</x:v>
      </x:c>
      <x:c r="L68" s="146" t="str">
        <x:v>keep</x:v>
      </x:c>
      <x:c r="M68" s="146" t="str">
        <x:v>exclude</x:v>
      </x:c>
      <x:c r="N68" s="147" t="b">
        <x:v>0</x:v>
      </x:c>
      <x:c r="O68" s="146" t="str">
        <x:v>PROG.generic</x:v>
      </x:c>
      <x:c r="P68" s="146"/>
      <x:c r="Q68" s="146" t="str">
        <x:v>PROG</x:v>
      </x:c>
      <x:c r="R68" s="146" t="str"/>
      <x:c r="S68" s="146" t="str">
        <x:v>finding</x:v>
      </x:c>
      <x:c r="T68" s="146"/>
      <x:c r="U68" s="146" t="str">
        <x:v>neutral</x:v>
      </x:c>
      <x:c r="V68" s="146"/>
      <x:c r="W68" s="146" t="str">
        <x:v>not_applicable</x:v>
      </x:c>
      <x:c r="X68" s="146"/>
      <x:c r="Y68" s="146" t="n">
        <x:v>2</x:v>
      </x:c>
      <x:c r="Z68" s="146"/>
      <x:c r="AA68" s="146" t="str">
        <x:v>high</x:v>
      </x:c>
      <x:c r="AB68" s="146" t="str">
        <x:v>high</x:v>
      </x:c>
      <x:c r="AC68" s="146"/>
      <x:c r="AD68" s="146"/>
      <x:c r="AE68" s="151" t="str">
        <x:v>PROG.generic</x:v>
      </x:c>
      <x:c r="AF68" s="151"/>
      <x:c r="AG68" s="151" t="str">
        <x:v>finding</x:v>
      </x:c>
      <x:c r="AH68" s="151"/>
      <x:c r="AI68" s="154" t="n">
        <x:f>IF(K68,0,1)</x:f>
        <x:v>1</x:v>
      </x:c>
      <x:c r="AJ68" s="154" t="n">
        <x:f>IF(L68="keep",1,0)</x:f>
        <x:v>1</x:v>
      </x:c>
      <x:c r="AK68" s="154" t="n">
        <x:f>IF(M68="keep",1,0)</x:f>
        <x:v>0</x:v>
      </x:c>
      <x:c r="AL68" s="154" t="n">
        <x:f>(AJ68+AK68)/2</x:f>
        <x:v>0.5</x:v>
      </x:c>
      <x:c r="AM68" s="154" t="n">
        <x:f>MIN(AJ68,AK68)</x:f>
        <x:v>0</x:v>
      </x:c>
      <x:c r="AN68" s="154" t="n">
        <x:f>MAX(AJ68,AK68)</x:f>
        <x:v>1</x:v>
      </x:c>
      <x:c r="AO68" s="154" t="n">
        <x:f>IF(L68=M68,1,0)</x:f>
        <x:v>0</x:v>
      </x:c>
    </x:row>
    <x:row r="69">
      <x:c r="A69" s="38" t="str">
        <x:v>SV-0068</x:v>
      </x:c>
      <x:c r="B69" s="38" t="str">
        <x:v>PC-03487</x:v>
      </x:c>
      <x:c r="C69" s="38" t="str">
        <x:v>en|openai_only</x:v>
      </x:c>
      <x:c r="D69" s="87" t="n">
        <x:v>19.21875</x:v>
      </x:c>
      <x:c r="E69" s="38" t="str">
        <x:v>openai_only</x:v>
      </x:c>
      <x:c r="F69" s="38" t="str">
        <x:v>IT_BdI_MISP_2021</x:v>
      </x:c>
      <x:c r="G69" s="38" t="n">
        <x:v>15</x:v>
      </x:c>
      <x:c r="H69" s="38" t="str">
        <x:v>en</x:v>
      </x:c>
      <x:c r="I69" s="38" t="str">
        <x:v>Banca d'Italia research context</x:v>
      </x:c>
      <x:c r="J69" s="38" t="str">
        <x:v>should the D€ be made 
available for cross-border and cross-currency operations, one should keep in 
mind that this could affect financial stability in various ways, which would 
need to be properly investigated in order to prevent undesired spillovers and 
additional international linkages.</x:v>
      </x:c>
      <x:c r="K69" s="142" t="b">
        <x:v>0</x:v>
      </x:c>
      <x:c r="L69" s="146" t="str">
        <x:v>keep</x:v>
      </x:c>
      <x:c r="M69" s="146" t="str">
        <x:v>exclude</x:v>
      </x:c>
      <x:c r="N69" s="147" t="b">
        <x:v>0</x:v>
      </x:c>
      <x:c r="O69" s="146" t="str">
        <x:v>INTEROP.crossborder</x:v>
      </x:c>
      <x:c r="P69" s="146"/>
      <x:c r="Q69" s="146" t="str">
        <x:v>INTEROP</x:v>
      </x:c>
      <x:c r="R69" s="146" t="str"/>
      <x:c r="S69" s="146" t="str">
        <x:v>proposal</x:v>
      </x:c>
      <x:c r="T69" s="146"/>
      <x:c r="U69" s="146" t="str">
        <x:v>neutral</x:v>
      </x:c>
      <x:c r="V69" s="146"/>
      <x:c r="W69" s="146" t="str">
        <x:v>not_applicable</x:v>
      </x:c>
      <x:c r="X69" s="146"/>
      <x:c r="Y69" s="146" t="n">
        <x:v>2</x:v>
      </x:c>
      <x:c r="Z69" s="146"/>
      <x:c r="AA69" s="146" t="str">
        <x:v>high</x:v>
      </x:c>
      <x:c r="AB69" s="146" t="str">
        <x:v>high</x:v>
      </x:c>
      <x:c r="AC69" s="146"/>
      <x:c r="AD69" s="146"/>
      <x:c r="AE69" s="151" t="str">
        <x:v>INTEROP.crossborder</x:v>
      </x:c>
      <x:c r="AF69" s="151"/>
      <x:c r="AG69" s="151" t="str">
        <x:v>proposal</x:v>
      </x:c>
      <x:c r="AH69" s="151"/>
      <x:c r="AI69" s="154" t="n">
        <x:f>IF(K69,0,1)</x:f>
        <x:v>1</x:v>
      </x:c>
      <x:c r="AJ69" s="154" t="n">
        <x:f>IF(L69="keep",1,0)</x:f>
        <x:v>1</x:v>
      </x:c>
      <x:c r="AK69" s="154" t="n">
        <x:f>IF(M69="keep",1,0)</x:f>
        <x:v>0</x:v>
      </x:c>
      <x:c r="AL69" s="154" t="n">
        <x:f>(AJ69+AK69)/2</x:f>
        <x:v>0.5</x:v>
      </x:c>
      <x:c r="AM69" s="154" t="n">
        <x:f>MIN(AJ69,AK69)</x:f>
        <x:v>0</x:v>
      </x:c>
      <x:c r="AN69" s="154" t="n">
        <x:f>MAX(AJ69,AK69)</x:f>
        <x:v>1</x:v>
      </x:c>
      <x:c r="AO69" s="154" t="n">
        <x:f>IF(L69=M69,1,0)</x:f>
        <x:v>0</x:v>
      </x:c>
    </x:row>
    <x:row r="70">
      <x:c r="A70" s="38" t="str">
        <x:v>SV-0069</x:v>
      </x:c>
      <x:c r="B70" s="38" t="str">
        <x:v>PC-02597</x:v>
      </x:c>
      <x:c r="C70" s="38" t="str">
        <x:v>en|both</x:v>
      </x:c>
      <x:c r="D70" s="87" t="n">
        <x:v>19.069444444444443</x:v>
      </x:c>
      <x:c r="E70" s="38" t="str">
        <x:v>both</x:v>
      </x:c>
      <x:c r="F70" s="38" t="str">
        <x:v>ID_Indonesia_2024</x:v>
      </x:c>
      <x:c r="G70" s="38" t="n">
        <x:v>33</x:v>
      </x:c>
      <x:c r="H70" s="38" t="str">
        <x:v>en</x:v>
      </x:c>
      <x:c r="I70" s="38" t="str">
        <x:v>Bank Indonesia (Digital Rupiah)</x:v>
      </x:c>
      <x:c r="J70" s="38" t="str">
        <x:v>In R3 Corda, which utilizes the Unspent Transaction 
Output (UTXO) model, the creation process involves 
a transaction that produces the Rupiah Digital 
token. This transaction is executed by invoking the 
issuance flow on the Rupiah Digital CorDapps.</x:v>
      </x:c>
      <x:c r="K70" s="142" t="b">
        <x:v>0</x:v>
      </x:c>
      <x:c r="L70" s="146" t="str">
        <x:v>keep</x:v>
      </x:c>
      <x:c r="M70" s="146" t="str">
        <x:v>keep</x:v>
      </x:c>
      <x:c r="N70" s="147" t="b">
        <x:v>1</x:v>
      </x:c>
      <x:c r="O70" s="146" t="str">
        <x:v>SYS.design</x:v>
      </x:c>
      <x:c r="P70" s="146" t="str">
        <x:v>TECH.TOKEN.considered</x:v>
      </x:c>
      <x:c r="Q70" s="146" t="str">
        <x:v>SYS</x:v>
      </x:c>
      <x:c r="R70" s="146" t="str">
        <x:v>TECH</x:v>
      </x:c>
      <x:c r="S70" s="146" t="str">
        <x:v>decision</x:v>
      </x:c>
      <x:c r="T70" s="146" t="str">
        <x:v>finding</x:v>
      </x:c>
      <x:c r="U70" s="146" t="str">
        <x:v>neutral</x:v>
      </x:c>
      <x:c r="V70" s="146" t="str">
        <x:v>neutral</x:v>
      </x:c>
      <x:c r="W70" s="146" t="str">
        <x:v>not_applicable</x:v>
      </x:c>
      <x:c r="X70" s="146" t="str">
        <x:v>not_applicable</x:v>
      </x:c>
      <x:c r="Y70" s="146" t="n">
        <x:v>2</x:v>
      </x:c>
      <x:c r="Z70" s="146" t="n">
        <x:v>2</x:v>
      </x:c>
      <x:c r="AA70" s="146" t="str">
        <x:v>high</x:v>
      </x:c>
      <x:c r="AB70" s="146" t="str">
        <x:v>high</x:v>
      </x:c>
      <x:c r="AC70" s="146"/>
      <x:c r="AD70" s="146"/>
      <x:c r="AE70" s="151" t="str">
        <x:v>SYS.design</x:v>
      </x:c>
      <x:c r="AF70" s="151" t="str">
        <x:v>TECH.TOKEN.considered</x:v>
      </x:c>
      <x:c r="AG70" s="151" t="str">
        <x:v>decision</x:v>
      </x:c>
      <x:c r="AH70" s="151" t="str">
        <x:v>finding</x:v>
      </x:c>
      <x:c r="AI70" s="154" t="n">
        <x:f>IF(K70,0,1)</x:f>
        <x:v>1</x:v>
      </x:c>
      <x:c r="AJ70" s="154" t="n">
        <x:f>IF(L70="keep",1,0)</x:f>
        <x:v>1</x:v>
      </x:c>
      <x:c r="AK70" s="154" t="n">
        <x:f>IF(M70="keep",1,0)</x:f>
        <x:v>1</x:v>
      </x:c>
      <x:c r="AL70" s="154" t="n">
        <x:f>(AJ70+AK70)/2</x:f>
        <x:v>1</x:v>
      </x:c>
      <x:c r="AM70" s="154" t="n">
        <x:f>MIN(AJ70,AK70)</x:f>
        <x:v>1</x:v>
      </x:c>
      <x:c r="AN70" s="154" t="n">
        <x:f>MAX(AJ70,AK70)</x:f>
        <x:v>1</x:v>
      </x:c>
      <x:c r="AO70" s="154" t="n">
        <x:f>IF(L70=M70,1,0)</x:f>
        <x:v>1</x:v>
      </x:c>
    </x:row>
    <x:row r="71">
      <x:c r="A71" s="38" t="str">
        <x:v>SV-0070</x:v>
      </x:c>
      <x:c r="B71" s="38" t="str">
        <x:v>PC-03967</x:v>
      </x:c>
      <x:c r="C71" s="38" t="str">
        <x:v>en|both</x:v>
      </x:c>
      <x:c r="D71" s="87" t="n">
        <x:v>19.069444444444443</x:v>
      </x:c>
      <x:c r="E71" s="38" t="str">
        <x:v>both</x:v>
      </x:c>
      <x:c r="F71" s="38" t="str">
        <x:v>MO_AMCM_eMOP_WP</x:v>
      </x:c>
      <x:c r="G71" s="38" t="n">
        <x:v>39</x:v>
      </x:c>
      <x:c r="H71" s="38" t="str">
        <x:v>en</x:v>
      </x:c>
      <x:c r="I71" s="38" t="str">
        <x:v>Monetary Authority of Macao (e-MOP)</x:v>
      </x:c>
      <x:c r="J71" s="38" t="str">
        <x:v>it is necessary for both the AMCM and 
designated authorised operators to establish personal information 
protection regimes and internal control management mechanisms 
that comply with the legal requirements.</x:v>
      </x:c>
      <x:c r="K71" s="142" t="b">
        <x:v>0</x:v>
      </x:c>
      <x:c r="L71" s="146" t="str">
        <x:v>keep</x:v>
      </x:c>
      <x:c r="M71" s="146" t="str">
        <x:v>keep</x:v>
      </x:c>
      <x:c r="N71" s="147" t="b">
        <x:v>1</x:v>
      </x:c>
      <x:c r="O71" s="146" t="str">
        <x:v>PRIV.MIN</x:v>
      </x:c>
      <x:c r="P71" s="146" t="str">
        <x:v>PRIV.MIN</x:v>
      </x:c>
      <x:c r="Q71" s="146" t="str">
        <x:v>PRIV</x:v>
      </x:c>
      <x:c r="R71" s="146" t="str">
        <x:v>PRIV</x:v>
      </x:c>
      <x:c r="S71" s="146" t="str">
        <x:v>proposal</x:v>
      </x:c>
      <x:c r="T71" s="146" t="str">
        <x:v>decision</x:v>
      </x:c>
      <x:c r="U71" s="146" t="str">
        <x:v>increases</x:v>
      </x:c>
      <x:c r="V71" s="146" t="str">
        <x:v>increases</x:v>
      </x:c>
      <x:c r="W71" s="146" t="str">
        <x:v>from_intermediary</x:v>
      </x:c>
      <x:c r="X71" s="146" t="str">
        <x:v>from_state</x:v>
      </x:c>
      <x:c r="Y71" s="146" t="n">
        <x:v>2</x:v>
      </x:c>
      <x:c r="Z71" s="146" t="n">
        <x:v>2</x:v>
      </x:c>
      <x:c r="AA71" s="146" t="str">
        <x:v>high</x:v>
      </x:c>
      <x:c r="AB71" s="146" t="str">
        <x:v>high</x:v>
      </x:c>
      <x:c r="AC71" s="146"/>
      <x:c r="AD71" s="146"/>
      <x:c r="AE71" s="151" t="str">
        <x:v>PRIV.MIN</x:v>
      </x:c>
      <x:c r="AF71" s="151" t="str">
        <x:v>PRIV.MIN</x:v>
      </x:c>
      <x:c r="AG71" s="151" t="str">
        <x:v>proposal</x:v>
      </x:c>
      <x:c r="AH71" s="151" t="str">
        <x:v>decision</x:v>
      </x:c>
      <x:c r="AI71" s="154" t="n">
        <x:f>IF(K71,0,1)</x:f>
        <x:v>1</x:v>
      </x:c>
      <x:c r="AJ71" s="154" t="n">
        <x:f>IF(L71="keep",1,0)</x:f>
        <x:v>1</x:v>
      </x:c>
      <x:c r="AK71" s="154" t="n">
        <x:f>IF(M71="keep",1,0)</x:f>
        <x:v>1</x:v>
      </x:c>
      <x:c r="AL71" s="154" t="n">
        <x:f>(AJ71+AK71)/2</x:f>
        <x:v>1</x:v>
      </x:c>
      <x:c r="AM71" s="154" t="n">
        <x:f>MIN(AJ71,AK71)</x:f>
        <x:v>1</x:v>
      </x:c>
      <x:c r="AN71" s="154" t="n">
        <x:f>MAX(AJ71,AK71)</x:f>
        <x:v>1</x:v>
      </x:c>
      <x:c r="AO71" s="154" t="n">
        <x:f>IF(L71=M71,1,0)</x:f>
        <x:v>1</x:v>
      </x:c>
    </x:row>
    <x:row r="72">
      <x:c r="A72" s="38" t="str">
        <x:v>SV-0071</x:v>
      </x:c>
      <x:c r="B72" s="38" t="str">
        <x:v>PC-02579</x:v>
      </x:c>
      <x:c r="C72" s="38" t="str">
        <x:v>en|claude_only</x:v>
      </x:c>
      <x:c r="D72" s="87" t="n">
        <x:v>19.375</x:v>
      </x:c>
      <x:c r="E72" s="38" t="str">
        <x:v>claude_only</x:v>
      </x:c>
      <x:c r="F72" s="38" t="str">
        <x:v>ID_Indonesia_2024</x:v>
      </x:c>
      <x:c r="G72" s="38" t="n">
        <x:v>27</x:v>
      </x:c>
      <x:c r="H72" s="38" t="str">
        <x:v>en</x:v>
      </x:c>
      <x:c r="I72" s="38" t="str">
        <x:v>Bank Indonesia (Digital Rupiah)</x:v>
      </x:c>
      <x:c r="J72" s="38" t="str">
        <x:v>R3 Corda’s Token SDK supports the 
issuance and management of digital tokens, 
while Kaleido Hyperledger Besu uses the ERC20 
standard for the Rupiah Digital token base and 
ERC1400 for digital securities tokens.</x:v>
      </x:c>
      <x:c r="K72" s="142" t="b">
        <x:v>0</x:v>
      </x:c>
      <x:c r="L72" s="146" t="str">
        <x:v>keep</x:v>
      </x:c>
      <x:c r="M72" s="146" t="str">
        <x:v>keep</x:v>
      </x:c>
      <x:c r="N72" s="147" t="b">
        <x:v>1</x:v>
      </x:c>
      <x:c r="O72" s="146" t="str">
        <x:v>TECH.TOKEN.considered</x:v>
      </x:c>
      <x:c r="P72" s="146" t="str">
        <x:v>TECH.TOKEN.decided_yes</x:v>
      </x:c>
      <x:c r="Q72" s="146" t="str">
        <x:v>TECH</x:v>
      </x:c>
      <x:c r="R72" s="146" t="str">
        <x:v>TECH</x:v>
      </x:c>
      <x:c r="S72" s="146" t="str">
        <x:v>proposal</x:v>
      </x:c>
      <x:c r="T72" s="146" t="str">
        <x:v>decision</x:v>
      </x:c>
      <x:c r="U72" s="146" t="str">
        <x:v>neutral</x:v>
      </x:c>
      <x:c r="V72" s="146" t="str">
        <x:v>neutral</x:v>
      </x:c>
      <x:c r="W72" s="146" t="str">
        <x:v>not_applicable</x:v>
      </x:c>
      <x:c r="X72" s="146" t="str">
        <x:v>not_applicable</x:v>
      </x:c>
      <x:c r="Y72" s="146" t="n">
        <x:v>3</x:v>
      </x:c>
      <x:c r="Z72" s="146" t="n">
        <x:v>2</x:v>
      </x:c>
      <x:c r="AA72" s="146" t="str">
        <x:v>high</x:v>
      </x:c>
      <x:c r="AB72" s="146" t="str">
        <x:v>high</x:v>
      </x:c>
      <x:c r="AC72" s="146"/>
      <x:c r="AD72" s="146"/>
      <x:c r="AE72" s="151"/>
      <x:c r="AF72" s="151" t="str">
        <x:v>TECH.TOKEN.decided_yes</x:v>
      </x:c>
      <x:c r="AG72" s="151"/>
      <x:c r="AH72" s="151" t="str">
        <x:v>decision</x:v>
      </x:c>
      <x:c r="AI72" s="154" t="n">
        <x:f>IF(K72,0,1)</x:f>
        <x:v>1</x:v>
      </x:c>
      <x:c r="AJ72" s="154" t="n">
        <x:f>IF(L72="keep",1,0)</x:f>
        <x:v>1</x:v>
      </x:c>
      <x:c r="AK72" s="154" t="n">
        <x:f>IF(M72="keep",1,0)</x:f>
        <x:v>1</x:v>
      </x:c>
      <x:c r="AL72" s="154" t="n">
        <x:f>(AJ72+AK72)/2</x:f>
        <x:v>1</x:v>
      </x:c>
      <x:c r="AM72" s="154" t="n">
        <x:f>MIN(AJ72,AK72)</x:f>
        <x:v>1</x:v>
      </x:c>
      <x:c r="AN72" s="154" t="n">
        <x:f>MAX(AJ72,AK72)</x:f>
        <x:v>1</x:v>
      </x:c>
      <x:c r="AO72" s="154" t="n">
        <x:f>IF(L72=M72,1,0)</x:f>
        <x:v>1</x:v>
      </x:c>
    </x:row>
    <x:row r="73">
      <x:c r="A73" s="38" t="str">
        <x:v>SV-0072</x:v>
      </x:c>
      <x:c r="B73" s="38" t="str">
        <x:v>PC-05030</x:v>
      </x:c>
      <x:c r="C73" s="38" t="str">
        <x:v>ru/uk|both</x:v>
      </x:c>
      <x:c r="D73" s="87" t="n">
        <x:v>20</x:v>
      </x:c>
      <x:c r="E73" s="38" t="str">
        <x:v>both</x:v>
      </x:c>
      <x:c r="F73" s="38" t="str">
        <x:v>RU_Russia_digital_ruble_30062025</x:v>
      </x:c>
      <x:c r="G73" s="38" t="n">
        <x:v>7</x:v>
      </x:c>
      <x:c r="H73" s="38" t="str">
        <x:v>ru/uk</x:v>
      </x:c>
      <x:c r="I73" s="38" t="str">
        <x:v>Bank of Russia (digital ruble)</x:v>
      </x:c>
      <x:c r="J73" s="38" t="str">
        <x:v>На платформе цифрового рубля реализована розничная двухуровневая схема: взаимодействие 
пользователей с платформой цифрового рубля осуществляется через инфраструктуру участников 
рынка, а не напрямую с оператором платформы.</x:v>
      </x:c>
      <x:c r="K73" s="142" t="b">
        <x:v>0</x:v>
      </x:c>
      <x:c r="L73" s="146" t="str">
        <x:v>keep</x:v>
      </x:c>
      <x:c r="M73" s="146" t="str">
        <x:v>keep</x:v>
      </x:c>
      <x:c r="N73" s="147" t="b">
        <x:v>1</x:v>
      </x:c>
      <x:c r="O73" s="146" t="str">
        <x:v>SYS.design</x:v>
      </x:c>
      <x:c r="P73" s="146" t="str">
        <x:v>SYS.design</x:v>
      </x:c>
      <x:c r="Q73" s="146" t="str">
        <x:v>SYS</x:v>
      </x:c>
      <x:c r="R73" s="146" t="str">
        <x:v>SYS</x:v>
      </x:c>
      <x:c r="S73" s="146" t="str">
        <x:v>decision</x:v>
      </x:c>
      <x:c r="T73" s="146" t="str">
        <x:v>decision</x:v>
      </x:c>
      <x:c r="U73" s="146" t="str">
        <x:v>neutral</x:v>
      </x:c>
      <x:c r="V73" s="146" t="str">
        <x:v>neutral</x:v>
      </x:c>
      <x:c r="W73" s="146" t="str">
        <x:v>not_applicable</x:v>
      </x:c>
      <x:c r="X73" s="146" t="str">
        <x:v>not_applicable</x:v>
      </x:c>
      <x:c r="Y73" s="146" t="n">
        <x:v>3</x:v>
      </x:c>
      <x:c r="Z73" s="146" t="n">
        <x:v>3</x:v>
      </x:c>
      <x:c r="AA73" s="146" t="str">
        <x:v>high</x:v>
      </x:c>
      <x:c r="AB73" s="146" t="str">
        <x:v>high</x:v>
      </x:c>
      <x:c r="AC73" s="146"/>
      <x:c r="AD73" s="146"/>
      <x:c r="AE73" s="151" t="str">
        <x:v>SYS.design</x:v>
      </x:c>
      <x:c r="AF73" s="151" t="str">
        <x:v>SYS.design</x:v>
      </x:c>
      <x:c r="AG73" s="151" t="str">
        <x:v>decision</x:v>
      </x:c>
      <x:c r="AH73" s="151" t="str">
        <x:v>decision</x:v>
      </x:c>
      <x:c r="AI73" s="154" t="n">
        <x:f>IF(K73,0,1)</x:f>
        <x:v>1</x:v>
      </x:c>
      <x:c r="AJ73" s="154" t="n">
        <x:f>IF(L73="keep",1,0)</x:f>
        <x:v>1</x:v>
      </x:c>
      <x:c r="AK73" s="154" t="n">
        <x:f>IF(M73="keep",1,0)</x:f>
        <x:v>1</x:v>
      </x:c>
      <x:c r="AL73" s="154" t="n">
        <x:f>(AJ73+AK73)/2</x:f>
        <x:v>1</x:v>
      </x:c>
      <x:c r="AM73" s="154" t="n">
        <x:f>MIN(AJ73,AK73)</x:f>
        <x:v>1</x:v>
      </x:c>
      <x:c r="AN73" s="154" t="n">
        <x:f>MAX(AJ73,AK73)</x:f>
        <x:v>1</x:v>
      </x:c>
      <x:c r="AO73" s="154" t="n">
        <x:f>IF(L73=M73,1,0)</x:f>
        <x:v>1</x:v>
      </x:c>
    </x:row>
    <x:row r="74">
      <x:c r="A74" s="38" t="str">
        <x:v>SV-0073</x:v>
      </x:c>
      <x:c r="B74" s="38" t="str">
        <x:v>PC-01953</x:v>
      </x:c>
      <x:c r="C74" s="38" t="str">
        <x:v>en|both</x:v>
      </x:c>
      <x:c r="D74" s="87" t="n">
        <x:v>19.069444444444443</x:v>
      </x:c>
      <x:c r="E74" s="38" t="str">
        <x:v>both</x:v>
      </x:c>
      <x:c r="F74" s="38" t="str">
        <x:v>HK_HKMA_2022</x:v>
      </x:c>
      <x:c r="G74" s="38" t="n">
        <x:v>36</x:v>
      </x:c>
      <x:c r="H74" s="38" t="str">
        <x:v>en</x:v>
      </x:c>
      <x:c r="I74" s="38" t="str">
        <x:v>Hong Kong Monetary Authority (e-HKD)</x:v>
      </x:c>
      <x:c r="J74" s="38" t="str">
        <x:v>The HKMA is also currently inclined to the 
view that the e -HKD should have legal 
tender status given it is intended to be the 
digital equivalent of existing HKD fiat 
currency.</x:v>
      </x:c>
      <x:c r="K74" s="142" t="b">
        <x:v>0</x:v>
      </x:c>
      <x:c r="L74" s="146" t="str">
        <x:v>keep</x:v>
      </x:c>
      <x:c r="M74" s="146" t="str">
        <x:v>keep</x:v>
      </x:c>
      <x:c r="N74" s="147" t="b">
        <x:v>1</x:v>
      </x:c>
      <x:c r="O74" s="146" t="str">
        <x:v>LEGAL.basis</x:v>
      </x:c>
      <x:c r="P74" s="146" t="str">
        <x:v>LEGAL.basis</x:v>
      </x:c>
      <x:c r="Q74" s="146" t="str">
        <x:v>LEGAL</x:v>
      </x:c>
      <x:c r="R74" s="146" t="str">
        <x:v>LEGAL</x:v>
      </x:c>
      <x:c r="S74" s="146" t="str">
        <x:v>proposal</x:v>
      </x:c>
      <x:c r="T74" s="146" t="str">
        <x:v>proposal</x:v>
      </x:c>
      <x:c r="U74" s="146" t="str">
        <x:v>neutral</x:v>
      </x:c>
      <x:c r="V74" s="146" t="str">
        <x:v>neutral</x:v>
      </x:c>
      <x:c r="W74" s="146" t="str">
        <x:v>not_applicable</x:v>
      </x:c>
      <x:c r="X74" s="146" t="str">
        <x:v>not_applicable</x:v>
      </x:c>
      <x:c r="Y74" s="146" t="n">
        <x:v>2</x:v>
      </x:c>
      <x:c r="Z74" s="146" t="n">
        <x:v>2</x:v>
      </x:c>
      <x:c r="AA74" s="146" t="str">
        <x:v>high</x:v>
      </x:c>
      <x:c r="AB74" s="146" t="str">
        <x:v>high</x:v>
      </x:c>
      <x:c r="AC74" s="146"/>
      <x:c r="AD74" s="146"/>
      <x:c r="AE74" s="151" t="str">
        <x:v>LEGAL.basis</x:v>
      </x:c>
      <x:c r="AF74" s="151" t="str">
        <x:v>LEGAL.basis</x:v>
      </x:c>
      <x:c r="AG74" s="151" t="str">
        <x:v>proposal</x:v>
      </x:c>
      <x:c r="AH74" s="151" t="str">
        <x:v>proposal</x:v>
      </x:c>
      <x:c r="AI74" s="154" t="n">
        <x:f>IF(K74,0,1)</x:f>
        <x:v>1</x:v>
      </x:c>
      <x:c r="AJ74" s="154" t="n">
        <x:f>IF(L74="keep",1,0)</x:f>
        <x:v>1</x:v>
      </x:c>
      <x:c r="AK74" s="154" t="n">
        <x:f>IF(M74="keep",1,0)</x:f>
        <x:v>1</x:v>
      </x:c>
      <x:c r="AL74" s="154" t="n">
        <x:f>(AJ74+AK74)/2</x:f>
        <x:v>1</x:v>
      </x:c>
      <x:c r="AM74" s="154" t="n">
        <x:f>MIN(AJ74,AK74)</x:f>
        <x:v>1</x:v>
      </x:c>
      <x:c r="AN74" s="154" t="n">
        <x:f>MAX(AJ74,AK74)</x:f>
        <x:v>1</x:v>
      </x:c>
      <x:c r="AO74" s="154" t="n">
        <x:f>IF(L74=M74,1,0)</x:f>
        <x:v>1</x:v>
      </x:c>
    </x:row>
    <x:row r="75">
      <x:c r="A75" s="38" t="str">
        <x:v>SV-0074</x:v>
      </x:c>
      <x:c r="B75" s="38" t="str">
        <x:v>PC-00516</x:v>
      </x:c>
      <x:c r="C75" s="38" t="str">
        <x:v>en|both</x:v>
      </x:c>
      <x:c r="D75" s="87" t="n">
        <x:v>19.069444444444443</x:v>
      </x:c>
      <x:c r="E75" s="38" t="str">
        <x:v>both</x:v>
      </x:c>
      <x:c r="F75" s="38" t="str">
        <x:v>BR_Brazil_2023</x:v>
      </x:c>
      <x:c r="G75" s="38" t="n">
        <x:v>11</x:v>
      </x:c>
      <x:c r="H75" s="38" t="str">
        <x:v>en</x:v>
      </x:c>
      <x:c r="I75" s="38" t="str">
        <x:v>Banco Central do Brasil (Drex / Digital Real)</x:v>
      </x:c>
      <x:c r="J75" s="38" t="str">
        <x:v>Technological and business directives
✓ To be defined exclusively by the BCB</x:v>
      </x:c>
      <x:c r="K75" s="142" t="b">
        <x:v>0</x:v>
      </x:c>
      <x:c r="L75" s="146" t="str">
        <x:v>keep</x:v>
      </x:c>
      <x:c r="M75" s="146" t="str">
        <x:v>exclude</x:v>
      </x:c>
      <x:c r="N75" s="147" t="b">
        <x:v>0</x:v>
      </x:c>
      <x:c r="O75" s="146" t="str">
        <x:v>INST.mandate</x:v>
      </x:c>
      <x:c r="P75" s="146" t="str">
        <x:v>SYS.design</x:v>
      </x:c>
      <x:c r="Q75" s="146" t="str">
        <x:v>INST</x:v>
      </x:c>
      <x:c r="R75" s="146" t="str">
        <x:v>SYS</x:v>
      </x:c>
      <x:c r="S75" s="146" t="str">
        <x:v>decision</x:v>
      </x:c>
      <x:c r="T75" s="146" t="str">
        <x:v>decision</x:v>
      </x:c>
      <x:c r="U75" s="146" t="str">
        <x:v>neutral</x:v>
      </x:c>
      <x:c r="V75" s="146" t="str">
        <x:v>neutral</x:v>
      </x:c>
      <x:c r="W75" s="146" t="str">
        <x:v>not_applicable</x:v>
      </x:c>
      <x:c r="X75" s="146" t="str">
        <x:v>not_applicable</x:v>
      </x:c>
      <x:c r="Y75" s="146" t="n">
        <x:v>2</x:v>
      </x:c>
      <x:c r="Z75" s="146" t="n">
        <x:v>2</x:v>
      </x:c>
      <x:c r="AA75" s="146" t="str">
        <x:v>high</x:v>
      </x:c>
      <x:c r="AB75" s="146" t="str">
        <x:v>high</x:v>
      </x:c>
      <x:c r="AC75" s="146"/>
      <x:c r="AD75" s="146" t="str">
        <x:v>x</x:v>
      </x:c>
      <x:c r="AE75" s="151" t="str">
        <x:v>INST.mandate</x:v>
      </x:c>
      <x:c r="AF75" s="151" t="str">
        <x:v>SYS.design</x:v>
      </x:c>
      <x:c r="AG75" s="151" t="str">
        <x:v>decision</x:v>
      </x:c>
      <x:c r="AH75" s="151" t="str">
        <x:v>decision</x:v>
      </x:c>
      <x:c r="AI75" s="154" t="n">
        <x:f>IF(K75,0,1)</x:f>
        <x:v>1</x:v>
      </x:c>
      <x:c r="AJ75" s="154" t="n">
        <x:f>IF(L75="keep",1,0)</x:f>
        <x:v>1</x:v>
      </x:c>
      <x:c r="AK75" s="154" t="n">
        <x:f>IF(M75="keep",1,0)</x:f>
        <x:v>0</x:v>
      </x:c>
      <x:c r="AL75" s="154" t="n">
        <x:f>(AJ75+AK75)/2</x:f>
        <x:v>0.5</x:v>
      </x:c>
      <x:c r="AM75" s="154" t="n">
        <x:f>MIN(AJ75,AK75)</x:f>
        <x:v>0</x:v>
      </x:c>
      <x:c r="AN75" s="154" t="n">
        <x:f>MAX(AJ75,AK75)</x:f>
        <x:v>1</x:v>
      </x:c>
      <x:c r="AO75" s="154" t="n">
        <x:f>IF(L75=M75,1,0)</x:f>
        <x:v>0</x:v>
      </x:c>
    </x:row>
    <x:row r="76">
      <x:c r="A76" s="38" t="str">
        <x:v>SV-0075</x:v>
      </x:c>
      <x:c r="B76" s="38" t="str">
        <x:v>PC-04631</x:v>
      </x:c>
      <x:c r="C76" s="38" t="str">
        <x:v>en|both</x:v>
      </x:c>
      <x:c r="D76" s="87" t="n">
        <x:v>19.069444444444443</x:v>
      </x:c>
      <x:c r="E76" s="38" t="str">
        <x:v>both</x:v>
      </x:c>
      <x:c r="F76" s="38" t="str">
        <x:v>PE_Peru_cbdc-presentation</x:v>
      </x:c>
      <x:c r="G76" s="38" t="n">
        <x:v>8</x:v>
      </x:c>
      <x:c r="H76" s="38" t="str">
        <x:v>en</x:v>
      </x:c>
      <x:c r="I76" s="38" t="str">
        <x:v>Banco Central de Reserva del Peru</x:v>
      </x:c>
      <x:c r="J76" s="38" t="str">
        <x:v>The CBDC issuance is not intended to compete with existing digital payment services, but to 
expand unbanked people’s access to payment services .</x:v>
      </x:c>
      <x:c r="K76" s="142" t="b">
        <x:v>0</x:v>
      </x:c>
      <x:c r="L76" s="146" t="str">
        <x:v>keep</x:v>
      </x:c>
      <x:c r="M76" s="146" t="str">
        <x:v>keep</x:v>
      </x:c>
      <x:c r="N76" s="147" t="b">
        <x:v>1</x:v>
      </x:c>
      <x:c r="O76" s="146" t="str">
        <x:v>ACCESS.universal</x:v>
      </x:c>
      <x:c r="P76" s="146" t="str">
        <x:v>ACCESS.universal</x:v>
      </x:c>
      <x:c r="Q76" s="146" t="str">
        <x:v>ACCESS</x:v>
      </x:c>
      <x:c r="R76" s="146" t="str">
        <x:v>ACCESS</x:v>
      </x:c>
      <x:c r="S76" s="146" t="str">
        <x:v>decision</x:v>
      </x:c>
      <x:c r="T76" s="146" t="str">
        <x:v>decision</x:v>
      </x:c>
      <x:c r="U76" s="146" t="str">
        <x:v>neutral</x:v>
      </x:c>
      <x:c r="V76" s="146" t="str">
        <x:v>neutral</x:v>
      </x:c>
      <x:c r="W76" s="146" t="str">
        <x:v>not_applicable</x:v>
      </x:c>
      <x:c r="X76" s="146" t="str">
        <x:v>not_applicable</x:v>
      </x:c>
      <x:c r="Y76" s="146" t="n">
        <x:v>3</x:v>
      </x:c>
      <x:c r="Z76" s="146" t="n">
        <x:v>2</x:v>
      </x:c>
      <x:c r="AA76" s="146" t="str">
        <x:v>high</x:v>
      </x:c>
      <x:c r="AB76" s="146" t="str">
        <x:v>high</x:v>
      </x:c>
      <x:c r="AC76" s="146"/>
      <x:c r="AD76" s="146"/>
      <x:c r="AE76" s="151" t="str">
        <x:v>ACCESS.universal</x:v>
      </x:c>
      <x:c r="AF76" s="151" t="str">
        <x:v>ACCESS.universal</x:v>
      </x:c>
      <x:c r="AG76" s="151" t="str">
        <x:v>decision</x:v>
      </x:c>
      <x:c r="AH76" s="151" t="str">
        <x:v>decision</x:v>
      </x:c>
      <x:c r="AI76" s="154" t="n">
        <x:f>IF(K76,0,1)</x:f>
        <x:v>1</x:v>
      </x:c>
      <x:c r="AJ76" s="154" t="n">
        <x:f>IF(L76="keep",1,0)</x:f>
        <x:v>1</x:v>
      </x:c>
      <x:c r="AK76" s="154" t="n">
        <x:f>IF(M76="keep",1,0)</x:f>
        <x:v>1</x:v>
      </x:c>
      <x:c r="AL76" s="154" t="n">
        <x:f>(AJ76+AK76)/2</x:f>
        <x:v>1</x:v>
      </x:c>
      <x:c r="AM76" s="154" t="n">
        <x:f>MIN(AJ76,AK76)</x:f>
        <x:v>1</x:v>
      </x:c>
      <x:c r="AN76" s="154" t="n">
        <x:f>MAX(AJ76,AK76)</x:f>
        <x:v>1</x:v>
      </x:c>
      <x:c r="AO76" s="154" t="n">
        <x:f>IF(L76=M76,1,0)</x:f>
        <x:v>1</x:v>
      </x:c>
    </x:row>
    <x:row r="77">
      <x:c r="A77" s="38" t="str">
        <x:v>SV-0076</x:v>
      </x:c>
      <x:c r="B77" s="38" t="str">
        <x:v>PC-04367</x:v>
      </x:c>
      <x:c r="C77" s="38" t="str">
        <x:v>en|claude_only</x:v>
      </x:c>
      <x:c r="D77" s="87" t="n">
        <x:v>19.375</x:v>
      </x:c>
      <x:c r="E77" s="38" t="str">
        <x:v>claude_only</x:v>
      </x:c>
      <x:c r="F77" s="38" t="str">
        <x:v>NO_Norway_norges-bank-memo-1-2021</x:v>
      </x:c>
      <x:c r="G77" s="38" t="n">
        <x:v>34</x:v>
      </x:c>
      <x:c r="H77" s="38" t="str">
        <x:v>en</x:v>
      </x:c>
      <x:c r="I77" s="38" t="str">
        <x:v>Norges Bank (Norwegian CBDC work)</x:v>
      </x:c>
      <x:c r="J77" s="38" t="str">
        <x:v>Vi ser for oss at kontosystemet kombineres med en modul for lokal lagring.</x:v>
      </x:c>
      <x:c r="K77" s="142" t="b">
        <x:v>0</x:v>
      </x:c>
      <x:c r="L77" s="146" t="str">
        <x:v>exclude</x:v>
      </x:c>
      <x:c r="M77" s="146" t="str">
        <x:v>keep</x:v>
      </x:c>
      <x:c r="N77" s="147" t="b">
        <x:v>0</x:v>
      </x:c>
      <x:c r="O77" s="146"/>
      <x:c r="P77" s="146" t="str">
        <x:v>SYS.design</x:v>
      </x:c>
      <x:c r="Q77" s="146" t="str"/>
      <x:c r="R77" s="146" t="str">
        <x:v>SYS</x:v>
      </x:c>
      <x:c r="S77" s="146"/>
      <x:c r="T77" s="146" t="str">
        <x:v>proposal</x:v>
      </x:c>
      <x:c r="U77" s="146"/>
      <x:c r="V77" s="146" t="str">
        <x:v>neutral</x:v>
      </x:c>
      <x:c r="W77" s="146"/>
      <x:c r="X77" s="146" t="str">
        <x:v>not_applicable</x:v>
      </x:c>
      <x:c r="Y77" s="146"/>
      <x:c r="Z77" s="146" t="n">
        <x:v>2</x:v>
      </x:c>
      <x:c r="AA77" s="146" t="str">
        <x:v>high</x:v>
      </x:c>
      <x:c r="AB77" s="146" t="str">
        <x:v>high</x:v>
      </x:c>
      <x:c r="AC77" s="146"/>
      <x:c r="AD77" s="146"/>
      <x:c r="AE77" s="151"/>
      <x:c r="AF77" s="151" t="str">
        <x:v>SYS.design</x:v>
      </x:c>
      <x:c r="AG77" s="151"/>
      <x:c r="AH77" s="151" t="str">
        <x:v>proposal</x:v>
      </x:c>
      <x:c r="AI77" s="154" t="n">
        <x:f>IF(K77,0,1)</x:f>
        <x:v>1</x:v>
      </x:c>
      <x:c r="AJ77" s="154" t="n">
        <x:f>IF(L77="keep",1,0)</x:f>
        <x:v>0</x:v>
      </x:c>
      <x:c r="AK77" s="154" t="n">
        <x:f>IF(M77="keep",1,0)</x:f>
        <x:v>1</x:v>
      </x:c>
      <x:c r="AL77" s="154" t="n">
        <x:f>(AJ77+AK77)/2</x:f>
        <x:v>0.5</x:v>
      </x:c>
      <x:c r="AM77" s="154" t="n">
        <x:f>MIN(AJ77,AK77)</x:f>
        <x:v>0</x:v>
      </x:c>
      <x:c r="AN77" s="154" t="n">
        <x:f>MAX(AJ77,AK77)</x:f>
        <x:v>1</x:v>
      </x:c>
      <x:c r="AO77" s="154" t="n">
        <x:f>IF(L77=M77,1,0)</x:f>
        <x:v>0</x:v>
      </x:c>
    </x:row>
    <x:row r="78">
      <x:c r="A78" s="38" t="str">
        <x:v>SV-0077</x:v>
      </x:c>
      <x:c r="B78" s="38" t="str">
        <x:v>PC-00367</x:v>
      </x:c>
      <x:c r="C78" s="38" t="str">
        <x:v>en|claude_only</x:v>
      </x:c>
      <x:c r="D78" s="87" t="n">
        <x:v>19.375</x:v>
      </x:c>
      <x:c r="E78" s="38" t="str">
        <x:v>claude_only</x:v>
      </x:c>
      <x:c r="F78" s="38" t="str">
        <x:v>AW_ARU_001</x:v>
      </x:c>
      <x:c r="G78" s="38" t="n">
        <x:v>90</x:v>
      </x:c>
      <x:c r="H78" s="38" t="str">
        <x:v>en</x:v>
      </x:c>
      <x:c r="I78" s="38" t="str">
        <x:v>Aruba policy study / Central Bank of Aruba</x:v>
      </x:c>
      <x:c r="J78" s="38" t="str">
        <x:v>permissioned distributed ledger 
technology (DLT)</x:v>
      </x:c>
      <x:c r="K78" s="142" t="b">
        <x:v>0</x:v>
      </x:c>
      <x:c r="L78" s="146" t="str">
        <x:v>exclude</x:v>
      </x:c>
      <x:c r="M78" s="146" t="str">
        <x:v>exclude</x:v>
      </x:c>
      <x:c r="N78" s="147" t="b">
        <x:v>1</x:v>
      </x:c>
      <x:c r="O78" s="146"/>
      <x:c r="P78" s="146" t="str">
        <x:v>TECH.DLT</x:v>
      </x:c>
      <x:c r="Q78" s="146" t="str"/>
      <x:c r="R78" s="146" t="str">
        <x:v>TECH</x:v>
      </x:c>
      <x:c r="S78" s="146"/>
      <x:c r="T78" s="146" t="str">
        <x:v>proposal</x:v>
      </x:c>
      <x:c r="U78" s="146"/>
      <x:c r="V78" s="146" t="str">
        <x:v>neutral</x:v>
      </x:c>
      <x:c r="W78" s="146"/>
      <x:c r="X78" s="146" t="str">
        <x:v>not_applicable</x:v>
      </x:c>
      <x:c r="Y78" s="146"/>
      <x:c r="Z78" s="146" t="n">
        <x:v>3</x:v>
      </x:c>
      <x:c r="AA78" s="146" t="str">
        <x:v>high</x:v>
      </x:c>
      <x:c r="AB78" s="146" t="str">
        <x:v>high</x:v>
      </x:c>
      <x:c r="AC78" s="146"/>
      <x:c r="AD78" s="146" t="str">
        <x:v>x</x:v>
      </x:c>
      <x:c r="AE78" s="151"/>
      <x:c r="AF78" s="151" t="str">
        <x:v>TECH.DLT</x:v>
      </x:c>
      <x:c r="AG78" s="151"/>
      <x:c r="AH78" s="151" t="str">
        <x:v>proposal</x:v>
      </x:c>
      <x:c r="AI78" s="154" t="n">
        <x:f>IF(K78,0,1)</x:f>
        <x:v>1</x:v>
      </x:c>
      <x:c r="AJ78" s="154" t="n">
        <x:f>IF(L78="keep",1,0)</x:f>
        <x:v>0</x:v>
      </x:c>
      <x:c r="AK78" s="154" t="n">
        <x:f>IF(M78="keep",1,0)</x:f>
        <x:v>0</x:v>
      </x:c>
      <x:c r="AL78" s="154" t="n">
        <x:f>(AJ78+AK78)/2</x:f>
        <x:v>0</x:v>
      </x:c>
      <x:c r="AM78" s="154" t="n">
        <x:f>MIN(AJ78,AK78)</x:f>
        <x:v>0</x:v>
      </x:c>
      <x:c r="AN78" s="154" t="n">
        <x:f>MAX(AJ78,AK78)</x:f>
        <x:v>0</x:v>
      </x:c>
      <x:c r="AO78" s="154" t="n">
        <x:f>IF(L78=M78,1,0)</x:f>
        <x:v>1</x:v>
      </x:c>
    </x:row>
    <x:row r="79">
      <x:c r="A79" s="38" t="str">
        <x:v>SV-0078</x:v>
      </x:c>
      <x:c r="B79" s="38" t="str">
        <x:v>PC-00907</x:v>
      </x:c>
      <x:c r="C79" s="38" t="str">
        <x:v>en|both</x:v>
      </x:c>
      <x:c r="D79" s="87" t="n">
        <x:v>19.069444444444443</x:v>
      </x:c>
      <x:c r="E79" s="38" t="str">
        <x:v>both</x:v>
      </x:c>
      <x:c r="F79" s="38" t="str">
        <x:v>CA_Jasper_III_2018</x:v>
      </x:c>
      <x:c r="G79" s="38" t="n">
        <x:v>29</x:v>
      </x:c>
      <x:c r="H79" s="38" t="str">
        <x:v>en</x:v>
      </x:c>
      <x:c r="I79" s="38" t="str">
        <x:v>Bank of Canada and Payments Canada (Project Jasper)</x:v>
      </x:c>
      <x:c r="J79" s="38" t="str">
        <x:v>The platform was also capable of handling the diff  erent participant sets between 
the LVTS and CDS such that each participant was only capable of performing 
those functions for which they were authorized.</x:v>
      </x:c>
      <x:c r="K79" s="142" t="b">
        <x:v>0</x:v>
      </x:c>
      <x:c r="L79" s="146" t="str">
        <x:v>keep</x:v>
      </x:c>
      <x:c r="M79" s="146" t="str">
        <x:v>keep</x:v>
      </x:c>
      <x:c r="N79" s="147" t="b">
        <x:v>1</x:v>
      </x:c>
      <x:c r="O79" s="146" t="str">
        <x:v>SYS.design</x:v>
      </x:c>
      <x:c r="P79" s="146" t="str">
        <x:v>SYS.design</x:v>
      </x:c>
      <x:c r="Q79" s="146" t="str">
        <x:v>SYS</x:v>
      </x:c>
      <x:c r="R79" s="146" t="str">
        <x:v>SYS</x:v>
      </x:c>
      <x:c r="S79" s="146" t="str">
        <x:v>finding</x:v>
      </x:c>
      <x:c r="T79" s="146" t="str">
        <x:v>finding</x:v>
      </x:c>
      <x:c r="U79" s="146" t="str">
        <x:v>neutral</x:v>
      </x:c>
      <x:c r="V79" s="146" t="str">
        <x:v>neutral</x:v>
      </x:c>
      <x:c r="W79" s="146" t="str">
        <x:v>not_applicable</x:v>
      </x:c>
      <x:c r="X79" s="146" t="str">
        <x:v>not_applicable</x:v>
      </x:c>
      <x:c r="Y79" s="146" t="n">
        <x:v>2</x:v>
      </x:c>
      <x:c r="Z79" s="146" t="n">
        <x:v>2</x:v>
      </x:c>
      <x:c r="AA79" s="146" t="str">
        <x:v>high</x:v>
      </x:c>
      <x:c r="AB79" s="146" t="str">
        <x:v>high</x:v>
      </x:c>
      <x:c r="AC79" s="146"/>
      <x:c r="AD79" s="146"/>
      <x:c r="AE79" s="151" t="str">
        <x:v>SYS.design</x:v>
      </x:c>
      <x:c r="AF79" s="151" t="str">
        <x:v>SYS.design</x:v>
      </x:c>
      <x:c r="AG79" s="151" t="str">
        <x:v>finding</x:v>
      </x:c>
      <x:c r="AH79" s="151" t="str">
        <x:v>finding</x:v>
      </x:c>
      <x:c r="AI79" s="154" t="n">
        <x:f>IF(K79,0,1)</x:f>
        <x:v>1</x:v>
      </x:c>
      <x:c r="AJ79" s="154" t="n">
        <x:f>IF(L79="keep",1,0)</x:f>
        <x:v>1</x:v>
      </x:c>
      <x:c r="AK79" s="154" t="n">
        <x:f>IF(M79="keep",1,0)</x:f>
        <x:v>1</x:v>
      </x:c>
      <x:c r="AL79" s="154" t="n">
        <x:f>(AJ79+AK79)/2</x:f>
        <x:v>1</x:v>
      </x:c>
      <x:c r="AM79" s="154" t="n">
        <x:f>MIN(AJ79,AK79)</x:f>
        <x:v>1</x:v>
      </x:c>
      <x:c r="AN79" s="154" t="n">
        <x:f>MAX(AJ79,AK79)</x:f>
        <x:v>1</x:v>
      </x:c>
      <x:c r="AO79" s="154" t="n">
        <x:f>IF(L79=M79,1,0)</x:f>
        <x:v>1</x:v>
      </x:c>
    </x:row>
    <x:row r="80">
      <x:c r="A80" s="38" t="str">
        <x:v>SV-0079</x:v>
      </x:c>
      <x:c r="B80" s="38" t="str">
        <x:v>PC-02056</x:v>
      </x:c>
      <x:c r="C80" s="38" t="str">
        <x:v>en|both</x:v>
      </x:c>
      <x:c r="D80" s="87" t="n">
        <x:v>19.069444444444443</x:v>
      </x:c>
      <x:c r="E80" s="38" t="str">
        <x:v>both</x:v>
      </x:c>
      <x:c r="F80" s="38" t="str">
        <x:v>HK_HKMA_eHKD_Phase2_2025</x:v>
      </x:c>
      <x:c r="G80" s="38" t="n">
        <x:v>34</x:v>
      </x:c>
      <x:c r="H80" s="38" t="str">
        <x:v>en</x:v>
      </x:c>
      <x:c r="I80" s="38" t="str">
        <x:v>Hong Kong Monetary Authority (e-HKD Phase 2 pilots)</x:v>
      </x:c>
      <x:c r="J80" s="38" t="str">
        <x:v>It was found that ZKPs improved privacy 
with similar settlement times but significantly 
increased gas fees37, making them up to 320 
times more expensive than transactions which 
do not use any PETs, due to their computational 
intensity.</x:v>
      </x:c>
      <x:c r="K80" s="142" t="b">
        <x:v>0</x:v>
      </x:c>
      <x:c r="L80" s="146" t="str">
        <x:v>keep</x:v>
      </x:c>
      <x:c r="M80" s="146" t="str">
        <x:v>keep</x:v>
      </x:c>
      <x:c r="N80" s="147" t="b">
        <x:v>1</x:v>
      </x:c>
      <x:c r="O80" s="146" t="str">
        <x:v>ADOPT.experience</x:v>
      </x:c>
      <x:c r="P80" s="146" t="str">
        <x:v>PRIV.PET</x:v>
      </x:c>
      <x:c r="Q80" s="146" t="str">
        <x:v>ADOPT</x:v>
      </x:c>
      <x:c r="R80" s="146" t="str">
        <x:v>PRIV</x:v>
      </x:c>
      <x:c r="S80" s="146" t="str">
        <x:v>finding</x:v>
      </x:c>
      <x:c r="T80" s="146" t="str">
        <x:v>finding</x:v>
      </x:c>
      <x:c r="U80" s="146" t="str">
        <x:v>neutral</x:v>
      </x:c>
      <x:c r="V80" s="146" t="str">
        <x:v>increases</x:v>
      </x:c>
      <x:c r="W80" s="146" t="str">
        <x:v>not_applicable</x:v>
      </x:c>
      <x:c r="X80" s="146" t="str">
        <x:v>not_applicable</x:v>
      </x:c>
      <x:c r="Y80" s="146" t="n">
        <x:v>2</x:v>
      </x:c>
      <x:c r="Z80" s="146" t="n">
        <x:v>3</x:v>
      </x:c>
      <x:c r="AA80" s="146" t="str">
        <x:v>high</x:v>
      </x:c>
      <x:c r="AB80" s="146" t="str">
        <x:v>high</x:v>
      </x:c>
      <x:c r="AC80" s="146"/>
      <x:c r="AD80" s="146"/>
      <x:c r="AE80" s="151" t="str">
        <x:v>ADOPT.experience</x:v>
      </x:c>
      <x:c r="AF80" s="151" t="str">
        <x:v>PRIV.PET</x:v>
      </x:c>
      <x:c r="AG80" s="151" t="str">
        <x:v>finding</x:v>
      </x:c>
      <x:c r="AH80" s="151" t="str">
        <x:v>finding</x:v>
      </x:c>
      <x:c r="AI80" s="154" t="n">
        <x:f>IF(K80,0,1)</x:f>
        <x:v>1</x:v>
      </x:c>
      <x:c r="AJ80" s="154" t="n">
        <x:f>IF(L80="keep",1,0)</x:f>
        <x:v>1</x:v>
      </x:c>
      <x:c r="AK80" s="154" t="n">
        <x:f>IF(M80="keep",1,0)</x:f>
        <x:v>1</x:v>
      </x:c>
      <x:c r="AL80" s="154" t="n">
        <x:f>(AJ80+AK80)/2</x:f>
        <x:v>1</x:v>
      </x:c>
      <x:c r="AM80" s="154" t="n">
        <x:f>MIN(AJ80,AK80)</x:f>
        <x:v>1</x:v>
      </x:c>
      <x:c r="AN80" s="154" t="n">
        <x:f>MAX(AJ80,AK80)</x:f>
        <x:v>1</x:v>
      </x:c>
      <x:c r="AO80" s="154" t="n">
        <x:f>IF(L80=M80,1,0)</x:f>
        <x:v>1</x:v>
      </x:c>
    </x:row>
    <x:row r="81">
      <x:c r="A81" s="38" t="str">
        <x:v>SV-0080</x:v>
      </x:c>
      <x:c r="B81" s="38" t="str">
        <x:v>PC-02565</x:v>
      </x:c>
      <x:c r="C81" s="38" t="str">
        <x:v>en|claude_only</x:v>
      </x:c>
      <x:c r="D81" s="87" t="n">
        <x:v>19.375</x:v>
      </x:c>
      <x:c r="E81" s="38" t="str">
        <x:v>claude_only</x:v>
      </x:c>
      <x:c r="F81" s="38" t="str">
        <x:v>ID_Indonesia_2024</x:v>
      </x:c>
      <x:c r="G81" s="38" t="n">
        <x:v>25</x:v>
      </x:c>
      <x:c r="H81" s="38" t="str">
        <x:v>en</x:v>
      </x:c>
      <x:c r="I81" s="38" t="str">
        <x:v>Bank Indonesia (Digital Rupiah)</x:v>
      </x:c>
      <x:c r="J81" s="38" t="str">
        <x:v>The security aspects in the implementation of 
the wRD PoC have been tested and follow the 
applicable security standards at Bank Indonesia.</x:v>
      </x:c>
      <x:c r="K81" s="142" t="b">
        <x:v>0</x:v>
      </x:c>
      <x:c r="L81" s="146" t="str">
        <x:v>keep</x:v>
      </x:c>
      <x:c r="M81" s="146" t="str">
        <x:v>keep</x:v>
      </x:c>
      <x:c r="N81" s="147" t="b">
        <x:v>1</x:v>
      </x:c>
      <x:c r="O81" s="146" t="str">
        <x:v>OPS.resilience</x:v>
      </x:c>
      <x:c r="P81" s="146" t="str">
        <x:v>OPS.resilience</x:v>
      </x:c>
      <x:c r="Q81" s="146" t="str">
        <x:v>OPS</x:v>
      </x:c>
      <x:c r="R81" s="146" t="str">
        <x:v>OPS</x:v>
      </x:c>
      <x:c r="S81" s="146" t="str">
        <x:v>decision</x:v>
      </x:c>
      <x:c r="T81" s="146" t="str">
        <x:v>finding</x:v>
      </x:c>
      <x:c r="U81" s="146" t="str">
        <x:v>neutral</x:v>
      </x:c>
      <x:c r="V81" s="146" t="str">
        <x:v>neutral</x:v>
      </x:c>
      <x:c r="W81" s="146" t="str">
        <x:v>not_applicable</x:v>
      </x:c>
      <x:c r="X81" s="146" t="str">
        <x:v>not_applicable</x:v>
      </x:c>
      <x:c r="Y81" s="146" t="n">
        <x:v>2</x:v>
      </x:c>
      <x:c r="Z81" s="146" t="n">
        <x:v>2</x:v>
      </x:c>
      <x:c r="AA81" s="146" t="str">
        <x:v>high</x:v>
      </x:c>
      <x:c r="AB81" s="146" t="str">
        <x:v>high</x:v>
      </x:c>
      <x:c r="AC81" s="146"/>
      <x:c r="AD81" s="146"/>
      <x:c r="AE81" s="151"/>
      <x:c r="AF81" s="151" t="str">
        <x:v>OPS.resilience</x:v>
      </x:c>
      <x:c r="AG81" s="151"/>
      <x:c r="AH81" s="151" t="str">
        <x:v>finding</x:v>
      </x:c>
      <x:c r="AI81" s="154" t="n">
        <x:f>IF(K81,0,1)</x:f>
        <x:v>1</x:v>
      </x:c>
      <x:c r="AJ81" s="154" t="n">
        <x:f>IF(L81="keep",1,0)</x:f>
        <x:v>1</x:v>
      </x:c>
      <x:c r="AK81" s="154" t="n">
        <x:f>IF(M81="keep",1,0)</x:f>
        <x:v>1</x:v>
      </x:c>
      <x:c r="AL81" s="154" t="n">
        <x:f>(AJ81+AK81)/2</x:f>
        <x:v>1</x:v>
      </x:c>
      <x:c r="AM81" s="154" t="n">
        <x:f>MIN(AJ81,AK81)</x:f>
        <x:v>1</x:v>
      </x:c>
      <x:c r="AN81" s="154" t="n">
        <x:f>MAX(AJ81,AK81)</x:f>
        <x:v>1</x:v>
      </x:c>
      <x:c r="AO81" s="154" t="n">
        <x:f>IF(L81=M81,1,0)</x:f>
        <x:v>1</x:v>
      </x:c>
    </x:row>
    <x:row r="82">
      <x:c r="A82" s="38" t="str">
        <x:v>SV-0081</x:v>
      </x:c>
      <x:c r="B82" s="38" t="str">
        <x:v>PC-06319</x:v>
      </x:c>
      <x:c r="C82" s="38" t="str">
        <x:v>en|both</x:v>
      </x:c>
      <x:c r="D82" s="87" t="n">
        <x:v>19.069444444444443</x:v>
      </x:c>
      <x:c r="E82" s="38" t="str">
        <x:v>both</x:v>
      </x:c>
      <x:c r="F82" s="38" t="str">
        <x:v>UK_BoE_2023_TechWP</x:v>
      </x:c>
      <x:c r="G82" s="38" t="n">
        <x:v>58</x:v>
      </x:c>
      <x:c r="H82" s="38" t="str">
        <x:v>en</x:v>
      </x:c>
      <x:c r="I82" s="38" t="str">
        <x:v>Bank of England and HM Treasury (digital pound)</x:v>
      </x:c>
      <x:c r="J82" s="38" t="str">
        <x:v>A well-designed API layer would allow PIPs to integrate their current and future payment 
services with a CBDC.</x:v>
      </x:c>
      <x:c r="K82" s="142" t="b">
        <x:v>0</x:v>
      </x:c>
      <x:c r="L82" s="146" t="str">
        <x:v>keep</x:v>
      </x:c>
      <x:c r="M82" s="146" t="str">
        <x:v>keep</x:v>
      </x:c>
      <x:c r="N82" s="147" t="b">
        <x:v>1</x:v>
      </x:c>
      <x:c r="O82" s="146" t="str">
        <x:v>INTEROP.domestic</x:v>
      </x:c>
      <x:c r="P82" s="146" t="str">
        <x:v>SYS.design</x:v>
      </x:c>
      <x:c r="Q82" s="146" t="str">
        <x:v>INTEROP</x:v>
      </x:c>
      <x:c r="R82" s="146" t="str">
        <x:v>SYS</x:v>
      </x:c>
      <x:c r="S82" s="146" t="str">
        <x:v>proposal</x:v>
      </x:c>
      <x:c r="T82" s="146" t="str">
        <x:v>proposal</x:v>
      </x:c>
      <x:c r="U82" s="146" t="str">
        <x:v>neutral</x:v>
      </x:c>
      <x:c r="V82" s="146" t="str">
        <x:v>neutral</x:v>
      </x:c>
      <x:c r="W82" s="146" t="str">
        <x:v>not_applicable</x:v>
      </x:c>
      <x:c r="X82" s="146" t="str">
        <x:v>not_applicable</x:v>
      </x:c>
      <x:c r="Y82" s="146" t="n">
        <x:v>2</x:v>
      </x:c>
      <x:c r="Z82" s="146" t="n">
        <x:v>2</x:v>
      </x:c>
      <x:c r="AA82" s="146" t="str">
        <x:v>high</x:v>
      </x:c>
      <x:c r="AB82" s="146" t="str">
        <x:v>high</x:v>
      </x:c>
      <x:c r="AC82" s="146"/>
      <x:c r="AD82" s="146"/>
      <x:c r="AE82" s="151" t="str">
        <x:v>INTEROP.domestic</x:v>
      </x:c>
      <x:c r="AF82" s="151" t="str">
        <x:v>SYS.design</x:v>
      </x:c>
      <x:c r="AG82" s="151" t="str">
        <x:v>proposal</x:v>
      </x:c>
      <x:c r="AH82" s="151" t="str">
        <x:v>proposal</x:v>
      </x:c>
      <x:c r="AI82" s="154" t="n">
        <x:f>IF(K82,0,1)</x:f>
        <x:v>1</x:v>
      </x:c>
      <x:c r="AJ82" s="154" t="n">
        <x:f>IF(L82="keep",1,0)</x:f>
        <x:v>1</x:v>
      </x:c>
      <x:c r="AK82" s="154" t="n">
        <x:f>IF(M82="keep",1,0)</x:f>
        <x:v>1</x:v>
      </x:c>
      <x:c r="AL82" s="154" t="n">
        <x:f>(AJ82+AK82)/2</x:f>
        <x:v>1</x:v>
      </x:c>
      <x:c r="AM82" s="154" t="n">
        <x:f>MIN(AJ82,AK82)</x:f>
        <x:v>1</x:v>
      </x:c>
      <x:c r="AN82" s="154" t="n">
        <x:f>MAX(AJ82,AK82)</x:f>
        <x:v>1</x:v>
      </x:c>
      <x:c r="AO82" s="154" t="n">
        <x:f>IF(L82=M82,1,0)</x:f>
        <x:v>1</x:v>
      </x:c>
    </x:row>
    <x:row r="83">
      <x:c r="A83" s="38" t="str">
        <x:v>SV-0082</x:v>
      </x:c>
      <x:c r="B83" s="38" t="str">
        <x:v>PC-03755</x:v>
      </x:c>
      <x:c r="C83" s="38" t="str">
        <x:v>ja|both</x:v>
      </x:c>
      <x:c r="D83" s="87" t="n">
        <x:v>7</x:v>
      </x:c>
      <x:c r="E83" s="38" t="str">
        <x:v>both</x:v>
      </x:c>
      <x:c r="F83" s="38" t="str">
        <x:v>JP_BoJ_Pilot_JP</x:v>
      </x:c>
      <x:c r="G83" s="38" t="n">
        <x:v>7</x:v>
      </x:c>
      <x:c r="H83" s="38" t="str">
        <x:v>ja</x:v>
      </x:c>
      <x:c r="I83" s="38" t="str">
        <x:v>Bank of Japan (CBDC pilot)</x:v>
      </x:c>
      <x:c r="J83" s="38" t="str">
        <x:v>⑦逆引送金 
送金先のユーザーが、送金元のユーザーの事前承諾を前提に、逆引送金を行うための取
引指示を送金元の CBDC 口座に対して送付し、当該指示とおりの逆引送金を実行</x:v>
      </x:c>
      <x:c r="K83" s="142" t="b">
        <x:v>0</x:v>
      </x:c>
      <x:c r="L83" s="146" t="str">
        <x:v>keep</x:v>
      </x:c>
      <x:c r="M83" s="146" t="str">
        <x:v>keep</x:v>
      </x:c>
      <x:c r="N83" s="147" t="b">
        <x:v>1</x:v>
      </x:c>
      <x:c r="O83" s="146" t="str">
        <x:v>PROG.generic</x:v>
      </x:c>
      <x:c r="P83" s="146" t="str">
        <x:v>SYS.design</x:v>
      </x:c>
      <x:c r="Q83" s="146" t="str">
        <x:v>PROG</x:v>
      </x:c>
      <x:c r="R83" s="146" t="str">
        <x:v>SYS</x:v>
      </x:c>
      <x:c r="S83" s="146" t="str">
        <x:v>proposal</x:v>
      </x:c>
      <x:c r="T83" s="146" t="str">
        <x:v>decision</x:v>
      </x:c>
      <x:c r="U83" s="146" t="str">
        <x:v>neutral</x:v>
      </x:c>
      <x:c r="V83" s="146" t="str">
        <x:v>neutral</x:v>
      </x:c>
      <x:c r="W83" s="146" t="str">
        <x:v>not_applicable</x:v>
      </x:c>
      <x:c r="X83" s="146" t="str">
        <x:v>not_applicable</x:v>
      </x:c>
      <x:c r="Y83" s="146" t="n">
        <x:v>2</x:v>
      </x:c>
      <x:c r="Z83" s="146" t="n">
        <x:v>1</x:v>
      </x:c>
      <x:c r="AA83" s="146" t="str">
        <x:v>high</x:v>
      </x:c>
      <x:c r="AB83" s="146" t="str">
        <x:v>high</x:v>
      </x:c>
      <x:c r="AC83" s="146"/>
      <x:c r="AD83" s="146"/>
      <x:c r="AE83" s="151" t="str">
        <x:v>PROG.generic</x:v>
      </x:c>
      <x:c r="AF83" s="151" t="str">
        <x:v>SYS.design</x:v>
      </x:c>
      <x:c r="AG83" s="151" t="str">
        <x:v>proposal</x:v>
      </x:c>
      <x:c r="AH83" s="151" t="str">
        <x:v>decision</x:v>
      </x:c>
      <x:c r="AI83" s="154" t="n">
        <x:f>IF(K83,0,1)</x:f>
        <x:v>1</x:v>
      </x:c>
      <x:c r="AJ83" s="154" t="n">
        <x:f>IF(L83="keep",1,0)</x:f>
        <x:v>1</x:v>
      </x:c>
      <x:c r="AK83" s="154" t="n">
        <x:f>IF(M83="keep",1,0)</x:f>
        <x:v>1</x:v>
      </x:c>
      <x:c r="AL83" s="154" t="n">
        <x:f>(AJ83+AK83)/2</x:f>
        <x:v>1</x:v>
      </x:c>
      <x:c r="AM83" s="154" t="n">
        <x:f>MIN(AJ83,AK83)</x:f>
        <x:v>1</x:v>
      </x:c>
      <x:c r="AN83" s="154" t="n">
        <x:f>MAX(AJ83,AK83)</x:f>
        <x:v>1</x:v>
      </x:c>
      <x:c r="AO83" s="154" t="n">
        <x:f>IF(L83=M83,1,0)</x:f>
        <x:v>1</x:v>
      </x:c>
    </x:row>
    <x:row r="84">
      <x:c r="A84" s="38" t="str">
        <x:v>SV-0083</x:v>
      </x:c>
      <x:c r="B84" s="38" t="str">
        <x:v>PC-05695</x:v>
      </x:c>
      <x:c r="C84" s="38" t="str">
        <x:v>en|both</x:v>
      </x:c>
      <x:c r="D84" s="87" t="n">
        <x:v>19.069444444444443</x:v>
      </x:c>
      <x:c r="E84" s="38" t="str">
        <x:v>both</x:v>
      </x:c>
      <x:c r="F84" s="38" t="str">
        <x:v>TR_DigitalLira_Phase2_2025</x:v>
      </x:c>
      <x:c r="G84" s="38" t="n">
        <x:v>12</x:v>
      </x:c>
      <x:c r="H84" s="38" t="str">
        <x:v>en</x:v>
      </x:c>
      <x:c r="I84" s="38" t="str">
        <x:v>Central Bank of the Republic of Turkiye (Digital Turkish Lira)</x:v>
      </x:c>
      <x:c r="J84" s="38" t="str">
        <x:v>Foreign exchange transactions are executed by the services in the 
common platform. When foreign exchange orders are submitted to the platform, these 
services use the available orders to determine the least-cost and most efficient path from 
the source currency to the target currency.</x:v>
      </x:c>
      <x:c r="K84" s="142" t="b">
        <x:v>0</x:v>
      </x:c>
      <x:c r="L84" s="146" t="str">
        <x:v>keep</x:v>
      </x:c>
      <x:c r="M84" s="146" t="str">
        <x:v>keep</x:v>
      </x:c>
      <x:c r="N84" s="147" t="b">
        <x:v>1</x:v>
      </x:c>
      <x:c r="O84" s="146" t="str">
        <x:v>INTEROP.crossborder</x:v>
      </x:c>
      <x:c r="P84" s="146" t="str">
        <x:v>INTEROP.crossborder</x:v>
      </x:c>
      <x:c r="Q84" s="146" t="str">
        <x:v>INTEROP</x:v>
      </x:c>
      <x:c r="R84" s="146" t="str">
        <x:v>INTEROP</x:v>
      </x:c>
      <x:c r="S84" s="146" t="str">
        <x:v>finding</x:v>
      </x:c>
      <x:c r="T84" s="146" t="str">
        <x:v>finding</x:v>
      </x:c>
      <x:c r="U84" s="146" t="str">
        <x:v>neutral</x:v>
      </x:c>
      <x:c r="V84" s="146" t="str">
        <x:v>neutral</x:v>
      </x:c>
      <x:c r="W84" s="146" t="str">
        <x:v>not_applicable</x:v>
      </x:c>
      <x:c r="X84" s="146" t="str">
        <x:v>not_applicable</x:v>
      </x:c>
      <x:c r="Y84" s="146" t="n">
        <x:v>3</x:v>
      </x:c>
      <x:c r="Z84" s="146" t="n">
        <x:v>2</x:v>
      </x:c>
      <x:c r="AA84" s="146" t="str">
        <x:v>high</x:v>
      </x:c>
      <x:c r="AB84" s="146" t="str">
        <x:v>high</x:v>
      </x:c>
      <x:c r="AC84" s="146"/>
      <x:c r="AD84" s="146"/>
      <x:c r="AE84" s="151" t="str">
        <x:v>TECH.DLT</x:v>
      </x:c>
      <x:c r="AF84" s="151" t="str">
        <x:v>INTEROP.crossborder</x:v>
      </x:c>
      <x:c r="AG84" s="151" t="str">
        <x:v>finding</x:v>
      </x:c>
      <x:c r="AH84" s="151" t="str">
        <x:v>finding</x:v>
      </x:c>
      <x:c r="AI84" s="154" t="n">
        <x:f>IF(K84,0,1)</x:f>
        <x:v>1</x:v>
      </x:c>
      <x:c r="AJ84" s="154" t="n">
        <x:f>IF(L84="keep",1,0)</x:f>
        <x:v>1</x:v>
      </x:c>
      <x:c r="AK84" s="154" t="n">
        <x:f>IF(M84="keep",1,0)</x:f>
        <x:v>1</x:v>
      </x:c>
      <x:c r="AL84" s="154" t="n">
        <x:f>(AJ84+AK84)/2</x:f>
        <x:v>1</x:v>
      </x:c>
      <x:c r="AM84" s="154" t="n">
        <x:f>MIN(AJ84,AK84)</x:f>
        <x:v>1</x:v>
      </x:c>
      <x:c r="AN84" s="154" t="n">
        <x:f>MAX(AJ84,AK84)</x:f>
        <x:v>1</x:v>
      </x:c>
      <x:c r="AO84" s="154" t="n">
        <x:f>IF(L84=M84,1,0)</x:f>
        <x:v>1</x:v>
      </x:c>
    </x:row>
    <x:row r="85">
      <x:c r="A85" s="38" t="str">
        <x:v>SV-0084</x:v>
      </x:c>
      <x:c r="B85" s="38" t="str">
        <x:v>PC-03297</x:v>
      </x:c>
      <x:c r="C85" s="38" t="str">
        <x:v>en|both</x:v>
      </x:c>
      <x:c r="D85" s="87" t="n">
        <x:v>19.069444444444443</x:v>
      </x:c>
      <x:c r="E85" s="38" t="str">
        <x:v>both</x:v>
      </x:c>
      <x:c r="F85" s="38" t="str">
        <x:v>IN_RBI_2025</x:v>
      </x:c>
      <x:c r="G85" s="38" t="n">
        <x:v>2</x:v>
      </x:c>
      <x:c r="H85" s="38" t="str">
        <x:v>en</x:v>
      </x:c>
      <x:c r="I85" s="38" t="str">
        <x:v>Reserve Bank of India (digital rupee)</x:v>
      </x:c>
      <x:c r="J85" s="38" t="str">
        <x:v>Creation and issuance of retail e₹ is identical to the arrangement for issuance of 
paper currency i.e. , RBI creates e₹ and issues them to banks  and non- banks 
electronically.</x:v>
      </x:c>
      <x:c r="K85" s="142" t="b">
        <x:v>0</x:v>
      </x:c>
      <x:c r="L85" s="146" t="str">
        <x:v>keep</x:v>
      </x:c>
      <x:c r="M85" s="146" t="str">
        <x:v>keep</x:v>
      </x:c>
      <x:c r="N85" s="147" t="b">
        <x:v>1</x:v>
      </x:c>
      <x:c r="O85" s="146" t="str">
        <x:v>SYS.design</x:v>
      </x:c>
      <x:c r="P85" s="146" t="str">
        <x:v>SYS.design</x:v>
      </x:c>
      <x:c r="Q85" s="146" t="str">
        <x:v>SYS</x:v>
      </x:c>
      <x:c r="R85" s="146" t="str">
        <x:v>SYS</x:v>
      </x:c>
      <x:c r="S85" s="146" t="str">
        <x:v>decision</x:v>
      </x:c>
      <x:c r="T85" s="146" t="str">
        <x:v>decision</x:v>
      </x:c>
      <x:c r="U85" s="146" t="str">
        <x:v>neutral</x:v>
      </x:c>
      <x:c r="V85" s="146" t="str">
        <x:v>neutral</x:v>
      </x:c>
      <x:c r="W85" s="146" t="str">
        <x:v>not_applicable</x:v>
      </x:c>
      <x:c r="X85" s="146" t="str">
        <x:v>not_applicable</x:v>
      </x:c>
      <x:c r="Y85" s="146" t="n">
        <x:v>2</x:v>
      </x:c>
      <x:c r="Z85" s="146" t="n">
        <x:v>3</x:v>
      </x:c>
      <x:c r="AA85" s="146" t="str">
        <x:v>high</x:v>
      </x:c>
      <x:c r="AB85" s="146" t="str">
        <x:v>high</x:v>
      </x:c>
      <x:c r="AC85" s="146"/>
      <x:c r="AD85" s="146"/>
      <x:c r="AE85" s="151" t="str">
        <x:v>SYS.design</x:v>
      </x:c>
      <x:c r="AF85" s="151" t="str">
        <x:v>SYS.design</x:v>
      </x:c>
      <x:c r="AG85" s="151" t="str">
        <x:v>decision</x:v>
      </x:c>
      <x:c r="AH85" s="151" t="str">
        <x:v>decision</x:v>
      </x:c>
      <x:c r="AI85" s="154" t="n">
        <x:f>IF(K85,0,1)</x:f>
        <x:v>1</x:v>
      </x:c>
      <x:c r="AJ85" s="154" t="n">
        <x:f>IF(L85="keep",1,0)</x:f>
        <x:v>1</x:v>
      </x:c>
      <x:c r="AK85" s="154" t="n">
        <x:f>IF(M85="keep",1,0)</x:f>
        <x:v>1</x:v>
      </x:c>
      <x:c r="AL85" s="154" t="n">
        <x:f>(AJ85+AK85)/2</x:f>
        <x:v>1</x:v>
      </x:c>
      <x:c r="AM85" s="154" t="n">
        <x:f>MIN(AJ85,AK85)</x:f>
        <x:v>1</x:v>
      </x:c>
      <x:c r="AN85" s="154" t="n">
        <x:f>MAX(AJ85,AK85)</x:f>
        <x:v>1</x:v>
      </x:c>
      <x:c r="AO85" s="154" t="n">
        <x:f>IF(L85=M85,1,0)</x:f>
        <x:v>1</x:v>
      </x:c>
    </x:row>
    <x:row r="86">
      <x:c r="A86" s="38" t="str">
        <x:v>SV-0085</x:v>
      </x:c>
      <x:c r="B86" s="38" t="str">
        <x:v>PC-00162</x:v>
      </x:c>
      <x:c r="C86" s="38" t="str">
        <x:v>en|both</x:v>
      </x:c>
      <x:c r="D86" s="87" t="n">
        <x:v>19.069444444444443</x:v>
      </x:c>
      <x:c r="E86" s="38" t="str">
        <x:v>both</x:v>
      </x:c>
      <x:c r="F86" s="38" t="str">
        <x:v>AU_RBA_001</x:v>
      </x:c>
      <x:c r="G86" s="38" t="n">
        <x:v>17</x:v>
      </x:c>
      <x:c r="H86" s="38" t="str">
        <x:v>en</x:v>
      </x:c>
      <x:c r="I86" s="38" t="str">
        <x:v>Reserve Bank of Australia and Digital Finance CRC (Australian CBDC pilot)</x:v>
      </x:c>
      <x:c r="J86" s="38" t="str">
        <x:v>The GST amount on the invoice was automatically 
calculated and paid in pilot CBDC to a holding account to be paid to the ATO, with the 
remainder automatically (and simultaneously) paid to the merchant.</x:v>
      </x:c>
      <x:c r="K86" s="142" t="b">
        <x:v>0</x:v>
      </x:c>
      <x:c r="L86" s="146" t="str">
        <x:v>keep</x:v>
      </x:c>
      <x:c r="M86" s="146" t="str">
        <x:v>exclude</x:v>
      </x:c>
      <x:c r="N86" s="147" t="b">
        <x:v>0</x:v>
      </x:c>
      <x:c r="O86" s="146" t="str">
        <x:v>PROG.generic</x:v>
      </x:c>
      <x:c r="P86" s="146" t="str">
        <x:v>PROG.generic</x:v>
      </x:c>
      <x:c r="Q86" s="146" t="str">
        <x:v>PROG</x:v>
      </x:c>
      <x:c r="R86" s="146" t="str">
        <x:v>PROG</x:v>
      </x:c>
      <x:c r="S86" s="146" t="str">
        <x:v>finding</x:v>
      </x:c>
      <x:c r="T86" s="146" t="str">
        <x:v>finding</x:v>
      </x:c>
      <x:c r="U86" s="146" t="str">
        <x:v>neutral</x:v>
      </x:c>
      <x:c r="V86" s="146" t="str">
        <x:v>neutral</x:v>
      </x:c>
      <x:c r="W86" s="146" t="str">
        <x:v>not_applicable</x:v>
      </x:c>
      <x:c r="X86" s="146" t="str">
        <x:v>not_applicable</x:v>
      </x:c>
      <x:c r="Y86" s="146" t="n">
        <x:v>3</x:v>
      </x:c>
      <x:c r="Z86" s="146" t="n">
        <x:v>2</x:v>
      </x:c>
      <x:c r="AA86" s="146" t="str">
        <x:v>high</x:v>
      </x:c>
      <x:c r="AB86" s="146" t="str">
        <x:v>high</x:v>
      </x:c>
      <x:c r="AC86" s="146"/>
      <x:c r="AD86" s="146" t="str">
        <x:v>x</x:v>
      </x:c>
      <x:c r="AE86" s="151" t="str">
        <x:v>PROG.generic</x:v>
      </x:c>
      <x:c r="AF86" s="151" t="str">
        <x:v>PROG.generic</x:v>
      </x:c>
      <x:c r="AG86" s="151" t="str">
        <x:v>finding</x:v>
      </x:c>
      <x:c r="AH86" s="151" t="str">
        <x:v>finding</x:v>
      </x:c>
      <x:c r="AI86" s="154" t="n">
        <x:f>IF(K86,0,1)</x:f>
        <x:v>1</x:v>
      </x:c>
      <x:c r="AJ86" s="154" t="n">
        <x:f>IF(L86="keep",1,0)</x:f>
        <x:v>1</x:v>
      </x:c>
      <x:c r="AK86" s="154" t="n">
        <x:f>IF(M86="keep",1,0)</x:f>
        <x:v>0</x:v>
      </x:c>
      <x:c r="AL86" s="154" t="n">
        <x:f>(AJ86+AK86)/2</x:f>
        <x:v>0.5</x:v>
      </x:c>
      <x:c r="AM86" s="154" t="n">
        <x:f>MIN(AJ86,AK86)</x:f>
        <x:v>0</x:v>
      </x:c>
      <x:c r="AN86" s="154" t="n">
        <x:f>MAX(AJ86,AK86)</x:f>
        <x:v>1</x:v>
      </x:c>
      <x:c r="AO86" s="154" t="n">
        <x:f>IF(L86=M86,1,0)</x:f>
        <x:v>0</x:v>
      </x:c>
    </x:row>
    <x:row r="87">
      <x:c r="A87" s="38" t="str">
        <x:v>SV-0086</x:v>
      </x:c>
      <x:c r="B87" s="38" t="str">
        <x:v>PC-02564</x:v>
      </x:c>
      <x:c r="C87" s="38" t="str">
        <x:v>en|claude_only</x:v>
      </x:c>
      <x:c r="D87" s="87" t="n">
        <x:v>19.375</x:v>
      </x:c>
      <x:c r="E87" s="38" t="str">
        <x:v>claude_only</x:v>
      </x:c>
      <x:c r="F87" s="38" t="str">
        <x:v>ID_Indonesia_2024</x:v>
      </x:c>
      <x:c r="G87" s="38" t="n">
        <x:v>25</x:v>
      </x:c>
      <x:c r="H87" s="38" t="str">
        <x:v>en</x:v>
      </x:c>
      <x:c r="I87" s="38" t="str">
        <x:v>Bank Indonesia (Digital Rupiah)</x:v>
      </x:c>
      <x:c r="J87" s="38" t="str">
        <x:v>In the PoC, the chosen 
network access is permissioned network.</x:v>
      </x:c>
      <x:c r="K87" s="142" t="b">
        <x:v>0</x:v>
      </x:c>
      <x:c r="L87" s="146" t="str">
        <x:v>exclude</x:v>
      </x:c>
      <x:c r="M87" s="146" t="str">
        <x:v>keep</x:v>
      </x:c>
      <x:c r="N87" s="147" t="b">
        <x:v>0</x:v>
      </x:c>
      <x:c r="O87" s="146"/>
      <x:c r="P87" s="146" t="str">
        <x:v>SYS.design</x:v>
      </x:c>
      <x:c r="Q87" s="146" t="str"/>
      <x:c r="R87" s="146" t="str">
        <x:v>SYS</x:v>
      </x:c>
      <x:c r="S87" s="146"/>
      <x:c r="T87" s="146" t="str">
        <x:v>decision</x:v>
      </x:c>
      <x:c r="U87" s="146"/>
      <x:c r="V87" s="146" t="str">
        <x:v>neutral</x:v>
      </x:c>
      <x:c r="W87" s="146"/>
      <x:c r="X87" s="146" t="str">
        <x:v>not_applicable</x:v>
      </x:c>
      <x:c r="Y87" s="146"/>
      <x:c r="Z87" s="146" t="n">
        <x:v>3</x:v>
      </x:c>
      <x:c r="AA87" s="146" t="str">
        <x:v>high</x:v>
      </x:c>
      <x:c r="AB87" s="146" t="str">
        <x:v>high</x:v>
      </x:c>
      <x:c r="AC87" s="146"/>
      <x:c r="AD87" s="146"/>
      <x:c r="AE87" s="151"/>
      <x:c r="AF87" s="151" t="str">
        <x:v>SYS.design</x:v>
      </x:c>
      <x:c r="AG87" s="151"/>
      <x:c r="AH87" s="151" t="str">
        <x:v>decision</x:v>
      </x:c>
      <x:c r="AI87" s="154" t="n">
        <x:f>IF(K87,0,1)</x:f>
        <x:v>1</x:v>
      </x:c>
      <x:c r="AJ87" s="154" t="n">
        <x:f>IF(L87="keep",1,0)</x:f>
        <x:v>0</x:v>
      </x:c>
      <x:c r="AK87" s="154" t="n">
        <x:f>IF(M87="keep",1,0)</x:f>
        <x:v>1</x:v>
      </x:c>
      <x:c r="AL87" s="154" t="n">
        <x:f>(AJ87+AK87)/2</x:f>
        <x:v>0.5</x:v>
      </x:c>
      <x:c r="AM87" s="154" t="n">
        <x:f>MIN(AJ87,AK87)</x:f>
        <x:v>0</x:v>
      </x:c>
      <x:c r="AN87" s="154" t="n">
        <x:f>MAX(AJ87,AK87)</x:f>
        <x:v>1</x:v>
      </x:c>
      <x:c r="AO87" s="154" t="n">
        <x:f>IF(L87=M87,1,0)</x:f>
        <x:v>0</x:v>
      </x:c>
    </x:row>
    <x:row r="88">
      <x:c r="A88" s="38" t="str">
        <x:v>SV-0087</x:v>
      </x:c>
      <x:c r="B88" s="38" t="str">
        <x:v>PC-06806</x:v>
      </x:c>
      <x:c r="C88" s="38" t="str">
        <x:v>en|both</x:v>
      </x:c>
      <x:c r="D88" s="87" t="n">
        <x:v>19.069444444444443</x:v>
      </x:c>
      <x:c r="E88" s="38" t="str">
        <x:v>both</x:v>
      </x:c>
      <x:c r="F88" s="38" t="str">
        <x:v>ZA_SARB_Project_Khokha_2_Full_Report_6_April_2022</x:v>
      </x:c>
      <x:c r="G88" s="38" t="n">
        <x:v>45</x:v>
      </x:c>
      <x:c r="H88" s="38" t="str">
        <x:v>en</x:v>
      </x:c>
      <x:c r="I88" s="38" t="str">
        <x:v>South African Reserve Bank</x:v>
      </x:c>
      <x:c r="J88" s="38" t="str">
        <x:v>It has been established that it is feasible 
to port – export and import – the wCBDC to 
other (non-native) DLT-based platforms while 
maintaining a link back to its own (native) DLT.</x:v>
      </x:c>
      <x:c r="K88" s="142" t="b">
        <x:v>0</x:v>
      </x:c>
      <x:c r="L88" s="146" t="str">
        <x:v>keep</x:v>
      </x:c>
      <x:c r="M88" s="146" t="str">
        <x:v>keep</x:v>
      </x:c>
      <x:c r="N88" s="147" t="b">
        <x:v>1</x:v>
      </x:c>
      <x:c r="O88" s="146" t="str">
        <x:v>TECH.TOKEN.considered</x:v>
      </x:c>
      <x:c r="P88" s="146" t="str">
        <x:v>TECH.DLT</x:v>
      </x:c>
      <x:c r="Q88" s="146" t="str">
        <x:v>TECH</x:v>
      </x:c>
      <x:c r="R88" s="146" t="str">
        <x:v>TECH</x:v>
      </x:c>
      <x:c r="S88" s="146" t="str">
        <x:v>finding</x:v>
      </x:c>
      <x:c r="T88" s="146" t="str">
        <x:v>finding</x:v>
      </x:c>
      <x:c r="U88" s="146" t="str">
        <x:v>neutral</x:v>
      </x:c>
      <x:c r="V88" s="146" t="str">
        <x:v>neutral</x:v>
      </x:c>
      <x:c r="W88" s="146" t="str">
        <x:v>not_applicable</x:v>
      </x:c>
      <x:c r="X88" s="146" t="str">
        <x:v>not_applicable</x:v>
      </x:c>
      <x:c r="Y88" s="146" t="n">
        <x:v>3</x:v>
      </x:c>
      <x:c r="Z88" s="146" t="n">
        <x:v>3</x:v>
      </x:c>
      <x:c r="AA88" s="146" t="str">
        <x:v>high</x:v>
      </x:c>
      <x:c r="AB88" s="146" t="str">
        <x:v>high</x:v>
      </x:c>
      <x:c r="AC88" s="146"/>
      <x:c r="AD88" s="146"/>
      <x:c r="AE88" s="151" t="str">
        <x:v>INTEROP.domestic</x:v>
      </x:c>
      <x:c r="AF88" s="151" t="str">
        <x:v>TECH.DLT</x:v>
      </x:c>
      <x:c r="AG88" s="151" t="str">
        <x:v>finding</x:v>
      </x:c>
      <x:c r="AH88" s="151" t="str">
        <x:v>finding</x:v>
      </x:c>
      <x:c r="AI88" s="154" t="n">
        <x:f>IF(K88,0,1)</x:f>
        <x:v>1</x:v>
      </x:c>
      <x:c r="AJ88" s="154" t="n">
        <x:f>IF(L88="keep",1,0)</x:f>
        <x:v>1</x:v>
      </x:c>
      <x:c r="AK88" s="154" t="n">
        <x:f>IF(M88="keep",1,0)</x:f>
        <x:v>1</x:v>
      </x:c>
      <x:c r="AL88" s="154" t="n">
        <x:f>(AJ88+AK88)/2</x:f>
        <x:v>1</x:v>
      </x:c>
      <x:c r="AM88" s="154" t="n">
        <x:f>MIN(AJ88,AK88)</x:f>
        <x:v>1</x:v>
      </x:c>
      <x:c r="AN88" s="154" t="n">
        <x:f>MAX(AJ88,AK88)</x:f>
        <x:v>1</x:v>
      </x:c>
      <x:c r="AO88" s="154" t="n">
        <x:f>IF(L88=M88,1,0)</x:f>
        <x:v>1</x:v>
      </x:c>
    </x:row>
    <x:row r="89">
      <x:c r="A89" s="38" t="str">
        <x:v>SV-0088</x:v>
      </x:c>
      <x:c r="B89" s="38" t="str">
        <x:v>PC-02571</x:v>
      </x:c>
      <x:c r="C89" s="38" t="str">
        <x:v>en|claude_only</x:v>
      </x:c>
      <x:c r="D89" s="87" t="n">
        <x:v>19.375</x:v>
      </x:c>
      <x:c r="E89" s="38" t="str">
        <x:v>claude_only</x:v>
      </x:c>
      <x:c r="F89" s="38" t="str">
        <x:v>ID_Indonesia_2024</x:v>
      </x:c>
      <x:c r="G89" s="38" t="n">
        <x:v>26</x:v>
      </x:c>
      <x:c r="H89" s="38" t="str">
        <x:v>en</x:v>
      </x:c>
      <x:c r="I89" s="38" t="str">
        <x:v>Bank Indonesia (Digital Rupiah)</x:v>
      </x:c>
      <x:c r="J89" s="38" t="str">
        <x:v>The Kaleido 
Hyperledger Besu-based solution guarantees 
confidentiality through encryption methods, while 
R3 Corda applies the need-to-know principle for 
every transaction.</x:v>
      </x:c>
      <x:c r="K89" s="142" t="b">
        <x:v>0</x:v>
      </x:c>
      <x:c r="L89" s="146" t="str">
        <x:v>exclude</x:v>
      </x:c>
      <x:c r="M89" s="146" t="str">
        <x:v>keep</x:v>
      </x:c>
      <x:c r="N89" s="147" t="b">
        <x:v>0</x:v>
      </x:c>
      <x:c r="O89" s="146"/>
      <x:c r="P89" s="146" t="str">
        <x:v>PRIV.PET</x:v>
      </x:c>
      <x:c r="Q89" s="146" t="str"/>
      <x:c r="R89" s="146" t="str">
        <x:v>PRIV</x:v>
      </x:c>
      <x:c r="S89" s="146"/>
      <x:c r="T89" s="146" t="str">
        <x:v>decision</x:v>
      </x:c>
      <x:c r="U89" s="146"/>
      <x:c r="V89" s="146" t="str">
        <x:v>increases</x:v>
      </x:c>
      <x:c r="W89" s="146"/>
      <x:c r="X89" s="146" t="str">
        <x:v>from_intermediary</x:v>
      </x:c>
      <x:c r="Y89" s="146"/>
      <x:c r="Z89" s="146" t="n">
        <x:v>2</x:v>
      </x:c>
      <x:c r="AA89" s="146" t="str">
        <x:v>high</x:v>
      </x:c>
      <x:c r="AB89" s="146" t="str">
        <x:v>high</x:v>
      </x:c>
      <x:c r="AC89" s="146"/>
      <x:c r="AD89" s="146"/>
      <x:c r="AE89" s="151"/>
      <x:c r="AF89" s="151" t="str">
        <x:v>PRIV.PET</x:v>
      </x:c>
      <x:c r="AG89" s="151"/>
      <x:c r="AH89" s="151" t="str">
        <x:v>decision</x:v>
      </x:c>
      <x:c r="AI89" s="154" t="n">
        <x:f>IF(K89,0,1)</x:f>
        <x:v>1</x:v>
      </x:c>
      <x:c r="AJ89" s="154" t="n">
        <x:f>IF(L89="keep",1,0)</x:f>
        <x:v>0</x:v>
      </x:c>
      <x:c r="AK89" s="154" t="n">
        <x:f>IF(M89="keep",1,0)</x:f>
        <x:v>1</x:v>
      </x:c>
      <x:c r="AL89" s="154" t="n">
        <x:f>(AJ89+AK89)/2</x:f>
        <x:v>0.5</x:v>
      </x:c>
      <x:c r="AM89" s="154" t="n">
        <x:f>MIN(AJ89,AK89)</x:f>
        <x:v>0</x:v>
      </x:c>
      <x:c r="AN89" s="154" t="n">
        <x:f>MAX(AJ89,AK89)</x:f>
        <x:v>1</x:v>
      </x:c>
      <x:c r="AO89" s="154" t="n">
        <x:f>IF(L89=M89,1,0)</x:f>
        <x:v>0</x:v>
      </x:c>
    </x:row>
    <x:row r="90">
      <x:c r="A90" s="38" t="str">
        <x:v>SV-0089</x:v>
      </x:c>
      <x:c r="B90" s="38" t="str">
        <x:v>PC-06641</x:v>
      </x:c>
      <x:c r="C90" s="38" t="str">
        <x:v>en|both</x:v>
      </x:c>
      <x:c r="D90" s="87" t="n">
        <x:v>19.069444444444443</x:v>
      </x:c>
      <x:c r="E90" s="38" t="str">
        <x:v>both</x:v>
      </x:c>
      <x:c r="F90" s="38" t="str">
        <x:v>UY_BCU_Seven_Lessons_2022</x:v>
      </x:c>
      <x:c r="G90" s="38" t="n">
        <x:v>4</x:v>
      </x:c>
      <x:c r="H90" s="38" t="str">
        <x:v>en</x:v>
      </x:c>
      <x:c r="I90" s="38" t="str">
        <x:v>Banco Central del Uruguay (e-Peso pilot)</x:v>
      </x:c>
      <x:c r="J90" s="38" t="str">
        <x:v>All the operations have i nstant settlement, 
and d o not require internet connection (just a mobile phone line) .</x:v>
      </x:c>
      <x:c r="K90" s="142" t="b">
        <x:v>0</x:v>
      </x:c>
      <x:c r="L90" s="146" t="str">
        <x:v>keep</x:v>
      </x:c>
      <x:c r="M90" s="146" t="str">
        <x:v>keep</x:v>
      </x:c>
      <x:c r="N90" s="147" t="b">
        <x:v>1</x:v>
      </x:c>
      <x:c r="O90" s="146" t="str">
        <x:v>OPS.resilience</x:v>
      </x:c>
      <x:c r="P90" s="146" t="str">
        <x:v>OPS.resilience</x:v>
      </x:c>
      <x:c r="Q90" s="146" t="str">
        <x:v>OPS</x:v>
      </x:c>
      <x:c r="R90" s="146" t="str">
        <x:v>OPS</x:v>
      </x:c>
      <x:c r="S90" s="146" t="str">
        <x:v>decision</x:v>
      </x:c>
      <x:c r="T90" s="146" t="str">
        <x:v>decision</x:v>
      </x:c>
      <x:c r="U90" s="146" t="str">
        <x:v>neutral</x:v>
      </x:c>
      <x:c r="V90" s="146" t="str">
        <x:v>neutral</x:v>
      </x:c>
      <x:c r="W90" s="146" t="str">
        <x:v>not_applicable</x:v>
      </x:c>
      <x:c r="X90" s="146" t="str">
        <x:v>not_applicable</x:v>
      </x:c>
      <x:c r="Y90" s="146" t="n">
        <x:v>3</x:v>
      </x:c>
      <x:c r="Z90" s="146" t="n">
        <x:v>2</x:v>
      </x:c>
      <x:c r="AA90" s="146" t="str">
        <x:v>high</x:v>
      </x:c>
      <x:c r="AB90" s="146" t="str">
        <x:v>high</x:v>
      </x:c>
      <x:c r="AC90" s="146"/>
      <x:c r="AD90" s="146"/>
      <x:c r="AE90" s="151" t="str">
        <x:v>OPS.resilience</x:v>
      </x:c>
      <x:c r="AF90" s="151" t="str">
        <x:v>OPS.resilience</x:v>
      </x:c>
      <x:c r="AG90" s="151" t="str">
        <x:v>decision</x:v>
      </x:c>
      <x:c r="AH90" s="151" t="str">
        <x:v>decision</x:v>
      </x:c>
      <x:c r="AI90" s="154" t="n">
        <x:f>IF(K90,0,1)</x:f>
        <x:v>1</x:v>
      </x:c>
      <x:c r="AJ90" s="154" t="n">
        <x:f>IF(L90="keep",1,0)</x:f>
        <x:v>1</x:v>
      </x:c>
      <x:c r="AK90" s="154" t="n">
        <x:f>IF(M90="keep",1,0)</x:f>
        <x:v>1</x:v>
      </x:c>
      <x:c r="AL90" s="154" t="n">
        <x:f>(AJ90+AK90)/2</x:f>
        <x:v>1</x:v>
      </x:c>
      <x:c r="AM90" s="154" t="n">
        <x:f>MIN(AJ90,AK90)</x:f>
        <x:v>1</x:v>
      </x:c>
      <x:c r="AN90" s="154" t="n">
        <x:f>MAX(AJ90,AK90)</x:f>
        <x:v>1</x:v>
      </x:c>
      <x:c r="AO90" s="154" t="n">
        <x:f>IF(L90=M90,1,0)</x:f>
        <x:v>1</x:v>
      </x:c>
    </x:row>
    <x:row r="91">
      <x:c r="A91" s="38" t="str">
        <x:v>SV-0090</x:v>
      </x:c>
      <x:c r="B91" s="38" t="str">
        <x:v>PC-02651</x:v>
      </x:c>
      <x:c r="C91" s="38" t="str">
        <x:v>en|both</x:v>
      </x:c>
      <x:c r="D91" s="87" t="n">
        <x:v>19.069444444444443</x:v>
      </x:c>
      <x:c r="E91" s="38" t="str">
        <x:v>both</x:v>
      </x:c>
      <x:c r="F91" s="38" t="str">
        <x:v>IL_BoI_2024</x:v>
      </x:c>
      <x:c r="G91" s="38" t="n">
        <x:v>7</x:v>
      </x:c>
      <x:c r="H91" s="38" t="str">
        <x:v>en</x:v>
      </x:c>
      <x:c r="I91" s="38" t="str">
        <x:v>Bank of Israel (digital shekel)</x:v>
      </x:c>
      <x:c r="J91" s="38" t="str">
        <x:v>Payment 
with the DS is immediate and final, and the DS will also support offline payments, allowing 
smooth payment transactions even in situations without network connectivity.</x:v>
      </x:c>
      <x:c r="K91" s="142" t="b">
        <x:v>0</x:v>
      </x:c>
      <x:c r="L91" s="146" t="str">
        <x:v>keep</x:v>
      </x:c>
      <x:c r="M91" s="146" t="str">
        <x:v>keep</x:v>
      </x:c>
      <x:c r="N91" s="147" t="b">
        <x:v>1</x:v>
      </x:c>
      <x:c r="O91" s="146" t="str">
        <x:v>CASH.relation</x:v>
      </x:c>
      <x:c r="P91" s="146" t="str">
        <x:v>OPS.resilience</x:v>
      </x:c>
      <x:c r="Q91" s="146" t="str">
        <x:v>CASH</x:v>
      </x:c>
      <x:c r="R91" s="146" t="str">
        <x:v>OPS</x:v>
      </x:c>
      <x:c r="S91" s="146" t="str">
        <x:v>proposal</x:v>
      </x:c>
      <x:c r="T91" s="146" t="str">
        <x:v>decision</x:v>
      </x:c>
      <x:c r="U91" s="146" t="str">
        <x:v>conditional</x:v>
      </x:c>
      <x:c r="V91" s="146" t="str">
        <x:v>neutral</x:v>
      </x:c>
      <x:c r="W91" s="146" t="str">
        <x:v>not_applicable</x:v>
      </x:c>
      <x:c r="X91" s="146" t="str">
        <x:v>not_applicable</x:v>
      </x:c>
      <x:c r="Y91" s="146" t="n">
        <x:v>3</x:v>
      </x:c>
      <x:c r="Z91" s="146" t="n">
        <x:v>3</x:v>
      </x:c>
      <x:c r="AA91" s="146" t="str">
        <x:v>high</x:v>
      </x:c>
      <x:c r="AB91" s="146" t="str">
        <x:v>high</x:v>
      </x:c>
      <x:c r="AC91" s="146"/>
      <x:c r="AD91" s="146"/>
      <x:c r="AE91" s="151" t="str">
        <x:v>PRIV.ANON</x:v>
      </x:c>
      <x:c r="AF91" s="151" t="str">
        <x:v>OPS.resilience</x:v>
      </x:c>
      <x:c r="AG91" s="151" t="str">
        <x:v>proposal</x:v>
      </x:c>
      <x:c r="AH91" s="151" t="str">
        <x:v>decision</x:v>
      </x:c>
      <x:c r="AI91" s="154" t="n">
        <x:f>IF(K91,0,1)</x:f>
        <x:v>1</x:v>
      </x:c>
      <x:c r="AJ91" s="154" t="n">
        <x:f>IF(L91="keep",1,0)</x:f>
        <x:v>1</x:v>
      </x:c>
      <x:c r="AK91" s="154" t="n">
        <x:f>IF(M91="keep",1,0)</x:f>
        <x:v>1</x:v>
      </x:c>
      <x:c r="AL91" s="154" t="n">
        <x:f>(AJ91+AK91)/2</x:f>
        <x:v>1</x:v>
      </x:c>
      <x:c r="AM91" s="154" t="n">
        <x:f>MIN(AJ91,AK91)</x:f>
        <x:v>1</x:v>
      </x:c>
      <x:c r="AN91" s="154" t="n">
        <x:f>MAX(AJ91,AK91)</x:f>
        <x:v>1</x:v>
      </x:c>
      <x:c r="AO91" s="154" t="n">
        <x:f>IF(L91=M91,1,0)</x:f>
        <x:v>1</x:v>
      </x:c>
    </x:row>
    <x:row r="92">
      <x:c r="A92" s="38" t="str">
        <x:v>SV-0091</x:v>
      </x:c>
      <x:c r="B92" s="38" t="str">
        <x:v>PC-05332</x:v>
      </x:c>
      <x:c r="C92" s="38" t="str">
        <x:v>en|both</x:v>
      </x:c>
      <x:c r="D92" s="87" t="n">
        <x:v>19.069444444444443</x:v>
      </x:c>
      <x:c r="E92" s="38" t="str">
        <x:v>both</x:v>
      </x:c>
      <x:c r="F92" s="38" t="str">
        <x:v>SG_MAS_mas-project-orchid-report</x:v>
      </x:c>
      <x:c r="G92" s="38" t="n">
        <x:v>33</x:v>
      </x:c>
      <x:c r="H92" s="38" t="str">
        <x:v>en</x:v>
      </x:c>
      <x:c r="I92" s="38" t="str">
        <x:v>Monetary Authority of Singapore (Project Orchid / purpose-bound money)</x:v>
      </x:c>
      <x:c r="J92" s="38" t="str">
        <x:v>Hence, it is prudent for PBM technology to 
be designed at the onset to be interoperable 
across different platforms, wallets, payment 
systems and rails.</x:v>
      </x:c>
      <x:c r="K92" s="142" t="b">
        <x:v>0</x:v>
      </x:c>
      <x:c r="L92" s="146" t="str">
        <x:v>keep</x:v>
      </x:c>
      <x:c r="M92" s="146" t="str">
        <x:v>keep</x:v>
      </x:c>
      <x:c r="N92" s="147" t="b">
        <x:v>1</x:v>
      </x:c>
      <x:c r="O92" s="146" t="str">
        <x:v>INTEROP.domestic</x:v>
      </x:c>
      <x:c r="P92" s="146" t="str">
        <x:v>INTEROP.domestic</x:v>
      </x:c>
      <x:c r="Q92" s="146" t="str">
        <x:v>INTEROP</x:v>
      </x:c>
      <x:c r="R92" s="146" t="str">
        <x:v>INTEROP</x:v>
      </x:c>
      <x:c r="S92" s="146" t="str">
        <x:v>proposal</x:v>
      </x:c>
      <x:c r="T92" s="146" t="str">
        <x:v>proposal</x:v>
      </x:c>
      <x:c r="U92" s="146" t="str">
        <x:v>neutral</x:v>
      </x:c>
      <x:c r="V92" s="146" t="str">
        <x:v>neutral</x:v>
      </x:c>
      <x:c r="W92" s="146" t="str">
        <x:v>not_applicable</x:v>
      </x:c>
      <x:c r="X92" s="146" t="str">
        <x:v>not_applicable</x:v>
      </x:c>
      <x:c r="Y92" s="146" t="n">
        <x:v>3</x:v>
      </x:c>
      <x:c r="Z92" s="146" t="n">
        <x:v>2</x:v>
      </x:c>
      <x:c r="AA92" s="146" t="str">
        <x:v>high</x:v>
      </x:c>
      <x:c r="AB92" s="146" t="str">
        <x:v>high</x:v>
      </x:c>
      <x:c r="AC92" s="146"/>
      <x:c r="AD92" s="146"/>
      <x:c r="AE92" s="151" t="str">
        <x:v>INTEROP.domestic</x:v>
      </x:c>
      <x:c r="AF92" s="151" t="str">
        <x:v>INTEROP.domestic</x:v>
      </x:c>
      <x:c r="AG92" s="151" t="str">
        <x:v>proposal</x:v>
      </x:c>
      <x:c r="AH92" s="151" t="str">
        <x:v>proposal</x:v>
      </x:c>
      <x:c r="AI92" s="154" t="n">
        <x:f>IF(K92,0,1)</x:f>
        <x:v>1</x:v>
      </x:c>
      <x:c r="AJ92" s="154" t="n">
        <x:f>IF(L92="keep",1,0)</x:f>
        <x:v>1</x:v>
      </x:c>
      <x:c r="AK92" s="154" t="n">
        <x:f>IF(M92="keep",1,0)</x:f>
        <x:v>1</x:v>
      </x:c>
      <x:c r="AL92" s="154" t="n">
        <x:f>(AJ92+AK92)/2</x:f>
        <x:v>1</x:v>
      </x:c>
      <x:c r="AM92" s="154" t="n">
        <x:f>MIN(AJ92,AK92)</x:f>
        <x:v>1</x:v>
      </x:c>
      <x:c r="AN92" s="154" t="n">
        <x:f>MAX(AJ92,AK92)</x:f>
        <x:v>1</x:v>
      </x:c>
      <x:c r="AO92" s="154" t="n">
        <x:f>IF(L92=M92,1,0)</x:f>
        <x:v>1</x:v>
      </x:c>
    </x:row>
    <x:row r="93">
      <x:c r="A93" s="38" t="str">
        <x:v>SV-0092</x:v>
      </x:c>
      <x:c r="B93" s="38" t="str">
        <x:v>PC-06686</x:v>
      </x:c>
      <x:c r="C93" s="38" t="str">
        <x:v>es|both</x:v>
      </x:c>
      <x:c r="D93" s="87" t="n">
        <x:v>26.5</x:v>
      </x:c>
      <x:c r="E93" s="38" t="str">
        <x:v>both</x:v>
      </x:c>
      <x:c r="F93" s="38" t="str">
        <x:v>UY_Uruguay_BCU_BilleteDigital_2017</x:v>
      </x:c>
      <x:c r="G93" s="38" t="n">
        <x:v>3</x:v>
      </x:c>
      <x:c r="H93" s="38" t="str">
        <x:v>es</x:v>
      </x:c>
      <x:c r="I93" s="38" t="str">
        <x:v>Banco Central del Uruguay (e-Peso pilot)</x:v>
      </x:c>
      <x:c r="J93" s="38" t="str">
        <x:v>Se suscribe un convenio entre BCU-ANTEL- RGC (The 
Roberto Giori Company Ltd.) para realizar un plan piloto 
por 6 meses con el objetivo de emitir, manejar y transferir 
billetes digitales.</x:v>
      </x:c>
      <x:c r="K93" s="142" t="b">
        <x:v>0</x:v>
      </x:c>
      <x:c r="L93" s="146" t="str">
        <x:v>keep</x:v>
      </x:c>
      <x:c r="M93" s="146" t="str">
        <x:v>keep</x:v>
      </x:c>
      <x:c r="N93" s="147" t="b">
        <x:v>1</x:v>
      </x:c>
      <x:c r="O93" s="146" t="str">
        <x:v>SYS.design</x:v>
      </x:c>
      <x:c r="P93" s="146" t="str">
        <x:v>INST.mandate</x:v>
      </x:c>
      <x:c r="Q93" s="146" t="str">
        <x:v>SYS</x:v>
      </x:c>
      <x:c r="R93" s="146" t="str">
        <x:v>INST</x:v>
      </x:c>
      <x:c r="S93" s="146" t="str">
        <x:v>decision</x:v>
      </x:c>
      <x:c r="T93" s="146" t="str">
        <x:v>decision</x:v>
      </x:c>
      <x:c r="U93" s="146" t="str">
        <x:v>neutral</x:v>
      </x:c>
      <x:c r="V93" s="146" t="str">
        <x:v>neutral</x:v>
      </x:c>
      <x:c r="W93" s="146" t="str">
        <x:v>not_applicable</x:v>
      </x:c>
      <x:c r="X93" s="146" t="str">
        <x:v>not_applicable</x:v>
      </x:c>
      <x:c r="Y93" s="146" t="n">
        <x:v>3</x:v>
      </x:c>
      <x:c r="Z93" s="146" t="n">
        <x:v>2</x:v>
      </x:c>
      <x:c r="AA93" s="146" t="str">
        <x:v>high</x:v>
      </x:c>
      <x:c r="AB93" s="146" t="str">
        <x:v>high</x:v>
      </x:c>
      <x:c r="AC93" s="146"/>
      <x:c r="AD93" s="146"/>
      <x:c r="AE93" s="151" t="str">
        <x:v>SYS.design</x:v>
      </x:c>
      <x:c r="AF93" s="151" t="str">
        <x:v>INST.mandate</x:v>
      </x:c>
      <x:c r="AG93" s="151" t="str">
        <x:v>decision</x:v>
      </x:c>
      <x:c r="AH93" s="151" t="str">
        <x:v>decision</x:v>
      </x:c>
      <x:c r="AI93" s="154" t="n">
        <x:f>IF(K93,0,1)</x:f>
        <x:v>1</x:v>
      </x:c>
      <x:c r="AJ93" s="154" t="n">
        <x:f>IF(L93="keep",1,0)</x:f>
        <x:v>1</x:v>
      </x:c>
      <x:c r="AK93" s="154" t="n">
        <x:f>IF(M93="keep",1,0)</x:f>
        <x:v>1</x:v>
      </x:c>
      <x:c r="AL93" s="154" t="n">
        <x:f>(AJ93+AK93)/2</x:f>
        <x:v>1</x:v>
      </x:c>
      <x:c r="AM93" s="154" t="n">
        <x:f>MIN(AJ93,AK93)</x:f>
        <x:v>1</x:v>
      </x:c>
      <x:c r="AN93" s="154" t="n">
        <x:f>MAX(AJ93,AK93)</x:f>
        <x:v>1</x:v>
      </x:c>
      <x:c r="AO93" s="154" t="n">
        <x:f>IF(L93=M93,1,0)</x:f>
        <x:v>1</x:v>
      </x:c>
    </x:row>
    <x:row r="94">
      <x:c r="A94" s="38" t="str">
        <x:v>SV-0093</x:v>
      </x:c>
      <x:c r="B94" s="38" t="str">
        <x:v>PC-01782</x:v>
      </x:c>
      <x:c r="C94" s="38" t="str">
        <x:v>en|both</x:v>
      </x:c>
      <x:c r="D94" s="87" t="n">
        <x:v>19.069444444444443</x:v>
      </x:c>
      <x:c r="E94" s="38" t="str">
        <x:v>both</x:v>
      </x:c>
      <x:c r="F94" s="38" t="str">
        <x:v>GH_Ghana_2023</x:v>
      </x:c>
      <x:c r="G94" s="38" t="n">
        <x:v>42</x:v>
      </x:c>
      <x:c r="H94" s="38" t="str">
        <x:v>en</x:v>
      </x:c>
      <x:c r="I94" s="38" t="str">
        <x:v>Bank of Ghana (eCedi)</x:v>
      </x:c>
      <x:c r="J94" s="38" t="str">
        <x:v>These types of eCedi 
transactions made up 3 % o f the total transactions 
while “cash to eCedi” which is depositing cash into 
the eCedi account, made up 2  %.</x:v>
      </x:c>
      <x:c r="K94" s="142" t="b">
        <x:v>0</x:v>
      </x:c>
      <x:c r="L94" s="146" t="str">
        <x:v>keep</x:v>
      </x:c>
      <x:c r="M94" s="146" t="str">
        <x:v>exclude</x:v>
      </x:c>
      <x:c r="N94" s="147" t="b">
        <x:v>0</x:v>
      </x:c>
      <x:c r="O94" s="146" t="str">
        <x:v>CASH.relation</x:v>
      </x:c>
      <x:c r="P94" s="146" t="str">
        <x:v>ADOPT.experience</x:v>
      </x:c>
      <x:c r="Q94" s="146" t="str">
        <x:v>CASH</x:v>
      </x:c>
      <x:c r="R94" s="146" t="str">
        <x:v>ADOPT</x:v>
      </x:c>
      <x:c r="S94" s="146" t="str">
        <x:v>finding</x:v>
      </x:c>
      <x:c r="T94" s="146" t="str">
        <x:v>finding</x:v>
      </x:c>
      <x:c r="U94" s="146" t="str">
        <x:v>neutral</x:v>
      </x:c>
      <x:c r="V94" s="146" t="str">
        <x:v>neutral</x:v>
      </x:c>
      <x:c r="W94" s="146" t="str">
        <x:v>not_applicable</x:v>
      </x:c>
      <x:c r="X94" s="146" t="str">
        <x:v>not_applicable</x:v>
      </x:c>
      <x:c r="Y94" s="146" t="n">
        <x:v>3</x:v>
      </x:c>
      <x:c r="Z94" s="146" t="n">
        <x:v>2</x:v>
      </x:c>
      <x:c r="AA94" s="146" t="str">
        <x:v>high</x:v>
      </x:c>
      <x:c r="AB94" s="146" t="str">
        <x:v>high</x:v>
      </x:c>
      <x:c r="AC94" s="146"/>
      <x:c r="AD94" s="146" t="str">
        <x:v>x</x:v>
      </x:c>
      <x:c r="AE94" s="151" t="str">
        <x:v>ADOPT.experience</x:v>
      </x:c>
      <x:c r="AF94" s="151" t="str">
        <x:v>ADOPT.experience</x:v>
      </x:c>
      <x:c r="AG94" s="151" t="str">
        <x:v>finding</x:v>
      </x:c>
      <x:c r="AH94" s="151" t="str">
        <x:v>finding</x:v>
      </x:c>
      <x:c r="AI94" s="154" t="n">
        <x:f>IF(K94,0,1)</x:f>
        <x:v>1</x:v>
      </x:c>
      <x:c r="AJ94" s="154" t="n">
        <x:f>IF(L94="keep",1,0)</x:f>
        <x:v>1</x:v>
      </x:c>
      <x:c r="AK94" s="154" t="n">
        <x:f>IF(M94="keep",1,0)</x:f>
        <x:v>0</x:v>
      </x:c>
      <x:c r="AL94" s="154" t="n">
        <x:f>(AJ94+AK94)/2</x:f>
        <x:v>0.5</x:v>
      </x:c>
      <x:c r="AM94" s="154" t="n">
        <x:f>MIN(AJ94,AK94)</x:f>
        <x:v>0</x:v>
      </x:c>
      <x:c r="AN94" s="154" t="n">
        <x:f>MAX(AJ94,AK94)</x:f>
        <x:v>1</x:v>
      </x:c>
      <x:c r="AO94" s="154" t="n">
        <x:f>IF(L94=M94,1,0)</x:f>
        <x:v>0</x:v>
      </x:c>
    </x:row>
    <x:row r="95">
      <x:c r="A95" s="38" t="str">
        <x:v>SV-0094</x:v>
      </x:c>
      <x:c r="B95" s="38" t="str">
        <x:v>PC-05616</x:v>
      </x:c>
      <x:c r="C95" s="38" t="str">
        <x:v>en|both</x:v>
      </x:c>
      <x:c r="D95" s="87" t="n">
        <x:v>19.069444444444443</x:v>
      </x:c>
      <x:c r="E95" s="38" t="str">
        <x:v>both</x:v>
      </x:c>
      <x:c r="F95" s="38" t="str">
        <x:v>TH_Thailand_rCBDC_Conclusion_Report</x:v>
      </x:c>
      <x:c r="G95" s="38" t="n">
        <x:v>19</x:v>
      </x:c>
      <x:c r="H95" s="38" t="str">
        <x:v>en</x:v>
      </x:c>
      <x:c r="I95" s="38" t="str">
        <x:v>Bank of Thailand (retail CBDC pilot)</x:v>
      </x:c>
      <x:c r="J95" s="38" t="str">
        <x:v>The BOT and the Anti-Money 
Laundering Office consulted the guideline for 
compliance by FSPs as well as business  rules 
setting transaction and wallet limits during the pilot 
for AML/CFT purposes.</x:v>
      </x:c>
      <x:c r="K95" s="142" t="b">
        <x:v>0</x:v>
      </x:c>
      <x:c r="L95" s="146" t="str">
        <x:v>keep</x:v>
      </x:c>
      <x:c r="M95" s="146" t="str">
        <x:v>keep</x:v>
      </x:c>
      <x:c r="N95" s="147" t="b">
        <x:v>1</x:v>
      </x:c>
      <x:c r="O95" s="146" t="str">
        <x:v>AML.LIMIT</x:v>
      </x:c>
      <x:c r="P95" s="146" t="str">
        <x:v>AML.LIMIT</x:v>
      </x:c>
      <x:c r="Q95" s="146" t="str">
        <x:v>AML</x:v>
      </x:c>
      <x:c r="R95" s="146" t="str">
        <x:v>AML</x:v>
      </x:c>
      <x:c r="S95" s="146" t="str">
        <x:v>decision</x:v>
      </x:c>
      <x:c r="T95" s="146" t="str">
        <x:v>decision</x:v>
      </x:c>
      <x:c r="U95" s="146" t="str">
        <x:v>neutral</x:v>
      </x:c>
      <x:c r="V95" s="146" t="str">
        <x:v>neutral</x:v>
      </x:c>
      <x:c r="W95" s="146" t="str">
        <x:v>not_applicable</x:v>
      </x:c>
      <x:c r="X95" s="146" t="str">
        <x:v>not_applicable</x:v>
      </x:c>
      <x:c r="Y95" s="146" t="n">
        <x:v>3</x:v>
      </x:c>
      <x:c r="Z95" s="146" t="n">
        <x:v>3</x:v>
      </x:c>
      <x:c r="AA95" s="146" t="str">
        <x:v>high</x:v>
      </x:c>
      <x:c r="AB95" s="146" t="str">
        <x:v>high</x:v>
      </x:c>
      <x:c r="AC95" s="146"/>
      <x:c r="AD95" s="146"/>
      <x:c r="AE95" s="151" t="str">
        <x:v>LEGAL.basis</x:v>
      </x:c>
      <x:c r="AF95" s="151" t="str">
        <x:v>AML.LIMIT</x:v>
      </x:c>
      <x:c r="AG95" s="151" t="str">
        <x:v>decision</x:v>
      </x:c>
      <x:c r="AH95" s="151" t="str">
        <x:v>decision</x:v>
      </x:c>
      <x:c r="AI95" s="154" t="n">
        <x:f>IF(K95,0,1)</x:f>
        <x:v>1</x:v>
      </x:c>
      <x:c r="AJ95" s="154" t="n">
        <x:f>IF(L95="keep",1,0)</x:f>
        <x:v>1</x:v>
      </x:c>
      <x:c r="AK95" s="154" t="n">
        <x:f>IF(M95="keep",1,0)</x:f>
        <x:v>1</x:v>
      </x:c>
      <x:c r="AL95" s="154" t="n">
        <x:f>(AJ95+AK95)/2</x:f>
        <x:v>1</x:v>
      </x:c>
      <x:c r="AM95" s="154" t="n">
        <x:f>MIN(AJ95,AK95)</x:f>
        <x:v>1</x:v>
      </x:c>
      <x:c r="AN95" s="154" t="n">
        <x:f>MAX(AJ95,AK95)</x:f>
        <x:v>1</x:v>
      </x:c>
      <x:c r="AO95" s="154" t="n">
        <x:f>IF(L95=M95,1,0)</x:f>
        <x:v>1</x:v>
      </x:c>
    </x:row>
    <x:row r="96">
      <x:c r="A96" s="38" t="str">
        <x:v>SV-0095</x:v>
      </x:c>
      <x:c r="B96" s="38" t="str">
        <x:v>PC-04464</x:v>
      </x:c>
      <x:c r="C96" s="38" t="str">
        <x:v>en|both</x:v>
      </x:c>
      <x:c r="D96" s="87" t="n">
        <x:v>19.069444444444443</x:v>
      </x:c>
      <x:c r="E96" s="38" t="str">
        <x:v>both</x:v>
      </x:c>
      <x:c r="F96" s="38" t="str">
        <x:v>NO_Norway_norges-bank-memo-2_2020-eng</x:v>
      </x:c>
      <x:c r="G96" s="38" t="n">
        <x:v>4</x:v>
      </x:c>
      <x:c r="H96" s="38" t="str">
        <x:v>en</x:v>
      </x:c>
      <x:c r="I96" s="38" t="str">
        <x:v>Norges Bank</x:v>
      </x:c>
      <x:c r="J96" s="38" t="str">
        <x:v>Can provide the desired degree of data 
protection (beyond requirements under 
EEA law)</x:v>
      </x:c>
      <x:c r="K96" s="142" t="b">
        <x:v>0</x:v>
      </x:c>
      <x:c r="L96" s="146" t="str">
        <x:v>keep</x:v>
      </x:c>
      <x:c r="M96" s="146" t="str">
        <x:v>keep</x:v>
      </x:c>
      <x:c r="N96" s="147" t="b">
        <x:v>1</x:v>
      </x:c>
      <x:c r="O96" s="146" t="str">
        <x:v>PRIV.MIN</x:v>
      </x:c>
      <x:c r="P96" s="146" t="str">
        <x:v>LEGAL.basis</x:v>
      </x:c>
      <x:c r="Q96" s="146" t="str">
        <x:v>PRIV</x:v>
      </x:c>
      <x:c r="R96" s="146" t="str">
        <x:v>LEGAL</x:v>
      </x:c>
      <x:c r="S96" s="146" t="str">
        <x:v>proposal</x:v>
      </x:c>
      <x:c r="T96" s="146" t="str">
        <x:v>decision</x:v>
      </x:c>
      <x:c r="U96" s="146" t="str">
        <x:v>increases</x:v>
      </x:c>
      <x:c r="V96" s="146" t="str">
        <x:v>neutral</x:v>
      </x:c>
      <x:c r="W96" s="146" t="str">
        <x:v>from_state</x:v>
      </x:c>
      <x:c r="X96" s="146" t="str">
        <x:v>not_applicable</x:v>
      </x:c>
      <x:c r="Y96" s="146" t="n">
        <x:v>2</x:v>
      </x:c>
      <x:c r="Z96" s="146" t="n">
        <x:v>3</x:v>
      </x:c>
      <x:c r="AA96" s="146" t="str">
        <x:v>high</x:v>
      </x:c>
      <x:c r="AB96" s="146" t="str">
        <x:v>high</x:v>
      </x:c>
      <x:c r="AC96" s="146"/>
      <x:c r="AD96" s="146"/>
      <x:c r="AE96" s="151" t="str">
        <x:v>PRIV.MIN</x:v>
      </x:c>
      <x:c r="AF96" s="151" t="str">
        <x:v>LEGAL.basis</x:v>
      </x:c>
      <x:c r="AG96" s="151" t="str">
        <x:v>proposal</x:v>
      </x:c>
      <x:c r="AH96" s="151" t="str">
        <x:v>decision</x:v>
      </x:c>
      <x:c r="AI96" s="154" t="n">
        <x:f>IF(K96,0,1)</x:f>
        <x:v>1</x:v>
      </x:c>
      <x:c r="AJ96" s="154" t="n">
        <x:f>IF(L96="keep",1,0)</x:f>
        <x:v>1</x:v>
      </x:c>
      <x:c r="AK96" s="154" t="n">
        <x:f>IF(M96="keep",1,0)</x:f>
        <x:v>1</x:v>
      </x:c>
      <x:c r="AL96" s="154" t="n">
        <x:f>(AJ96+AK96)/2</x:f>
        <x:v>1</x:v>
      </x:c>
      <x:c r="AM96" s="154" t="n">
        <x:f>MIN(AJ96,AK96)</x:f>
        <x:v>1</x:v>
      </x:c>
      <x:c r="AN96" s="154" t="n">
        <x:f>MAX(AJ96,AK96)</x:f>
        <x:v>1</x:v>
      </x:c>
      <x:c r="AO96" s="154" t="n">
        <x:f>IF(L96=M96,1,0)</x:f>
        <x:v>1</x:v>
      </x:c>
    </x:row>
    <x:row r="97">
      <x:c r="A97" s="38" t="str">
        <x:v>SV-0096</x:v>
      </x:c>
      <x:c r="B97" s="38" t="str">
        <x:v>PC-06232</x:v>
      </x:c>
      <x:c r="C97" s="38" t="str">
        <x:v>en|both</x:v>
      </x:c>
      <x:c r="D97" s="87" t="n">
        <x:v>19.069444444444443</x:v>
      </x:c>
      <x:c r="E97" s="38" t="str">
        <x:v>both</x:v>
      </x:c>
      <x:c r="F97" s="38" t="str">
        <x:v>UK_BoE_2023_TechWP</x:v>
      </x:c>
      <x:c r="G97" s="38" t="n">
        <x:v>27</x:v>
      </x:c>
      <x:c r="H97" s="38" t="str">
        <x:v>en</x:v>
      </x:c>
      <x:c r="I97" s="38" t="str">
        <x:v>Bank of England and HM Treasury (digital pound)</x:v>
      </x:c>
      <x:c r="J97" s="38" t="str">
        <x:v>Therefore, it is important that security is designed into the CBDC system to account for and 
minimise the likelihood and impact of these risks, while balancing system usability.</x:v>
      </x:c>
      <x:c r="K97" s="142" t="b">
        <x:v>0</x:v>
      </x:c>
      <x:c r="L97" s="146" t="str">
        <x:v>keep</x:v>
      </x:c>
      <x:c r="M97" s="146" t="str">
        <x:v>keep</x:v>
      </x:c>
      <x:c r="N97" s="147" t="b">
        <x:v>1</x:v>
      </x:c>
      <x:c r="O97" s="146" t="str">
        <x:v>OPS.resilience</x:v>
      </x:c>
      <x:c r="P97" s="146" t="str">
        <x:v>OPS.resilience</x:v>
      </x:c>
      <x:c r="Q97" s="146" t="str">
        <x:v>OPS</x:v>
      </x:c>
      <x:c r="R97" s="146" t="str">
        <x:v>OPS</x:v>
      </x:c>
      <x:c r="S97" s="146" t="str">
        <x:v>proposal</x:v>
      </x:c>
      <x:c r="T97" s="146" t="str">
        <x:v>finding</x:v>
      </x:c>
      <x:c r="U97" s="146" t="str">
        <x:v>neutral</x:v>
      </x:c>
      <x:c r="V97" s="146" t="str">
        <x:v>neutral</x:v>
      </x:c>
      <x:c r="W97" s="146" t="str">
        <x:v>not_applicable</x:v>
      </x:c>
      <x:c r="X97" s="146" t="str">
        <x:v>not_applicable</x:v>
      </x:c>
      <x:c r="Y97" s="146" t="n">
        <x:v>3</x:v>
      </x:c>
      <x:c r="Z97" s="146" t="n">
        <x:v>2</x:v>
      </x:c>
      <x:c r="AA97" s="146" t="str">
        <x:v>high</x:v>
      </x:c>
      <x:c r="AB97" s="146" t="str">
        <x:v>high</x:v>
      </x:c>
      <x:c r="AC97" s="146"/>
      <x:c r="AD97" s="146"/>
      <x:c r="AE97" s="151" t="str">
        <x:v>OPS.resilience</x:v>
      </x:c>
      <x:c r="AF97" s="151" t="str">
        <x:v>OPS.resilience</x:v>
      </x:c>
      <x:c r="AG97" s="151" t="str">
        <x:v>proposal</x:v>
      </x:c>
      <x:c r="AH97" s="151" t="str">
        <x:v>finding</x:v>
      </x:c>
      <x:c r="AI97" s="154" t="n">
        <x:f>IF(K97,0,1)</x:f>
        <x:v>1</x:v>
      </x:c>
      <x:c r="AJ97" s="154" t="n">
        <x:f>IF(L97="keep",1,0)</x:f>
        <x:v>1</x:v>
      </x:c>
      <x:c r="AK97" s="154" t="n">
        <x:f>IF(M97="keep",1,0)</x:f>
        <x:v>1</x:v>
      </x:c>
      <x:c r="AL97" s="154" t="n">
        <x:f>(AJ97+AK97)/2</x:f>
        <x:v>1</x:v>
      </x:c>
      <x:c r="AM97" s="154" t="n">
        <x:f>MIN(AJ97,AK97)</x:f>
        <x:v>1</x:v>
      </x:c>
      <x:c r="AN97" s="154" t="n">
        <x:f>MAX(AJ97,AK97)</x:f>
        <x:v>1</x:v>
      </x:c>
      <x:c r="AO97" s="154" t="n">
        <x:f>IF(L97=M97,1,0)</x:f>
        <x:v>1</x:v>
      </x:c>
    </x:row>
    <x:row r="98">
      <x:c r="A98" s="38" t="str">
        <x:v>SV-0097</x:v>
      </x:c>
      <x:c r="B98" s="38" t="str">
        <x:v>PC-01565</x:v>
      </x:c>
      <x:c r="C98" s="38" t="str">
        <x:v>fr|both</x:v>
      </x:c>
      <x:c r="D98" s="87" t="n">
        <x:v>8</x:v>
      </x:c>
      <x:c r="E98" s="38" t="str">
        <x:v>both</x:v>
      </x:c>
      <x:c r="F98" s="38" t="str">
        <x:v>FR_BdF_2022</x:v>
      </x:c>
      <x:c r="G98" s="38" t="n">
        <x:v>11</x:v>
      </x:c>
      <x:c r="H98" s="38" t="str">
        <x:v>fr</x:v>
      </x:c>
      <x:c r="I98" s="38" t="str">
        <x:v>Banque de France (wholesale CBDC programme)</x:v>
      </x:c>
      <x:c r="J98" s="38" t="str">
        <x:v>They 
also confirmed that central banks can retain 
control of the CBDC over these different 
types of DLTs, in particular by exploiting 
the programmability features of central bank 
money provided by this technology.</x:v>
      </x:c>
      <x:c r="K98" s="142" t="b">
        <x:v>0</x:v>
      </x:c>
      <x:c r="L98" s="146" t="str">
        <x:v>keep</x:v>
      </x:c>
      <x:c r="M98" s="146" t="str">
        <x:v>keep</x:v>
      </x:c>
      <x:c r="N98" s="147" t="b">
        <x:v>1</x:v>
      </x:c>
      <x:c r="O98" s="146" t="str">
        <x:v>PROG.generic</x:v>
      </x:c>
      <x:c r="P98" s="146" t="str">
        <x:v>PROG.generic</x:v>
      </x:c>
      <x:c r="Q98" s="146" t="str">
        <x:v>PROG</x:v>
      </x:c>
      <x:c r="R98" s="146" t="str">
        <x:v>PROG</x:v>
      </x:c>
      <x:c r="S98" s="146" t="str">
        <x:v>finding</x:v>
      </x:c>
      <x:c r="T98" s="146" t="str">
        <x:v>finding</x:v>
      </x:c>
      <x:c r="U98" s="146" t="str">
        <x:v>decreases</x:v>
      </x:c>
      <x:c r="V98" s="146" t="str">
        <x:v>neutral</x:v>
      </x:c>
      <x:c r="W98" s="146" t="str">
        <x:v>from_state</x:v>
      </x:c>
      <x:c r="X98" s="146" t="str">
        <x:v>not_applicable</x:v>
      </x:c>
      <x:c r="Y98" s="146" t="n">
        <x:v>2</x:v>
      </x:c>
      <x:c r="Z98" s="146" t="n">
        <x:v>2</x:v>
      </x:c>
      <x:c r="AA98" s="146" t="str">
        <x:v>high</x:v>
      </x:c>
      <x:c r="AB98" s="146" t="str">
        <x:v>high</x:v>
      </x:c>
      <x:c r="AC98" s="146"/>
      <x:c r="AD98" s="146"/>
      <x:c r="AE98" s="151" t="str">
        <x:v>PROC.pilot_learning</x:v>
      </x:c>
      <x:c r="AF98" s="151" t="str">
        <x:v>PROG.generic</x:v>
      </x:c>
      <x:c r="AG98" s="151" t="str">
        <x:v>finding</x:v>
      </x:c>
      <x:c r="AH98" s="151" t="str">
        <x:v>finding</x:v>
      </x:c>
      <x:c r="AI98" s="154" t="n">
        <x:f>IF(K98,0,1)</x:f>
        <x:v>1</x:v>
      </x:c>
      <x:c r="AJ98" s="154" t="n">
        <x:f>IF(L98="keep",1,0)</x:f>
        <x:v>1</x:v>
      </x:c>
      <x:c r="AK98" s="154" t="n">
        <x:f>IF(M98="keep",1,0)</x:f>
        <x:v>1</x:v>
      </x:c>
      <x:c r="AL98" s="154" t="n">
        <x:f>(AJ98+AK98)/2</x:f>
        <x:v>1</x:v>
      </x:c>
      <x:c r="AM98" s="154" t="n">
        <x:f>MIN(AJ98,AK98)</x:f>
        <x:v>1</x:v>
      </x:c>
      <x:c r="AN98" s="154" t="n">
        <x:f>MAX(AJ98,AK98)</x:f>
        <x:v>1</x:v>
      </x:c>
      <x:c r="AO98" s="154" t="n">
        <x:f>IF(L98=M98,1,0)</x:f>
        <x:v>1</x:v>
      </x:c>
    </x:row>
    <x:row r="99">
      <x:c r="A99" s="38" t="str">
        <x:v>SV-0098</x:v>
      </x:c>
      <x:c r="B99" s="38" t="str">
        <x:v>PC-03448</x:v>
      </x:c>
      <x:c r="C99" s="38" t="str">
        <x:v>en|both</x:v>
      </x:c>
      <x:c r="D99" s="87" t="n">
        <x:v>19.069444444444443</x:v>
      </x:c>
      <x:c r="E99" s="38" t="str">
        <x:v>both</x:v>
      </x:c>
      <x:c r="F99" s="38" t="str">
        <x:v>IS_CBI_2018</x:v>
      </x:c>
      <x:c r="G99" s="38" t="n">
        <x:v>11</x:v>
      </x:c>
      <x:c r="H99" s="38" t="str">
        <x:v>en</x:v>
      </x:c>
      <x:c r="I99" s="38" t="str">
        <x:v>Central Bank of Iceland</x:v>
      </x:c>
      <x:c r="J99" s="38" t="str">
        <x:v>This report discusses two different ways of issuing a rafkróna: 
a), as base money; b) as a registered, traceable deposit to a payment 
account with the Central Bank, hereinafter referred to as a rafkróna 
account.</x:v>
      </x:c>
      <x:c r="K99" s="142" t="b">
        <x:v>0</x:v>
      </x:c>
      <x:c r="L99" s="146" t="str">
        <x:v>keep</x:v>
      </x:c>
      <x:c r="M99" s="146" t="str">
        <x:v>keep</x:v>
      </x:c>
      <x:c r="N99" s="147" t="b">
        <x:v>1</x:v>
      </x:c>
      <x:c r="O99" s="146" t="str">
        <x:v>TECH.TOKEN.considered</x:v>
      </x:c>
      <x:c r="P99" s="146" t="str">
        <x:v>SYS.design</x:v>
      </x:c>
      <x:c r="Q99" s="146" t="str">
        <x:v>TECH</x:v>
      </x:c>
      <x:c r="R99" s="146" t="str">
        <x:v>SYS</x:v>
      </x:c>
      <x:c r="S99" s="146" t="str">
        <x:v>proposal</x:v>
      </x:c>
      <x:c r="T99" s="146" t="str">
        <x:v>proposal</x:v>
      </x:c>
      <x:c r="U99" s="146" t="str">
        <x:v>neutral</x:v>
      </x:c>
      <x:c r="V99" s="146" t="str">
        <x:v>neutral</x:v>
      </x:c>
      <x:c r="W99" s="146" t="str">
        <x:v>not_applicable</x:v>
      </x:c>
      <x:c r="X99" s="146" t="str">
        <x:v>not_applicable</x:v>
      </x:c>
      <x:c r="Y99" s="146" t="n">
        <x:v>2</x:v>
      </x:c>
      <x:c r="Z99" s="146" t="n">
        <x:v>1</x:v>
      </x:c>
      <x:c r="AA99" s="146" t="str">
        <x:v>high</x:v>
      </x:c>
      <x:c r="AB99" s="146" t="str">
        <x:v>high</x:v>
      </x:c>
      <x:c r="AC99" s="146"/>
      <x:c r="AD99" s="146"/>
      <x:c r="AE99" s="151" t="str">
        <x:v>TECH.TOKEN.considered</x:v>
      </x:c>
      <x:c r="AF99" s="151" t="str">
        <x:v>SYS.design</x:v>
      </x:c>
      <x:c r="AG99" s="151" t="str">
        <x:v>proposal</x:v>
      </x:c>
      <x:c r="AH99" s="151" t="str">
        <x:v>proposal</x:v>
      </x:c>
      <x:c r="AI99" s="154" t="n">
        <x:f>IF(K99,0,1)</x:f>
        <x:v>1</x:v>
      </x:c>
      <x:c r="AJ99" s="154" t="n">
        <x:f>IF(L99="keep",1,0)</x:f>
        <x:v>1</x:v>
      </x:c>
      <x:c r="AK99" s="154" t="n">
        <x:f>IF(M99="keep",1,0)</x:f>
        <x:v>1</x:v>
      </x:c>
      <x:c r="AL99" s="154" t="n">
        <x:f>(AJ99+AK99)/2</x:f>
        <x:v>1</x:v>
      </x:c>
      <x:c r="AM99" s="154" t="n">
        <x:f>MIN(AJ99,AK99)</x:f>
        <x:v>1</x:v>
      </x:c>
      <x:c r="AN99" s="154" t="n">
        <x:f>MAX(AJ99,AK99)</x:f>
        <x:v>1</x:v>
      </x:c>
      <x:c r="AO99" s="154" t="n">
        <x:f>IF(L99=M99,1,0)</x:f>
        <x:v>1</x:v>
      </x:c>
    </x:row>
    <x:row r="100">
      <x:c r="A100" s="38" t="str">
        <x:v>SV-0099</x:v>
      </x:c>
      <x:c r="B100" s="38" t="str">
        <x:v>PC-06359</x:v>
      </x:c>
      <x:c r="C100" s="38" t="str">
        <x:v>en|both</x:v>
      </x:c>
      <x:c r="D100" s="87" t="n">
        <x:v>19.069444444444443</x:v>
      </x:c>
      <x:c r="E100" s="38" t="str">
        <x:v>both</x:v>
      </x:c>
      <x:c r="F100" s="38" t="str">
        <x:v>UK_BoE_2023_TechWP</x:v>
      </x:c>
      <x:c r="G100" s="38" t="n">
        <x:v>70</x:v>
      </x:c>
      <x:c r="H100" s="38" t="str">
        <x:v>en</x:v>
      </x:c>
      <x:c r="I100" s="38" t="str">
        <x:v>Bank of England and HM Treasury (digital pound)</x:v>
      </x:c>
      <x:c r="J100" s="38" t="str">
        <x:v>However, for reasons of practicality 
and financial inclusion, some level of ‘in-person’ service is likely to be needed.</x:v>
      </x:c>
      <x:c r="K100" s="142" t="b">
        <x:v>0</x:v>
      </x:c>
      <x:c r="L100" s="146" t="str">
        <x:v>keep</x:v>
      </x:c>
      <x:c r="M100" s="146" t="str">
        <x:v>keep</x:v>
      </x:c>
      <x:c r="N100" s="147" t="b">
        <x:v>1</x:v>
      </x:c>
      <x:c r="O100" s="146" t="str">
        <x:v>ACCESS.universal</x:v>
      </x:c>
      <x:c r="P100" s="146" t="str">
        <x:v>ACCESS.universal</x:v>
      </x:c>
      <x:c r="Q100" s="146" t="str">
        <x:v>ACCESS</x:v>
      </x:c>
      <x:c r="R100" s="146" t="str">
        <x:v>ACCESS</x:v>
      </x:c>
      <x:c r="S100" s="146" t="str">
        <x:v>proposal</x:v>
      </x:c>
      <x:c r="T100" s="146" t="str">
        <x:v>proposal</x:v>
      </x:c>
      <x:c r="U100" s="146" t="str">
        <x:v>neutral</x:v>
      </x:c>
      <x:c r="V100" s="146" t="str">
        <x:v>neutral</x:v>
      </x:c>
      <x:c r="W100" s="146" t="str">
        <x:v>not_applicable</x:v>
      </x:c>
      <x:c r="X100" s="146" t="str">
        <x:v>not_applicable</x:v>
      </x:c>
      <x:c r="Y100" s="146" t="n">
        <x:v>2</x:v>
      </x:c>
      <x:c r="Z100" s="146" t="n">
        <x:v>2</x:v>
      </x:c>
      <x:c r="AA100" s="146" t="str">
        <x:v>high</x:v>
      </x:c>
      <x:c r="AB100" s="146" t="str">
        <x:v>high</x:v>
      </x:c>
      <x:c r="AC100" s="146"/>
      <x:c r="AD100" s="146"/>
      <x:c r="AE100" s="151" t="str">
        <x:v>ACCESS.universal</x:v>
      </x:c>
      <x:c r="AF100" s="151" t="str">
        <x:v>ACCESS.universal</x:v>
      </x:c>
      <x:c r="AG100" s="151" t="str">
        <x:v>proposal</x:v>
      </x:c>
      <x:c r="AH100" s="151" t="str">
        <x:v>proposal</x:v>
      </x:c>
      <x:c r="AI100" s="154" t="n">
        <x:f>IF(K100,0,1)</x:f>
        <x:v>1</x:v>
      </x:c>
      <x:c r="AJ100" s="154" t="n">
        <x:f>IF(L100="keep",1,0)</x:f>
        <x:v>1</x:v>
      </x:c>
      <x:c r="AK100" s="154" t="n">
        <x:f>IF(M100="keep",1,0)</x:f>
        <x:v>1</x:v>
      </x:c>
      <x:c r="AL100" s="154" t="n">
        <x:f>(AJ100+AK100)/2</x:f>
        <x:v>1</x:v>
      </x:c>
      <x:c r="AM100" s="154" t="n">
        <x:f>MIN(AJ100,AK100)</x:f>
        <x:v>1</x:v>
      </x:c>
      <x:c r="AN100" s="154" t="n">
        <x:f>MAX(AJ100,AK100)</x:f>
        <x:v>1</x:v>
      </x:c>
      <x:c r="AO100" s="154" t="n">
        <x:f>IF(L100=M100,1,0)</x:f>
        <x:v>1</x:v>
      </x:c>
    </x:row>
    <x:row r="101">
      <x:c r="A101" s="38" t="str">
        <x:v>SV-0100</x:v>
      </x:c>
      <x:c r="B101" s="38" t="str">
        <x:v>PC-00930</x:v>
      </x:c>
      <x:c r="C101" s="38" t="str">
        <x:v>en|both</x:v>
      </x:c>
      <x:c r="D101" s="87" t="n">
        <x:v>19.069444444444443</x:v>
      </x:c>
      <x:c r="E101" s="38" t="str">
        <x:v>both</x:v>
      </x:c>
      <x:c r="F101" s="38" t="str">
        <x:v>CA_Jasper_Phase12_2017</x:v>
      </x:c>
      <x:c r="G101" s="38" t="n">
        <x:v>11</x:v>
      </x:c>
      <x:c r="H101" s="38" t="str">
        <x:v>en</x:v>
      </x:c>
      <x:c r="I101" s="38" t="str">
        <x:v>Bank of Canada and Payments Canada (Project Jasper)</x:v>
      </x:c>
      <x:c r="J101" s="38" t="str">
        <x:v>The use of a proof-of-work consensus mech-
anism raised concerns from the perspective of oper-
ational efficiency, since it was demonstrated that this  
consensus method could not provide the throughput  
required as volumes increased.</x:v>
      </x:c>
      <x:c r="K101" s="142" t="b">
        <x:v>0</x:v>
      </x:c>
      <x:c r="L101" s="146" t="str">
        <x:v>keep</x:v>
      </x:c>
      <x:c r="M101" s="146" t="str">
        <x:v>keep</x:v>
      </x:c>
      <x:c r="N101" s="147" t="b">
        <x:v>1</x:v>
      </x:c>
      <x:c r="O101" s="146" t="str">
        <x:v>TECH.DLT</x:v>
      </x:c>
      <x:c r="P101" s="146" t="str">
        <x:v>SYS.design</x:v>
      </x:c>
      <x:c r="Q101" s="146" t="str">
        <x:v>TECH</x:v>
      </x:c>
      <x:c r="R101" s="146" t="str">
        <x:v>SYS</x:v>
      </x:c>
      <x:c r="S101" s="146" t="str">
        <x:v>finding</x:v>
      </x:c>
      <x:c r="T101" s="146" t="str">
        <x:v>decision</x:v>
      </x:c>
      <x:c r="U101" s="146" t="str">
        <x:v>neutral</x:v>
      </x:c>
      <x:c r="V101" s="146" t="str">
        <x:v>neutral</x:v>
      </x:c>
      <x:c r="W101" s="146" t="str">
        <x:v>not_applicable</x:v>
      </x:c>
      <x:c r="X101" s="146" t="str">
        <x:v>not_applicable</x:v>
      </x:c>
      <x:c r="Y101" s="146" t="n">
        <x:v>3</x:v>
      </x:c>
      <x:c r="Z101" s="146" t="n">
        <x:v>3</x:v>
      </x:c>
      <x:c r="AA101" s="146" t="str">
        <x:v>high</x:v>
      </x:c>
      <x:c r="AB101" s="146" t="str">
        <x:v>high</x:v>
      </x:c>
      <x:c r="AC101" s="146"/>
      <x:c r="AD101" s="146"/>
      <x:c r="AE101" s="151" t="str">
        <x:v>PROC.pilot_learning</x:v>
      </x:c>
      <x:c r="AF101" s="151" t="str">
        <x:v>SYS.design</x:v>
      </x:c>
      <x:c r="AG101" s="151" t="str">
        <x:v>finding</x:v>
      </x:c>
      <x:c r="AH101" s="151" t="str">
        <x:v>decision</x:v>
      </x:c>
      <x:c r="AI101" s="154" t="n">
        <x:f>IF(K101,0,1)</x:f>
        <x:v>1</x:v>
      </x:c>
      <x:c r="AJ101" s="154" t="n">
        <x:f>IF(L101="keep",1,0)</x:f>
        <x:v>1</x:v>
      </x:c>
      <x:c r="AK101" s="154" t="n">
        <x:f>IF(M101="keep",1,0)</x:f>
        <x:v>1</x:v>
      </x:c>
      <x:c r="AL101" s="154" t="n">
        <x:f>(AJ101+AK101)/2</x:f>
        <x:v>1</x:v>
      </x:c>
      <x:c r="AM101" s="154" t="n">
        <x:f>MIN(AJ101,AK101)</x:f>
        <x:v>1</x:v>
      </x:c>
      <x:c r="AN101" s="154" t="n">
        <x:f>MAX(AJ101,AK101)</x:f>
        <x:v>1</x:v>
      </x:c>
      <x:c r="AO101" s="154" t="n">
        <x:f>IF(L101=M101,1,0)</x:f>
        <x:v>1</x:v>
      </x:c>
    </x:row>
    <x:row r="102">
      <x:c r="A102" s="38" t="str">
        <x:v>SV-0101</x:v>
      </x:c>
      <x:c r="B102" s="38" t="str">
        <x:v>PC-05690</x:v>
      </x:c>
      <x:c r="C102" s="38" t="str">
        <x:v>en|claude_only</x:v>
      </x:c>
      <x:c r="D102" s="87" t="n">
        <x:v>19.375</x:v>
      </x:c>
      <x:c r="E102" s="38" t="str">
        <x:v>claude_only</x:v>
      </x:c>
      <x:c r="F102" s="38" t="str">
        <x:v>TR_DigitalLira_Phase2_2025</x:v>
      </x:c>
      <x:c r="G102" s="38" t="n">
        <x:v>11</x:v>
      </x:c>
      <x:c r="H102" s="38" t="str">
        <x:v>en</x:v>
      </x:c>
      <x:c r="I102" s="38" t="str">
        <x:v>Central Bank of the Republic of Turkiye (Digital Turkish Lira)</x:v>
      </x:c>
      <x:c r="J102" s="38" t="str">
        <x:v>The use of 
digital monies in cross-border payments aims to resolve these issues through utilizing 
flows conducted via central banks and implementing distributed architectures, in contrast 
to the correspondent banking model.</x:v>
      </x:c>
      <x:c r="K102" s="142" t="b">
        <x:v>0</x:v>
      </x:c>
      <x:c r="L102" s="146" t="str">
        <x:v>exclude</x:v>
      </x:c>
      <x:c r="M102" s="146" t="str">
        <x:v>keep</x:v>
      </x:c>
      <x:c r="N102" s="147" t="b">
        <x:v>0</x:v>
      </x:c>
      <x:c r="O102" s="146"/>
      <x:c r="P102" s="146" t="str">
        <x:v>INTEROP.crossborder</x:v>
      </x:c>
      <x:c r="Q102" s="146" t="str"/>
      <x:c r="R102" s="146" t="str">
        <x:v>INTEROP</x:v>
      </x:c>
      <x:c r="S102" s="146"/>
      <x:c r="T102" s="146" t="str">
        <x:v>proposal</x:v>
      </x:c>
      <x:c r="U102" s="146"/>
      <x:c r="V102" s="146" t="str">
        <x:v>neutral</x:v>
      </x:c>
      <x:c r="W102" s="146"/>
      <x:c r="X102" s="146" t="str">
        <x:v>not_applicable</x:v>
      </x:c>
      <x:c r="Y102" s="146"/>
      <x:c r="Z102" s="146" t="n">
        <x:v>2</x:v>
      </x:c>
      <x:c r="AA102" s="146" t="str">
        <x:v>high</x:v>
      </x:c>
      <x:c r="AB102" s="146" t="str">
        <x:v>high</x:v>
      </x:c>
      <x:c r="AC102" s="146"/>
      <x:c r="AD102" s="146"/>
      <x:c r="AE102" s="151"/>
      <x:c r="AF102" s="151" t="str">
        <x:v>INTEROP.crossborder</x:v>
      </x:c>
      <x:c r="AG102" s="151"/>
      <x:c r="AH102" s="151" t="str">
        <x:v>proposal</x:v>
      </x:c>
      <x:c r="AI102" s="154" t="n">
        <x:f>IF(K102,0,1)</x:f>
        <x:v>1</x:v>
      </x:c>
      <x:c r="AJ102" s="154" t="n">
        <x:f>IF(L102="keep",1,0)</x:f>
        <x:v>0</x:v>
      </x:c>
      <x:c r="AK102" s="154" t="n">
        <x:f>IF(M102="keep",1,0)</x:f>
        <x:v>1</x:v>
      </x:c>
      <x:c r="AL102" s="154" t="n">
        <x:f>(AJ102+AK102)/2</x:f>
        <x:v>0.5</x:v>
      </x:c>
      <x:c r="AM102" s="154" t="n">
        <x:f>MIN(AJ102,AK102)</x:f>
        <x:v>0</x:v>
      </x:c>
      <x:c r="AN102" s="154" t="n">
        <x:f>MAX(AJ102,AK102)</x:f>
        <x:v>1</x:v>
      </x:c>
      <x:c r="AO102" s="154" t="n">
        <x:f>IF(L102=M102,1,0)</x:f>
        <x:v>0</x:v>
      </x:c>
    </x:row>
    <x:row r="103">
      <x:c r="A103" s="38" t="str">
        <x:v>SV-0102</x:v>
      </x:c>
      <x:c r="B103" s="38" t="str">
        <x:v>PC-06656</x:v>
      </x:c>
      <x:c r="C103" s="38" t="str">
        <x:v>en|both</x:v>
      </x:c>
      <x:c r="D103" s="87" t="n">
        <x:v>19.069444444444443</x:v>
      </x:c>
      <x:c r="E103" s="38" t="str">
        <x:v>both</x:v>
      </x:c>
      <x:c r="F103" s="38" t="str">
        <x:v>UY_BCU_Seven_Lessons_2022</x:v>
      </x:c>
      <x:c r="G103" s="38" t="n">
        <x:v>7</x:v>
      </x:c>
      <x:c r="H103" s="38" t="str">
        <x:v>en</x:v>
      </x:c>
      <x:c r="I103" s="38" t="str">
        <x:v>Banco Central del Uruguay (e-Peso pilot)</x:v>
      </x:c>
      <x:c r="J103" s="38" t="str">
        <x:v>The results of e -Peso pilo t shows that no connections or transmission of operations 
problems were reported, so the network supported pretty good the pilot</x:v>
      </x:c>
      <x:c r="K103" s="142" t="b">
        <x:v>0</x:v>
      </x:c>
      <x:c r="L103" s="146" t="str">
        <x:v>keep</x:v>
      </x:c>
      <x:c r="M103" s="146" t="str">
        <x:v>exclude</x:v>
      </x:c>
      <x:c r="N103" s="147" t="b">
        <x:v>0</x:v>
      </x:c>
      <x:c r="O103" s="146" t="str">
        <x:v>OPS.resilience</x:v>
      </x:c>
      <x:c r="P103" s="146" t="str">
        <x:v>PRIV.ANON</x:v>
      </x:c>
      <x:c r="Q103" s="146" t="str">
        <x:v>OPS</x:v>
      </x:c>
      <x:c r="R103" s="146" t="str">
        <x:v>PRIV</x:v>
      </x:c>
      <x:c r="S103" s="146" t="str">
        <x:v>finding</x:v>
      </x:c>
      <x:c r="T103" s="146" t="str">
        <x:v>finding</x:v>
      </x:c>
      <x:c r="U103" s="146" t="str">
        <x:v>neutral</x:v>
      </x:c>
      <x:c r="V103" s="146" t="str">
        <x:v>increases</x:v>
      </x:c>
      <x:c r="W103" s="146" t="str">
        <x:v>not_applicable</x:v>
      </x:c>
      <x:c r="X103" s="146" t="str">
        <x:v>from_counterparty</x:v>
      </x:c>
      <x:c r="Y103" s="146" t="n">
        <x:v>2</x:v>
      </x:c>
      <x:c r="Z103" s="146" t="n">
        <x:v>3</x:v>
      </x:c>
      <x:c r="AA103" s="146" t="str">
        <x:v>high</x:v>
      </x:c>
      <x:c r="AB103" s="146" t="str">
        <x:v>high</x:v>
      </x:c>
      <x:c r="AC103" s="146"/>
      <x:c r="AD103" s="146" t="str">
        <x:v>x</x:v>
      </x:c>
      <x:c r="AE103" s="151" t="str">
        <x:v>OPS.resilience</x:v>
      </x:c>
      <x:c r="AF103" s="151" t="str">
        <x:v>PRIV.ANON</x:v>
      </x:c>
      <x:c r="AG103" s="151" t="str">
        <x:v>finding</x:v>
      </x:c>
      <x:c r="AH103" s="151" t="str">
        <x:v>finding</x:v>
      </x:c>
      <x:c r="AI103" s="154" t="n">
        <x:f>IF(K103,0,1)</x:f>
        <x:v>1</x:v>
      </x:c>
      <x:c r="AJ103" s="154" t="n">
        <x:f>IF(L103="keep",1,0)</x:f>
        <x:v>1</x:v>
      </x:c>
      <x:c r="AK103" s="154" t="n">
        <x:f>IF(M103="keep",1,0)</x:f>
        <x:v>0</x:v>
      </x:c>
      <x:c r="AL103" s="154" t="n">
        <x:f>(AJ103+AK103)/2</x:f>
        <x:v>0.5</x:v>
      </x:c>
      <x:c r="AM103" s="154" t="n">
        <x:f>MIN(AJ103,AK103)</x:f>
        <x:v>0</x:v>
      </x:c>
      <x:c r="AN103" s="154" t="n">
        <x:f>MAX(AJ103,AK103)</x:f>
        <x:v>1</x:v>
      </x:c>
      <x:c r="AO103" s="154" t="n">
        <x:f>IF(L103=M103,1,0)</x:f>
        <x:v>0</x:v>
      </x:c>
    </x:row>
    <x:row r="104">
      <x:c r="A104" s="38" t="str">
        <x:v>SV-0103</x:v>
      </x:c>
      <x:c r="B104" s="38" t="str">
        <x:v>PC-06500</x:v>
      </x:c>
      <x:c r="C104" s="38" t="str">
        <x:v>en|both</x:v>
      </x:c>
      <x:c r="D104" s="87" t="n">
        <x:v>19.069444444444443</x:v>
      </x:c>
      <x:c r="E104" s="38" t="str">
        <x:v>both</x:v>
      </x:c>
      <x:c r="F104" s="38" t="str">
        <x:v>US_NYFed_CedarPhaseOne_2022</x:v>
      </x:c>
      <x:c r="G104" s="38" t="n">
        <x:v>4</x:v>
      </x:c>
      <x:c r="H104" s="38" t="str">
        <x:v>en</x:v>
      </x:c>
      <x:c r="I104" s="38" t="str">
        <x:v>Federal Reserve Bank of New York (Project Cedar Phase I)</x:v>
      </x:c>
      <x:c r="J104" s="38" t="str">
        <x:v>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x:v>
      </x:c>
      <x:c r="K104" s="142" t="b">
        <x:v>0</x:v>
      </x:c>
      <x:c r="L104" s="146" t="str">
        <x:v>keep</x:v>
      </x:c>
      <x:c r="M104" s="146" t="str">
        <x:v>keep</x:v>
      </x:c>
      <x:c r="N104" s="147" t="b">
        <x:v>1</x:v>
      </x:c>
      <x:c r="O104" s="146" t="str">
        <x:v>PROC.pilot_learning</x:v>
      </x:c>
      <x:c r="P104" s="146" t="str">
        <x:v>INTEROP.crossborder</x:v>
      </x:c>
      <x:c r="Q104" s="146" t="str">
        <x:v>PROC</x:v>
      </x:c>
      <x:c r="R104" s="146" t="str">
        <x:v>INTEROP</x:v>
      </x:c>
      <x:c r="S104" s="146" t="str">
        <x:v>finding</x:v>
      </x:c>
      <x:c r="T104" s="146" t="str">
        <x:v>finding</x:v>
      </x:c>
      <x:c r="U104" s="146" t="str">
        <x:v>neutral</x:v>
      </x:c>
      <x:c r="V104" s="146" t="str">
        <x:v>neutral</x:v>
      </x:c>
      <x:c r="W104" s="146" t="str">
        <x:v>not_applicable</x:v>
      </x:c>
      <x:c r="X104" s="146" t="str">
        <x:v>not_applicable</x:v>
      </x:c>
      <x:c r="Y104" s="146" t="n">
        <x:v>2</x:v>
      </x:c>
      <x:c r="Z104" s="146" t="n">
        <x:v>3</x:v>
      </x:c>
      <x:c r="AA104" s="146" t="str">
        <x:v>high</x:v>
      </x:c>
      <x:c r="AB104" s="146" t="str">
        <x:v>high</x:v>
      </x:c>
      <x:c r="AC104" s="146"/>
      <x:c r="AD104" s="146"/>
      <x:c r="AE104" s="151" t="str">
        <x:v>PROC.pilot_learning</x:v>
      </x:c>
      <x:c r="AF104" s="151" t="str">
        <x:v>INTEROP.crossborder</x:v>
      </x:c>
      <x:c r="AG104" s="151" t="str">
        <x:v>finding</x:v>
      </x:c>
      <x:c r="AH104" s="151" t="str">
        <x:v>finding</x:v>
      </x:c>
      <x:c r="AI104" s="154" t="n">
        <x:f>IF(K104,0,1)</x:f>
        <x:v>1</x:v>
      </x:c>
      <x:c r="AJ104" s="154" t="n">
        <x:f>IF(L104="keep",1,0)</x:f>
        <x:v>1</x:v>
      </x:c>
      <x:c r="AK104" s="154" t="n">
        <x:f>IF(M104="keep",1,0)</x:f>
        <x:v>1</x:v>
      </x:c>
      <x:c r="AL104" s="154" t="n">
        <x:f>(AJ104+AK104)/2</x:f>
        <x:v>1</x:v>
      </x:c>
      <x:c r="AM104" s="154" t="n">
        <x:f>MIN(AJ104,AK104)</x:f>
        <x:v>1</x:v>
      </x:c>
      <x:c r="AN104" s="154" t="n">
        <x:f>MAX(AJ104,AK104)</x:f>
        <x:v>1</x:v>
      </x:c>
      <x:c r="AO104" s="154" t="n">
        <x:f>IF(L104=M104,1,0)</x:f>
        <x:v>1</x:v>
      </x:c>
    </x:row>
    <x:row r="105">
      <x:c r="A105" s="38" t="str">
        <x:v>SV-0104</x:v>
      </x:c>
      <x:c r="B105" s="38" t="str">
        <x:v>PC-05653</x:v>
      </x:c>
      <x:c r="C105" s="38" t="str">
        <x:v>en|openai_only</x:v>
      </x:c>
      <x:c r="D105" s="87" t="n">
        <x:v>19.21875</x:v>
      </x:c>
      <x:c r="E105" s="38" t="str">
        <x:v>openai_only</x:v>
      </x:c>
      <x:c r="F105" s="38" t="str">
        <x:v>TR_DigitalLira_Phase2_2025</x:v>
      </x:c>
      <x:c r="G105" s="38" t="n">
        <x:v>4</x:v>
      </x:c>
      <x:c r="H105" s="38" t="str">
        <x:v>en</x:v>
      </x:c>
      <x:c r="I105" s="38" t="str">
        <x:v>Central Bank of the Republic of Turkiye (Digital Turkish Lira)</x:v>
      </x:c>
      <x:c r="J105" s="38" t="str">
        <x:v>Users will be able to access their digital Turkish lira accounts through any 
financial intermediary. In this way, similar to banknotes, the digital Turkish lira will be 
usable in an intermediary-agnostic manner.</x:v>
      </x:c>
      <x:c r="K105" s="142" t="b">
        <x:v>0</x:v>
      </x:c>
      <x:c r="L105" s="146" t="str">
        <x:v>keep</x:v>
      </x:c>
      <x:c r="M105" s="146" t="str">
        <x:v>exclude</x:v>
      </x:c>
      <x:c r="N105" s="147" t="b">
        <x:v>0</x:v>
      </x:c>
      <x:c r="O105" s="146" t="str">
        <x:v>INTEROP.domestic</x:v>
      </x:c>
      <x:c r="P105" s="146"/>
      <x:c r="Q105" s="146" t="str">
        <x:v>INTEROP</x:v>
      </x:c>
      <x:c r="R105" s="146" t="str"/>
      <x:c r="S105" s="146" t="str">
        <x:v>decision</x:v>
      </x:c>
      <x:c r="T105" s="146"/>
      <x:c r="U105" s="146" t="str">
        <x:v>neutral</x:v>
      </x:c>
      <x:c r="V105" s="146"/>
      <x:c r="W105" s="146" t="str">
        <x:v>not_applicable</x:v>
      </x:c>
      <x:c r="X105" s="146"/>
      <x:c r="Y105" s="146" t="n">
        <x:v>3</x:v>
      </x:c>
      <x:c r="Z105" s="146"/>
      <x:c r="AA105" s="146" t="str">
        <x:v>high</x:v>
      </x:c>
      <x:c r="AB105" s="146" t="str">
        <x:v>high</x:v>
      </x:c>
      <x:c r="AC105" s="146"/>
      <x:c r="AD105" s="146"/>
      <x:c r="AE105" s="151" t="str">
        <x:v>INTEROP.domestic</x:v>
      </x:c>
      <x:c r="AF105" s="151"/>
      <x:c r="AG105" s="151" t="str">
        <x:v>decision</x:v>
      </x:c>
      <x:c r="AH105" s="151"/>
      <x:c r="AI105" s="154" t="n">
        <x:f>IF(K105,0,1)</x:f>
        <x:v>1</x:v>
      </x:c>
      <x:c r="AJ105" s="154" t="n">
        <x:f>IF(L105="keep",1,0)</x:f>
        <x:v>1</x:v>
      </x:c>
      <x:c r="AK105" s="154" t="n">
        <x:f>IF(M105="keep",1,0)</x:f>
        <x:v>0</x:v>
      </x:c>
      <x:c r="AL105" s="154" t="n">
        <x:f>(AJ105+AK105)/2</x:f>
        <x:v>0.5</x:v>
      </x:c>
      <x:c r="AM105" s="154" t="n">
        <x:f>MIN(AJ105,AK105)</x:f>
        <x:v>0</x:v>
      </x:c>
      <x:c r="AN105" s="154" t="n">
        <x:f>MAX(AJ105,AK105)</x:f>
        <x:v>1</x:v>
      </x:c>
      <x:c r="AO105" s="154" t="n">
        <x:f>IF(L105=M105,1,0)</x:f>
        <x:v>0</x:v>
      </x:c>
    </x:row>
    <x:row r="106">
      <x:c r="A106" s="38" t="str">
        <x:v>SV-0105</x:v>
      </x:c>
      <x:c r="B106" s="38" t="str">
        <x:v>PC-00949</x:v>
      </x:c>
      <x:c r="C106" s="38" t="str">
        <x:v>en|both</x:v>
      </x:c>
      <x:c r="D106" s="87" t="n">
        <x:v>19.069444444444443</x:v>
      </x:c>
      <x:c r="E106" s="38" t="str">
        <x:v>both</x:v>
      </x:c>
      <x:c r="F106" s="38" t="str">
        <x:v>CA_Jasper_Phase12_2017</x:v>
      </x:c>
      <x:c r="G106" s="38" t="n">
        <x:v>15</x:v>
      </x:c>
      <x:c r="H106" s="38" t="str">
        <x:v>en</x:v>
      </x:c>
      <x:c r="I106" s="38" t="str">
        <x:v>Bank of Canada and Payments Canada (Project Jasper)</x:v>
      </x:c>
      <x:c r="J106" s="38" t="str">
        <x:v>A DLT-based wholesale 
settlement solution in Canada must be able to  
process, at a minimum, over 50,000 payment items 
per day, and at least 14 items per second, based on 
observation of the LVTS today.</x:v>
      </x:c>
      <x:c r="K106" s="142" t="b">
        <x:v>0</x:v>
      </x:c>
      <x:c r="L106" s="146" t="str">
        <x:v>keep</x:v>
      </x:c>
      <x:c r="M106" s="146" t="str">
        <x:v>keep</x:v>
      </x:c>
      <x:c r="N106" s="147" t="b">
        <x:v>1</x:v>
      </x:c>
      <x:c r="O106" s="146" t="str">
        <x:v>OPS.resilience</x:v>
      </x:c>
      <x:c r="P106" s="146" t="str">
        <x:v>SYS.design</x:v>
      </x:c>
      <x:c r="Q106" s="146" t="str">
        <x:v>OPS</x:v>
      </x:c>
      <x:c r="R106" s="146" t="str">
        <x:v>SYS</x:v>
      </x:c>
      <x:c r="S106" s="146" t="str">
        <x:v>finding</x:v>
      </x:c>
      <x:c r="T106" s="146" t="str">
        <x:v>proposal</x:v>
      </x:c>
      <x:c r="U106" s="146" t="str">
        <x:v>neutral</x:v>
      </x:c>
      <x:c r="V106" s="146" t="str">
        <x:v>neutral</x:v>
      </x:c>
      <x:c r="W106" s="146" t="str">
        <x:v>not_applicable</x:v>
      </x:c>
      <x:c r="X106" s="146" t="str">
        <x:v>not_applicable</x:v>
      </x:c>
      <x:c r="Y106" s="146" t="n">
        <x:v>2</x:v>
      </x:c>
      <x:c r="Z106" s="146" t="n">
        <x:v>2</x:v>
      </x:c>
      <x:c r="AA106" s="146" t="str">
        <x:v>high</x:v>
      </x:c>
      <x:c r="AB106" s="146" t="str">
        <x:v>high</x:v>
      </x:c>
      <x:c r="AC106" s="146"/>
      <x:c r="AD106" s="146"/>
      <x:c r="AE106" s="151" t="str">
        <x:v>OPS.resilience</x:v>
      </x:c>
      <x:c r="AF106" s="151" t="str">
        <x:v>SYS.design</x:v>
      </x:c>
      <x:c r="AG106" s="151" t="str">
        <x:v>finding</x:v>
      </x:c>
      <x:c r="AH106" s="151" t="str">
        <x:v>proposal</x:v>
      </x:c>
      <x:c r="AI106" s="154" t="n">
        <x:f>IF(K106,0,1)</x:f>
        <x:v>1</x:v>
      </x:c>
      <x:c r="AJ106" s="154" t="n">
        <x:f>IF(L106="keep",1,0)</x:f>
        <x:v>1</x:v>
      </x:c>
      <x:c r="AK106" s="154" t="n">
        <x:f>IF(M106="keep",1,0)</x:f>
        <x:v>1</x:v>
      </x:c>
      <x:c r="AL106" s="154" t="n">
        <x:f>(AJ106+AK106)/2</x:f>
        <x:v>1</x:v>
      </x:c>
      <x:c r="AM106" s="154" t="n">
        <x:f>MIN(AJ106,AK106)</x:f>
        <x:v>1</x:v>
      </x:c>
      <x:c r="AN106" s="154" t="n">
        <x:f>MAX(AJ106,AK106)</x:f>
        <x:v>1</x:v>
      </x:c>
      <x:c r="AO106" s="154" t="n">
        <x:f>IF(L106=M106,1,0)</x:f>
        <x:v>1</x:v>
      </x:c>
    </x:row>
    <x:row r="107">
      <x:c r="A107" s="38" t="str">
        <x:v>SV-0106</x:v>
      </x:c>
      <x:c r="B107" s="38" t="str">
        <x:v>PC-05075</x:v>
      </x:c>
      <x:c r="C107" s="38" t="str">
        <x:v>ru/uk|openai_only</x:v>
      </x:c>
      <x:c r="D107" s="87" t="n">
        <x:v>20.33333333333333</x:v>
      </x:c>
      <x:c r="E107" s="38" t="str">
        <x:v>openai_only</x:v>
      </x:c>
      <x:c r="F107" s="38" t="str">
        <x:v>RU_Russia_digital_ruble_30062025</x:v>
      </x:c>
      <x:c r="G107" s="38" t="n">
        <x:v>18</x:v>
      </x:c>
      <x:c r="H107" s="38" t="str">
        <x:v>ru/uk</x:v>
      </x:c>
      <x:c r="I107" s="38" t="str">
        <x:v>Bank of Russia (digital ruble)</x:v>
      </x:c>
      <x:c r="J107" s="38" t="str">
        <x:v>Использование инфраструктуры АО «НСПК» для платежей по QR-коду в магазине 
или в интернете позволяет сделать платеж безопасным и привычным для пользователей.</x:v>
      </x:c>
      <x:c r="K107" s="142" t="b">
        <x:v>0</x:v>
      </x:c>
      <x:c r="L107" s="146" t="str">
        <x:v>keep</x:v>
      </x:c>
      <x:c r="M107" s="146" t="str">
        <x:v>exclude</x:v>
      </x:c>
      <x:c r="N107" s="147" t="b">
        <x:v>0</x:v>
      </x:c>
      <x:c r="O107" s="146" t="str">
        <x:v>ADOPT.experience</x:v>
      </x:c>
      <x:c r="P107" s="146"/>
      <x:c r="Q107" s="146" t="str">
        <x:v>ADOPT</x:v>
      </x:c>
      <x:c r="R107" s="146" t="str"/>
      <x:c r="S107" s="146" t="str">
        <x:v>finding</x:v>
      </x:c>
      <x:c r="T107" s="146"/>
      <x:c r="U107" s="146" t="str">
        <x:v>neutral</x:v>
      </x:c>
      <x:c r="V107" s="146"/>
      <x:c r="W107" s="146" t="str">
        <x:v>not_applicable</x:v>
      </x:c>
      <x:c r="X107" s="146"/>
      <x:c r="Y107" s="146" t="n">
        <x:v>2</x:v>
      </x:c>
      <x:c r="Z107" s="146"/>
      <x:c r="AA107" s="146" t="str">
        <x:v>high</x:v>
      </x:c>
      <x:c r="AB107" s="146" t="str">
        <x:v>high</x:v>
      </x:c>
      <x:c r="AC107" s="146"/>
      <x:c r="AD107" s="146"/>
      <x:c r="AE107" s="151" t="str">
        <x:v>ADOPT.experience</x:v>
      </x:c>
      <x:c r="AF107" s="151"/>
      <x:c r="AG107" s="151" t="str">
        <x:v>finding</x:v>
      </x:c>
      <x:c r="AH107" s="151"/>
      <x:c r="AI107" s="154" t="n">
        <x:f>IF(K107,0,1)</x:f>
        <x:v>1</x:v>
      </x:c>
      <x:c r="AJ107" s="154" t="n">
        <x:f>IF(L107="keep",1,0)</x:f>
        <x:v>1</x:v>
      </x:c>
      <x:c r="AK107" s="154" t="n">
        <x:f>IF(M107="keep",1,0)</x:f>
        <x:v>0</x:v>
      </x:c>
      <x:c r="AL107" s="154" t="n">
        <x:f>(AJ107+AK107)/2</x:f>
        <x:v>0.5</x:v>
      </x:c>
      <x:c r="AM107" s="154" t="n">
        <x:f>MIN(AJ107,AK107)</x:f>
        <x:v>0</x:v>
      </x:c>
      <x:c r="AN107" s="154" t="n">
        <x:f>MAX(AJ107,AK107)</x:f>
        <x:v>1</x:v>
      </x:c>
      <x:c r="AO107" s="154" t="n">
        <x:f>IF(L107=M107,1,0)</x:f>
        <x:v>0</x:v>
      </x:c>
    </x:row>
    <x:row r="108">
      <x:c r="A108" s="38" t="str">
        <x:v>SV-0107</x:v>
      </x:c>
      <x:c r="B108" s="38" t="str">
        <x:v>PC-06448</x:v>
      </x:c>
      <x:c r="C108" s="38" t="str">
        <x:v>en|claude_only</x:v>
      </x:c>
      <x:c r="D108" s="87" t="n">
        <x:v>19.375</x:v>
      </x:c>
      <x:c r="E108" s="38" t="str">
        <x:v>claude_only</x:v>
      </x:c>
      <x:c r="F108" s="38" t="str">
        <x:v>UN_ESCAP_ESCAP-2022-RP-National-study-central-bank-digital-currency-stablecoin-Maldives</x:v>
      </x:c>
      <x:c r="G108" s="38" t="n">
        <x:v>60</x:v>
      </x:c>
      <x:c r="H108" s="38" t="str">
        <x:v>en</x:v>
      </x:c>
      <x:c r="I108" s="38" t="str">
        <x:v>Maldives Monetary Authority / Maldives CBDC policy study</x:v>
      </x:c>
      <x:c r="J108" s="38" t="str">
        <x:v>Address Consumer issues such as privacy - in particular  the potential loss 
of anonymity through traceability of digital transactions under certain 
circumstances or above threshold  values.</x:v>
      </x:c>
      <x:c r="K108" s="142" t="b">
        <x:v>0</x:v>
      </x:c>
      <x:c r="L108" s="146" t="str">
        <x:v>exclude</x:v>
      </x:c>
      <x:c r="M108" s="146" t="str">
        <x:v>keep</x:v>
      </x:c>
      <x:c r="N108" s="147" t="b">
        <x:v>0</x:v>
      </x:c>
      <x:c r="O108" s="146"/>
      <x:c r="P108" s="146" t="str">
        <x:v>PRIV.BAL</x:v>
      </x:c>
      <x:c r="Q108" s="146" t="str"/>
      <x:c r="R108" s="146" t="str">
        <x:v>PRIV</x:v>
      </x:c>
      <x:c r="S108" s="146"/>
      <x:c r="T108" s="146" t="str">
        <x:v>finding</x:v>
      </x:c>
      <x:c r="U108" s="146"/>
      <x:c r="V108" s="146" t="str">
        <x:v>conditional</x:v>
      </x:c>
      <x:c r="W108" s="146"/>
      <x:c r="X108" s="146" t="str">
        <x:v>from_state</x:v>
      </x:c>
      <x:c r="Y108" s="146"/>
      <x:c r="Z108" s="146" t="n">
        <x:v>2</x:v>
      </x:c>
      <x:c r="AA108" s="146" t="str">
        <x:v>high</x:v>
      </x:c>
      <x:c r="AB108" s="146" t="str">
        <x:v>high</x:v>
      </x:c>
      <x:c r="AC108" s="146"/>
      <x:c r="AD108" s="146"/>
      <x:c r="AE108" s="151"/>
      <x:c r="AF108" s="151" t="str">
        <x:v>PRIV.BAL</x:v>
      </x:c>
      <x:c r="AG108" s="151"/>
      <x:c r="AH108" s="151" t="str">
        <x:v>finding</x:v>
      </x:c>
      <x:c r="AI108" s="154" t="n">
        <x:f>IF(K108,0,1)</x:f>
        <x:v>1</x:v>
      </x:c>
      <x:c r="AJ108" s="154" t="n">
        <x:f>IF(L108="keep",1,0)</x:f>
        <x:v>0</x:v>
      </x:c>
      <x:c r="AK108" s="154" t="n">
        <x:f>IF(M108="keep",1,0)</x:f>
        <x:v>1</x:v>
      </x:c>
      <x:c r="AL108" s="154" t="n">
        <x:f>(AJ108+AK108)/2</x:f>
        <x:v>0.5</x:v>
      </x:c>
      <x:c r="AM108" s="154" t="n">
        <x:f>MIN(AJ108,AK108)</x:f>
        <x:v>0</x:v>
      </x:c>
      <x:c r="AN108" s="154" t="n">
        <x:f>MAX(AJ108,AK108)</x:f>
        <x:v>1</x:v>
      </x:c>
      <x:c r="AO108" s="154" t="n">
        <x:f>IF(L108=M108,1,0)</x:f>
        <x:v>0</x:v>
      </x:c>
    </x:row>
    <x:row r="109">
      <x:c r="A109" s="38" t="str">
        <x:v>SV-0108</x:v>
      </x:c>
      <x:c r="B109" s="38" t="str">
        <x:v>PC-06465</x:v>
      </x:c>
      <x:c r="C109" s="38" t="str">
        <x:v>en|both</x:v>
      </x:c>
      <x:c r="D109" s="87" t="n">
        <x:v>19.069444444444443</x:v>
      </x:c>
      <x:c r="E109" s="38" t="str">
        <x:v>both</x:v>
      </x:c>
      <x:c r="F109" s="38" t="str">
        <x:v>US_Fed_2022</x:v>
      </x:c>
      <x:c r="G109" s="38" t="n">
        <x:v>17</x:v>
      </x:c>
      <x:c r="H109" s="38" t="str">
        <x:v>en</x:v>
      </x:c>
      <x:c r="I109" s="38" t="str">
        <x:v>Board of Governors of the Federal Reserve System (potential US CBDC)</x:v>
      </x:c>
      <x:c r="J109" s="38" t="str">
        <x:v>The Federal Reserve Act does not authorize direct Federal Reserve accounts forindividuals, and such accounts would represent a significant expansion of the Federal Reserve’srole in the financial system and the economy.</x:v>
      </x:c>
      <x:c r="K109" s="142" t="b">
        <x:v>0</x:v>
      </x:c>
      <x:c r="L109" s="146" t="str">
        <x:v>keep</x:v>
      </x:c>
      <x:c r="M109" s="146" t="str">
        <x:v>keep</x:v>
      </x:c>
      <x:c r="N109" s="147" t="b">
        <x:v>1</x:v>
      </x:c>
      <x:c r="O109" s="146" t="str">
        <x:v>SYS.design</x:v>
      </x:c>
      <x:c r="P109" s="146" t="str">
        <x:v>KYC.INTERMED</x:v>
      </x:c>
      <x:c r="Q109" s="146" t="str">
        <x:v>SYS</x:v>
      </x:c>
      <x:c r="R109" s="146" t="str">
        <x:v>KYC</x:v>
      </x:c>
      <x:c r="S109" s="146" t="str">
        <x:v>proposal</x:v>
      </x:c>
      <x:c r="T109" s="146" t="str">
        <x:v>proposal</x:v>
      </x:c>
      <x:c r="U109" s="146" t="str">
        <x:v>neutral</x:v>
      </x:c>
      <x:c r="V109" s="146" t="str">
        <x:v>neutral</x:v>
      </x:c>
      <x:c r="W109" s="146" t="str">
        <x:v>not_applicable</x:v>
      </x:c>
      <x:c r="X109" s="146" t="str">
        <x:v>not_applicable</x:v>
      </x:c>
      <x:c r="Y109" s="146" t="n">
        <x:v>3</x:v>
      </x:c>
      <x:c r="Z109" s="146" t="n">
        <x:v>2</x:v>
      </x:c>
      <x:c r="AA109" s="146" t="str">
        <x:v>high</x:v>
      </x:c>
      <x:c r="AB109" s="146" t="str">
        <x:v>high</x:v>
      </x:c>
      <x:c r="AC109" s="146"/>
      <x:c r="AD109" s="146"/>
      <x:c r="AE109" s="151" t="str">
        <x:v>SYS.design</x:v>
      </x:c>
      <x:c r="AF109" s="151" t="str">
        <x:v>KYC.INTERMED</x:v>
      </x:c>
      <x:c r="AG109" s="151" t="str">
        <x:v>proposal</x:v>
      </x:c>
      <x:c r="AH109" s="151" t="str">
        <x:v>proposal</x:v>
      </x:c>
      <x:c r="AI109" s="154" t="n">
        <x:f>IF(K109,0,1)</x:f>
        <x:v>1</x:v>
      </x:c>
      <x:c r="AJ109" s="154" t="n">
        <x:f>IF(L109="keep",1,0)</x:f>
        <x:v>1</x:v>
      </x:c>
      <x:c r="AK109" s="154" t="n">
        <x:f>IF(M109="keep",1,0)</x:f>
        <x:v>1</x:v>
      </x:c>
      <x:c r="AL109" s="154" t="n">
        <x:f>(AJ109+AK109)/2</x:f>
        <x:v>1</x:v>
      </x:c>
      <x:c r="AM109" s="154" t="n">
        <x:f>MIN(AJ109,AK109)</x:f>
        <x:v>1</x:v>
      </x:c>
      <x:c r="AN109" s="154" t="n">
        <x:f>MAX(AJ109,AK109)</x:f>
        <x:v>1</x:v>
      </x:c>
      <x:c r="AO109" s="154" t="n">
        <x:f>IF(L109=M109,1,0)</x:f>
        <x:v>1</x:v>
      </x:c>
    </x:row>
    <x:row r="110">
      <x:c r="A110" s="38" t="str">
        <x:v>SV-0109</x:v>
      </x:c>
      <x:c r="B110" s="38" t="str">
        <x:v>PC-00743</x:v>
      </x:c>
      <x:c r="C110" s="38" t="str">
        <x:v>en|both</x:v>
      </x:c>
      <x:c r="D110" s="87" t="n">
        <x:v>19.069444444444443</x:v>
      </x:c>
      <x:c r="E110" s="38" t="str">
        <x:v>both</x:v>
      </x:c>
      <x:c r="F110" s="38" t="str">
        <x:v>CA_BoC_RetailFeasibility_SDP2025_9</x:v>
      </x:c>
      <x:c r="G110" s="38" t="n">
        <x:v>29</x:v>
      </x:c>
      <x:c r="H110" s="38" t="str">
        <x:v>en</x:v>
      </x:c>
      <x:c r="I110" s="38" t="str">
        <x:v>Bank of Canada research on retail CBDC feasibility</x:v>
      </x:c>
      <x:c r="J110" s="38" t="str">
        <x:v>The baseline throughput scales 
linearly as capacity is increased from one to eight shards, without significant degradation 
of latency.</x:v>
      </x:c>
      <x:c r="K110" s="142" t="b">
        <x:v>0</x:v>
      </x:c>
      <x:c r="L110" s="146" t="str">
        <x:v>keep</x:v>
      </x:c>
      <x:c r="M110" s="146" t="str">
        <x:v>keep</x:v>
      </x:c>
      <x:c r="N110" s="147" t="b">
        <x:v>1</x:v>
      </x:c>
      <x:c r="O110" s="146" t="str">
        <x:v>OPS.resilience</x:v>
      </x:c>
      <x:c r="P110" s="146" t="str">
        <x:v>PROC.pilot_learning</x:v>
      </x:c>
      <x:c r="Q110" s="146" t="str">
        <x:v>OPS</x:v>
      </x:c>
      <x:c r="R110" s="146" t="str">
        <x:v>PROC</x:v>
      </x:c>
      <x:c r="S110" s="146" t="str">
        <x:v>finding</x:v>
      </x:c>
      <x:c r="T110" s="146" t="str">
        <x:v>finding</x:v>
      </x:c>
      <x:c r="U110" s="146" t="str">
        <x:v>neutral</x:v>
      </x:c>
      <x:c r="V110" s="146" t="str">
        <x:v>neutral</x:v>
      </x:c>
      <x:c r="W110" s="146" t="str">
        <x:v>not_applicable</x:v>
      </x:c>
      <x:c r="X110" s="146" t="str">
        <x:v>not_applicable</x:v>
      </x:c>
      <x:c r="Y110" s="146" t="n">
        <x:v>3</x:v>
      </x:c>
      <x:c r="Z110" s="146" t="n">
        <x:v>3</x:v>
      </x:c>
      <x:c r="AA110" s="146" t="str">
        <x:v>high</x:v>
      </x:c>
      <x:c r="AB110" s="146" t="str">
        <x:v>high</x:v>
      </x:c>
      <x:c r="AC110" s="146"/>
      <x:c r="AD110" s="146"/>
      <x:c r="AE110" s="151" t="str">
        <x:v>OPS.resilience</x:v>
      </x:c>
      <x:c r="AF110" s="151" t="str">
        <x:v>PROC.pilot_learning</x:v>
      </x:c>
      <x:c r="AG110" s="151" t="str">
        <x:v>finding</x:v>
      </x:c>
      <x:c r="AH110" s="151" t="str">
        <x:v>finding</x:v>
      </x:c>
      <x:c r="AI110" s="154" t="n">
        <x:f>IF(K110,0,1)</x:f>
        <x:v>1</x:v>
      </x:c>
      <x:c r="AJ110" s="154" t="n">
        <x:f>IF(L110="keep",1,0)</x:f>
        <x:v>1</x:v>
      </x:c>
      <x:c r="AK110" s="154" t="n">
        <x:f>IF(M110="keep",1,0)</x:f>
        <x:v>1</x:v>
      </x:c>
      <x:c r="AL110" s="154" t="n">
        <x:f>(AJ110+AK110)/2</x:f>
        <x:v>1</x:v>
      </x:c>
      <x:c r="AM110" s="154" t="n">
        <x:f>MIN(AJ110,AK110)</x:f>
        <x:v>1</x:v>
      </x:c>
      <x:c r="AN110" s="154" t="n">
        <x:f>MAX(AJ110,AK110)</x:f>
        <x:v>1</x:v>
      </x:c>
      <x:c r="AO110" s="154" t="n">
        <x:f>IF(L110=M110,1,0)</x:f>
        <x:v>1</x:v>
      </x:c>
    </x:row>
    <x:row r="111">
      <x:c r="A111" s="38" t="str">
        <x:v>SV-0110</x:v>
      </x:c>
      <x:c r="B111" s="38" t="str">
        <x:v>PC-04890</x:v>
      </x:c>
      <x:c r="C111" s="38" t="str">
        <x:v>ru/uk|both</x:v>
      </x:c>
      <x:c r="D111" s="87" t="n">
        <x:v>20</x:v>
      </x:c>
      <x:c r="E111" s="38" t="str">
        <x:v>both</x:v>
      </x:c>
      <x:c r="F111" s="38" t="str">
        <x:v>RU_Russia_concept_08042021</x:v>
      </x:c>
      <x:c r="G111" s="38" t="n">
        <x:v>27</x:v>
      </x:c>
      <x:c r="H111" s="38" t="str">
        <x:v>ru/uk</x:v>
      </x:c>
      <x:c r="I111" s="38" t="str">
        <x:v>Bank of Russia (digital ruble)</x:v>
      </x:c>
      <x:c r="J111" s="38" t="str">
        <x:v>Влияние цифрового рубля на денежно-кредитную политику Банка России в среднесроч -
ной перспективе будет незначительным.</x:v>
      </x:c>
      <x:c r="K111" s="142" t="b">
        <x:v>0</x:v>
      </x:c>
      <x:c r="L111" s="146" t="str">
        <x:v>keep</x:v>
      </x:c>
      <x:c r="M111" s="146" t="str">
        <x:v>keep</x:v>
      </x:c>
      <x:c r="N111" s="147" t="b">
        <x:v>1</x:v>
      </x:c>
      <x:c r="O111" s="146" t="str">
        <x:v>STAB.disintermediation</x:v>
      </x:c>
      <x:c r="P111" s="146" t="str">
        <x:v>STAB.disintermediation</x:v>
      </x:c>
      <x:c r="Q111" s="146" t="str">
        <x:v>STAB</x:v>
      </x:c>
      <x:c r="R111" s="146" t="str">
        <x:v>STAB</x:v>
      </x:c>
      <x:c r="S111" s="146" t="str">
        <x:v>proposal</x:v>
      </x:c>
      <x:c r="T111" s="146" t="str">
        <x:v>finding</x:v>
      </x:c>
      <x:c r="U111" s="146" t="str">
        <x:v>neutral</x:v>
      </x:c>
      <x:c r="V111" s="146" t="str">
        <x:v>neutral</x:v>
      </x:c>
      <x:c r="W111" s="146" t="str">
        <x:v>not_applicable</x:v>
      </x:c>
      <x:c r="X111" s="146" t="str">
        <x:v>not_applicable</x:v>
      </x:c>
      <x:c r="Y111" s="146" t="n">
        <x:v>2</x:v>
      </x:c>
      <x:c r="Z111" s="146" t="n">
        <x:v>3</x:v>
      </x:c>
      <x:c r="AA111" s="146" t="str">
        <x:v>high</x:v>
      </x:c>
      <x:c r="AB111" s="146" t="str">
        <x:v>high</x:v>
      </x:c>
      <x:c r="AC111" s="146"/>
      <x:c r="AD111" s="146"/>
      <x:c r="AE111" s="151" t="str">
        <x:v>STAB.disintermediation</x:v>
      </x:c>
      <x:c r="AF111" s="151" t="str">
        <x:v>STAB.disintermediation</x:v>
      </x:c>
      <x:c r="AG111" s="151" t="str">
        <x:v>proposal</x:v>
      </x:c>
      <x:c r="AH111" s="151" t="str">
        <x:v>finding</x:v>
      </x:c>
      <x:c r="AI111" s="154" t="n">
        <x:f>IF(K111,0,1)</x:f>
        <x:v>1</x:v>
      </x:c>
      <x:c r="AJ111" s="154" t="n">
        <x:f>IF(L111="keep",1,0)</x:f>
        <x:v>1</x:v>
      </x:c>
      <x:c r="AK111" s="154" t="n">
        <x:f>IF(M111="keep",1,0)</x:f>
        <x:v>1</x:v>
      </x:c>
      <x:c r="AL111" s="154" t="n">
        <x:f>(AJ111+AK111)/2</x:f>
        <x:v>1</x:v>
      </x:c>
      <x:c r="AM111" s="154" t="n">
        <x:f>MIN(AJ111,AK111)</x:f>
        <x:v>1</x:v>
      </x:c>
      <x:c r="AN111" s="154" t="n">
        <x:f>MAX(AJ111,AK111)</x:f>
        <x:v>1</x:v>
      </x:c>
      <x:c r="AO111" s="154" t="n">
        <x:f>IF(L111=M111,1,0)</x:f>
        <x:v>1</x:v>
      </x:c>
    </x:row>
    <x:row r="112">
      <x:c r="A112" s="38" t="str">
        <x:v>SV-0111</x:v>
      </x:c>
      <x:c r="B112" s="38" t="str">
        <x:v>PC-03200</x:v>
      </x:c>
      <x:c r="C112" s="38" t="str">
        <x:v>en|both</x:v>
      </x:c>
      <x:c r="D112" s="87" t="n">
        <x:v>19.069444444444443</x:v>
      </x:c>
      <x:c r="E112" s="38" t="str">
        <x:v>both</x:v>
      </x:c>
      <x:c r="F112" s="38" t="str">
        <x:v>IL_Israel_#U05d0#U05e8#U05db#U05d9#U05d8#U05e7#U05d8#U05d5#U05e8#U05d4-#U05dc#U05d5#U05d2#U05d9#U05ea-#U05d0#U05e0#U05d2#U05dc#U05d9#U05ea.pdf</x:v>
      </x:c>
      <x:c r="G112" s="38" t="n">
        <x:v>11</x:v>
      </x:c>
      <x:c r="H112" s="38" t="str">
        <x:v>en</x:v>
      </x:c>
      <x:c r="I112" s="38" t="str">
        <x:v>Bank of Israel (digital shekel)</x:v>
      </x:c>
      <x:c r="J112" s="38" t="str">
        <x:v>we have chosen at this stage to assume the 
existence of this participant as part of the architecture, including its direct integration into the core system 
of the digital shekel, with the goal of ensuring architectural flexibility.</x:v>
      </x:c>
      <x:c r="K112" s="142" t="b">
        <x:v>0</x:v>
      </x:c>
      <x:c r="L112" s="146" t="str">
        <x:v>keep</x:v>
      </x:c>
      <x:c r="M112" s="146" t="str">
        <x:v>keep</x:v>
      </x:c>
      <x:c r="N112" s="147" t="b">
        <x:v>1</x:v>
      </x:c>
      <x:c r="O112" s="146" t="str">
        <x:v>SYS.design</x:v>
      </x:c>
      <x:c r="P112" s="146" t="str">
        <x:v>SYS.design</x:v>
      </x:c>
      <x:c r="Q112" s="146" t="str">
        <x:v>SYS</x:v>
      </x:c>
      <x:c r="R112" s="146" t="str">
        <x:v>SYS</x:v>
      </x:c>
      <x:c r="S112" s="146" t="str">
        <x:v>proposal</x:v>
      </x:c>
      <x:c r="T112" s="146" t="str">
        <x:v>decision</x:v>
      </x:c>
      <x:c r="U112" s="146" t="str">
        <x:v>neutral</x:v>
      </x:c>
      <x:c r="V112" s="146" t="str">
        <x:v>neutral</x:v>
      </x:c>
      <x:c r="W112" s="146" t="str">
        <x:v>not_applicable</x:v>
      </x:c>
      <x:c r="X112" s="146" t="str">
        <x:v>not_applicable</x:v>
      </x:c>
      <x:c r="Y112" s="146" t="n">
        <x:v>2</x:v>
      </x:c>
      <x:c r="Z112" s="146" t="n">
        <x:v>2</x:v>
      </x:c>
      <x:c r="AA112" s="146" t="str">
        <x:v>high</x:v>
      </x:c>
      <x:c r="AB112" s="146" t="str">
        <x:v>high</x:v>
      </x:c>
      <x:c r="AC112" s="146"/>
      <x:c r="AD112" s="146"/>
      <x:c r="AE112" s="151" t="str">
        <x:v>SYS.design</x:v>
      </x:c>
      <x:c r="AF112" s="151" t="str">
        <x:v>SYS.design</x:v>
      </x:c>
      <x:c r="AG112" s="151" t="str">
        <x:v>proposal</x:v>
      </x:c>
      <x:c r="AH112" s="151" t="str">
        <x:v>decision</x:v>
      </x:c>
      <x:c r="AI112" s="154" t="n">
        <x:f>IF(K112,0,1)</x:f>
        <x:v>1</x:v>
      </x:c>
      <x:c r="AJ112" s="154" t="n">
        <x:f>IF(L112="keep",1,0)</x:f>
        <x:v>1</x:v>
      </x:c>
      <x:c r="AK112" s="154" t="n">
        <x:f>IF(M112="keep",1,0)</x:f>
        <x:v>1</x:v>
      </x:c>
      <x:c r="AL112" s="154" t="n">
        <x:f>(AJ112+AK112)/2</x:f>
        <x:v>1</x:v>
      </x:c>
      <x:c r="AM112" s="154" t="n">
        <x:f>MIN(AJ112,AK112)</x:f>
        <x:v>1</x:v>
      </x:c>
      <x:c r="AN112" s="154" t="n">
        <x:f>MAX(AJ112,AK112)</x:f>
        <x:v>1</x:v>
      </x:c>
      <x:c r="AO112" s="154" t="n">
        <x:f>IF(L112=M112,1,0)</x:f>
        <x:v>1</x:v>
      </x:c>
    </x:row>
    <x:row r="113">
      <x:c r="A113" s="38" t="str">
        <x:v>SV-0112</x:v>
      </x:c>
      <x:c r="B113" s="38" t="str">
        <x:v>PC-00748</x:v>
      </x:c>
      <x:c r="C113" s="38" t="str">
        <x:v>en|claude_only</x:v>
      </x:c>
      <x:c r="D113" s="87" t="n">
        <x:v>19.375</x:v>
      </x:c>
      <x:c r="E113" s="38" t="str">
        <x:v>claude_only</x:v>
      </x:c>
      <x:c r="F113" s="38" t="str">
        <x:v>CA_BoC_RetailFeasibility_SDP2025_9</x:v>
      </x:c>
      <x:c r="G113" s="38" t="n">
        <x:v>30</x:v>
      </x:c>
      <x:c r="H113" s="38" t="str">
        <x:v>en</x:v>
      </x:c>
      <x:c r="I113" s="38" t="str">
        <x:v>Bank of Canada research on retail CBDC feasibility</x:v>
      </x:c>
      <x:c r="J113" s="38" t="str">
        <x:v>In ou r two-tier design, PII is managed 
exclusively by the MSBs (acting as wallet custodians) or the end user in the case of a self-
custody wallet.</x:v>
      </x:c>
      <x:c r="K113" s="142" t="b">
        <x:v>0</x:v>
      </x:c>
      <x:c r="L113" s="146" t="str">
        <x:v>keep</x:v>
      </x:c>
      <x:c r="M113" s="146" t="str">
        <x:v>keep</x:v>
      </x:c>
      <x:c r="N113" s="147" t="b">
        <x:v>1</x:v>
      </x:c>
      <x:c r="O113" s="146" t="str">
        <x:v>TECH.TOKEN.considered</x:v>
      </x:c>
      <x:c r="P113" s="146" t="str">
        <x:v>KYC.INTERMED</x:v>
      </x:c>
      <x:c r="Q113" s="146" t="str">
        <x:v>TECH</x:v>
      </x:c>
      <x:c r="R113" s="146" t="str">
        <x:v>KYC</x:v>
      </x:c>
      <x:c r="S113" s="146" t="str">
        <x:v>proposal</x:v>
      </x:c>
      <x:c r="T113" s="146" t="str">
        <x:v>decision</x:v>
      </x:c>
      <x:c r="U113" s="146" t="str">
        <x:v>neutral</x:v>
      </x:c>
      <x:c r="V113" s="146" t="str">
        <x:v>neutral</x:v>
      </x:c>
      <x:c r="W113" s="146" t="str">
        <x:v>not_applicable</x:v>
      </x:c>
      <x:c r="X113" s="146" t="str">
        <x:v>not_applicable</x:v>
      </x:c>
      <x:c r="Y113" s="146" t="n">
        <x:v>2</x:v>
      </x:c>
      <x:c r="Z113" s="146" t="n">
        <x:v>3</x:v>
      </x:c>
      <x:c r="AA113" s="146" t="str">
        <x:v>high</x:v>
      </x:c>
      <x:c r="AB113" s="146" t="str">
        <x:v>high</x:v>
      </x:c>
      <x:c r="AC113" s="146"/>
      <x:c r="AD113" s="146"/>
      <x:c r="AE113" s="151"/>
      <x:c r="AF113" s="151" t="str">
        <x:v>KYC.INTERMED</x:v>
      </x:c>
      <x:c r="AG113" s="151"/>
      <x:c r="AH113" s="151" t="str">
        <x:v>decision</x:v>
      </x:c>
      <x:c r="AI113" s="154" t="n">
        <x:f>IF(K113,0,1)</x:f>
        <x:v>1</x:v>
      </x:c>
      <x:c r="AJ113" s="154" t="n">
        <x:f>IF(L113="keep",1,0)</x:f>
        <x:v>1</x:v>
      </x:c>
      <x:c r="AK113" s="154" t="n">
        <x:f>IF(M113="keep",1,0)</x:f>
        <x:v>1</x:v>
      </x:c>
      <x:c r="AL113" s="154" t="n">
        <x:f>(AJ113+AK113)/2</x:f>
        <x:v>1</x:v>
      </x:c>
      <x:c r="AM113" s="154" t="n">
        <x:f>MIN(AJ113,AK113)</x:f>
        <x:v>1</x:v>
      </x:c>
      <x:c r="AN113" s="154" t="n">
        <x:f>MAX(AJ113,AK113)</x:f>
        <x:v>1</x:v>
      </x:c>
      <x:c r="AO113" s="154" t="n">
        <x:f>IF(L113=M113,1,0)</x:f>
        <x:v>1</x:v>
      </x:c>
    </x:row>
    <x:row r="114">
      <x:c r="A114" s="38" t="str">
        <x:v>SV-0113</x:v>
      </x:c>
      <x:c r="B114" s="38" t="str">
        <x:v>PC-04183</x:v>
      </x:c>
      <x:c r="C114" s="38" t="str">
        <x:v>en|both</x:v>
      </x:c>
      <x:c r="D114" s="87" t="n">
        <x:v>19.069444444444443</x:v>
      </x:c>
      <x:c r="E114" s="38" t="str">
        <x:v>both</x:v>
      </x:c>
      <x:c r="F114" s="38" t="str">
        <x:v>NO_Norway_nbmemo-1-2018</x:v>
      </x:c>
      <x:c r="G114" s="38" t="n">
        <x:v>9</x:v>
      </x:c>
      <x:c r="H114" s="38" t="str">
        <x:v>en</x:v>
      </x:c>
      <x:c r="I114" s="38" t="str">
        <x:v>Norges Bank</x:v>
      </x:c>
      <x:c r="J114" s="38" t="str">
        <x:v>For et kontobasert system vil Norges Bank trolig måtte ha 
det endelige ansvaret for den sentrale infrastrukturen, men ikke nødvendigvis for 
betalingstjenestene som kan bygges på toppen av den.</x:v>
      </x:c>
      <x:c r="K114" s="142" t="b">
        <x:v>0</x:v>
      </x:c>
      <x:c r="L114" s="146" t="str">
        <x:v>keep</x:v>
      </x:c>
      <x:c r="M114" s="146" t="str">
        <x:v>keep</x:v>
      </x:c>
      <x:c r="N114" s="147" t="b">
        <x:v>1</x:v>
      </x:c>
      <x:c r="O114" s="146" t="str">
        <x:v>INST.mandate</x:v>
      </x:c>
      <x:c r="P114" s="146" t="str">
        <x:v>INST.mandate</x:v>
      </x:c>
      <x:c r="Q114" s="146" t="str">
        <x:v>INST</x:v>
      </x:c>
      <x:c r="R114" s="146" t="str">
        <x:v>INST</x:v>
      </x:c>
      <x:c r="S114" s="146" t="str">
        <x:v>proposal</x:v>
      </x:c>
      <x:c r="T114" s="146" t="str">
        <x:v>decision</x:v>
      </x:c>
      <x:c r="U114" s="146" t="str">
        <x:v>neutral</x:v>
      </x:c>
      <x:c r="V114" s="146" t="str">
        <x:v>neutral</x:v>
      </x:c>
      <x:c r="W114" s="146" t="str">
        <x:v>not_applicable</x:v>
      </x:c>
      <x:c r="X114" s="146" t="str">
        <x:v>not_applicable</x:v>
      </x:c>
      <x:c r="Y114" s="146" t="n">
        <x:v>2</x:v>
      </x:c>
      <x:c r="Z114" s="146" t="n">
        <x:v>3</x:v>
      </x:c>
      <x:c r="AA114" s="146" t="str">
        <x:v>high</x:v>
      </x:c>
      <x:c r="AB114" s="146" t="str">
        <x:v>high</x:v>
      </x:c>
      <x:c r="AC114" s="146"/>
      <x:c r="AD114" s="146"/>
      <x:c r="AE114" s="151" t="str">
        <x:v>INST.mandate</x:v>
      </x:c>
      <x:c r="AF114" s="151" t="str">
        <x:v>INST.mandate</x:v>
      </x:c>
      <x:c r="AG114" s="151" t="str">
        <x:v>proposal</x:v>
      </x:c>
      <x:c r="AH114" s="151" t="str">
        <x:v>decision</x:v>
      </x:c>
      <x:c r="AI114" s="154" t="n">
        <x:f>IF(K114,0,1)</x:f>
        <x:v>1</x:v>
      </x:c>
      <x:c r="AJ114" s="154" t="n">
        <x:f>IF(L114="keep",1,0)</x:f>
        <x:v>1</x:v>
      </x:c>
      <x:c r="AK114" s="154" t="n">
        <x:f>IF(M114="keep",1,0)</x:f>
        <x:v>1</x:v>
      </x:c>
      <x:c r="AL114" s="154" t="n">
        <x:f>(AJ114+AK114)/2</x:f>
        <x:v>1</x:v>
      </x:c>
      <x:c r="AM114" s="154" t="n">
        <x:f>MIN(AJ114,AK114)</x:f>
        <x:v>1</x:v>
      </x:c>
      <x:c r="AN114" s="154" t="n">
        <x:f>MAX(AJ114,AK114)</x:f>
        <x:v>1</x:v>
      </x:c>
      <x:c r="AO114" s="154" t="n">
        <x:f>IF(L114=M114,1,0)</x:f>
        <x:v>1</x:v>
      </x:c>
    </x:row>
    <x:row r="115">
      <x:c r="A115" s="38" t="str">
        <x:v>SV-0114</x:v>
      </x:c>
      <x:c r="B115" s="38" t="str">
        <x:v>PC-04156</x:v>
      </x:c>
      <x:c r="C115" s="38" t="str">
        <x:v>en|claude_only</x:v>
      </x:c>
      <x:c r="D115" s="87" t="n">
        <x:v>19.375</x:v>
      </x:c>
      <x:c r="E115" s="38" t="str">
        <x:v>claude_only</x:v>
      </x:c>
      <x:c r="F115" s="38" t="str">
        <x:v>NO_Norway_nb_memo_2_19_dsp</x:v>
      </x:c>
      <x:c r="G115" s="38" t="n">
        <x:v>31</x:v>
      </x:c>
      <x:c r="H115" s="38" t="str">
        <x:v>en</x:v>
      </x:c>
      <x:c r="I115" s="38" t="str">
        <x:v>Norges Bank (Norwegian CBDC work)</x:v>
      </x:c>
      <x:c r="J115" s="38" t="str">
        <x:v>Tilbudet av DSP må være i samsvar med personvernregelverket. Ansvaret kan ikke 
utkontrakteres.</x:v>
      </x:c>
      <x:c r="K115" s="142" t="b">
        <x:v>0</x:v>
      </x:c>
      <x:c r="L115" s="146" t="str">
        <x:v>exclude</x:v>
      </x:c>
      <x:c r="M115" s="146" t="str">
        <x:v>keep</x:v>
      </x:c>
      <x:c r="N115" s="147" t="b">
        <x:v>0</x:v>
      </x:c>
      <x:c r="O115" s="146"/>
      <x:c r="P115" s="146" t="str">
        <x:v>PRIV.MIN</x:v>
      </x:c>
      <x:c r="Q115" s="146" t="str"/>
      <x:c r="R115" s="146" t="str">
        <x:v>PRIV</x:v>
      </x:c>
      <x:c r="S115" s="146"/>
      <x:c r="T115" s="146" t="str">
        <x:v>proposal</x:v>
      </x:c>
      <x:c r="U115" s="146"/>
      <x:c r="V115" s="146" t="str">
        <x:v>neutral</x:v>
      </x:c>
      <x:c r="W115" s="146"/>
      <x:c r="X115" s="146" t="str">
        <x:v>from_state</x:v>
      </x:c>
      <x:c r="Y115" s="146"/>
      <x:c r="Z115" s="146" t="n">
        <x:v>2</x:v>
      </x:c>
      <x:c r="AA115" s="146" t="str">
        <x:v>high</x:v>
      </x:c>
      <x:c r="AB115" s="146" t="str">
        <x:v>high</x:v>
      </x:c>
      <x:c r="AC115" s="146"/>
      <x:c r="AD115" s="146"/>
      <x:c r="AE115" s="151"/>
      <x:c r="AF115" s="151" t="str">
        <x:v>PRIV.MIN</x:v>
      </x:c>
      <x:c r="AG115" s="151"/>
      <x:c r="AH115" s="151" t="str">
        <x:v>proposal</x:v>
      </x:c>
      <x:c r="AI115" s="154" t="n">
        <x:f>IF(K115,0,1)</x:f>
        <x:v>1</x:v>
      </x:c>
      <x:c r="AJ115" s="154" t="n">
        <x:f>IF(L115="keep",1,0)</x:f>
        <x:v>0</x:v>
      </x:c>
      <x:c r="AK115" s="154" t="n">
        <x:f>IF(M115="keep",1,0)</x:f>
        <x:v>1</x:v>
      </x:c>
      <x:c r="AL115" s="154" t="n">
        <x:f>(AJ115+AK115)/2</x:f>
        <x:v>0.5</x:v>
      </x:c>
      <x:c r="AM115" s="154" t="n">
        <x:f>MIN(AJ115,AK115)</x:f>
        <x:v>0</x:v>
      </x:c>
      <x:c r="AN115" s="154" t="n">
        <x:f>MAX(AJ115,AK115)</x:f>
        <x:v>1</x:v>
      </x:c>
      <x:c r="AO115" s="154" t="n">
        <x:f>IF(L115=M115,1,0)</x:f>
        <x:v>0</x:v>
      </x:c>
    </x:row>
    <x:row r="116">
      <x:c r="A116" s="38" t="str">
        <x:v>SV-0115</x:v>
      </x:c>
      <x:c r="B116" s="38" t="str">
        <x:v>PC-05699</x:v>
      </x:c>
      <x:c r="C116" s="38" t="str">
        <x:v>en|both</x:v>
      </x:c>
      <x:c r="D116" s="87" t="n">
        <x:v>19.069444444444443</x:v>
      </x:c>
      <x:c r="E116" s="38" t="str">
        <x:v>both</x:v>
      </x:c>
      <x:c r="F116" s="38" t="str">
        <x:v>TR_Turkey_Digital_Turkish_Lira_First_Phase_Evaluation_Report</x:v>
      </x:c>
      <x:c r="G116" s="38" t="n">
        <x:v>7</x:v>
      </x:c>
      <x:c r="H116" s="38" t="str">
        <x:v>en</x:v>
      </x:c>
      <x:c r="I116" s="38" t="str">
        <x:v>Central Bank of the Republic of Turkiye (Digital Turkish Lira)</x:v>
      </x:c>
      <x:c r="J116" s="38" t="str">
        <x:v>Following the 
successful completion of the proof-of-concept study, which included tests 
of the applicability of various distributed ledger technologies to the Central 
Bank Digital Currency, the Central Bank Digital Turkish Lira Research and 
Development Project was launched.</x:v>
      </x:c>
      <x:c r="K116" s="142" t="b">
        <x:v>0</x:v>
      </x:c>
      <x:c r="L116" s="146" t="str">
        <x:v>keep</x:v>
      </x:c>
      <x:c r="M116" s="146" t="str">
        <x:v>keep</x:v>
      </x:c>
      <x:c r="N116" s="147" t="b">
        <x:v>1</x:v>
      </x:c>
      <x:c r="O116" s="146" t="str">
        <x:v>PROC.pilot_learning</x:v>
      </x:c>
      <x:c r="P116" s="146" t="str">
        <x:v>INST.mandate</x:v>
      </x:c>
      <x:c r="Q116" s="146" t="str">
        <x:v>PROC</x:v>
      </x:c>
      <x:c r="R116" s="146" t="str">
        <x:v>INST</x:v>
      </x:c>
      <x:c r="S116" s="146" t="str">
        <x:v>finding</x:v>
      </x:c>
      <x:c r="T116" s="146" t="str">
        <x:v>decision</x:v>
      </x:c>
      <x:c r="U116" s="146" t="str">
        <x:v>neutral</x:v>
      </x:c>
      <x:c r="V116" s="146" t="str">
        <x:v>neutral</x:v>
      </x:c>
      <x:c r="W116" s="146" t="str">
        <x:v>not_applicable</x:v>
      </x:c>
      <x:c r="X116" s="146" t="str">
        <x:v>not_applicable</x:v>
      </x:c>
      <x:c r="Y116" s="146" t="n">
        <x:v>2</x:v>
      </x:c>
      <x:c r="Z116" s="146" t="n">
        <x:v>3</x:v>
      </x:c>
      <x:c r="AA116" s="146" t="str">
        <x:v>high</x:v>
      </x:c>
      <x:c r="AB116" s="146" t="str">
        <x:v>high</x:v>
      </x:c>
      <x:c r="AC116" s="146"/>
      <x:c r="AD116" s="146"/>
      <x:c r="AE116" s="151" t="str">
        <x:v>PROC.pilot_learning</x:v>
      </x:c>
      <x:c r="AF116" s="151" t="str">
        <x:v>INST.mandate</x:v>
      </x:c>
      <x:c r="AG116" s="151" t="str">
        <x:v>finding</x:v>
      </x:c>
      <x:c r="AH116" s="151" t="str">
        <x:v>decision</x:v>
      </x:c>
      <x:c r="AI116" s="154" t="n">
        <x:f>IF(K116,0,1)</x:f>
        <x:v>1</x:v>
      </x:c>
      <x:c r="AJ116" s="154" t="n">
        <x:f>IF(L116="keep",1,0)</x:f>
        <x:v>1</x:v>
      </x:c>
      <x:c r="AK116" s="154" t="n">
        <x:f>IF(M116="keep",1,0)</x:f>
        <x:v>1</x:v>
      </x:c>
      <x:c r="AL116" s="154" t="n">
        <x:f>(AJ116+AK116)/2</x:f>
        <x:v>1</x:v>
      </x:c>
      <x:c r="AM116" s="154" t="n">
        <x:f>MIN(AJ116,AK116)</x:f>
        <x:v>1</x:v>
      </x:c>
      <x:c r="AN116" s="154" t="n">
        <x:f>MAX(AJ116,AK116)</x:f>
        <x:v>1</x:v>
      </x:c>
      <x:c r="AO116" s="154" t="n">
        <x:f>IF(L116=M116,1,0)</x:f>
        <x:v>1</x:v>
      </x:c>
    </x:row>
    <x:row r="117">
      <x:c r="A117" s="38" t="str">
        <x:v>SV-0116</x:v>
      </x:c>
      <x:c r="B117" s="38" t="str">
        <x:v>PC-02119</x:v>
      </x:c>
      <x:c r="C117" s="38" t="str">
        <x:v>en|both</x:v>
      </x:c>
      <x:c r="D117" s="87" t="n">
        <x:v>19.069444444444443</x:v>
      </x:c>
      <x:c r="E117" s="38" t="str">
        <x:v>both</x:v>
      </x:c>
      <x:c r="F117" s="38" t="str">
        <x:v>HK_HKMA_eHKD_PolicyDesign</x:v>
      </x:c>
      <x:c r="G117" s="38" t="n">
        <x:v>26</x:v>
      </x:c>
      <x:c r="H117" s="38" t="str">
        <x:v>en</x:v>
      </x:c>
      <x:c r="I117" s="38" t="str">
        <x:v>Hong Kong Monetary Authority (e-HKD)</x:v>
      </x:c>
      <x:c r="J117" s="38" t="str">
        <x:v>the mobile wallet apps provided by financial institutions are also 
subject to cyber risks faced by existing e-wallets (e.g. fake QR codes).</x:v>
      </x:c>
      <x:c r="K117" s="142" t="b">
        <x:v>0</x:v>
      </x:c>
      <x:c r="L117" s="146" t="str">
        <x:v>keep</x:v>
      </x:c>
      <x:c r="M117" s="146" t="str">
        <x:v>keep</x:v>
      </x:c>
      <x:c r="N117" s="147" t="b">
        <x:v>1</x:v>
      </x:c>
      <x:c r="O117" s="146" t="str">
        <x:v>OPS.resilience</x:v>
      </x:c>
      <x:c r="P117" s="146" t="str">
        <x:v>OPS.resilience</x:v>
      </x:c>
      <x:c r="Q117" s="146" t="str">
        <x:v>OPS</x:v>
      </x:c>
      <x:c r="R117" s="146" t="str">
        <x:v>OPS</x:v>
      </x:c>
      <x:c r="S117" s="146" t="str">
        <x:v>proposal</x:v>
      </x:c>
      <x:c r="T117" s="146" t="str">
        <x:v>finding</x:v>
      </x:c>
      <x:c r="U117" s="146" t="str">
        <x:v>neutral</x:v>
      </x:c>
      <x:c r="V117" s="146" t="str">
        <x:v>neutral</x:v>
      </x:c>
      <x:c r="W117" s="146" t="str">
        <x:v>not_applicable</x:v>
      </x:c>
      <x:c r="X117" s="146" t="str">
        <x:v>not_applicable</x:v>
      </x:c>
      <x:c r="Y117" s="146" t="n">
        <x:v>2</x:v>
      </x:c>
      <x:c r="Z117" s="146" t="n">
        <x:v>1</x:v>
      </x:c>
      <x:c r="AA117" s="146" t="str">
        <x:v>high</x:v>
      </x:c>
      <x:c r="AB117" s="146" t="str">
        <x:v>high</x:v>
      </x:c>
      <x:c r="AC117" s="146"/>
      <x:c r="AD117" s="146"/>
      <x:c r="AE117" s="151" t="str">
        <x:v>OPS.resilience</x:v>
      </x:c>
      <x:c r="AF117" s="151" t="str">
        <x:v>OPS.resilience</x:v>
      </x:c>
      <x:c r="AG117" s="151" t="str">
        <x:v>proposal</x:v>
      </x:c>
      <x:c r="AH117" s="151" t="str">
        <x:v>finding</x:v>
      </x:c>
      <x:c r="AI117" s="154" t="n">
        <x:f>IF(K117,0,1)</x:f>
        <x:v>1</x:v>
      </x:c>
      <x:c r="AJ117" s="154" t="n">
        <x:f>IF(L117="keep",1,0)</x:f>
        <x:v>1</x:v>
      </x:c>
      <x:c r="AK117" s="154" t="n">
        <x:f>IF(M117="keep",1,0)</x:f>
        <x:v>1</x:v>
      </x:c>
      <x:c r="AL117" s="154" t="n">
        <x:f>(AJ117+AK117)/2</x:f>
        <x:v>1</x:v>
      </x:c>
      <x:c r="AM117" s="154" t="n">
        <x:f>MIN(AJ117,AK117)</x:f>
        <x:v>1</x:v>
      </x:c>
      <x:c r="AN117" s="154" t="n">
        <x:f>MAX(AJ117,AK117)</x:f>
        <x:v>1</x:v>
      </x:c>
      <x:c r="AO117" s="154" t="n">
        <x:f>IF(L117=M117,1,0)</x:f>
        <x:v>1</x:v>
      </x:c>
    </x:row>
    <x:row r="118">
      <x:c r="A118" s="38" t="str">
        <x:v>SV-0117</x:v>
      </x:c>
      <x:c r="B118" s="38" t="str">
        <x:v>PC-01071</x:v>
      </x:c>
      <x:c r="C118" s="38" t="str">
        <x:v>en|both</x:v>
      </x:c>
      <x:c r="D118" s="87" t="n">
        <x:v>19.069444444444443</x:v>
      </x:c>
      <x:c r="E118" s="38" t="str">
        <x:v>both</x:v>
      </x:c>
      <x:c r="F118" s="38" t="str">
        <x:v>CA_Jasper_Phase12_2017</x:v>
      </x:c>
      <x:c r="G118" s="38" t="n">
        <x:v>41</x:v>
      </x:c>
      <x:c r="H118" s="38" t="str">
        <x:v>en</x:v>
      </x:c>
      <x:c r="I118" s="38" t="str">
        <x:v>Bank of Canada and Payments Canada (Project Jasper)</x:v>
      </x:c>
      <x:c r="J118" s="38" t="str">
        <x:v>Specifically, the project team has had the opportuni-
ty to explore and compare the capabilities of two  
distinct DLT platforms—the Ethereum and Corda 
platforms—to build out this settlement functionality, 
and to build and implement an LSM in the form of a 
central queue on the Corda platform.</x:v>
      </x:c>
      <x:c r="K118" s="142" t="b">
        <x:v>0</x:v>
      </x:c>
      <x:c r="L118" s="146" t="str">
        <x:v>keep</x:v>
      </x:c>
      <x:c r="M118" s="146" t="str">
        <x:v>keep</x:v>
      </x:c>
      <x:c r="N118" s="147" t="b">
        <x:v>1</x:v>
      </x:c>
      <x:c r="O118" s="146" t="str">
        <x:v>SYS.design</x:v>
      </x:c>
      <x:c r="P118" s="146" t="str">
        <x:v>TECH.DLT</x:v>
      </x:c>
      <x:c r="Q118" s="146" t="str">
        <x:v>SYS</x:v>
      </x:c>
      <x:c r="R118" s="146" t="str">
        <x:v>TECH</x:v>
      </x:c>
      <x:c r="S118" s="146" t="str">
        <x:v>decision</x:v>
      </x:c>
      <x:c r="T118" s="146" t="str">
        <x:v>finding</x:v>
      </x:c>
      <x:c r="U118" s="146" t="str">
        <x:v>neutral</x:v>
      </x:c>
      <x:c r="V118" s="146" t="str">
        <x:v>neutral</x:v>
      </x:c>
      <x:c r="W118" s="146" t="str">
        <x:v>not_applicable</x:v>
      </x:c>
      <x:c r="X118" s="146" t="str">
        <x:v>not_applicable</x:v>
      </x:c>
      <x:c r="Y118" s="146" t="n">
        <x:v>2</x:v>
      </x:c>
      <x:c r="Z118" s="146" t="n">
        <x:v>3</x:v>
      </x:c>
      <x:c r="AA118" s="146" t="str">
        <x:v>high</x:v>
      </x:c>
      <x:c r="AB118" s="146" t="str">
        <x:v>high</x:v>
      </x:c>
      <x:c r="AC118" s="146"/>
      <x:c r="AD118" s="146"/>
      <x:c r="AE118" s="151" t="str">
        <x:v>SYS.design</x:v>
      </x:c>
      <x:c r="AF118" s="151" t="str">
        <x:v>TECH.DLT</x:v>
      </x:c>
      <x:c r="AG118" s="151" t="str">
        <x:v>decision</x:v>
      </x:c>
      <x:c r="AH118" s="151" t="str">
        <x:v>finding</x:v>
      </x:c>
      <x:c r="AI118" s="154" t="n">
        <x:f>IF(K118,0,1)</x:f>
        <x:v>1</x:v>
      </x:c>
      <x:c r="AJ118" s="154" t="n">
        <x:f>IF(L118="keep",1,0)</x:f>
        <x:v>1</x:v>
      </x:c>
      <x:c r="AK118" s="154" t="n">
        <x:f>IF(M118="keep",1,0)</x:f>
        <x:v>1</x:v>
      </x:c>
      <x:c r="AL118" s="154" t="n">
        <x:f>(AJ118+AK118)/2</x:f>
        <x:v>1</x:v>
      </x:c>
      <x:c r="AM118" s="154" t="n">
        <x:f>MIN(AJ118,AK118)</x:f>
        <x:v>1</x:v>
      </x:c>
      <x:c r="AN118" s="154" t="n">
        <x:f>MAX(AJ118,AK118)</x:f>
        <x:v>1</x:v>
      </x:c>
      <x:c r="AO118" s="154" t="n">
        <x:f>IF(L118=M118,1,0)</x:f>
        <x:v>1</x:v>
      </x:c>
    </x:row>
    <x:row r="119">
      <x:c r="A119" s="38" t="str">
        <x:v>SV-0118</x:v>
      </x:c>
      <x:c r="B119" s="38" t="str">
        <x:v>PC-00811</x:v>
      </x:c>
      <x:c r="C119" s="38" t="str">
        <x:v>en|both</x:v>
      </x:c>
      <x:c r="D119" s="87" t="n">
        <x:v>19.069444444444443</x:v>
      </x:c>
      <x:c r="E119" s="38" t="str">
        <x:v>both</x:v>
      </x:c>
      <x:c r="F119" s="38" t="str">
        <x:v>CA_BoC_RetailFeasibility_SDP2025_9</x:v>
      </x:c>
      <x:c r="G119" s="38" t="n">
        <x:v>45</x:v>
      </x:c>
      <x:c r="H119" s="38" t="str">
        <x:v>en</x:v>
      </x:c>
      <x:c r="I119" s="38" t="str">
        <x:v>Bank of Canada research on retail CBDC feasibility</x:v>
      </x:c>
      <x:c r="J119" s="38" t="str">
        <x:v>However, in later testing, after the compiler had been upgraded along with some libraries, 
the rate of scaling dropped to lower than two times, even though these upgrades were 
unrelated to the core logic .</x:v>
      </x:c>
      <x:c r="K119" s="142" t="b">
        <x:v>0</x:v>
      </x:c>
      <x:c r="L119" s="146" t="str">
        <x:v>keep</x:v>
      </x:c>
      <x:c r="M119" s="146" t="str">
        <x:v>keep</x:v>
      </x:c>
      <x:c r="N119" s="147" t="b">
        <x:v>1</x:v>
      </x:c>
      <x:c r="O119" s="146" t="str">
        <x:v>OPS.resilience</x:v>
      </x:c>
      <x:c r="P119" s="146" t="str">
        <x:v>PROC.pilot_learning</x:v>
      </x:c>
      <x:c r="Q119" s="146" t="str">
        <x:v>OPS</x:v>
      </x:c>
      <x:c r="R119" s="146" t="str">
        <x:v>PROC</x:v>
      </x:c>
      <x:c r="S119" s="146" t="str">
        <x:v>proposal</x:v>
      </x:c>
      <x:c r="T119" s="146" t="str">
        <x:v>finding</x:v>
      </x:c>
      <x:c r="U119" s="146" t="str">
        <x:v>neutral</x:v>
      </x:c>
      <x:c r="V119" s="146" t="str">
        <x:v>neutral</x:v>
      </x:c>
      <x:c r="W119" s="146" t="str">
        <x:v>not_applicable</x:v>
      </x:c>
      <x:c r="X119" s="146" t="str">
        <x:v>not_applicable</x:v>
      </x:c>
      <x:c r="Y119" s="146" t="n">
        <x:v>2</x:v>
      </x:c>
      <x:c r="Z119" s="146" t="n">
        <x:v>2</x:v>
      </x:c>
      <x:c r="AA119" s="146" t="str">
        <x:v>high</x:v>
      </x:c>
      <x:c r="AB119" s="146" t="str">
        <x:v>high</x:v>
      </x:c>
      <x:c r="AC119" s="146"/>
      <x:c r="AD119" s="146"/>
      <x:c r="AE119" s="151" t="str">
        <x:v>OPS.resilience</x:v>
      </x:c>
      <x:c r="AF119" s="151" t="str">
        <x:v>PROC.pilot_learning</x:v>
      </x:c>
      <x:c r="AG119" s="151" t="str">
        <x:v>proposal</x:v>
      </x:c>
      <x:c r="AH119" s="151" t="str">
        <x:v>finding</x:v>
      </x:c>
      <x:c r="AI119" s="154" t="n">
        <x:f>IF(K119,0,1)</x:f>
        <x:v>1</x:v>
      </x:c>
      <x:c r="AJ119" s="154" t="n">
        <x:f>IF(L119="keep",1,0)</x:f>
        <x:v>1</x:v>
      </x:c>
      <x:c r="AK119" s="154" t="n">
        <x:f>IF(M119="keep",1,0)</x:f>
        <x:v>1</x:v>
      </x:c>
      <x:c r="AL119" s="154" t="n">
        <x:f>(AJ119+AK119)/2</x:f>
        <x:v>1</x:v>
      </x:c>
      <x:c r="AM119" s="154" t="n">
        <x:f>MIN(AJ119,AK119)</x:f>
        <x:v>1</x:v>
      </x:c>
      <x:c r="AN119" s="154" t="n">
        <x:f>MAX(AJ119,AK119)</x:f>
        <x:v>1</x:v>
      </x:c>
      <x:c r="AO119" s="154" t="n">
        <x:f>IF(L119=M119,1,0)</x:f>
        <x:v>1</x:v>
      </x:c>
    </x:row>
    <x:row r="120">
      <x:c r="A120" s="38" t="str">
        <x:v>SV-0119</x:v>
      </x:c>
      <x:c r="B120" s="38" t="str">
        <x:v>PC-02895</x:v>
      </x:c>
      <x:c r="C120" s="38" t="str">
        <x:v>en|both</x:v>
      </x:c>
      <x:c r="D120" s="87" t="n">
        <x:v>19.069444444444443</x:v>
      </x:c>
      <x:c r="E120" s="38" t="str">
        <x:v>both</x:v>
      </x:c>
      <x:c r="F120" s="38" t="str">
        <x:v>IL_BoI_2024</x:v>
      </x:c>
      <x:c r="G120" s="38" t="n">
        <x:v>68</x:v>
      </x:c>
      <x:c r="H120" s="38" t="str">
        <x:v>en</x:v>
      </x:c>
      <x:c r="I120" s="38" t="str">
        <x:v>Bank of Israel (digital shekel)</x:v>
      </x:c>
      <x:c r="J120" s="38" t="str">
        <x:v>the alias will be presented to the payer to ensure the payment is being 
transferred to the correct payee (confirmation of payee)</x:v>
      </x:c>
      <x:c r="K120" s="142" t="b">
        <x:v>0</x:v>
      </x:c>
      <x:c r="L120" s="146" t="str">
        <x:v>keep</x:v>
      </x:c>
      <x:c r="M120" s="146" t="str">
        <x:v>exclude</x:v>
      </x:c>
      <x:c r="N120" s="147" t="b">
        <x:v>0</x:v>
      </x:c>
      <x:c r="O120" s="146" t="str">
        <x:v>SYS.design</x:v>
      </x:c>
      <x:c r="P120" s="146" t="str">
        <x:v>PROG.generic</x:v>
      </x:c>
      <x:c r="Q120" s="146" t="str">
        <x:v>SYS</x:v>
      </x:c>
      <x:c r="R120" s="146" t="str">
        <x:v>PROG</x:v>
      </x:c>
      <x:c r="S120" s="146" t="str">
        <x:v>proposal</x:v>
      </x:c>
      <x:c r="T120" s="146" t="str">
        <x:v>decision</x:v>
      </x:c>
      <x:c r="U120" s="146" t="str">
        <x:v>neutral</x:v>
      </x:c>
      <x:c r="V120" s="146" t="str">
        <x:v>neutral</x:v>
      </x:c>
      <x:c r="W120" s="146" t="str">
        <x:v>not_applicable</x:v>
      </x:c>
      <x:c r="X120" s="146" t="str">
        <x:v>not_applicable</x:v>
      </x:c>
      <x:c r="Y120" s="146" t="n">
        <x:v>2</x:v>
      </x:c>
      <x:c r="Z120" s="146" t="n">
        <x:v>2</x:v>
      </x:c>
      <x:c r="AA120" s="146" t="str">
        <x:v>high</x:v>
      </x:c>
      <x:c r="AB120" s="146" t="str">
        <x:v>high</x:v>
      </x:c>
      <x:c r="AC120" s="146"/>
      <x:c r="AD120" s="146" t="str">
        <x:v>x</x:v>
      </x:c>
      <x:c r="AE120" s="151" t="str">
        <x:v>SYS.design</x:v>
      </x:c>
      <x:c r="AF120" s="151" t="str">
        <x:v>PROG.generic</x:v>
      </x:c>
      <x:c r="AG120" s="151" t="str">
        <x:v>proposal</x:v>
      </x:c>
      <x:c r="AH120" s="151" t="str">
        <x:v>decision</x:v>
      </x:c>
      <x:c r="AI120" s="154" t="n">
        <x:f>IF(K120,0,1)</x:f>
        <x:v>1</x:v>
      </x:c>
      <x:c r="AJ120" s="154" t="n">
        <x:f>IF(L120="keep",1,0)</x:f>
        <x:v>1</x:v>
      </x:c>
      <x:c r="AK120" s="154" t="n">
        <x:f>IF(M120="keep",1,0)</x:f>
        <x:v>0</x:v>
      </x:c>
      <x:c r="AL120" s="154" t="n">
        <x:f>(AJ120+AK120)/2</x:f>
        <x:v>0.5</x:v>
      </x:c>
      <x:c r="AM120" s="154" t="n">
        <x:f>MIN(AJ120,AK120)</x:f>
        <x:v>0</x:v>
      </x:c>
      <x:c r="AN120" s="154" t="n">
        <x:f>MAX(AJ120,AK120)</x:f>
        <x:v>1</x:v>
      </x:c>
      <x:c r="AO120" s="154" t="n">
        <x:f>IF(L120=M120,1,0)</x:f>
        <x:v>0</x:v>
      </x:c>
    </x:row>
    <x:row r="121">
      <x:c r="A121" s="38" t="str">
        <x:v>SV-0120</x:v>
      </x:c>
      <x:c r="B121" s="38" t="str">
        <x:v>PC-03676</x:v>
      </x:c>
      <x:c r="C121" s="38" t="str">
        <x:v>en|both</x:v>
      </x:c>
      <x:c r="D121" s="87" t="n">
        <x:v>19.069444444444443</x:v>
      </x:c>
      <x:c r="E121" s="38" t="str">
        <x:v>both</x:v>
      </x:c>
      <x:c r="F121" s="38" t="str">
        <x:v>JP_BoJ_2022</x:v>
      </x:c>
      <x:c r="G121" s="38" t="n">
        <x:v>8</x:v>
      </x:c>
      <x:c r="H121" s="38" t="str">
        <x:v>en</x:v>
      </x:c>
      <x:c r="I121" s="38" t="str">
        <x:v>Bank of Japan</x:v>
      </x:c>
      <x:c r="J121" s="38" t="str">
        <x:v>Designs 2 
and 3, however, saw the throughput drop by 18% and 4% , respectively, relative to the 
transaction requests, while latency at the 99 th percentile increased  significantly to 2,000 
milliseconds and 800 milliseconds, respectively.</x:v>
      </x:c>
      <x:c r="K121" s="142" t="b">
        <x:v>0</x:v>
      </x:c>
      <x:c r="L121" s="146" t="str">
        <x:v>keep</x:v>
      </x:c>
      <x:c r="M121" s="146" t="str">
        <x:v>keep</x:v>
      </x:c>
      <x:c r="N121" s="147" t="b">
        <x:v>1</x:v>
      </x:c>
      <x:c r="O121" s="146" t="str">
        <x:v>PROC.pilot_learning</x:v>
      </x:c>
      <x:c r="P121" s="146" t="str">
        <x:v>PROC.pilot_learning</x:v>
      </x:c>
      <x:c r="Q121" s="146" t="str">
        <x:v>PROC</x:v>
      </x:c>
      <x:c r="R121" s="146" t="str">
        <x:v>PROC</x:v>
      </x:c>
      <x:c r="S121" s="146" t="str">
        <x:v>finding</x:v>
      </x:c>
      <x:c r="T121" s="146" t="str">
        <x:v>finding</x:v>
      </x:c>
      <x:c r="U121" s="146" t="str">
        <x:v>neutral</x:v>
      </x:c>
      <x:c r="V121" s="146" t="str">
        <x:v>neutral</x:v>
      </x:c>
      <x:c r="W121" s="146" t="str">
        <x:v>not_applicable</x:v>
      </x:c>
      <x:c r="X121" s="146" t="str">
        <x:v>not_applicable</x:v>
      </x:c>
      <x:c r="Y121" s="146" t="n">
        <x:v>3</x:v>
      </x:c>
      <x:c r="Z121" s="146" t="n">
        <x:v>3</x:v>
      </x:c>
      <x:c r="AA121" s="146" t="str">
        <x:v>high</x:v>
      </x:c>
      <x:c r="AB121" s="146" t="str">
        <x:v>high</x:v>
      </x:c>
      <x:c r="AC121" s="146"/>
      <x:c r="AD121" s="146"/>
      <x:c r="AE121" s="151" t="str">
        <x:v>PROC.pilot_learning</x:v>
      </x:c>
      <x:c r="AF121" s="151" t="str">
        <x:v>PROC.pilot_learning</x:v>
      </x:c>
      <x:c r="AG121" s="151" t="str">
        <x:v>finding</x:v>
      </x:c>
      <x:c r="AH121" s="151" t="str">
        <x:v>finding</x:v>
      </x:c>
      <x:c r="AI121" s="154" t="n">
        <x:f>IF(K121,0,1)</x:f>
        <x:v>1</x:v>
      </x:c>
      <x:c r="AJ121" s="154" t="n">
        <x:f>IF(L121="keep",1,0)</x:f>
        <x:v>1</x:v>
      </x:c>
      <x:c r="AK121" s="154" t="n">
        <x:f>IF(M121="keep",1,0)</x:f>
        <x:v>1</x:v>
      </x:c>
      <x:c r="AL121" s="154" t="n">
        <x:f>(AJ121+AK121)/2</x:f>
        <x:v>1</x:v>
      </x:c>
      <x:c r="AM121" s="154" t="n">
        <x:f>MIN(AJ121,AK121)</x:f>
        <x:v>1</x:v>
      </x:c>
      <x:c r="AN121" s="154" t="n">
        <x:f>MAX(AJ121,AK121)</x:f>
        <x:v>1</x:v>
      </x:c>
      <x:c r="AO121" s="154" t="n">
        <x:f>IF(L121=M121,1,0)</x:f>
        <x:v>1</x:v>
      </x:c>
    </x:row>
    <x:row r="122">
      <x:c r="A122" s="38" t="str">
        <x:v>SV-0121</x:v>
      </x:c>
      <x:c r="B122" s="38" t="str">
        <x:v>PC-06680</x:v>
      </x:c>
      <x:c r="C122" s="38" t="str">
        <x:v>en|openai_only</x:v>
      </x:c>
      <x:c r="D122" s="87" t="n">
        <x:v>19.21875</x:v>
      </x:c>
      <x:c r="E122" s="38" t="str">
        <x:v>openai_only</x:v>
      </x:c>
      <x:c r="F122" s="38" t="str">
        <x:v>UY_BCU_Seven_Lessons_2022</x:v>
      </x:c>
      <x:c r="G122" s="38" t="n">
        <x:v>10</x:v>
      </x:c>
      <x:c r="H122" s="38" t="str">
        <x:v>en</x:v>
      </x:c>
      <x:c r="I122" s="38" t="str">
        <x:v>Banco Central del Uruguay (e-Peso pilot)</x:v>
      </x:c>
      <x:c r="J122" s="38" t="str">
        <x:v>the main use o f e-Pesos is the same as  
cash, to do small payments and not to compete with other means of payments or at 
least, no to compete in a different way than cash does</x:v>
      </x:c>
      <x:c r="K122" s="142" t="b">
        <x:v>0</x:v>
      </x:c>
      <x:c r="L122" s="146" t="str">
        <x:v>keep</x:v>
      </x:c>
      <x:c r="M122" s="146" t="str">
        <x:v>exclude</x:v>
      </x:c>
      <x:c r="N122" s="147" t="b">
        <x:v>0</x:v>
      </x:c>
      <x:c r="O122" s="146" t="str">
        <x:v>CASH.relation</x:v>
      </x:c>
      <x:c r="P122" s="146"/>
      <x:c r="Q122" s="146" t="str">
        <x:v>CASH</x:v>
      </x:c>
      <x:c r="R122" s="146" t="str"/>
      <x:c r="S122" s="146" t="str">
        <x:v>decision</x:v>
      </x:c>
      <x:c r="T122" s="146"/>
      <x:c r="U122" s="146" t="str">
        <x:v>neutral</x:v>
      </x:c>
      <x:c r="V122" s="146"/>
      <x:c r="W122" s="146" t="str">
        <x:v>not_applicable</x:v>
      </x:c>
      <x:c r="X122" s="146"/>
      <x:c r="Y122" s="146" t="n">
        <x:v>2</x:v>
      </x:c>
      <x:c r="Z122" s="146"/>
      <x:c r="AA122" s="146" t="str">
        <x:v>high</x:v>
      </x:c>
      <x:c r="AB122" s="146" t="str">
        <x:v>high</x:v>
      </x:c>
      <x:c r="AC122" s="146"/>
      <x:c r="AD122" s="146"/>
      <x:c r="AE122" s="151" t="str">
        <x:v>CASH.relation</x:v>
      </x:c>
      <x:c r="AF122" s="151"/>
      <x:c r="AG122" s="151" t="str">
        <x:v>decision</x:v>
      </x:c>
      <x:c r="AH122" s="151"/>
      <x:c r="AI122" s="154" t="n">
        <x:f>IF(K122,0,1)</x:f>
        <x:v>1</x:v>
      </x:c>
      <x:c r="AJ122" s="154" t="n">
        <x:f>IF(L122="keep",1,0)</x:f>
        <x:v>1</x:v>
      </x:c>
      <x:c r="AK122" s="154" t="n">
        <x:f>IF(M122="keep",1,0)</x:f>
        <x:v>0</x:v>
      </x:c>
      <x:c r="AL122" s="154" t="n">
        <x:f>(AJ122+AK122)/2</x:f>
        <x:v>0.5</x:v>
      </x:c>
      <x:c r="AM122" s="154" t="n">
        <x:f>MIN(AJ122,AK122)</x:f>
        <x:v>0</x:v>
      </x:c>
      <x:c r="AN122" s="154" t="n">
        <x:f>MAX(AJ122,AK122)</x:f>
        <x:v>1</x:v>
      </x:c>
      <x:c r="AO122" s="154" t="n">
        <x:f>IF(L122=M122,1,0)</x:f>
        <x:v>0</x:v>
      </x:c>
    </x:row>
    <x:row r="123">
      <x:c r="A123" s="38" t="str">
        <x:v>SV-0122</x:v>
      </x:c>
      <x:c r="B123" s="38" t="str">
        <x:v>PC-06123</x:v>
      </x:c>
      <x:c r="C123" s="38" t="str">
        <x:v>en|openai_only</x:v>
      </x:c>
      <x:c r="D123" s="87" t="n">
        <x:v>19.21875</x:v>
      </x:c>
      <x:c r="E123" s="38" t="str">
        <x:v>openai_only</x:v>
      </x:c>
      <x:c r="F123" s="38" t="str">
        <x:v>UK_BoE_2020_OpportChall</x:v>
      </x:c>
      <x:c r="G123" s="38" t="n">
        <x:v>44</x:v>
      </x:c>
      <x:c r="H123" s="38" t="str">
        <x:v>en</x:v>
      </x:c>
      <x:c r="I123" s="38" t="str">
        <x:v>Bank of England and HM Treasury (digital pound)</x:v>
      </x:c>
      <x:c r="J123" s="38" t="str">
        <x:v>Resilient: because CBDC would likely serve as a critical piece of national infrastructure, it would need to be 
able to handle hardware and software failures in parts of the CBDC system, or telecom network failures, while 
sustaining continuity of operations and without having a single point of failure that could break the system. It 
must also be resilient to, and able to adapt to, peaks in demand.</x:v>
      </x:c>
      <x:c r="K123" s="142" t="b">
        <x:v>0</x:v>
      </x:c>
      <x:c r="L123" s="146" t="str">
        <x:v>keep</x:v>
      </x:c>
      <x:c r="M123" s="146" t="str">
        <x:v>exclude</x:v>
      </x:c>
      <x:c r="N123" s="147" t="b">
        <x:v>0</x:v>
      </x:c>
      <x:c r="O123" s="146" t="str">
        <x:v>OPS.resilience</x:v>
      </x:c>
      <x:c r="P123" s="146"/>
      <x:c r="Q123" s="146" t="str">
        <x:v>OPS</x:v>
      </x:c>
      <x:c r="R123" s="146" t="str"/>
      <x:c r="S123" s="146" t="str">
        <x:v>proposal</x:v>
      </x:c>
      <x:c r="T123" s="146"/>
      <x:c r="U123" s="146" t="str">
        <x:v>neutral</x:v>
      </x:c>
      <x:c r="V123" s="146"/>
      <x:c r="W123" s="146" t="str">
        <x:v>not_applicable</x:v>
      </x:c>
      <x:c r="X123" s="146"/>
      <x:c r="Y123" s="146" t="n">
        <x:v>3</x:v>
      </x:c>
      <x:c r="Z123" s="146"/>
      <x:c r="AA123" s="146" t="str">
        <x:v>high</x:v>
      </x:c>
      <x:c r="AB123" s="146" t="str">
        <x:v>high</x:v>
      </x:c>
      <x:c r="AC123" s="146"/>
      <x:c r="AD123" s="146"/>
      <x:c r="AE123" s="151" t="str">
        <x:v>OPS.resilience</x:v>
      </x:c>
      <x:c r="AF123" s="151"/>
      <x:c r="AG123" s="151" t="str">
        <x:v>proposal</x:v>
      </x:c>
      <x:c r="AH123" s="151"/>
      <x:c r="AI123" s="154" t="n">
        <x:f>IF(K123,0,1)</x:f>
        <x:v>1</x:v>
      </x:c>
      <x:c r="AJ123" s="154" t="n">
        <x:f>IF(L123="keep",1,0)</x:f>
        <x:v>1</x:v>
      </x:c>
      <x:c r="AK123" s="154" t="n">
        <x:f>IF(M123="keep",1,0)</x:f>
        <x:v>0</x:v>
      </x:c>
      <x:c r="AL123" s="154" t="n">
        <x:f>(AJ123+AK123)/2</x:f>
        <x:v>0.5</x:v>
      </x:c>
      <x:c r="AM123" s="154" t="n">
        <x:f>MIN(AJ123,AK123)</x:f>
        <x:v>0</x:v>
      </x:c>
      <x:c r="AN123" s="154" t="n">
        <x:f>MAX(AJ123,AK123)</x:f>
        <x:v>1</x:v>
      </x:c>
      <x:c r="AO123" s="154" t="n">
        <x:f>IF(L123=M123,1,0)</x:f>
        <x:v>0</x:v>
      </x:c>
    </x:row>
    <x:row r="124">
      <x:c r="A124" s="38" t="str">
        <x:v>SV-0123</x:v>
      </x:c>
      <x:c r="B124" s="38" t="str">
        <x:v>PC-04658</x:v>
      </x:c>
      <x:c r="C124" s="38" t="str">
        <x:v>en|both</x:v>
      </x:c>
      <x:c r="D124" s="87" t="n">
        <x:v>19.069444444444443</x:v>
      </x:c>
      <x:c r="E124" s="38" t="str">
        <x:v>both</x:v>
      </x:c>
      <x:c r="F124" s="38" t="str">
        <x:v>PE_Peru_cbdc-presentation</x:v>
      </x:c>
      <x:c r="G124" s="38" t="n">
        <x:v>27</x:v>
      </x:c>
      <x:c r="H124" s="38" t="str">
        <x:v>en</x:v>
      </x:c>
      <x:c r="I124" s="38" t="str">
        <x:v>Banco Central de Reserva del Peru</x:v>
      </x:c>
      <x:c r="J124" s="38" t="str">
        <x:v>By offering a 
payment instrument that is accepted in the same places that cash is accepted, a CBDC can help keep 
money flows received in money transfers primarily in the financial system.</x:v>
      </x:c>
      <x:c r="K124" s="142" t="b">
        <x:v>0</x:v>
      </x:c>
      <x:c r="L124" s="146" t="str">
        <x:v>keep</x:v>
      </x:c>
      <x:c r="M124" s="146" t="str">
        <x:v>keep</x:v>
      </x:c>
      <x:c r="N124" s="147" t="b">
        <x:v>1</x:v>
      </x:c>
      <x:c r="O124" s="146" t="str">
        <x:v>ADOPT.experience</x:v>
      </x:c>
      <x:c r="P124" s="146" t="str">
        <x:v>ACCESS.universal</x:v>
      </x:c>
      <x:c r="Q124" s="146" t="str">
        <x:v>ADOPT</x:v>
      </x:c>
      <x:c r="R124" s="146" t="str">
        <x:v>ACCESS</x:v>
      </x:c>
      <x:c r="S124" s="146" t="str">
        <x:v>proposal</x:v>
      </x:c>
      <x:c r="T124" s="146" t="str">
        <x:v>proposal</x:v>
      </x:c>
      <x:c r="U124" s="146" t="str">
        <x:v>neutral</x:v>
      </x:c>
      <x:c r="V124" s="146" t="str">
        <x:v>neutral</x:v>
      </x:c>
      <x:c r="W124" s="146" t="str">
        <x:v>not_applicable</x:v>
      </x:c>
      <x:c r="X124" s="146" t="str">
        <x:v>not_applicable</x:v>
      </x:c>
      <x:c r="Y124" s="146" t="n">
        <x:v>3</x:v>
      </x:c>
      <x:c r="Z124" s="146" t="n">
        <x:v>2</x:v>
      </x:c>
      <x:c r="AA124" s="146" t="str">
        <x:v>high</x:v>
      </x:c>
      <x:c r="AB124" s="146" t="str">
        <x:v>high</x:v>
      </x:c>
      <x:c r="AC124" s="146"/>
      <x:c r="AD124" s="146"/>
      <x:c r="AE124" s="151" t="str">
        <x:v>ADOPT.experience</x:v>
      </x:c>
      <x:c r="AF124" s="151" t="str">
        <x:v>ACCESS.universal</x:v>
      </x:c>
      <x:c r="AG124" s="151" t="str">
        <x:v>proposal</x:v>
      </x:c>
      <x:c r="AH124" s="151" t="str">
        <x:v>proposal</x:v>
      </x:c>
      <x:c r="AI124" s="154" t="n">
        <x:f>IF(K124,0,1)</x:f>
        <x:v>1</x:v>
      </x:c>
      <x:c r="AJ124" s="154" t="n">
        <x:f>IF(L124="keep",1,0)</x:f>
        <x:v>1</x:v>
      </x:c>
      <x:c r="AK124" s="154" t="n">
        <x:f>IF(M124="keep",1,0)</x:f>
        <x:v>1</x:v>
      </x:c>
      <x:c r="AL124" s="154" t="n">
        <x:f>(AJ124+AK124)/2</x:f>
        <x:v>1</x:v>
      </x:c>
      <x:c r="AM124" s="154" t="n">
        <x:f>MIN(AJ124,AK124)</x:f>
        <x:v>1</x:v>
      </x:c>
      <x:c r="AN124" s="154" t="n">
        <x:f>MAX(AJ124,AK124)</x:f>
        <x:v>1</x:v>
      </x:c>
      <x:c r="AO124" s="154" t="n">
        <x:f>IF(L124=M124,1,0)</x:f>
        <x:v>1</x:v>
      </x:c>
    </x:row>
    <x:row r="125">
      <x:c r="A125" s="38" t="str">
        <x:v>SV-0124</x:v>
      </x:c>
      <x:c r="B125" s="38" t="str">
        <x:v>PC-04203</x:v>
      </x:c>
      <x:c r="C125" s="38" t="str">
        <x:v>en|openai_only</x:v>
      </x:c>
      <x:c r="D125" s="87" t="n">
        <x:v>19.21875</x:v>
      </x:c>
      <x:c r="E125" s="38" t="str">
        <x:v>openai_only</x:v>
      </x:c>
      <x:c r="F125" s="38" t="str">
        <x:v>NO_Norway_nbmemo-1-2018</x:v>
      </x:c>
      <x:c r="G125" s="38" t="n">
        <x:v>24</x:v>
      </x:c>
      <x:c r="H125" s="38" t="str">
        <x:v>en</x:v>
      </x:c>
      <x:c r="I125" s="38" t="str">
        <x:v>Norges Bank</x:v>
      </x:c>
      <x:c r="J125" s="38" t="str">
        <x:v>Det trengs trolig en form for nettbank for regningsbetalinger og andre større betalinger 
konto-til-konto.</x:v>
      </x:c>
      <x:c r="K125" s="142" t="b">
        <x:v>0</x:v>
      </x:c>
      <x:c r="L125" s="146" t="str">
        <x:v>keep</x:v>
      </x:c>
      <x:c r="M125" s="146" t="str">
        <x:v>exclude</x:v>
      </x:c>
      <x:c r="N125" s="147" t="b">
        <x:v>0</x:v>
      </x:c>
      <x:c r="O125" s="146" t="str">
        <x:v>SYS.design</x:v>
      </x:c>
      <x:c r="P125" s="146"/>
      <x:c r="Q125" s="146" t="str">
        <x:v>SYS</x:v>
      </x:c>
      <x:c r="R125" s="146" t="str"/>
      <x:c r="S125" s="146" t="str">
        <x:v>proposal</x:v>
      </x:c>
      <x:c r="T125" s="146"/>
      <x:c r="U125" s="146" t="str">
        <x:v>neutral</x:v>
      </x:c>
      <x:c r="V125" s="146"/>
      <x:c r="W125" s="146" t="str">
        <x:v>not_applicable</x:v>
      </x:c>
      <x:c r="X125" s="146"/>
      <x:c r="Y125" s="146" t="n">
        <x:v>2</x:v>
      </x:c>
      <x:c r="Z125" s="146"/>
      <x:c r="AA125" s="146" t="str">
        <x:v>high</x:v>
      </x:c>
      <x:c r="AB125" s="146" t="str">
        <x:v>high</x:v>
      </x:c>
      <x:c r="AC125" s="146"/>
      <x:c r="AD125" s="146"/>
      <x:c r="AE125" s="151" t="str">
        <x:v>SYS.design</x:v>
      </x:c>
      <x:c r="AF125" s="151"/>
      <x:c r="AG125" s="151" t="str">
        <x:v>proposal</x:v>
      </x:c>
      <x:c r="AH125" s="151"/>
      <x:c r="AI125" s="154" t="n">
        <x:f>IF(K125,0,1)</x:f>
        <x:v>1</x:v>
      </x:c>
      <x:c r="AJ125" s="154" t="n">
        <x:f>IF(L125="keep",1,0)</x:f>
        <x:v>1</x:v>
      </x:c>
      <x:c r="AK125" s="154" t="n">
        <x:f>IF(M125="keep",1,0)</x:f>
        <x:v>0</x:v>
      </x:c>
      <x:c r="AL125" s="154" t="n">
        <x:f>(AJ125+AK125)/2</x:f>
        <x:v>0.5</x:v>
      </x:c>
      <x:c r="AM125" s="154" t="n">
        <x:f>MIN(AJ125,AK125)</x:f>
        <x:v>0</x:v>
      </x:c>
      <x:c r="AN125" s="154" t="n">
        <x:f>MAX(AJ125,AK125)</x:f>
        <x:v>1</x:v>
      </x:c>
      <x:c r="AO125" s="154" t="n">
        <x:f>IF(L125=M125,1,0)</x:f>
        <x:v>0</x:v>
      </x:c>
    </x:row>
    <x:row r="126">
      <x:c r="A126" s="38" t="str">
        <x:v>SV-0125</x:v>
      </x:c>
      <x:c r="B126" s="38" t="str">
        <x:v>PC-01720</x:v>
      </x:c>
      <x:c r="C126" s="38" t="str">
        <x:v>en|claude_only</x:v>
      </x:c>
      <x:c r="D126" s="87" t="n">
        <x:v>19.375</x:v>
      </x:c>
      <x:c r="E126" s="38" t="str">
        <x:v>claude_only</x:v>
      </x:c>
      <x:c r="F126" s="38" t="str">
        <x:v>GH_Ghana_2023</x:v>
      </x:c>
      <x:c r="G126" s="38" t="n">
        <x:v>13</x:v>
      </x:c>
      <x:c r="H126" s="38" t="str">
        <x:v>en</x:v>
      </x:c>
      <x:c r="I126" s="38" t="str">
        <x:v>Bank of Ghana (eCedi)</x:v>
      </x:c>
      <x:c r="J126" s="38" t="str">
        <x:v>The eCedi solution was tested in the field in online and offline scenarios with the overarching 
objective of assessing the feasibility of introducing a user-centered and inclusive digital version of 
the Ghana Cedi.</x:v>
      </x:c>
      <x:c r="K126" s="142" t="b">
        <x:v>0</x:v>
      </x:c>
      <x:c r="L126" s="146" t="str">
        <x:v>exclude</x:v>
      </x:c>
      <x:c r="M126" s="146" t="str">
        <x:v>keep</x:v>
      </x:c>
      <x:c r="N126" s="147" t="b">
        <x:v>0</x:v>
      </x:c>
      <x:c r="O126" s="146"/>
      <x:c r="P126" s="146" t="str">
        <x:v>SYS.design</x:v>
      </x:c>
      <x:c r="Q126" s="146" t="str"/>
      <x:c r="R126" s="146" t="str">
        <x:v>SYS</x:v>
      </x:c>
      <x:c r="S126" s="146"/>
      <x:c r="T126" s="146" t="str">
        <x:v>decision</x:v>
      </x:c>
      <x:c r="U126" s="146"/>
      <x:c r="V126" s="146" t="str">
        <x:v>neutral</x:v>
      </x:c>
      <x:c r="W126" s="146"/>
      <x:c r="X126" s="146" t="str">
        <x:v>not_applicable</x:v>
      </x:c>
      <x:c r="Y126" s="146"/>
      <x:c r="Z126" s="146" t="n">
        <x:v>2</x:v>
      </x:c>
      <x:c r="AA126" s="146" t="str">
        <x:v>high</x:v>
      </x:c>
      <x:c r="AB126" s="146" t="str">
        <x:v>high</x:v>
      </x:c>
      <x:c r="AC126" s="146"/>
      <x:c r="AD126" s="146"/>
      <x:c r="AE126" s="151"/>
      <x:c r="AF126" s="151" t="str">
        <x:v>SYS.design</x:v>
      </x:c>
      <x:c r="AG126" s="151"/>
      <x:c r="AH126" s="151" t="str">
        <x:v>decision</x:v>
      </x:c>
      <x:c r="AI126" s="154" t="n">
        <x:f>IF(K126,0,1)</x:f>
        <x:v>1</x:v>
      </x:c>
      <x:c r="AJ126" s="154" t="n">
        <x:f>IF(L126="keep",1,0)</x:f>
        <x:v>0</x:v>
      </x:c>
      <x:c r="AK126" s="154" t="n">
        <x:f>IF(M126="keep",1,0)</x:f>
        <x:v>1</x:v>
      </x:c>
      <x:c r="AL126" s="154" t="n">
        <x:f>(AJ126+AK126)/2</x:f>
        <x:v>0.5</x:v>
      </x:c>
      <x:c r="AM126" s="154" t="n">
        <x:f>MIN(AJ126,AK126)</x:f>
        <x:v>0</x:v>
      </x:c>
      <x:c r="AN126" s="154" t="n">
        <x:f>MAX(AJ126,AK126)</x:f>
        <x:v>1</x:v>
      </x:c>
      <x:c r="AO126" s="154" t="n">
        <x:f>IF(L126=M126,1,0)</x:f>
        <x:v>0</x:v>
      </x:c>
    </x:row>
    <x:row r="127">
      <x:c r="A127" s="38" t="str">
        <x:v>SV-0126</x:v>
      </x:c>
      <x:c r="B127" s="38" t="str">
        <x:v>PC-00263</x:v>
      </x:c>
      <x:c r="C127" s="38" t="str">
        <x:v>en|openai_only</x:v>
      </x:c>
      <x:c r="D127" s="87" t="n">
        <x:v>19.21875</x:v>
      </x:c>
      <x:c r="E127" s="38" t="str">
        <x:v>openai_only</x:v>
      </x:c>
      <x:c r="F127" s="38" t="str">
        <x:v>AU_RBA_002</x:v>
      </x:c>
      <x:c r="G127" s="38" t="n">
        <x:v>7</x:v>
      </x:c>
      <x:c r="H127" s="38" t="str">
        <x:v>en</x:v>
      </x:c>
      <x:c r="I127" s="38" t="str">
        <x:v>Reserve Bank of Australia and Digital Finance CRC (Australian CBDC pilot)</x:v>
      </x:c>
      <x:c r="J127" s="38" t="str">
        <x:v>• Restricts access to approved 
participants</x:v>
      </x:c>
      <x:c r="K127" s="142" t="b">
        <x:v>0</x:v>
      </x:c>
      <x:c r="L127" s="146" t="str">
        <x:v>exclude</x:v>
      </x:c>
      <x:c r="M127" s="146" t="str">
        <x:v>exclude</x:v>
      </x:c>
      <x:c r="N127" s="147" t="b">
        <x:v>1</x:v>
      </x:c>
      <x:c r="O127" s="146"/>
      <x:c r="P127" s="146"/>
      <x:c r="Q127" s="146" t="str"/>
      <x:c r="R127" s="146" t="str"/>
      <x:c r="S127" s="146"/>
      <x:c r="T127" s="146"/>
      <x:c r="U127" s="146"/>
      <x:c r="V127" s="146"/>
      <x:c r="W127" s="146"/>
      <x:c r="X127" s="146"/>
      <x:c r="Y127" s="146"/>
      <x:c r="Z127" s="146"/>
      <x:c r="AA127" s="146" t="str">
        <x:v>high</x:v>
      </x:c>
      <x:c r="AB127" s="146" t="str">
        <x:v>high</x:v>
      </x:c>
      <x:c r="AC127" s="146"/>
      <x:c r="AD127" s="146"/>
      <x:c r="AE127" s="151" t="str">
        <x:v>SYS.design</x:v>
      </x:c>
      <x:c r="AF127" s="151"/>
      <x:c r="AG127" s="151" t="str">
        <x:v>decision</x:v>
      </x:c>
      <x:c r="AH127" s="151"/>
      <x:c r="AI127" s="154" t="n">
        <x:f>IF(K127,0,1)</x:f>
        <x:v>1</x:v>
      </x:c>
      <x:c r="AJ127" s="154" t="n">
        <x:f>IF(L127="keep",1,0)</x:f>
        <x:v>0</x:v>
      </x:c>
      <x:c r="AK127" s="154" t="n">
        <x:f>IF(M127="keep",1,0)</x:f>
        <x:v>0</x:v>
      </x:c>
      <x:c r="AL127" s="154" t="n">
        <x:f>(AJ127+AK127)/2</x:f>
        <x:v>0</x:v>
      </x:c>
      <x:c r="AM127" s="154" t="n">
        <x:f>MIN(AJ127,AK127)</x:f>
        <x:v>0</x:v>
      </x:c>
      <x:c r="AN127" s="154" t="n">
        <x:f>MAX(AJ127,AK127)</x:f>
        <x:v>0</x:v>
      </x:c>
      <x:c r="AO127" s="154" t="n">
        <x:f>IF(L127=M127,1,0)</x:f>
        <x:v>1</x:v>
      </x:c>
    </x:row>
    <x:row r="128">
      <x:c r="A128" s="38" t="str">
        <x:v>SV-0127</x:v>
      </x:c>
      <x:c r="B128" s="38" t="str">
        <x:v>PC-04226</x:v>
      </x:c>
      <x:c r="C128" s="38" t="str">
        <x:v>en|openai_only</x:v>
      </x:c>
      <x:c r="D128" s="87" t="n">
        <x:v>19.21875</x:v>
      </x:c>
      <x:c r="E128" s="38" t="str">
        <x:v>openai_only</x:v>
      </x:c>
      <x:c r="F128" s="38" t="str">
        <x:v>NO_Norway_nbmemo-1-2018</x:v>
      </x:c>
      <x:c r="G128" s="38" t="n">
        <x:v>30</x:v>
      </x:c>
      <x:c r="H128" s="38" t="str">
        <x:v>en</x:v>
      </x:c>
      <x:c r="I128" s="38" t="str">
        <x:v>Norges Bank</x:v>
      </x:c>
      <x:c r="J128" s="38" t="str">
        <x:v>Løsningen skal være tilgjengelig 24 timer i døgnet, 365 dager i 
året.</x:v>
      </x:c>
      <x:c r="K128" s="142" t="b">
        <x:v>0</x:v>
      </x:c>
      <x:c r="L128" s="146" t="str">
        <x:v>keep</x:v>
      </x:c>
      <x:c r="M128" s="146" t="str">
        <x:v>exclude</x:v>
      </x:c>
      <x:c r="N128" s="147" t="b">
        <x:v>0</x:v>
      </x:c>
      <x:c r="O128" s="146" t="str">
        <x:v>OPS.resilience</x:v>
      </x:c>
      <x:c r="P128" s="146"/>
      <x:c r="Q128" s="146" t="str">
        <x:v>OPS</x:v>
      </x:c>
      <x:c r="R128" s="146" t="str"/>
      <x:c r="S128" s="146" t="str">
        <x:v>proposal</x:v>
      </x:c>
      <x:c r="T128" s="146"/>
      <x:c r="U128" s="146" t="str">
        <x:v>neutral</x:v>
      </x:c>
      <x:c r="V128" s="146"/>
      <x:c r="W128" s="146" t="str">
        <x:v>not_applicable</x:v>
      </x:c>
      <x:c r="X128" s="146"/>
      <x:c r="Y128" s="146" t="n">
        <x:v>2</x:v>
      </x:c>
      <x:c r="Z128" s="146"/>
      <x:c r="AA128" s="146" t="str">
        <x:v>high</x:v>
      </x:c>
      <x:c r="AB128" s="146" t="str">
        <x:v>high</x:v>
      </x:c>
      <x:c r="AC128" s="146"/>
      <x:c r="AD128" s="146"/>
      <x:c r="AE128" s="151" t="str">
        <x:v>OPS.resilience</x:v>
      </x:c>
      <x:c r="AF128" s="151"/>
      <x:c r="AG128" s="151" t="str">
        <x:v>proposal</x:v>
      </x:c>
      <x:c r="AH128" s="151"/>
      <x:c r="AI128" s="154" t="n">
        <x:f>IF(K128,0,1)</x:f>
        <x:v>1</x:v>
      </x:c>
      <x:c r="AJ128" s="154" t="n">
        <x:f>IF(L128="keep",1,0)</x:f>
        <x:v>1</x:v>
      </x:c>
      <x:c r="AK128" s="154" t="n">
        <x:f>IF(M128="keep",1,0)</x:f>
        <x:v>0</x:v>
      </x:c>
      <x:c r="AL128" s="154" t="n">
        <x:f>(AJ128+AK128)/2</x:f>
        <x:v>0.5</x:v>
      </x:c>
      <x:c r="AM128" s="154" t="n">
        <x:f>MIN(AJ128,AK128)</x:f>
        <x:v>0</x:v>
      </x:c>
      <x:c r="AN128" s="154" t="n">
        <x:f>MAX(AJ128,AK128)</x:f>
        <x:v>1</x:v>
      </x:c>
      <x:c r="AO128" s="154" t="n">
        <x:f>IF(L128=M128,1,0)</x:f>
        <x:v>0</x:v>
      </x:c>
    </x:row>
    <x:row r="129">
      <x:c r="A129" s="38" t="str">
        <x:v>SV-0128</x:v>
      </x:c>
      <x:c r="B129" s="38" t="str">
        <x:v>PC-00050</x:v>
      </x:c>
      <x:c r="C129" s="38" t="str">
        <x:v>en|both</x:v>
      </x:c>
      <x:c r="D129" s="87" t="n">
        <x:v>19.069444444444443</x:v>
      </x:c>
      <x:c r="E129" s="38" t="str">
        <x:v>both</x:v>
      </x:c>
      <x:c r="F129" s="38" t="str">
        <x:v>AE_UAE_001</x:v>
      </x:c>
      <x:c r="G129" s="38" t="n">
        <x:v>10</x:v>
      </x:c>
      <x:c r="H129" s="38" t="str">
        <x:v>en</x:v>
      </x:c>
      <x:c r="I129" s="38" t="str">
        <x:v>Central Bank of the United Arab Emirates (Digital Dirham)</x:v>
      </x:c>
      <x:c r="J129" s="38" t="str">
        <x:v>Various 
levels of holding limits (“tiers”) will be set for local residents, businesses, and tourists/visitors.</x:v>
      </x:c>
      <x:c r="K129" s="142" t="b">
        <x:v>0</x:v>
      </x:c>
      <x:c r="L129" s="146" t="str">
        <x:v>keep</x:v>
      </x:c>
      <x:c r="M129" s="146" t="str">
        <x:v>keep</x:v>
      </x:c>
      <x:c r="N129" s="147" t="b">
        <x:v>1</x:v>
      </x:c>
      <x:c r="O129" s="146" t="str">
        <x:v>AML.LIMIT</x:v>
      </x:c>
      <x:c r="P129" s="146" t="str">
        <x:v>AML.LIMIT</x:v>
      </x:c>
      <x:c r="Q129" s="146" t="str">
        <x:v>AML</x:v>
      </x:c>
      <x:c r="R129" s="146" t="str">
        <x:v>AML</x:v>
      </x:c>
      <x:c r="S129" s="146" t="str">
        <x:v>decision</x:v>
      </x:c>
      <x:c r="T129" s="146" t="str">
        <x:v>decision</x:v>
      </x:c>
      <x:c r="U129" s="146" t="str">
        <x:v>neutral</x:v>
      </x:c>
      <x:c r="V129" s="146" t="str">
        <x:v>neutral</x:v>
      </x:c>
      <x:c r="W129" s="146" t="str">
        <x:v>not_applicable</x:v>
      </x:c>
      <x:c r="X129" s="146" t="str">
        <x:v>not_applicable</x:v>
      </x:c>
      <x:c r="Y129" s="146" t="n">
        <x:v>3</x:v>
      </x:c>
      <x:c r="Z129" s="146" t="n">
        <x:v>3</x:v>
      </x:c>
      <x:c r="AA129" s="146" t="str">
        <x:v>high</x:v>
      </x:c>
      <x:c r="AB129" s="146" t="str">
        <x:v>high</x:v>
      </x:c>
      <x:c r="AC129" s="146"/>
      <x:c r="AD129" s="146" t="str">
        <x:v>x</x:v>
      </x:c>
      <x:c r="AE129" s="151" t="str">
        <x:v>AML.LIMIT</x:v>
      </x:c>
      <x:c r="AF129" s="151" t="str">
        <x:v>PROG.remuneration_no</x:v>
      </x:c>
      <x:c r="AG129" s="151" t="str">
        <x:v>decision</x:v>
      </x:c>
      <x:c r="AH129" s="151" t="str">
        <x:v>decision</x:v>
      </x:c>
      <x:c r="AI129" s="154" t="n">
        <x:f>IF(K129,0,1)</x:f>
        <x:v>1</x:v>
      </x:c>
      <x:c r="AJ129" s="154" t="n">
        <x:f>IF(L129="keep",1,0)</x:f>
        <x:v>1</x:v>
      </x:c>
      <x:c r="AK129" s="154" t="n">
        <x:f>IF(M129="keep",1,0)</x:f>
        <x:v>1</x:v>
      </x:c>
      <x:c r="AL129" s="154" t="n">
        <x:f>(AJ129+AK129)/2</x:f>
        <x:v>1</x:v>
      </x:c>
      <x:c r="AM129" s="154" t="n">
        <x:f>MIN(AJ129,AK129)</x:f>
        <x:v>1</x:v>
      </x:c>
      <x:c r="AN129" s="154" t="n">
        <x:f>MAX(AJ129,AK129)</x:f>
        <x:v>1</x:v>
      </x:c>
      <x:c r="AO129" s="154" t="n">
        <x:f>IF(L129=M129,1,0)</x:f>
        <x:v>1</x:v>
      </x:c>
    </x:row>
    <x:row r="130">
      <x:c r="A130" s="38" t="str">
        <x:v>SV-0129</x:v>
      </x:c>
      <x:c r="B130" s="38" t="str">
        <x:v>PC-01487</x:v>
      </x:c>
      <x:c r="C130" s="38" t="str">
        <x:v>en|both</x:v>
      </x:c>
      <x:c r="D130" s="87" t="n">
        <x:v>19.069444444444443</x:v>
      </x:c>
      <x:c r="E130" s="38" t="str">
        <x:v>both</x:v>
      </x:c>
      <x:c r="F130" s="38" t="str">
        <x:v>EU_ECB_ClosingReport_2025</x:v>
      </x:c>
      <x:c r="G130" s="38" t="n">
        <x:v>24</x:v>
      </x:c>
      <x:c r="H130" s="38" t="str">
        <x:v>en</x:v>
      </x:c>
      <x:c r="I130" s="38" t="str">
        <x:v>European Central Bank / Eurosystem (digital euro)</x:v>
      </x:c>
      <x:c r="J130" s="38" t="str">
        <x:v>Overall, the analysis confirmed that holding limits can effectively restrict deposit outflows from
the banking sector, safeguarding financial stability and supporting the effective formulation and
implementation of monetary policy.</x:v>
      </x:c>
      <x:c r="K130" s="142" t="b">
        <x:v>0</x:v>
      </x:c>
      <x:c r="L130" s="146" t="str">
        <x:v>keep</x:v>
      </x:c>
      <x:c r="M130" s="146" t="str">
        <x:v>keep</x:v>
      </x:c>
      <x:c r="N130" s="147" t="b">
        <x:v>1</x:v>
      </x:c>
      <x:c r="O130" s="146" t="str">
        <x:v>AML.LIMIT</x:v>
      </x:c>
      <x:c r="P130" s="146" t="str">
        <x:v>AML.LIMIT</x:v>
      </x:c>
      <x:c r="Q130" s="146" t="str">
        <x:v>AML</x:v>
      </x:c>
      <x:c r="R130" s="146" t="str">
        <x:v>AML</x:v>
      </x:c>
      <x:c r="S130" s="146" t="str">
        <x:v>finding</x:v>
      </x:c>
      <x:c r="T130" s="146" t="str">
        <x:v>finding</x:v>
      </x:c>
      <x:c r="U130" s="146" t="str">
        <x:v>neutral</x:v>
      </x:c>
      <x:c r="V130" s="146" t="str">
        <x:v>neutral</x:v>
      </x:c>
      <x:c r="W130" s="146" t="str">
        <x:v>not_applicable</x:v>
      </x:c>
      <x:c r="X130" s="146" t="str">
        <x:v>not_applicable</x:v>
      </x:c>
      <x:c r="Y130" s="146" t="n">
        <x:v>3</x:v>
      </x:c>
      <x:c r="Z130" s="146" t="n">
        <x:v>2</x:v>
      </x:c>
      <x:c r="AA130" s="146" t="str">
        <x:v>high</x:v>
      </x:c>
      <x:c r="AB130" s="146" t="str">
        <x:v>high</x:v>
      </x:c>
      <x:c r="AC130" s="146"/>
      <x:c r="AD130" s="146"/>
      <x:c r="AE130" s="151" t="str">
        <x:v>AML.LIMIT</x:v>
      </x:c>
      <x:c r="AF130" s="151" t="str">
        <x:v>AML.LIMIT</x:v>
      </x:c>
      <x:c r="AG130" s="151" t="str">
        <x:v>finding</x:v>
      </x:c>
      <x:c r="AH130" s="151" t="str">
        <x:v>finding</x:v>
      </x:c>
      <x:c r="AI130" s="154" t="n">
        <x:f>IF(K130,0,1)</x:f>
        <x:v>1</x:v>
      </x:c>
      <x:c r="AJ130" s="154" t="n">
        <x:f>IF(L130="keep",1,0)</x:f>
        <x:v>1</x:v>
      </x:c>
      <x:c r="AK130" s="154" t="n">
        <x:f>IF(M130="keep",1,0)</x:f>
        <x:v>1</x:v>
      </x:c>
      <x:c r="AL130" s="154" t="n">
        <x:f>(AJ130+AK130)/2</x:f>
        <x:v>1</x:v>
      </x:c>
      <x:c r="AM130" s="154" t="n">
        <x:f>MIN(AJ130,AK130)</x:f>
        <x:v>1</x:v>
      </x:c>
      <x:c r="AN130" s="154" t="n">
        <x:f>MAX(AJ130,AK130)</x:f>
        <x:v>1</x:v>
      </x:c>
      <x:c r="AO130" s="154" t="n">
        <x:f>IF(L130=M130,1,0)</x:f>
        <x:v>1</x:v>
      </x:c>
    </x:row>
    <x:row r="131">
      <x:c r="A131" s="38" t="str">
        <x:v>SV-0130</x:v>
      </x:c>
      <x:c r="B131" s="38" t="str">
        <x:v>PC-03635</x:v>
      </x:c>
      <x:c r="C131" s="38" t="str">
        <x:v>en|claude_only</x:v>
      </x:c>
      <x:c r="D131" s="87" t="n">
        <x:v>19.375</x:v>
      </x:c>
      <x:c r="E131" s="38" t="str">
        <x:v>claude_only</x:v>
      </x:c>
      <x:c r="F131" s="38" t="str">
        <x:v>IT_BdI_MISP_2021</x:v>
      </x:c>
      <x:c r="G131" s="38" t="n">
        <x:v>56</x:v>
      </x:c>
      <x:c r="H131" s="38" t="str">
        <x:v>en</x:v>
      </x:c>
      <x:c r="I131" s="38" t="str">
        <x:v>Banca d'Italia research context</x:v>
      </x:c>
      <x:c r="J131" s="38" t="str">
        <x:v>having a component that can be remunerated and whose 
individual holdings can be controlled, coupled with a more cash-like one and 
also offering innovative features, such as the programmability of the money.</x:v>
      </x:c>
      <x:c r="K131" s="142" t="b">
        <x:v>0</x:v>
      </x:c>
      <x:c r="L131" s="146" t="str">
        <x:v>exclude</x:v>
      </x:c>
      <x:c r="M131" s="146" t="str">
        <x:v>keep</x:v>
      </x:c>
      <x:c r="N131" s="147" t="b">
        <x:v>0</x:v>
      </x:c>
      <x:c r="O131" s="146"/>
      <x:c r="P131" s="146" t="str">
        <x:v>PROG.remuneration_considered</x:v>
      </x:c>
      <x:c r="Q131" s="146" t="str"/>
      <x:c r="R131" s="146" t="str">
        <x:v>PROG</x:v>
      </x:c>
      <x:c r="S131" s="146"/>
      <x:c r="T131" s="146" t="str">
        <x:v>proposal</x:v>
      </x:c>
      <x:c r="U131" s="146"/>
      <x:c r="V131" s="146" t="str">
        <x:v>neutral</x:v>
      </x:c>
      <x:c r="W131" s="146"/>
      <x:c r="X131" s="146" t="str">
        <x:v>not_applicable</x:v>
      </x:c>
      <x:c r="Y131" s="146"/>
      <x:c r="Z131" s="146" t="n">
        <x:v>2</x:v>
      </x:c>
      <x:c r="AA131" s="146" t="str">
        <x:v>high</x:v>
      </x:c>
      <x:c r="AB131" s="146" t="str">
        <x:v>high</x:v>
      </x:c>
      <x:c r="AC131" s="146"/>
      <x:c r="AD131" s="146"/>
      <x:c r="AE131" s="151"/>
      <x:c r="AF131" s="151" t="str">
        <x:v>PROG.remuneration_considered</x:v>
      </x:c>
      <x:c r="AG131" s="151"/>
      <x:c r="AH131" s="151" t="str">
        <x:v>proposal</x:v>
      </x:c>
      <x:c r="AI131" s="154" t="n">
        <x:f>IF(K131,0,1)</x:f>
        <x:v>1</x:v>
      </x:c>
      <x:c r="AJ131" s="154" t="n">
        <x:f>IF(L131="keep",1,0)</x:f>
        <x:v>0</x:v>
      </x:c>
      <x:c r="AK131" s="154" t="n">
        <x:f>IF(M131="keep",1,0)</x:f>
        <x:v>1</x:v>
      </x:c>
      <x:c r="AL131" s="154" t="n">
        <x:f>(AJ131+AK131)/2</x:f>
        <x:v>0.5</x:v>
      </x:c>
      <x:c r="AM131" s="154" t="n">
        <x:f>MIN(AJ131,AK131)</x:f>
        <x:v>0</x:v>
      </x:c>
      <x:c r="AN131" s="154" t="n">
        <x:f>MAX(AJ131,AK131)</x:f>
        <x:v>1</x:v>
      </x:c>
      <x:c r="AO131" s="154" t="n">
        <x:f>IF(L131=M131,1,0)</x:f>
        <x:v>0</x:v>
      </x:c>
    </x:row>
    <x:row r="132">
      <x:c r="A132" s="38" t="str">
        <x:v>SV-0131</x:v>
      </x:c>
      <x:c r="B132" s="38" t="str">
        <x:v>PC-06217</x:v>
      </x:c>
      <x:c r="C132" s="38" t="str">
        <x:v>en|both</x:v>
      </x:c>
      <x:c r="D132" s="87" t="n">
        <x:v>19.069444444444443</x:v>
      </x:c>
      <x:c r="E132" s="38" t="str">
        <x:v>both</x:v>
      </x:c>
      <x:c r="F132" s="38" t="str">
        <x:v>UK_BoE_2023_TechWP</x:v>
      </x:c>
      <x:c r="G132" s="38" t="n">
        <x:v>22</x:v>
      </x:c>
      <x:c r="H132" s="38" t="str">
        <x:v>en</x:v>
      </x:c>
      <x:c r="I132" s="38" t="str">
        <x:v>Bank of England and HM Treasury (digital pound)</x:v>
      </x:c>
      <x:c r="J132" s="38" t="str">
        <x:v>Personal data collected during user  
on-boarding and payment transactions 
should, by default, be limited to that required 
for those purposes.</x:v>
      </x:c>
      <x:c r="K132" s="142" t="b">
        <x:v>0</x:v>
      </x:c>
      <x:c r="L132" s="146" t="str">
        <x:v>keep</x:v>
      </x:c>
      <x:c r="M132" s="146" t="str">
        <x:v>keep</x:v>
      </x:c>
      <x:c r="N132" s="147" t="b">
        <x:v>1</x:v>
      </x:c>
      <x:c r="O132" s="146" t="str">
        <x:v>PRIV.MIN</x:v>
      </x:c>
      <x:c r="P132" s="146" t="str">
        <x:v>PRIV.MIN</x:v>
      </x:c>
      <x:c r="Q132" s="146" t="str">
        <x:v>PRIV</x:v>
      </x:c>
      <x:c r="R132" s="146" t="str">
        <x:v>PRIV</x:v>
      </x:c>
      <x:c r="S132" s="146" t="str">
        <x:v>proposal</x:v>
      </x:c>
      <x:c r="T132" s="146" t="str">
        <x:v>proposal</x:v>
      </x:c>
      <x:c r="U132" s="146" t="str">
        <x:v>increases</x:v>
      </x:c>
      <x:c r="V132" s="146" t="str">
        <x:v>increases</x:v>
      </x:c>
      <x:c r="W132" s="146" t="str">
        <x:v>from_intermediary</x:v>
      </x:c>
      <x:c r="X132" s="146" t="str">
        <x:v>from_intermediary</x:v>
      </x:c>
      <x:c r="Y132" s="146" t="n">
        <x:v>3</x:v>
      </x:c>
      <x:c r="Z132" s="146" t="n">
        <x:v>2</x:v>
      </x:c>
      <x:c r="AA132" s="146" t="str">
        <x:v>high</x:v>
      </x:c>
      <x:c r="AB132" s="146" t="str">
        <x:v>high</x:v>
      </x:c>
      <x:c r="AC132" s="146"/>
      <x:c r="AD132" s="146"/>
      <x:c r="AE132" s="151" t="str">
        <x:v>PRIV.MIN</x:v>
      </x:c>
      <x:c r="AF132" s="151" t="str">
        <x:v>PRIV.MIN</x:v>
      </x:c>
      <x:c r="AG132" s="151" t="str">
        <x:v>proposal</x:v>
      </x:c>
      <x:c r="AH132" s="151" t="str">
        <x:v>proposal</x:v>
      </x:c>
      <x:c r="AI132" s="154" t="n">
        <x:f>IF(K132,0,1)</x:f>
        <x:v>1</x:v>
      </x:c>
      <x:c r="AJ132" s="154" t="n">
        <x:f>IF(L132="keep",1,0)</x:f>
        <x:v>1</x:v>
      </x:c>
      <x:c r="AK132" s="154" t="n">
        <x:f>IF(M132="keep",1,0)</x:f>
        <x:v>1</x:v>
      </x:c>
      <x:c r="AL132" s="154" t="n">
        <x:f>(AJ132+AK132)/2</x:f>
        <x:v>1</x:v>
      </x:c>
      <x:c r="AM132" s="154" t="n">
        <x:f>MIN(AJ132,AK132)</x:f>
        <x:v>1</x:v>
      </x:c>
      <x:c r="AN132" s="154" t="n">
        <x:f>MAX(AJ132,AK132)</x:f>
        <x:v>1</x:v>
      </x:c>
      <x:c r="AO132" s="154" t="n">
        <x:f>IF(L132=M132,1,0)</x:f>
        <x:v>1</x:v>
      </x:c>
    </x:row>
    <x:row r="133">
      <x:c r="A133" s="38" t="str">
        <x:v>SV-0132</x:v>
      </x:c>
      <x:c r="B133" s="38" t="str">
        <x:v>PC-06567</x:v>
      </x:c>
      <x:c r="C133" s="38" t="str">
        <x:v>en|both</x:v>
      </x:c>
      <x:c r="D133" s="87" t="n">
        <x:v>19.069444444444443</x:v>
      </x:c>
      <x:c r="E133" s="38" t="str">
        <x:v>both</x:v>
      </x:c>
      <x:c r="F133" s="38" t="str">
        <x:v>US_WhiteHouse_EO14178_2025</x:v>
      </x:c>
      <x:c r="G133" s="38" t="n">
        <x:v>1</x:v>
      </x:c>
      <x:c r="H133" s="38" t="str">
        <x:v>en</x:v>
      </x:c>
      <x:c r="I133" s="38" t="str">
        <x:v>United States federal executive policy on CBDC</x:v>
      </x:c>
      <x:c r="J133" s="38" t="str">
        <x:v>(v) taking measures to protect Americans from the risks of Central Bank 
Digital Currencies (CBDCs), which threaten the stability of the financial 
system, individual privacy, and the sovereignty of the United States, in-
cluding by prohibiting the establishment, issuance, circulation, and use 
of a CBDC within the jurisdiction of the United States.</x:v>
      </x:c>
      <x:c r="K133" s="142" t="b">
        <x:v>0</x:v>
      </x:c>
      <x:c r="L133" s="146" t="str">
        <x:v>keep</x:v>
      </x:c>
      <x:c r="M133" s="146" t="str">
        <x:v>keep</x:v>
      </x:c>
      <x:c r="N133" s="147" t="b">
        <x:v>1</x:v>
      </x:c>
      <x:c r="O133" s="146" t="str">
        <x:v>OTHER.keep</x:v>
      </x:c>
      <x:c r="P133" s="146" t="str">
        <x:v>LEGAL.basis</x:v>
      </x:c>
      <x:c r="Q133" s="146" t="str">
        <x:v>OTHER</x:v>
      </x:c>
      <x:c r="R133" s="146" t="str">
        <x:v>LEGAL</x:v>
      </x:c>
      <x:c r="S133" s="146" t="str">
        <x:v>decision</x:v>
      </x:c>
      <x:c r="T133" s="146" t="str">
        <x:v>decision</x:v>
      </x:c>
      <x:c r="U133" s="146" t="str">
        <x:v>neutral</x:v>
      </x:c>
      <x:c r="V133" s="146" t="str">
        <x:v>neutral</x:v>
      </x:c>
      <x:c r="W133" s="146" t="str">
        <x:v>not_applicable</x:v>
      </x:c>
      <x:c r="X133" s="146" t="str">
        <x:v>not_applicable</x:v>
      </x:c>
      <x:c r="Y133" s="146" t="n">
        <x:v>3</x:v>
      </x:c>
      <x:c r="Z133" s="146" t="n">
        <x:v>3</x:v>
      </x:c>
      <x:c r="AA133" s="146" t="str">
        <x:v>high</x:v>
      </x:c>
      <x:c r="AB133" s="146" t="str">
        <x:v>high</x:v>
      </x:c>
      <x:c r="AC133" s="146"/>
      <x:c r="AD133" s="146"/>
      <x:c r="AE133" s="151" t="str">
        <x:v>OTHER.keep</x:v>
      </x:c>
      <x:c r="AF133" s="151" t="str">
        <x:v>LEGAL.basis</x:v>
      </x:c>
      <x:c r="AG133" s="151" t="str">
        <x:v>decision</x:v>
      </x:c>
      <x:c r="AH133" s="151" t="str">
        <x:v>decision</x:v>
      </x:c>
      <x:c r="AI133" s="154" t="n">
        <x:f>IF(K133,0,1)</x:f>
        <x:v>1</x:v>
      </x:c>
      <x:c r="AJ133" s="154" t="n">
        <x:f>IF(L133="keep",1,0)</x:f>
        <x:v>1</x:v>
      </x:c>
      <x:c r="AK133" s="154" t="n">
        <x:f>IF(M133="keep",1,0)</x:f>
        <x:v>1</x:v>
      </x:c>
      <x:c r="AL133" s="154" t="n">
        <x:f>(AJ133+AK133)/2</x:f>
        <x:v>1</x:v>
      </x:c>
      <x:c r="AM133" s="154" t="n">
        <x:f>MIN(AJ133,AK133)</x:f>
        <x:v>1</x:v>
      </x:c>
      <x:c r="AN133" s="154" t="n">
        <x:f>MAX(AJ133,AK133)</x:f>
        <x:v>1</x:v>
      </x:c>
      <x:c r="AO133" s="154" t="n">
        <x:f>IF(L133=M133,1,0)</x:f>
        <x:v>1</x:v>
      </x:c>
    </x:row>
    <x:row r="134">
      <x:c r="A134" s="38" t="str">
        <x:v>SV-0133</x:v>
      </x:c>
      <x:c r="B134" s="38" t="str">
        <x:v>PC-01001</x:v>
      </x:c>
      <x:c r="C134" s="38" t="str">
        <x:v>en|openai_only</x:v>
      </x:c>
      <x:c r="D134" s="87" t="n">
        <x:v>19.21875</x:v>
      </x:c>
      <x:c r="E134" s="38" t="str">
        <x:v>openai_only</x:v>
      </x:c>
      <x:c r="F134" s="38" t="str">
        <x:v>CA_Jasper_Phase12_2017</x:v>
      </x:c>
      <x:c r="G134" s="38" t="n">
        <x:v>27</x:v>
      </x:c>
      <x:c r="H134" s="38" t="str">
        <x:v>en</x:v>
      </x:c>
      <x:c r="I134" s="38" t="str">
        <x:v>Bank of Canada and Payments Canada (Project Jasper)</x:v>
      </x:c>
      <x:c r="J134" s="38" t="str">
        <x:v>The Bank will perform the  
review of the DDR LSM Object, add its signature and 
return the DDR LSM Object back to the sending  
participant.</x:v>
      </x:c>
      <x:c r="K134" s="142" t="b">
        <x:v>0</x:v>
      </x:c>
      <x:c r="L134" s="146" t="str">
        <x:v>keep</x:v>
      </x:c>
      <x:c r="M134" s="146" t="str">
        <x:v>exclude</x:v>
      </x:c>
      <x:c r="N134" s="147" t="b">
        <x:v>0</x:v>
      </x:c>
      <x:c r="O134" s="146" t="str">
        <x:v>INST.mandate</x:v>
      </x:c>
      <x:c r="P134" s="146"/>
      <x:c r="Q134" s="146" t="str">
        <x:v>INST</x:v>
      </x:c>
      <x:c r="R134" s="146" t="str"/>
      <x:c r="S134" s="146" t="str">
        <x:v>decision</x:v>
      </x:c>
      <x:c r="T134" s="146"/>
      <x:c r="U134" s="146" t="str">
        <x:v>neutral</x:v>
      </x:c>
      <x:c r="V134" s="146"/>
      <x:c r="W134" s="146" t="str">
        <x:v>not_applicable</x:v>
      </x:c>
      <x:c r="X134" s="146"/>
      <x:c r="Y134" s="146" t="n">
        <x:v>2</x:v>
      </x:c>
      <x:c r="Z134" s="146"/>
      <x:c r="AA134" s="146" t="str">
        <x:v>high</x:v>
      </x:c>
      <x:c r="AB134" s="146" t="str">
        <x:v>high</x:v>
      </x:c>
      <x:c r="AC134" s="146"/>
      <x:c r="AD134" s="146"/>
      <x:c r="AE134" s="151" t="str">
        <x:v>INST.mandate</x:v>
      </x:c>
      <x:c r="AF134" s="151"/>
      <x:c r="AG134" s="151" t="str">
        <x:v>decision</x:v>
      </x:c>
      <x:c r="AH134" s="151"/>
      <x:c r="AI134" s="154" t="n">
        <x:f>IF(K134,0,1)</x:f>
        <x:v>1</x:v>
      </x:c>
      <x:c r="AJ134" s="154" t="n">
        <x:f>IF(L134="keep",1,0)</x:f>
        <x:v>1</x:v>
      </x:c>
      <x:c r="AK134" s="154" t="n">
        <x:f>IF(M134="keep",1,0)</x:f>
        <x:v>0</x:v>
      </x:c>
      <x:c r="AL134" s="154" t="n">
        <x:f>(AJ134+AK134)/2</x:f>
        <x:v>0.5</x:v>
      </x:c>
      <x:c r="AM134" s="154" t="n">
        <x:f>MIN(AJ134,AK134)</x:f>
        <x:v>0</x:v>
      </x:c>
      <x:c r="AN134" s="154" t="n">
        <x:f>MAX(AJ134,AK134)</x:f>
        <x:v>1</x:v>
      </x:c>
      <x:c r="AO134" s="154" t="n">
        <x:f>IF(L134=M134,1,0)</x:f>
        <x:v>0</x:v>
      </x:c>
    </x:row>
    <x:row r="135">
      <x:c r="A135" s="38" t="str">
        <x:v>SV-0134</x:v>
      </x:c>
      <x:c r="B135" s="38" t="str">
        <x:v>PC-03750</x:v>
      </x:c>
      <x:c r="C135" s="38" t="str">
        <x:v>ja|claude_only</x:v>
      </x:c>
      <x:c r="D135" s="87" t="n">
        <x:v>4</x:v>
      </x:c>
      <x:c r="E135" s="38" t="str">
        <x:v>claude_only</x:v>
      </x:c>
      <x:c r="F135" s="38" t="str">
        <x:v>JP_BoJ_Pilot_JP</x:v>
      </x:c>
      <x:c r="G135" s="38" t="n">
        <x:v>5</x:v>
      </x:c>
      <x:c r="H135" s="38" t="str">
        <x:v>ja</x:v>
      </x:c>
      <x:c r="I135" s="38" t="str">
        <x:v>Bank of Japan (CBDC pilot)</x:v>
      </x:c>
      <x:c r="J135" s="38" t="str">
        <x:v>性能・事務量については、概念実証より高負荷に対応可能なシステム 5の構
築を目指し、仮に将来、社会実装することとなった場合の性能要件実現に向けた技術
的な留意点や解決策の洗い出し・評価を行う予定である。</x:v>
      </x:c>
      <x:c r="K135" s="142" t="b">
        <x:v>0</x:v>
      </x:c>
      <x:c r="L135" s="146" t="str">
        <x:v>exclude</x:v>
      </x:c>
      <x:c r="M135" s="146" t="str">
        <x:v>keep</x:v>
      </x:c>
      <x:c r="N135" s="147" t="b">
        <x:v>0</x:v>
      </x:c>
      <x:c r="O135" s="146"/>
      <x:c r="P135" s="146" t="str">
        <x:v>SYS.design</x:v>
      </x:c>
      <x:c r="Q135" s="146" t="str"/>
      <x:c r="R135" s="146" t="str">
        <x:v>SYS</x:v>
      </x:c>
      <x:c r="S135" s="146"/>
      <x:c r="T135" s="146" t="str">
        <x:v>proposal</x:v>
      </x:c>
      <x:c r="U135" s="146"/>
      <x:c r="V135" s="146" t="str">
        <x:v>neutral</x:v>
      </x:c>
      <x:c r="W135" s="146"/>
      <x:c r="X135" s="146" t="str">
        <x:v>not_applicable</x:v>
      </x:c>
      <x:c r="Y135" s="146"/>
      <x:c r="Z135" s="146" t="n">
        <x:v>2</x:v>
      </x:c>
      <x:c r="AA135" s="146" t="str">
        <x:v>high</x:v>
      </x:c>
      <x:c r="AB135" s="146" t="str">
        <x:v>high</x:v>
      </x:c>
      <x:c r="AC135" s="146"/>
      <x:c r="AD135" s="146"/>
      <x:c r="AE135" s="151"/>
      <x:c r="AF135" s="151" t="str">
        <x:v>SYS.design</x:v>
      </x:c>
      <x:c r="AG135" s="151"/>
      <x:c r="AH135" s="151" t="str">
        <x:v>proposal</x:v>
      </x:c>
      <x:c r="AI135" s="154" t="n">
        <x:f>IF(K135,0,1)</x:f>
        <x:v>1</x:v>
      </x:c>
      <x:c r="AJ135" s="154" t="n">
        <x:f>IF(L135="keep",1,0)</x:f>
        <x:v>0</x:v>
      </x:c>
      <x:c r="AK135" s="154" t="n">
        <x:f>IF(M135="keep",1,0)</x:f>
        <x:v>1</x:v>
      </x:c>
      <x:c r="AL135" s="154" t="n">
        <x:f>(AJ135+AK135)/2</x:f>
        <x:v>0.5</x:v>
      </x:c>
      <x:c r="AM135" s="154" t="n">
        <x:f>MIN(AJ135,AK135)</x:f>
        <x:v>0</x:v>
      </x:c>
      <x:c r="AN135" s="154" t="n">
        <x:f>MAX(AJ135,AK135)</x:f>
        <x:v>1</x:v>
      </x:c>
      <x:c r="AO135" s="154" t="n">
        <x:f>IF(L135=M135,1,0)</x:f>
        <x:v>0</x:v>
      </x:c>
    </x:row>
    <x:row r="136">
      <x:c r="A136" s="38" t="str">
        <x:v>SV-0135</x:v>
      </x:c>
      <x:c r="B136" s="38" t="str">
        <x:v>PC-04480</x:v>
      </x:c>
      <x:c r="C136" s="38" t="str">
        <x:v>en|claude_only</x:v>
      </x:c>
      <x:c r="D136" s="87" t="n">
        <x:v>19.375</x:v>
      </x:c>
      <x:c r="E136" s="38" t="str">
        <x:v>claude_only</x:v>
      </x:c>
      <x:c r="F136" s="38" t="str">
        <x:v>NO_Norway_norges-bank-memo-2_2020-eng</x:v>
      </x:c>
      <x:c r="G136" s="38" t="n">
        <x:v>7</x:v>
      </x:c>
      <x:c r="H136" s="38" t="str">
        <x:v>en</x:v>
      </x:c>
      <x:c r="I136" s="38" t="str">
        <x:v>Norges Bank</x:v>
      </x:c>
      <x:c r="J136" s="38" t="str">
        <x:v>The impression is that DLT requires more detailed specification of 
characteristics than account-based solutions, in part because there may be 
cases of doubt as to whether the characteristics have been fulfilled.</x:v>
      </x:c>
      <x:c r="K136" s="142" t="b">
        <x:v>0</x:v>
      </x:c>
      <x:c r="L136" s="146" t="str">
        <x:v>exclude</x:v>
      </x:c>
      <x:c r="M136" s="146" t="str">
        <x:v>keep</x:v>
      </x:c>
      <x:c r="N136" s="147" t="b">
        <x:v>0</x:v>
      </x:c>
      <x:c r="O136" s="146"/>
      <x:c r="P136" s="146" t="str">
        <x:v>TECH.DLT</x:v>
      </x:c>
      <x:c r="Q136" s="146" t="str"/>
      <x:c r="R136" s="146" t="str">
        <x:v>TECH</x:v>
      </x:c>
      <x:c r="S136" s="146"/>
      <x:c r="T136" s="146" t="str">
        <x:v>finding</x:v>
      </x:c>
      <x:c r="U136" s="146"/>
      <x:c r="V136" s="146" t="str">
        <x:v>neutral</x:v>
      </x:c>
      <x:c r="W136" s="146"/>
      <x:c r="X136" s="146" t="str">
        <x:v>not_applicable</x:v>
      </x:c>
      <x:c r="Y136" s="146"/>
      <x:c r="Z136" s="146" t="n">
        <x:v>2</x:v>
      </x:c>
      <x:c r="AA136" s="146" t="str">
        <x:v>high</x:v>
      </x:c>
      <x:c r="AB136" s="146" t="str">
        <x:v>high</x:v>
      </x:c>
      <x:c r="AC136" s="146"/>
      <x:c r="AD136" s="146"/>
      <x:c r="AE136" s="151"/>
      <x:c r="AF136" s="151" t="str">
        <x:v>TECH.DLT</x:v>
      </x:c>
      <x:c r="AG136" s="151"/>
      <x:c r="AH136" s="151" t="str">
        <x:v>finding</x:v>
      </x:c>
      <x:c r="AI136" s="154" t="n">
        <x:f>IF(K136,0,1)</x:f>
        <x:v>1</x:v>
      </x:c>
      <x:c r="AJ136" s="154" t="n">
        <x:f>IF(L136="keep",1,0)</x:f>
        <x:v>0</x:v>
      </x:c>
      <x:c r="AK136" s="154" t="n">
        <x:f>IF(M136="keep",1,0)</x:f>
        <x:v>1</x:v>
      </x:c>
      <x:c r="AL136" s="154" t="n">
        <x:f>(AJ136+AK136)/2</x:f>
        <x:v>0.5</x:v>
      </x:c>
      <x:c r="AM136" s="154" t="n">
        <x:f>MIN(AJ136,AK136)</x:f>
        <x:v>0</x:v>
      </x:c>
      <x:c r="AN136" s="154" t="n">
        <x:f>MAX(AJ136,AK136)</x:f>
        <x:v>1</x:v>
      </x:c>
      <x:c r="AO136" s="154" t="n">
        <x:f>IF(L136=M136,1,0)</x:f>
        <x:v>0</x:v>
      </x:c>
    </x:row>
    <x:row r="137">
      <x:c r="A137" s="38" t="str">
        <x:v>SV-0136</x:v>
      </x:c>
      <x:c r="B137" s="38" t="str">
        <x:v>PC-00621</x:v>
      </x:c>
      <x:c r="C137" s="38" t="str">
        <x:v>en|openai_only</x:v>
      </x:c>
      <x:c r="D137" s="87" t="n">
        <x:v>19.21875</x:v>
      </x:c>
      <x:c r="E137" s="38" t="str">
        <x:v>openai_only</x:v>
      </x:c>
      <x:c r="F137" s="38" t="str">
        <x:v>CA_BoC_2017</x:v>
      </x:c>
      <x:c r="G137" s="38" t="n">
        <x:v>13</x:v>
      </x:c>
      <x:c r="H137" s="38" t="str">
        <x:v>en</x:v>
      </x:c>
      <x:c r="I137" s="38" t="str">
        <x:v>Bank of Canada</x:v>
      </x:c>
      <x:c r="J137" s="38" t="str">
        <x:v>The central bank would exchange reserves, bank notes and CBDC at par with financial 
institutions that have an account at the central bank, just as reserves and bank notes are 
exchanged at par today. This would lead to par exchange of bank notes and CBDC 
among the general public.</x:v>
      </x:c>
      <x:c r="K137" s="142" t="b">
        <x:v>0</x:v>
      </x:c>
      <x:c r="L137" s="146" t="str">
        <x:v>keep</x:v>
      </x:c>
      <x:c r="M137" s="146" t="str">
        <x:v>exclude</x:v>
      </x:c>
      <x:c r="N137" s="147" t="b">
        <x:v>0</x:v>
      </x:c>
      <x:c r="O137" s="146" t="str">
        <x:v>INTEROP.domestic</x:v>
      </x:c>
      <x:c r="P137" s="146"/>
      <x:c r="Q137" s="146" t="str">
        <x:v>INTEROP</x:v>
      </x:c>
      <x:c r="R137" s="146" t="str"/>
      <x:c r="S137" s="146" t="str">
        <x:v>proposal</x:v>
      </x:c>
      <x:c r="T137" s="146"/>
      <x:c r="U137" s="146" t="str">
        <x:v>neutral</x:v>
      </x:c>
      <x:c r="V137" s="146"/>
      <x:c r="W137" s="146" t="str">
        <x:v>not_applicable</x:v>
      </x:c>
      <x:c r="X137" s="146"/>
      <x:c r="Y137" s="146" t="n">
        <x:v>2</x:v>
      </x:c>
      <x:c r="Z137" s="146"/>
      <x:c r="AA137" s="146" t="str">
        <x:v>high</x:v>
      </x:c>
      <x:c r="AB137" s="146" t="str">
        <x:v>high</x:v>
      </x:c>
      <x:c r="AC137" s="146"/>
      <x:c r="AD137" s="146"/>
      <x:c r="AE137" s="151" t="str">
        <x:v>INTEROP.domestic</x:v>
      </x:c>
      <x:c r="AF137" s="151"/>
      <x:c r="AG137" s="151" t="str">
        <x:v>proposal</x:v>
      </x:c>
      <x:c r="AH137" s="151"/>
      <x:c r="AI137" s="154" t="n">
        <x:f>IF(K137,0,1)</x:f>
        <x:v>1</x:v>
      </x:c>
      <x:c r="AJ137" s="154" t="n">
        <x:f>IF(L137="keep",1,0)</x:f>
        <x:v>1</x:v>
      </x:c>
      <x:c r="AK137" s="154" t="n">
        <x:f>IF(M137="keep",1,0)</x:f>
        <x:v>0</x:v>
      </x:c>
      <x:c r="AL137" s="154" t="n">
        <x:f>(AJ137+AK137)/2</x:f>
        <x:v>0.5</x:v>
      </x:c>
      <x:c r="AM137" s="154" t="n">
        <x:f>MIN(AJ137,AK137)</x:f>
        <x:v>0</x:v>
      </x:c>
      <x:c r="AN137" s="154" t="n">
        <x:f>MAX(AJ137,AK137)</x:f>
        <x:v>1</x:v>
      </x:c>
      <x:c r="AO137" s="154" t="n">
        <x:f>IF(L137=M137,1,0)</x:f>
        <x:v>0</x:v>
      </x:c>
    </x:row>
    <x:row r="138">
      <x:c r="A138" s="38" t="str">
        <x:v>SV-0137</x:v>
      </x:c>
      <x:c r="B138" s="38" t="str">
        <x:v>PC-04959</x:v>
      </x:c>
      <x:c r="C138" s="38" t="str">
        <x:v>en|both</x:v>
      </x:c>
      <x:c r="D138" s="87" t="n">
        <x:v>19.069444444444443</x:v>
      </x:c>
      <x:c r="E138" s="38" t="str">
        <x:v>both</x:v>
      </x:c>
      <x:c r="F138" s="38" t="str">
        <x:v>RU_Russia_consultation_paper_201013</x:v>
      </x:c>
      <x:c r="G138" s="38" t="n">
        <x:v>16</x:v>
      </x:c>
      <x:c r="H138" s="38" t="str">
        <x:v>en</x:v>
      </x:c>
      <x:c r="I138" s="38" t="str">
        <x:v>Bank of Russia (digital ruble)</x:v>
      </x:c>
      <x:c r="J138" s="38" t="str">
        <x:v>The interfaces for digital ruble devices and apps must support simple and user-friendly complaint 
procedures.</x:v>
      </x:c>
      <x:c r="K138" s="142" t="b">
        <x:v>0</x:v>
      </x:c>
      <x:c r="L138" s="146" t="str">
        <x:v>keep</x:v>
      </x:c>
      <x:c r="M138" s="146" t="str">
        <x:v>keep</x:v>
      </x:c>
      <x:c r="N138" s="147" t="b">
        <x:v>1</x:v>
      </x:c>
      <x:c r="O138" s="146" t="str">
        <x:v>ADOPT.experience</x:v>
      </x:c>
      <x:c r="P138" s="146" t="str">
        <x:v>INTEROP.domestic</x:v>
      </x:c>
      <x:c r="Q138" s="146" t="str">
        <x:v>ADOPT</x:v>
      </x:c>
      <x:c r="R138" s="146" t="str">
        <x:v>INTEROP</x:v>
      </x:c>
      <x:c r="S138" s="146" t="str">
        <x:v>proposal</x:v>
      </x:c>
      <x:c r="T138" s="146" t="str">
        <x:v>proposal</x:v>
      </x:c>
      <x:c r="U138" s="146" t="str">
        <x:v>neutral</x:v>
      </x:c>
      <x:c r="V138" s="146" t="str">
        <x:v>neutral</x:v>
      </x:c>
      <x:c r="W138" s="146" t="str">
        <x:v>not_applicable</x:v>
      </x:c>
      <x:c r="X138" s="146" t="str">
        <x:v>not_applicable</x:v>
      </x:c>
      <x:c r="Y138" s="146" t="n">
        <x:v>2</x:v>
      </x:c>
      <x:c r="Z138" s="146" t="n">
        <x:v>2</x:v>
      </x:c>
      <x:c r="AA138" s="146" t="str">
        <x:v>high</x:v>
      </x:c>
      <x:c r="AB138" s="146" t="str">
        <x:v>high</x:v>
      </x:c>
      <x:c r="AC138" s="146"/>
      <x:c r="AD138" s="146"/>
      <x:c r="AE138" s="151" t="str">
        <x:v>ADOPT.experience</x:v>
      </x:c>
      <x:c r="AF138" s="151" t="str">
        <x:v>INTEROP.domestic</x:v>
      </x:c>
      <x:c r="AG138" s="151" t="str">
        <x:v>proposal</x:v>
      </x:c>
      <x:c r="AH138" s="151" t="str">
        <x:v>proposal</x:v>
      </x:c>
      <x:c r="AI138" s="154" t="n">
        <x:f>IF(K138,0,1)</x:f>
        <x:v>1</x:v>
      </x:c>
      <x:c r="AJ138" s="154" t="n">
        <x:f>IF(L138="keep",1,0)</x:f>
        <x:v>1</x:v>
      </x:c>
      <x:c r="AK138" s="154" t="n">
        <x:f>IF(M138="keep",1,0)</x:f>
        <x:v>1</x:v>
      </x:c>
      <x:c r="AL138" s="154" t="n">
        <x:f>(AJ138+AK138)/2</x:f>
        <x:v>1</x:v>
      </x:c>
      <x:c r="AM138" s="154" t="n">
        <x:f>MIN(AJ138,AK138)</x:f>
        <x:v>1</x:v>
      </x:c>
      <x:c r="AN138" s="154" t="n">
        <x:f>MAX(AJ138,AK138)</x:f>
        <x:v>1</x:v>
      </x:c>
      <x:c r="AO138" s="154" t="n">
        <x:f>IF(L138=M138,1,0)</x:f>
        <x:v>1</x:v>
      </x:c>
    </x:row>
    <x:row r="139">
      <x:c r="A139" s="38" t="str">
        <x:v>SV-0138</x:v>
      </x:c>
      <x:c r="B139" s="38" t="str">
        <x:v>PC-04701</x:v>
      </x:c>
      <x:c r="C139" s="38" t="str">
        <x:v>en|both</x:v>
      </x:c>
      <x:c r="D139" s="87" t="n">
        <x:v>19.069444444444443</x:v>
      </x:c>
      <x:c r="E139" s="38" t="str">
        <x:v>both</x:v>
      </x:c>
      <x:c r="F139" s="38" t="str">
        <x:v>PH_Philippines_EFLP2024_1_2c</x:v>
      </x:c>
      <x:c r="G139" s="38" t="n">
        <x:v>9</x:v>
      </x:c>
      <x:c r="H139" s="38" t="str">
        <x:v>en</x:v>
      </x:c>
      <x:c r="I139" s="38" t="str">
        <x:v>Bangko Sentral ng Pilipinas</x:v>
      </x:c>
      <x:c r="J139" s="38" t="str">
        <x:v>CBDC shall be designed taking into account 
the risks, challenges and opportunities for 
payments innovation in a manner that 
serves the evolving needs of the national 
payment system</x:v>
      </x:c>
      <x:c r="K139" s="142" t="b">
        <x:v>0</x:v>
      </x:c>
      <x:c r="L139" s="146" t="str">
        <x:v>keep</x:v>
      </x:c>
      <x:c r="M139" s="146" t="str">
        <x:v>keep</x:v>
      </x:c>
      <x:c r="N139" s="147" t="b">
        <x:v>1</x:v>
      </x:c>
      <x:c r="O139" s="146" t="str">
        <x:v>SYS.design</x:v>
      </x:c>
      <x:c r="P139" s="146" t="str">
        <x:v>INST.mandate</x:v>
      </x:c>
      <x:c r="Q139" s="146" t="str">
        <x:v>SYS</x:v>
      </x:c>
      <x:c r="R139" s="146" t="str">
        <x:v>INST</x:v>
      </x:c>
      <x:c r="S139" s="146" t="str">
        <x:v>proposal</x:v>
      </x:c>
      <x:c r="T139" s="146" t="str">
        <x:v>proposal</x:v>
      </x:c>
      <x:c r="U139" s="146" t="str">
        <x:v>neutral</x:v>
      </x:c>
      <x:c r="V139" s="146" t="str">
        <x:v>neutral</x:v>
      </x:c>
      <x:c r="W139" s="146" t="str">
        <x:v>not_applicable</x:v>
      </x:c>
      <x:c r="X139" s="146" t="str">
        <x:v>not_applicable</x:v>
      </x:c>
      <x:c r="Y139" s="146" t="n">
        <x:v>2</x:v>
      </x:c>
      <x:c r="Z139" s="146" t="n">
        <x:v>2</x:v>
      </x:c>
      <x:c r="AA139" s="146" t="str">
        <x:v>high</x:v>
      </x:c>
      <x:c r="AB139" s="146" t="str">
        <x:v>high</x:v>
      </x:c>
      <x:c r="AC139" s="146"/>
      <x:c r="AD139" s="146"/>
      <x:c r="AE139" s="151" t="str">
        <x:v>SYS.design</x:v>
      </x:c>
      <x:c r="AF139" s="151" t="str">
        <x:v>INST.mandate</x:v>
      </x:c>
      <x:c r="AG139" s="151" t="str">
        <x:v>proposal</x:v>
      </x:c>
      <x:c r="AH139" s="151" t="str">
        <x:v>proposal</x:v>
      </x:c>
      <x:c r="AI139" s="154" t="n">
        <x:f>IF(K139,0,1)</x:f>
        <x:v>1</x:v>
      </x:c>
      <x:c r="AJ139" s="154" t="n">
        <x:f>IF(L139="keep",1,0)</x:f>
        <x:v>1</x:v>
      </x:c>
      <x:c r="AK139" s="154" t="n">
        <x:f>IF(M139="keep",1,0)</x:f>
        <x:v>1</x:v>
      </x:c>
      <x:c r="AL139" s="154" t="n">
        <x:f>(AJ139+AK139)/2</x:f>
        <x:v>1</x:v>
      </x:c>
      <x:c r="AM139" s="154" t="n">
        <x:f>MIN(AJ139,AK139)</x:f>
        <x:v>1</x:v>
      </x:c>
      <x:c r="AN139" s="154" t="n">
        <x:f>MAX(AJ139,AK139)</x:f>
        <x:v>1</x:v>
      </x:c>
      <x:c r="AO139" s="154" t="n">
        <x:f>IF(L139=M139,1,0)</x:f>
        <x:v>1</x:v>
      </x:c>
    </x:row>
    <x:row r="140">
      <x:c r="A140" s="38" t="str">
        <x:v>SV-0139</x:v>
      </x:c>
      <x:c r="B140" s="38" t="str">
        <x:v>PC-01656</x:v>
      </x:c>
      <x:c r="C140" s="38" t="str">
        <x:v>en|openai_only</x:v>
      </x:c>
      <x:c r="D140" s="87" t="n">
        <x:v>19.21875</x:v>
      </x:c>
      <x:c r="E140" s="38" t="str">
        <x:v>openai_only</x:v>
      </x:c>
      <x:c r="F140" s="38" t="str">
        <x:v>GH_Ghana_2021</x:v>
      </x:c>
      <x:c r="G140" s="38" t="n">
        <x:v>27</x:v>
      </x:c>
      <x:c r="H140" s="38" t="str">
        <x:v>en</x:v>
      </x:c>
      <x:c r="I140" s="38" t="str">
        <x:v>Bank of Ghana (eCedi)</x:v>
      </x:c>
      <x:c r="J140" s="38" t="str">
        <x:v>Transactions for offline payments 
are therefore instantly settled without accessing a 
backend system3.</x:v>
      </x:c>
      <x:c r="K140" s="142" t="b">
        <x:v>0</x:v>
      </x:c>
      <x:c r="L140" s="146" t="str">
        <x:v>keep</x:v>
      </x:c>
      <x:c r="M140" s="146" t="str">
        <x:v>exclude</x:v>
      </x:c>
      <x:c r="N140" s="147" t="b">
        <x:v>0</x:v>
      </x:c>
      <x:c r="O140" s="146" t="str">
        <x:v>SYS.design</x:v>
      </x:c>
      <x:c r="P140" s="146"/>
      <x:c r="Q140" s="146" t="str">
        <x:v>SYS</x:v>
      </x:c>
      <x:c r="R140" s="146" t="str"/>
      <x:c r="S140" s="146" t="str">
        <x:v>proposal</x:v>
      </x:c>
      <x:c r="T140" s="146"/>
      <x:c r="U140" s="146" t="str">
        <x:v>neutral</x:v>
      </x:c>
      <x:c r="V140" s="146"/>
      <x:c r="W140" s="146" t="str">
        <x:v>not_applicable</x:v>
      </x:c>
      <x:c r="X140" s="146"/>
      <x:c r="Y140" s="146" t="n">
        <x:v>2</x:v>
      </x:c>
      <x:c r="Z140" s="146"/>
      <x:c r="AA140" s="146" t="str">
        <x:v>high</x:v>
      </x:c>
      <x:c r="AB140" s="146" t="str">
        <x:v>high</x:v>
      </x:c>
      <x:c r="AC140" s="146"/>
      <x:c r="AD140" s="146"/>
      <x:c r="AE140" s="151" t="str">
        <x:v>SYS.design</x:v>
      </x:c>
      <x:c r="AF140" s="151"/>
      <x:c r="AG140" s="151" t="str">
        <x:v>proposal</x:v>
      </x:c>
      <x:c r="AH140" s="151"/>
      <x:c r="AI140" s="154" t="n">
        <x:f>IF(K140,0,1)</x:f>
        <x:v>1</x:v>
      </x:c>
      <x:c r="AJ140" s="154" t="n">
        <x:f>IF(L140="keep",1,0)</x:f>
        <x:v>1</x:v>
      </x:c>
      <x:c r="AK140" s="154" t="n">
        <x:f>IF(M140="keep",1,0)</x:f>
        <x:v>0</x:v>
      </x:c>
      <x:c r="AL140" s="154" t="n">
        <x:f>(AJ140+AK140)/2</x:f>
        <x:v>0.5</x:v>
      </x:c>
      <x:c r="AM140" s="154" t="n">
        <x:f>MIN(AJ140,AK140)</x:f>
        <x:v>0</x:v>
      </x:c>
      <x:c r="AN140" s="154" t="n">
        <x:f>MAX(AJ140,AK140)</x:f>
        <x:v>1</x:v>
      </x:c>
      <x:c r="AO140" s="154" t="n">
        <x:f>IF(L140=M140,1,0)</x:f>
        <x:v>0</x:v>
      </x:c>
    </x:row>
    <x:row r="141">
      <x:c r="A141" s="38" t="str">
        <x:v>SV-0140</x:v>
      </x:c>
      <x:c r="B141" s="38" t="str">
        <x:v>PC-03400</x:v>
      </x:c>
      <x:c r="C141" s="38" t="str">
        <x:v>en|both</x:v>
      </x:c>
      <x:c r="D141" s="87" t="n">
        <x:v>19.069444444444443</x:v>
      </x:c>
      <x:c r="E141" s="38" t="str">
        <x:v>both</x:v>
      </x:c>
      <x:c r="F141" s="38" t="str">
        <x:v>IN_RBI_ConceptNote_2022</x:v>
      </x:c>
      <x:c r="G141" s="38" t="n">
        <x:v>33</x:v>
      </x:c>
      <x:c r="H141" s="38" t="str">
        <x:v>en</x:v>
      </x:c>
      <x:c r="I141" s="38" t="str">
        <x:v>Reserve Bank of India (digital rupee)</x:v>
      </x:c>
      <x:c r="J141" s="38" t="str">
        <x:v>User Held Model – The responsibility of key 
holding is with User and its device. Wallet is 
not recoverable in case of loss of user held 
device.</x:v>
      </x:c>
      <x:c r="K141" s="142" t="b">
        <x:v>0</x:v>
      </x:c>
      <x:c r="L141" s="146" t="str">
        <x:v>keep</x:v>
      </x:c>
      <x:c r="M141" s="146" t="str">
        <x:v>keep</x:v>
      </x:c>
      <x:c r="N141" s="147" t="b">
        <x:v>1</x:v>
      </x:c>
      <x:c r="O141" s="146" t="str">
        <x:v>OPS.resilience</x:v>
      </x:c>
      <x:c r="P141" s="146" t="str">
        <x:v>SYS.design</x:v>
      </x:c>
      <x:c r="Q141" s="146" t="str">
        <x:v>OPS</x:v>
      </x:c>
      <x:c r="R141" s="146" t="str">
        <x:v>SYS</x:v>
      </x:c>
      <x:c r="S141" s="146" t="str">
        <x:v>proposal</x:v>
      </x:c>
      <x:c r="T141" s="146" t="str">
        <x:v>proposal</x:v>
      </x:c>
      <x:c r="U141" s="146" t="str">
        <x:v>neutral</x:v>
      </x:c>
      <x:c r="V141" s="146" t="str">
        <x:v>neutral</x:v>
      </x:c>
      <x:c r="W141" s="146" t="str">
        <x:v>not_applicable</x:v>
      </x:c>
      <x:c r="X141" s="146" t="str">
        <x:v>not_applicable</x:v>
      </x:c>
      <x:c r="Y141" s="146" t="n">
        <x:v>3</x:v>
      </x:c>
      <x:c r="Z141" s="146" t="n">
        <x:v>2</x:v>
      </x:c>
      <x:c r="AA141" s="146" t="str">
        <x:v>high</x:v>
      </x:c>
      <x:c r="AB141" s="146" t="str">
        <x:v>high</x:v>
      </x:c>
      <x:c r="AC141" s="146"/>
      <x:c r="AD141" s="146"/>
      <x:c r="AE141" s="151" t="str">
        <x:v>OPS.resilience</x:v>
      </x:c>
      <x:c r="AF141" s="151" t="str">
        <x:v>SYS.design</x:v>
      </x:c>
      <x:c r="AG141" s="151" t="str">
        <x:v>proposal</x:v>
      </x:c>
      <x:c r="AH141" s="151" t="str">
        <x:v>proposal</x:v>
      </x:c>
      <x:c r="AI141" s="154" t="n">
        <x:f>IF(K141,0,1)</x:f>
        <x:v>1</x:v>
      </x:c>
      <x:c r="AJ141" s="154" t="n">
        <x:f>IF(L141="keep",1,0)</x:f>
        <x:v>1</x:v>
      </x:c>
      <x:c r="AK141" s="154" t="n">
        <x:f>IF(M141="keep",1,0)</x:f>
        <x:v>1</x:v>
      </x:c>
      <x:c r="AL141" s="154" t="n">
        <x:f>(AJ141+AK141)/2</x:f>
        <x:v>1</x:v>
      </x:c>
      <x:c r="AM141" s="154" t="n">
        <x:f>MIN(AJ141,AK141)</x:f>
        <x:v>1</x:v>
      </x:c>
      <x:c r="AN141" s="154" t="n">
        <x:f>MAX(AJ141,AK141)</x:f>
        <x:v>1</x:v>
      </x:c>
      <x:c r="AO141" s="154" t="n">
        <x:f>IF(L141=M141,1,0)</x:f>
        <x:v>1</x:v>
      </x:c>
    </x:row>
    <x:row r="142">
      <x:c r="A142" s="38" t="str">
        <x:v>SV-0141</x:v>
      </x:c>
      <x:c r="B142" s="38" t="str">
        <x:v>PC-02239</x:v>
      </x:c>
      <x:c r="C142" s="38" t="str">
        <x:v>en|claude_only</x:v>
      </x:c>
      <x:c r="D142" s="87" t="n">
        <x:v>19.375</x:v>
      </x:c>
      <x:c r="E142" s="38" t="str">
        <x:v>claude_only</x:v>
      </x:c>
      <x:c r="F142" s="38" t="str">
        <x:v>HU_Hungary_2025</x:v>
      </x:c>
      <x:c r="G142" s="38" t="n">
        <x:v>29</x:v>
      </x:c>
      <x:c r="H142" s="38" t="str">
        <x:v>en</x:v>
      </x:c>
      <x:c r="I142" s="38" t="str">
        <x:v>Magyar Nemzeti Bank (Student Safe / retail CBDC pilot context)</x:v>
      </x:c>
      <x:c r="J142" s="38" t="str">
        <x:v>In the light of experience, “unusual 
transactions” were regularly redefined and daily monitoring was carried out on this basis.</x:v>
      </x:c>
      <x:c r="K142" s="142" t="b">
        <x:v>0</x:v>
      </x:c>
      <x:c r="L142" s="146" t="str">
        <x:v>exclude</x:v>
      </x:c>
      <x:c r="M142" s="146" t="str">
        <x:v>keep</x:v>
      </x:c>
      <x:c r="N142" s="147" t="b">
        <x:v>0</x:v>
      </x:c>
      <x:c r="O142" s="146"/>
      <x:c r="P142" s="146" t="str">
        <x:v>AML.MON</x:v>
      </x:c>
      <x:c r="Q142" s="146" t="str"/>
      <x:c r="R142" s="146" t="str">
        <x:v>AML</x:v>
      </x:c>
      <x:c r="S142" s="146"/>
      <x:c r="T142" s="146" t="str">
        <x:v>finding</x:v>
      </x:c>
      <x:c r="U142" s="146"/>
      <x:c r="V142" s="146" t="str">
        <x:v>neutral</x:v>
      </x:c>
      <x:c r="W142" s="146"/>
      <x:c r="X142" s="146" t="str">
        <x:v>not_applicable</x:v>
      </x:c>
      <x:c r="Y142" s="146"/>
      <x:c r="Z142" s="146" t="n">
        <x:v>2</x:v>
      </x:c>
      <x:c r="AA142" s="146" t="str">
        <x:v>high</x:v>
      </x:c>
      <x:c r="AB142" s="146" t="str">
        <x:v>high</x:v>
      </x:c>
      <x:c r="AC142" s="146"/>
      <x:c r="AD142" s="146"/>
      <x:c r="AE142" s="151"/>
      <x:c r="AF142" s="151" t="str">
        <x:v>AML.MON</x:v>
      </x:c>
      <x:c r="AG142" s="151"/>
      <x:c r="AH142" s="151" t="str">
        <x:v>finding</x:v>
      </x:c>
      <x:c r="AI142" s="154" t="n">
        <x:f>IF(K142,0,1)</x:f>
        <x:v>1</x:v>
      </x:c>
      <x:c r="AJ142" s="154" t="n">
        <x:f>IF(L142="keep",1,0)</x:f>
        <x:v>0</x:v>
      </x:c>
      <x:c r="AK142" s="154" t="n">
        <x:f>IF(M142="keep",1,0)</x:f>
        <x:v>1</x:v>
      </x:c>
      <x:c r="AL142" s="154" t="n">
        <x:f>(AJ142+AK142)/2</x:f>
        <x:v>0.5</x:v>
      </x:c>
      <x:c r="AM142" s="154" t="n">
        <x:f>MIN(AJ142,AK142)</x:f>
        <x:v>0</x:v>
      </x:c>
      <x:c r="AN142" s="154" t="n">
        <x:f>MAX(AJ142,AK142)</x:f>
        <x:v>1</x:v>
      </x:c>
      <x:c r="AO142" s="154" t="n">
        <x:f>IF(L142=M142,1,0)</x:f>
        <x:v>0</x:v>
      </x:c>
    </x:row>
    <x:row r="143">
      <x:c r="A143" s="38" t="str">
        <x:v>SV-0142</x:v>
      </x:c>
      <x:c r="B143" s="38" t="str">
        <x:v>PC-01748</x:v>
      </x:c>
      <x:c r="C143" s="38" t="str">
        <x:v>en|both</x:v>
      </x:c>
      <x:c r="D143" s="87" t="n">
        <x:v>19.069444444444443</x:v>
      </x:c>
      <x:c r="E143" s="38" t="str">
        <x:v>both</x:v>
      </x:c>
      <x:c r="F143" s="38" t="str">
        <x:v>GH_Ghana_2023</x:v>
      </x:c>
      <x:c r="G143" s="38" t="n">
        <x:v>27</x:v>
      </x:c>
      <x:c r="H143" s="38" t="str">
        <x:v>en</x:v>
      </x:c>
      <x:c r="I143" s="38" t="str">
        <x:v>Bank of Ghana (eCedi)</x:v>
      </x:c>
      <x:c r="J143" s="38" t="str">
        <x:v>In general, pilot participants demonstrated a 
substantial likelihood of using the eCedi, with 
those who are users of digital payment instruments 
indicating a far higher preference for the eCedi.</x:v>
      </x:c>
      <x:c r="K143" s="142" t="b">
        <x:v>0</x:v>
      </x:c>
      <x:c r="L143" s="146" t="str">
        <x:v>keep</x:v>
      </x:c>
      <x:c r="M143" s="146" t="str">
        <x:v>keep</x:v>
      </x:c>
      <x:c r="N143" s="147" t="b">
        <x:v>1</x:v>
      </x:c>
      <x:c r="O143" s="146" t="str">
        <x:v>ADOPT.experience</x:v>
      </x:c>
      <x:c r="P143" s="146" t="str">
        <x:v>ADOPT.experience</x:v>
      </x:c>
      <x:c r="Q143" s="146" t="str">
        <x:v>ADOPT</x:v>
      </x:c>
      <x:c r="R143" s="146" t="str">
        <x:v>ADOPT</x:v>
      </x:c>
      <x:c r="S143" s="146" t="str">
        <x:v>finding</x:v>
      </x:c>
      <x:c r="T143" s="146" t="str">
        <x:v>finding</x:v>
      </x:c>
      <x:c r="U143" s="146" t="str">
        <x:v>neutral</x:v>
      </x:c>
      <x:c r="V143" s="146" t="str">
        <x:v>neutral</x:v>
      </x:c>
      <x:c r="W143" s="146" t="str">
        <x:v>not_applicable</x:v>
      </x:c>
      <x:c r="X143" s="146" t="str">
        <x:v>not_applicable</x:v>
      </x:c>
      <x:c r="Y143" s="146" t="n">
        <x:v>2</x:v>
      </x:c>
      <x:c r="Z143" s="146" t="n">
        <x:v>2</x:v>
      </x:c>
      <x:c r="AA143" s="146" t="str">
        <x:v>high</x:v>
      </x:c>
      <x:c r="AB143" s="146" t="str">
        <x:v>high</x:v>
      </x:c>
      <x:c r="AC143" s="146"/>
      <x:c r="AD143" s="146"/>
      <x:c r="AE143" s="151" t="str">
        <x:v>ADOPT.experience</x:v>
      </x:c>
      <x:c r="AF143" s="151" t="str">
        <x:v>ADOPT.experience</x:v>
      </x:c>
      <x:c r="AG143" s="151" t="str">
        <x:v>finding</x:v>
      </x:c>
      <x:c r="AH143" s="151" t="str">
        <x:v>finding</x:v>
      </x:c>
      <x:c r="AI143" s="154" t="n">
        <x:f>IF(K143,0,1)</x:f>
        <x:v>1</x:v>
      </x:c>
      <x:c r="AJ143" s="154" t="n">
        <x:f>IF(L143="keep",1,0)</x:f>
        <x:v>1</x:v>
      </x:c>
      <x:c r="AK143" s="154" t="n">
        <x:f>IF(M143="keep",1,0)</x:f>
        <x:v>1</x:v>
      </x:c>
      <x:c r="AL143" s="154" t="n">
        <x:f>(AJ143+AK143)/2</x:f>
        <x:v>1</x:v>
      </x:c>
      <x:c r="AM143" s="154" t="n">
        <x:f>MIN(AJ143,AK143)</x:f>
        <x:v>1</x:v>
      </x:c>
      <x:c r="AN143" s="154" t="n">
        <x:f>MAX(AJ143,AK143)</x:f>
        <x:v>1</x:v>
      </x:c>
      <x:c r="AO143" s="154" t="n">
        <x:f>IF(L143=M143,1,0)</x:f>
        <x:v>1</x:v>
      </x:c>
    </x:row>
    <x:row r="144">
      <x:c r="A144" s="38" t="str">
        <x:v>SV-0143</x:v>
      </x:c>
      <x:c r="B144" s="38" t="str">
        <x:v>PC-02027</x:v>
      </x:c>
      <x:c r="C144" s="38" t="str">
        <x:v>en|openai_only</x:v>
      </x:c>
      <x:c r="D144" s="87" t="n">
        <x:v>19.21875</x:v>
      </x:c>
      <x:c r="E144" s="38" t="str">
        <x:v>openai_only</x:v>
      </x:c>
      <x:c r="F144" s="38" t="str">
        <x:v>HK_HKMA_eHKD_Phase2_2025</x:v>
      </x:c>
      <x:c r="G144" s="38" t="n">
        <x:v>26</x:v>
      </x:c>
      <x:c r="H144" s="38" t="str">
        <x:v>en</x:v>
      </x:c>
      <x:c r="I144" s="38" t="str">
        <x:v>Hong Kong Monetary Authority (e-HKD Phase 2 pilots)</x:v>
      </x:c>
      <x:c r="J144" s="38" t="str">
        <x:v>These factors reduce the applicability 
of introducing an offline e-HKD for the purpose 
of inclusion or resilience.</x:v>
      </x:c>
      <x:c r="K144" s="142" t="b">
        <x:v>0</x:v>
      </x:c>
      <x:c r="L144" s="146" t="str">
        <x:v>keep</x:v>
      </x:c>
      <x:c r="M144" s="146" t="str">
        <x:v>exclude</x:v>
      </x:c>
      <x:c r="N144" s="147" t="b">
        <x:v>0</x:v>
      </x:c>
      <x:c r="O144" s="146" t="str">
        <x:v>OTHER.keep</x:v>
      </x:c>
      <x:c r="P144" s="146"/>
      <x:c r="Q144" s="146" t="str">
        <x:v>OTHER</x:v>
      </x:c>
      <x:c r="R144" s="146" t="str"/>
      <x:c r="S144" s="146" t="str">
        <x:v>finding</x:v>
      </x:c>
      <x:c r="T144" s="146"/>
      <x:c r="U144" s="146" t="str">
        <x:v>neutral</x:v>
      </x:c>
      <x:c r="V144" s="146"/>
      <x:c r="W144" s="146" t="str">
        <x:v>not_applicable</x:v>
      </x:c>
      <x:c r="X144" s="146"/>
      <x:c r="Y144" s="146" t="n">
        <x:v>2</x:v>
      </x:c>
      <x:c r="Z144" s="146"/>
      <x:c r="AA144" s="146" t="str">
        <x:v>high</x:v>
      </x:c>
      <x:c r="AB144" s="146" t="str">
        <x:v>high</x:v>
      </x:c>
      <x:c r="AC144" s="146"/>
      <x:c r="AD144" s="146"/>
      <x:c r="AE144" s="151" t="str">
        <x:v>ACCESS.universal</x:v>
      </x:c>
      <x:c r="AF144" s="151"/>
      <x:c r="AG144" s="151" t="str">
        <x:v>finding</x:v>
      </x:c>
      <x:c r="AH144" s="151"/>
      <x:c r="AI144" s="154" t="n">
        <x:f>IF(K144,0,1)</x:f>
        <x:v>1</x:v>
      </x:c>
      <x:c r="AJ144" s="154" t="n">
        <x:f>IF(L144="keep",1,0)</x:f>
        <x:v>1</x:v>
      </x:c>
      <x:c r="AK144" s="154" t="n">
        <x:f>IF(M144="keep",1,0)</x:f>
        <x:v>0</x:v>
      </x:c>
      <x:c r="AL144" s="154" t="n">
        <x:f>(AJ144+AK144)/2</x:f>
        <x:v>0.5</x:v>
      </x:c>
      <x:c r="AM144" s="154" t="n">
        <x:f>MIN(AJ144,AK144)</x:f>
        <x:v>0</x:v>
      </x:c>
      <x:c r="AN144" s="154" t="n">
        <x:f>MAX(AJ144,AK144)</x:f>
        <x:v>1</x:v>
      </x:c>
      <x:c r="AO144" s="154" t="n">
        <x:f>IF(L144=M144,1,0)</x:f>
        <x:v>0</x:v>
      </x:c>
    </x:row>
    <x:row r="145">
      <x:c r="A145" s="38" t="str">
        <x:v>SV-0144</x:v>
      </x:c>
      <x:c r="B145" s="38" t="str">
        <x:v>PC-01760</x:v>
      </x:c>
      <x:c r="C145" s="38" t="str">
        <x:v>en|both</x:v>
      </x:c>
      <x:c r="D145" s="87" t="n">
        <x:v>19.069444444444443</x:v>
      </x:c>
      <x:c r="E145" s="38" t="str">
        <x:v>both</x:v>
      </x:c>
      <x:c r="F145" s="38" t="str">
        <x:v>GH_Ghana_2023</x:v>
      </x:c>
      <x:c r="G145" s="38" t="n">
        <x:v>30</x:v>
      </x:c>
      <x:c r="H145" s="38" t="str">
        <x:v>en</x:v>
      </x:c>
      <x:c r="I145" s="38" t="str">
        <x:v>Bank of Ghana (eCedi)</x:v>
      </x:c>
      <x:c r="J145" s="38" t="str">
        <x:v>The demand for digital 
payment solutions such as 
the eCedi was endorsed by 
the pilot. Also, individuals, 
businesses and FSPs 
indicated their willingness 
to use the eCedi when 
rolled out.</x:v>
      </x:c>
      <x:c r="K145" s="142" t="b">
        <x:v>0</x:v>
      </x:c>
      <x:c r="L145" s="146" t="str">
        <x:v>keep</x:v>
      </x:c>
      <x:c r="M145" s="146" t="str">
        <x:v>keep</x:v>
      </x:c>
      <x:c r="N145" s="147" t="b">
        <x:v>1</x:v>
      </x:c>
      <x:c r="O145" s="146" t="str">
        <x:v>PROC.pilot_learning</x:v>
      </x:c>
      <x:c r="P145" s="146" t="str">
        <x:v>ADOPT.experience</x:v>
      </x:c>
      <x:c r="Q145" s="146" t="str">
        <x:v>PROC</x:v>
      </x:c>
      <x:c r="R145" s="146" t="str">
        <x:v>ADOPT</x:v>
      </x:c>
      <x:c r="S145" s="146" t="str">
        <x:v>finding</x:v>
      </x:c>
      <x:c r="T145" s="146" t="str">
        <x:v>finding</x:v>
      </x:c>
      <x:c r="U145" s="146" t="str">
        <x:v>neutral</x:v>
      </x:c>
      <x:c r="V145" s="146" t="str">
        <x:v>neutral</x:v>
      </x:c>
      <x:c r="W145" s="146" t="str">
        <x:v>not_applicable</x:v>
      </x:c>
      <x:c r="X145" s="146" t="str">
        <x:v>not_applicable</x:v>
      </x:c>
      <x:c r="Y145" s="146" t="n">
        <x:v>2</x:v>
      </x:c>
      <x:c r="Z145" s="146" t="n">
        <x:v>2</x:v>
      </x:c>
      <x:c r="AA145" s="146" t="str">
        <x:v>high</x:v>
      </x:c>
      <x:c r="AB145" s="146" t="str">
        <x:v>high</x:v>
      </x:c>
      <x:c r="AC145" s="146"/>
      <x:c r="AD145" s="146"/>
      <x:c r="AE145" s="151" t="str">
        <x:v>ADOPT.experience</x:v>
      </x:c>
      <x:c r="AF145" s="151" t="str">
        <x:v>ADOPT.experience</x:v>
      </x:c>
      <x:c r="AG145" s="151" t="str">
        <x:v>finding</x:v>
      </x:c>
      <x:c r="AH145" s="151" t="str">
        <x:v>finding</x:v>
      </x:c>
      <x:c r="AI145" s="154" t="n">
        <x:f>IF(K145,0,1)</x:f>
        <x:v>1</x:v>
      </x:c>
      <x:c r="AJ145" s="154" t="n">
        <x:f>IF(L145="keep",1,0)</x:f>
        <x:v>1</x:v>
      </x:c>
      <x:c r="AK145" s="154" t="n">
        <x:f>IF(M145="keep",1,0)</x:f>
        <x:v>1</x:v>
      </x:c>
      <x:c r="AL145" s="154" t="n">
        <x:f>(AJ145+AK145)/2</x:f>
        <x:v>1</x:v>
      </x:c>
      <x:c r="AM145" s="154" t="n">
        <x:f>MIN(AJ145,AK145)</x:f>
        <x:v>1</x:v>
      </x:c>
      <x:c r="AN145" s="154" t="n">
        <x:f>MAX(AJ145,AK145)</x:f>
        <x:v>1</x:v>
      </x:c>
      <x:c r="AO145" s="154" t="n">
        <x:f>IF(L145=M145,1,0)</x:f>
        <x:v>1</x:v>
      </x:c>
    </x:row>
    <x:row r="146">
      <x:c r="A146" s="38" t="str">
        <x:v>SV-0145</x:v>
      </x:c>
      <x:c r="B146" s="38" t="str">
        <x:v>PC-03917</x:v>
      </x:c>
      <x:c r="C146" s="38" t="str">
        <x:v>en|both</x:v>
      </x:c>
      <x:c r="D146" s="87" t="n">
        <x:v>19.069444444444443</x:v>
      </x:c>
      <x:c r="E146" s="38" t="str">
        <x:v>both</x:v>
      </x:c>
      <x:c r="F146" s="38" t="str">
        <x:v>MO_AMCM_eMOP_WP</x:v>
      </x:c>
      <x:c r="G146" s="38" t="n">
        <x:v>22</x:v>
      </x:c>
      <x:c r="H146" s="38" t="str">
        <x:v>en</x:v>
      </x:c>
      <x:c r="I146" s="38" t="str">
        <x:v>Monetary Authority of Macao (e-MOP)</x:v>
      </x:c>
      <x:c r="J146" s="38" t="str">
        <x:v>e-MOP may draw on the acceptance 
basis of “Simple Pay” by leveraging wallet application software (apps) 
and physical carriers (such as cards or smart devices), rendering 
efficient, convenient and cost-effective payment services to residents 
and tourists.</x:v>
      </x:c>
      <x:c r="K146" s="142" t="b">
        <x:v>0</x:v>
      </x:c>
      <x:c r="L146" s="146" t="str">
        <x:v>keep</x:v>
      </x:c>
      <x:c r="M146" s="146" t="str">
        <x:v>keep</x:v>
      </x:c>
      <x:c r="N146" s="147" t="b">
        <x:v>1</x:v>
      </x:c>
      <x:c r="O146" s="146" t="str">
        <x:v>ADOPT.experience</x:v>
      </x:c>
      <x:c r="P146" s="146" t="str">
        <x:v>ADOPT.experience</x:v>
      </x:c>
      <x:c r="Q146" s="146" t="str">
        <x:v>ADOPT</x:v>
      </x:c>
      <x:c r="R146" s="146" t="str">
        <x:v>ADOPT</x:v>
      </x:c>
      <x:c r="S146" s="146" t="str">
        <x:v>proposal</x:v>
      </x:c>
      <x:c r="T146" s="146" t="str">
        <x:v>proposal</x:v>
      </x:c>
      <x:c r="U146" s="146" t="str">
        <x:v>neutral</x:v>
      </x:c>
      <x:c r="V146" s="146" t="str">
        <x:v>neutral</x:v>
      </x:c>
      <x:c r="W146" s="146" t="str">
        <x:v>not_applicable</x:v>
      </x:c>
      <x:c r="X146" s="146" t="str">
        <x:v>not_applicable</x:v>
      </x:c>
      <x:c r="Y146" s="146" t="n">
        <x:v>2</x:v>
      </x:c>
      <x:c r="Z146" s="146" t="n">
        <x:v>1</x:v>
      </x:c>
      <x:c r="AA146" s="146" t="str">
        <x:v>high</x:v>
      </x:c>
      <x:c r="AB146" s="146" t="str">
        <x:v>high</x:v>
      </x:c>
      <x:c r="AC146" s="146"/>
      <x:c r="AD146" s="146"/>
      <x:c r="AE146" s="151" t="str">
        <x:v>ADOPT.experience</x:v>
      </x:c>
      <x:c r="AF146" s="151" t="str">
        <x:v>ADOPT.experience</x:v>
      </x:c>
      <x:c r="AG146" s="151" t="str">
        <x:v>proposal</x:v>
      </x:c>
      <x:c r="AH146" s="151" t="str">
        <x:v>proposal</x:v>
      </x:c>
      <x:c r="AI146" s="154" t="n">
        <x:f>IF(K146,0,1)</x:f>
        <x:v>1</x:v>
      </x:c>
      <x:c r="AJ146" s="154" t="n">
        <x:f>IF(L146="keep",1,0)</x:f>
        <x:v>1</x:v>
      </x:c>
      <x:c r="AK146" s="154" t="n">
        <x:f>IF(M146="keep",1,0)</x:f>
        <x:v>1</x:v>
      </x:c>
      <x:c r="AL146" s="154" t="n">
        <x:f>(AJ146+AK146)/2</x:f>
        <x:v>1</x:v>
      </x:c>
      <x:c r="AM146" s="154" t="n">
        <x:f>MIN(AJ146,AK146)</x:f>
        <x:v>1</x:v>
      </x:c>
      <x:c r="AN146" s="154" t="n">
        <x:f>MAX(AJ146,AK146)</x:f>
        <x:v>1</x:v>
      </x:c>
      <x:c r="AO146" s="154" t="n">
        <x:f>IF(L146=M146,1,0)</x:f>
        <x:v>1</x:v>
      </x:c>
    </x:row>
    <x:row r="147">
      <x:c r="A147" s="38" t="str">
        <x:v>SV-0146</x:v>
      </x:c>
      <x:c r="B147" s="38" t="str">
        <x:v>PC-04907</x:v>
      </x:c>
      <x:c r="C147" s="38" t="str">
        <x:v>en|both</x:v>
      </x:c>
      <x:c r="D147" s="87" t="n">
        <x:v>19.069444444444443</x:v>
      </x:c>
      <x:c r="E147" s="38" t="str">
        <x:v>both</x:v>
      </x:c>
      <x:c r="F147" s="38" t="str">
        <x:v>RU_Russia_consultation_paper_201013</x:v>
      </x:c>
      <x:c r="G147" s="38" t="n">
        <x:v>4</x:v>
      </x:c>
      <x:c r="H147" s="38" t="str">
        <x:v>en</x:v>
      </x:c>
      <x:c r="I147" s="38" t="str">
        <x:v>Bank of Russia (digital ruble)</x:v>
      </x:c>
      <x:c r="J147" s="38" t="str">
        <x:v>Depending on their needs, individuals and companies will 
be able to exchange their money from one form to another, i.e. from the digital form to cash or non-
cash funds in their bank accounts, and back.</x:v>
      </x:c>
      <x:c r="K147" s="142" t="b">
        <x:v>0</x:v>
      </x:c>
      <x:c r="L147" s="146" t="str">
        <x:v>keep</x:v>
      </x:c>
      <x:c r="M147" s="146" t="str">
        <x:v>keep</x:v>
      </x:c>
      <x:c r="N147" s="147" t="b">
        <x:v>1</x:v>
      </x:c>
      <x:c r="O147" s="146" t="str">
        <x:v>SYS.design</x:v>
      </x:c>
      <x:c r="P147" s="146" t="str">
        <x:v>INTEROP.domestic</x:v>
      </x:c>
      <x:c r="Q147" s="146" t="str">
        <x:v>SYS</x:v>
      </x:c>
      <x:c r="R147" s="146" t="str">
        <x:v>INTEROP</x:v>
      </x:c>
      <x:c r="S147" s="146" t="str">
        <x:v>proposal</x:v>
      </x:c>
      <x:c r="T147" s="146" t="str">
        <x:v>decision</x:v>
      </x:c>
      <x:c r="U147" s="146" t="str">
        <x:v>neutral</x:v>
      </x:c>
      <x:c r="V147" s="146" t="str">
        <x:v>neutral</x:v>
      </x:c>
      <x:c r="W147" s="146" t="str">
        <x:v>not_applicable</x:v>
      </x:c>
      <x:c r="X147" s="146" t="str">
        <x:v>not_applicable</x:v>
      </x:c>
      <x:c r="Y147" s="146" t="n">
        <x:v>3</x:v>
      </x:c>
      <x:c r="Z147" s="146" t="n">
        <x:v>3</x:v>
      </x:c>
      <x:c r="AA147" s="146" t="str">
        <x:v>high</x:v>
      </x:c>
      <x:c r="AB147" s="146" t="str">
        <x:v>high</x:v>
      </x:c>
      <x:c r="AC147" s="146"/>
      <x:c r="AD147" s="146"/>
      <x:c r="AE147" s="151" t="str">
        <x:v>SYS.design</x:v>
      </x:c>
      <x:c r="AF147" s="151" t="str">
        <x:v>INTEROP.domestic</x:v>
      </x:c>
      <x:c r="AG147" s="151" t="str">
        <x:v>proposal</x:v>
      </x:c>
      <x:c r="AH147" s="151" t="str">
        <x:v>decision</x:v>
      </x:c>
      <x:c r="AI147" s="154" t="n">
        <x:f>IF(K147,0,1)</x:f>
        <x:v>1</x:v>
      </x:c>
      <x:c r="AJ147" s="154" t="n">
        <x:f>IF(L147="keep",1,0)</x:f>
        <x:v>1</x:v>
      </x:c>
      <x:c r="AK147" s="154" t="n">
        <x:f>IF(M147="keep",1,0)</x:f>
        <x:v>1</x:v>
      </x:c>
      <x:c r="AL147" s="154" t="n">
        <x:f>(AJ147+AK147)/2</x:f>
        <x:v>1</x:v>
      </x:c>
      <x:c r="AM147" s="154" t="n">
        <x:f>MIN(AJ147,AK147)</x:f>
        <x:v>1</x:v>
      </x:c>
      <x:c r="AN147" s="154" t="n">
        <x:f>MAX(AJ147,AK147)</x:f>
        <x:v>1</x:v>
      </x:c>
      <x:c r="AO147" s="154" t="n">
        <x:f>IF(L147=M147,1,0)</x:f>
        <x:v>1</x:v>
      </x:c>
    </x:row>
    <x:row r="148">
      <x:c r="A148" s="38" t="str">
        <x:v>SV-0147</x:v>
      </x:c>
      <x:c r="B148" s="38" t="str">
        <x:v>PC-01542</x:v>
      </x:c>
      <x:c r="C148" s="38" t="str">
        <x:v>en|both</x:v>
      </x:c>
      <x:c r="D148" s="87" t="n">
        <x:v>19.069444444444443</x:v>
      </x:c>
      <x:c r="E148" s="38" t="str">
        <x:v>both</x:v>
      </x:c>
      <x:c r="F148" s="38" t="str">
        <x:v>EU_ECB_ThirdProgress_2025</x:v>
      </x:c>
      <x:c r="G148" s="38" t="n">
        <x:v>9</x:v>
      </x:c>
      <x:c r="H148" s="38" t="str">
        <x:v>en</x:v>
      </x:c>
      <x:c r="I148" s="38" t="str">
        <x:v>European Central Bank / Eurosystem (digital euro)</x:v>
      </x:c>
      <x:c r="J148" s="38" t="str">
        <x:v>the
draft Regulation requires the distribution of the digital euro in non-euro area countries to be based
on arrangements or agreements with local authorities, without which it would not be possible for
citizens of those countries to have digital euro holdings.</x:v>
      </x:c>
      <x:c r="K148" s="142" t="b">
        <x:v>0</x:v>
      </x:c>
      <x:c r="L148" s="146" t="str">
        <x:v>keep</x:v>
      </x:c>
      <x:c r="M148" s="146" t="str">
        <x:v>keep</x:v>
      </x:c>
      <x:c r="N148" s="147" t="b">
        <x:v>1</x:v>
      </x:c>
      <x:c r="O148" s="146" t="str">
        <x:v>INTEROP.crossborder</x:v>
      </x:c>
      <x:c r="P148" s="146" t="str">
        <x:v>KYC.INTERMED</x:v>
      </x:c>
      <x:c r="Q148" s="146" t="str">
        <x:v>INTEROP</x:v>
      </x:c>
      <x:c r="R148" s="146" t="str">
        <x:v>KYC</x:v>
      </x:c>
      <x:c r="S148" s="146" t="str">
        <x:v>proposal</x:v>
      </x:c>
      <x:c r="T148" s="146" t="str">
        <x:v>decision</x:v>
      </x:c>
      <x:c r="U148" s="146" t="str">
        <x:v>neutral</x:v>
      </x:c>
      <x:c r="V148" s="146" t="str">
        <x:v>neutral</x:v>
      </x:c>
      <x:c r="W148" s="146" t="str">
        <x:v>not_applicable</x:v>
      </x:c>
      <x:c r="X148" s="146" t="str">
        <x:v>from_intermediary</x:v>
      </x:c>
      <x:c r="Y148" s="146" t="n">
        <x:v>3</x:v>
      </x:c>
      <x:c r="Z148" s="146" t="n">
        <x:v>3</x:v>
      </x:c>
      <x:c r="AA148" s="146" t="str">
        <x:v>high</x:v>
      </x:c>
      <x:c r="AB148" s="146" t="str">
        <x:v>high</x:v>
      </x:c>
      <x:c r="AC148" s="146"/>
      <x:c r="AD148" s="146"/>
      <x:c r="AE148" s="151" t="str">
        <x:v>INTEROP.crossborder</x:v>
      </x:c>
      <x:c r="AF148" s="151" t="str">
        <x:v>KYC.INTERMED</x:v>
      </x:c>
      <x:c r="AG148" s="151" t="str">
        <x:v>proposal</x:v>
      </x:c>
      <x:c r="AH148" s="151" t="str">
        <x:v>decision</x:v>
      </x:c>
      <x:c r="AI148" s="154" t="n">
        <x:f>IF(K148,0,1)</x:f>
        <x:v>1</x:v>
      </x:c>
      <x:c r="AJ148" s="154" t="n">
        <x:f>IF(L148="keep",1,0)</x:f>
        <x:v>1</x:v>
      </x:c>
      <x:c r="AK148" s="154" t="n">
        <x:f>IF(M148="keep",1,0)</x:f>
        <x:v>1</x:v>
      </x:c>
      <x:c r="AL148" s="154" t="n">
        <x:f>(AJ148+AK148)/2</x:f>
        <x:v>1</x:v>
      </x:c>
      <x:c r="AM148" s="154" t="n">
        <x:f>MIN(AJ148,AK148)</x:f>
        <x:v>1</x:v>
      </x:c>
      <x:c r="AN148" s="154" t="n">
        <x:f>MAX(AJ148,AK148)</x:f>
        <x:v>1</x:v>
      </x:c>
      <x:c r="AO148" s="154" t="n">
        <x:f>IF(L148=M148,1,0)</x:f>
        <x:v>1</x:v>
      </x:c>
    </x:row>
    <x:row r="149">
      <x:c r="A149" s="38" t="str">
        <x:v>SV-0148</x:v>
      </x:c>
      <x:c r="B149" s="38" t="str">
        <x:v>PC-06108</x:v>
      </x:c>
      <x:c r="C149" s="38" t="str">
        <x:v>en|claude_only</x:v>
      </x:c>
      <x:c r="D149" s="87" t="n">
        <x:v>19.375</x:v>
      </x:c>
      <x:c r="E149" s="38" t="str">
        <x:v>claude_only</x:v>
      </x:c>
      <x:c r="F149" s="38" t="str">
        <x:v>UK_BoE_2020_OpportChall</x:v>
      </x:c>
      <x:c r="G149" s="38" t="n">
        <x:v>40</x:v>
      </x:c>
      <x:c r="H149" s="38" t="str">
        <x:v>en</x:v>
      </x:c>
      <x:c r="I149" s="38" t="str">
        <x:v>Bank of England and HM Treasury (digital pound)</x:v>
      </x:c>
      <x:c r="J149" s="38" t="str">
        <x:v>the central bank may also wish to impose some limits on the amount that could be held by each individual 
or business</x:v>
      </x:c>
      <x:c r="K149" s="142" t="b">
        <x:v>0</x:v>
      </x:c>
      <x:c r="L149" s="146" t="str">
        <x:v>exclude</x:v>
      </x:c>
      <x:c r="M149" s="146" t="str">
        <x:v>keep</x:v>
      </x:c>
      <x:c r="N149" s="147" t="b">
        <x:v>0</x:v>
      </x:c>
      <x:c r="O149" s="146"/>
      <x:c r="P149" s="146" t="str">
        <x:v>AML.LIMIT</x:v>
      </x:c>
      <x:c r="Q149" s="146" t="str"/>
      <x:c r="R149" s="146" t="str">
        <x:v>AML</x:v>
      </x:c>
      <x:c r="S149" s="146"/>
      <x:c r="T149" s="146" t="str">
        <x:v>proposal</x:v>
      </x:c>
      <x:c r="U149" s="146"/>
      <x:c r="V149" s="146" t="str">
        <x:v>neutral</x:v>
      </x:c>
      <x:c r="W149" s="146"/>
      <x:c r="X149" s="146" t="str">
        <x:v>not_applicable</x:v>
      </x:c>
      <x:c r="Y149" s="146"/>
      <x:c r="Z149" s="146" t="n">
        <x:v>2</x:v>
      </x:c>
      <x:c r="AA149" s="146" t="str">
        <x:v>high</x:v>
      </x:c>
      <x:c r="AB149" s="146" t="str">
        <x:v>high</x:v>
      </x:c>
      <x:c r="AC149" s="146"/>
      <x:c r="AD149" s="146"/>
      <x:c r="AE149" s="151"/>
      <x:c r="AF149" s="151" t="str">
        <x:v>AML.LIMIT</x:v>
      </x:c>
      <x:c r="AG149" s="151"/>
      <x:c r="AH149" s="151" t="str">
        <x:v>proposal</x:v>
      </x:c>
      <x:c r="AI149" s="154" t="n">
        <x:f>IF(K149,0,1)</x:f>
        <x:v>1</x:v>
      </x:c>
      <x:c r="AJ149" s="154" t="n">
        <x:f>IF(L149="keep",1,0)</x:f>
        <x:v>0</x:v>
      </x:c>
      <x:c r="AK149" s="154" t="n">
        <x:f>IF(M149="keep",1,0)</x:f>
        <x:v>1</x:v>
      </x:c>
      <x:c r="AL149" s="154" t="n">
        <x:f>(AJ149+AK149)/2</x:f>
        <x:v>0.5</x:v>
      </x:c>
      <x:c r="AM149" s="154" t="n">
        <x:f>MIN(AJ149,AK149)</x:f>
        <x:v>0</x:v>
      </x:c>
      <x:c r="AN149" s="154" t="n">
        <x:f>MAX(AJ149,AK149)</x:f>
        <x:v>1</x:v>
      </x:c>
      <x:c r="AO149" s="154" t="n">
        <x:f>IF(L149=M149,1,0)</x:f>
        <x:v>0</x:v>
      </x:c>
    </x:row>
    <x:row r="150">
      <x:c r="A150" s="38" t="str">
        <x:v>SV-0149</x:v>
      </x:c>
      <x:c r="B150" s="38" t="str">
        <x:v>PC-02383</x:v>
      </x:c>
      <x:c r="C150" s="38" t="str">
        <x:v>en|openai_only</x:v>
      </x:c>
      <x:c r="D150" s="87" t="n">
        <x:v>19.21875</x:v>
      </x:c>
      <x:c r="E150" s="38" t="str">
        <x:v>openai_only</x:v>
      </x:c>
      <x:c r="F150" s="38" t="str">
        <x:v>ID_Indonesia_2022</x:v>
      </x:c>
      <x:c r="G150" s="38" t="n">
        <x:v>45</x:v>
      </x:c>
      <x:c r="H150" s="38" t="str">
        <x:v>en</x:v>
      </x:c>
      <x:c r="I150" s="38" t="str">
        <x:v>Bank Indonesia (Digital Rupiah)</x:v>
      </x:c>
      <x:c r="J150" s="38" t="str">
        <x:v>W-Digital 
Rupiah is comparable with reserves in 
central bank. With this quality, w-Digital 
Rupiah held by banks could be included in 
statutory reserve compliance.</x:v>
      </x:c>
      <x:c r="K150" s="142" t="b">
        <x:v>0</x:v>
      </x:c>
      <x:c r="L150" s="146" t="str">
        <x:v>keep</x:v>
      </x:c>
      <x:c r="M150" s="146" t="str">
        <x:v>exclude</x:v>
      </x:c>
      <x:c r="N150" s="147" t="b">
        <x:v>0</x:v>
      </x:c>
      <x:c r="O150" s="146" t="str">
        <x:v>STAB.disintermediation</x:v>
      </x:c>
      <x:c r="P150" s="146"/>
      <x:c r="Q150" s="146" t="str">
        <x:v>STAB</x:v>
      </x:c>
      <x:c r="R150" s="146" t="str"/>
      <x:c r="S150" s="146" t="str">
        <x:v>decision</x:v>
      </x:c>
      <x:c r="T150" s="146"/>
      <x:c r="U150" s="146" t="str">
        <x:v>neutral</x:v>
      </x:c>
      <x:c r="V150" s="146"/>
      <x:c r="W150" s="146" t="str">
        <x:v>not_applicable</x:v>
      </x:c>
      <x:c r="X150" s="146"/>
      <x:c r="Y150" s="146" t="n">
        <x:v>2</x:v>
      </x:c>
      <x:c r="Z150" s="146"/>
      <x:c r="AA150" s="146" t="str">
        <x:v>high</x:v>
      </x:c>
      <x:c r="AB150" s="146" t="str">
        <x:v>high</x:v>
      </x:c>
      <x:c r="AC150" s="146"/>
      <x:c r="AD150" s="146"/>
      <x:c r="AE150" s="151" t="str">
        <x:v>INTEROP.domestic</x:v>
      </x:c>
      <x:c r="AF150" s="151"/>
      <x:c r="AG150" s="151" t="str">
        <x:v>decision</x:v>
      </x:c>
      <x:c r="AH150" s="151"/>
      <x:c r="AI150" s="154" t="n">
        <x:f>IF(K150,0,1)</x:f>
        <x:v>1</x:v>
      </x:c>
      <x:c r="AJ150" s="154" t="n">
        <x:f>IF(L150="keep",1,0)</x:f>
        <x:v>1</x:v>
      </x:c>
      <x:c r="AK150" s="154" t="n">
        <x:f>IF(M150="keep",1,0)</x:f>
        <x:v>0</x:v>
      </x:c>
      <x:c r="AL150" s="154" t="n">
        <x:f>(AJ150+AK150)/2</x:f>
        <x:v>0.5</x:v>
      </x:c>
      <x:c r="AM150" s="154" t="n">
        <x:f>MIN(AJ150,AK150)</x:f>
        <x:v>0</x:v>
      </x:c>
      <x:c r="AN150" s="154" t="n">
        <x:f>MAX(AJ150,AK150)</x:f>
        <x:v>1</x:v>
      </x:c>
      <x:c r="AO150" s="154" t="n">
        <x:f>IF(L150=M150,1,0)</x:f>
        <x:v>0</x:v>
      </x:c>
    </x:row>
    <x:row r="151">
      <x:c r="A151" s="38" t="str">
        <x:v>SV-0150</x:v>
      </x:c>
      <x:c r="B151" s="38" t="str">
        <x:v>PC-00620</x:v>
      </x:c>
      <x:c r="C151" s="38" t="str">
        <x:v>en|openai_only</x:v>
      </x:c>
      <x:c r="D151" s="87" t="n">
        <x:v>19.21875</x:v>
      </x:c>
      <x:c r="E151" s="38" t="str">
        <x:v>openai_only</x:v>
      </x:c>
      <x:c r="F151" s="38" t="str">
        <x:v>CA_BoC_2017</x:v>
      </x:c>
      <x:c r="G151" s="38" t="n">
        <x:v>13</x:v>
      </x:c>
      <x:c r="H151" s="38" t="str">
        <x:v>en</x:v>
      </x:c>
      <x:c r="I151" s="38" t="str">
        <x:v>Bank of Canada</x:v>
      </x:c>
      <x:c r="J151" s="38" t="str">
        <x:v>The digital wallet would be provided by designated private service providers that are 
certified or licensed by the central bank.</x:v>
      </x:c>
      <x:c r="K151" s="142" t="b">
        <x:v>0</x:v>
      </x:c>
      <x:c r="L151" s="146" t="str">
        <x:v>keep</x:v>
      </x:c>
      <x:c r="M151" s="146" t="str">
        <x:v>exclude</x:v>
      </x:c>
      <x:c r="N151" s="147" t="b">
        <x:v>0</x:v>
      </x:c>
      <x:c r="O151" s="146" t="str">
        <x:v>SYS.design</x:v>
      </x:c>
      <x:c r="P151" s="146"/>
      <x:c r="Q151" s="146" t="str">
        <x:v>SYS</x:v>
      </x:c>
      <x:c r="R151" s="146" t="str"/>
      <x:c r="S151" s="146" t="str">
        <x:v>proposal</x:v>
      </x:c>
      <x:c r="T151" s="146"/>
      <x:c r="U151" s="146" t="str">
        <x:v>neutral</x:v>
      </x:c>
      <x:c r="V151" s="146"/>
      <x:c r="W151" s="146" t="str">
        <x:v>not_applicable</x:v>
      </x:c>
      <x:c r="X151" s="146"/>
      <x:c r="Y151" s="146" t="n">
        <x:v>2</x:v>
      </x:c>
      <x:c r="Z151" s="146"/>
      <x:c r="AA151" s="146" t="str">
        <x:v>high</x:v>
      </x:c>
      <x:c r="AB151" s="146" t="str">
        <x:v>high</x:v>
      </x:c>
      <x:c r="AC151" s="146"/>
      <x:c r="AD151" s="146"/>
      <x:c r="AE151" s="151" t="str">
        <x:v>SYS.design</x:v>
      </x:c>
      <x:c r="AF151" s="151"/>
      <x:c r="AG151" s="151" t="str">
        <x:v>proposal</x:v>
      </x:c>
      <x:c r="AH151" s="151"/>
      <x:c r="AI151" s="154" t="n">
        <x:f>IF(K151,0,1)</x:f>
        <x:v>1</x:v>
      </x:c>
      <x:c r="AJ151" s="154" t="n">
        <x:f>IF(L151="keep",1,0)</x:f>
        <x:v>1</x:v>
      </x:c>
      <x:c r="AK151" s="154" t="n">
        <x:f>IF(M151="keep",1,0)</x:f>
        <x:v>0</x:v>
      </x:c>
      <x:c r="AL151" s="154" t="n">
        <x:f>(AJ151+AK151)/2</x:f>
        <x:v>0.5</x:v>
      </x:c>
      <x:c r="AM151" s="154" t="n">
        <x:f>MIN(AJ151,AK151)</x:f>
        <x:v>0</x:v>
      </x:c>
      <x:c r="AN151" s="154" t="n">
        <x:f>MAX(AJ151,AK151)</x:f>
        <x:v>1</x:v>
      </x:c>
      <x:c r="AO151" s="154" t="n">
        <x:f>IF(L151=M151,1,0)</x:f>
        <x:v>0</x:v>
      </x:c>
    </x:row>
    <x:row r="152">
      <x:c r="A152" s="38" t="str">
        <x:v>SV-0151</x:v>
      </x:c>
      <x:c r="B152" s="38" t="str">
        <x:v>PC-03543</x:v>
      </x:c>
      <x:c r="C152" s="38" t="str">
        <x:v>en|claude_only</x:v>
      </x:c>
      <x:c r="D152" s="87" t="n">
        <x:v>19.375</x:v>
      </x:c>
      <x:c r="E152" s="38" t="str">
        <x:v>claude_only</x:v>
      </x:c>
      <x:c r="F152" s="38" t="str">
        <x:v>IT_BdI_MISP_2021</x:v>
      </x:c>
      <x:c r="G152" s="38" t="n">
        <x:v>26</x:v>
      </x:c>
      <x:c r="H152" s="38" t="str">
        <x:v>en</x:v>
      </x:c>
      <x:c r="I152" s="38" t="str">
        <x:v>Banca d'Italia research context</x:v>
      </x:c>
      <x:c r="J152" s="38" t="str">
        <x:v>An intermediary organization 
can play the role of an access point for the CBDC: it may own a private 
registry of identities that maps positions in the TIPS+ system or provide a  
value-added service for the storage of private keys on users’ behalf.</x:v>
      </x:c>
      <x:c r="K152" s="142" t="b">
        <x:v>0</x:v>
      </x:c>
      <x:c r="L152" s="146" t="str">
        <x:v>exclude</x:v>
      </x:c>
      <x:c r="M152" s="146" t="str">
        <x:v>keep</x:v>
      </x:c>
      <x:c r="N152" s="147" t="b">
        <x:v>0</x:v>
      </x:c>
      <x:c r="O152" s="146"/>
      <x:c r="P152" s="146" t="str">
        <x:v>KYC.INTERMED</x:v>
      </x:c>
      <x:c r="Q152" s="146" t="str"/>
      <x:c r="R152" s="146" t="str">
        <x:v>KYC</x:v>
      </x:c>
      <x:c r="S152" s="146"/>
      <x:c r="T152" s="146" t="str">
        <x:v>decision</x:v>
      </x:c>
      <x:c r="U152" s="146"/>
      <x:c r="V152" s="146" t="str">
        <x:v>neutral</x:v>
      </x:c>
      <x:c r="W152" s="146"/>
      <x:c r="X152" s="146" t="str">
        <x:v>not_applicable</x:v>
      </x:c>
      <x:c r="Y152" s="146"/>
      <x:c r="Z152" s="146" t="n">
        <x:v>2</x:v>
      </x:c>
      <x:c r="AA152" s="146" t="str">
        <x:v>high</x:v>
      </x:c>
      <x:c r="AB152" s="146" t="str">
        <x:v>high</x:v>
      </x:c>
      <x:c r="AC152" s="146"/>
      <x:c r="AD152" s="146"/>
      <x:c r="AE152" s="151"/>
      <x:c r="AF152" s="151" t="str">
        <x:v>KYC.INTERMED</x:v>
      </x:c>
      <x:c r="AG152" s="151"/>
      <x:c r="AH152" s="151" t="str">
        <x:v>decision</x:v>
      </x:c>
      <x:c r="AI152" s="154" t="n">
        <x:f>IF(K152,0,1)</x:f>
        <x:v>1</x:v>
      </x:c>
      <x:c r="AJ152" s="154" t="n">
        <x:f>IF(L152="keep",1,0)</x:f>
        <x:v>0</x:v>
      </x:c>
      <x:c r="AK152" s="154" t="n">
        <x:f>IF(M152="keep",1,0)</x:f>
        <x:v>1</x:v>
      </x:c>
      <x:c r="AL152" s="154" t="n">
        <x:f>(AJ152+AK152)/2</x:f>
        <x:v>0.5</x:v>
      </x:c>
      <x:c r="AM152" s="154" t="n">
        <x:f>MIN(AJ152,AK152)</x:f>
        <x:v>0</x:v>
      </x:c>
      <x:c r="AN152" s="154" t="n">
        <x:f>MAX(AJ152,AK152)</x:f>
        <x:v>1</x:v>
      </x:c>
      <x:c r="AO152" s="154" t="n">
        <x:f>IF(L152=M152,1,0)</x:f>
        <x:v>0</x:v>
      </x:c>
    </x:row>
    <x:row r="153">
      <x:c r="A153" s="38" t="str">
        <x:v>SV-0152</x:v>
      </x:c>
      <x:c r="B153" s="38" t="str">
        <x:v>PC-05554</x:v>
      </x:c>
      <x:c r="C153" s="38" t="str">
        <x:v>en|both</x:v>
      </x:c>
      <x:c r="D153" s="87" t="n">
        <x:v>19.069444444444443</x:v>
      </x:c>
      <x:c r="E153" s="38" t="str">
        <x:v>both</x:v>
      </x:c>
      <x:c r="F153" s="38" t="str">
        <x:v>SZ_Eswatini_2024-Fintech-Digital-Lilangeni-Design-Paper</x:v>
      </x:c>
      <x:c r="G153" s="38" t="n">
        <x:v>36</x:v>
      </x:c>
      <x:c r="H153" s="38" t="str">
        <x:v>en</x:v>
      </x:c>
      <x:c r="I153" s="38" t="str">
        <x:v>Central Bank of Eswatini (Digital Lilangeni)</x:v>
      </x:c>
      <x:c r="J153" s="38" t="str">
        <x:v>The 
outcome of the pilot projects has not changed the position of the CBE in this 
regard, meaning that the CBE still aims to design a potential Digital Lilangeni as 
a non-interest bearing CBDC with legal tender status.</x:v>
      </x:c>
      <x:c r="K153" s="142" t="b">
        <x:v>0</x:v>
      </x:c>
      <x:c r="L153" s="146" t="str">
        <x:v>keep</x:v>
      </x:c>
      <x:c r="M153" s="146" t="str">
        <x:v>keep</x:v>
      </x:c>
      <x:c r="N153" s="147" t="b">
        <x:v>1</x:v>
      </x:c>
      <x:c r="O153" s="146" t="str">
        <x:v>PROG.remuneration_no</x:v>
      </x:c>
      <x:c r="P153" s="146" t="str">
        <x:v>PROG.remuneration_no</x:v>
      </x:c>
      <x:c r="Q153" s="146" t="str">
        <x:v>PROG</x:v>
      </x:c>
      <x:c r="R153" s="146" t="str">
        <x:v>PROG</x:v>
      </x:c>
      <x:c r="S153" s="146" t="str">
        <x:v>proposal</x:v>
      </x:c>
      <x:c r="T153" s="146" t="str">
        <x:v>proposal</x:v>
      </x:c>
      <x:c r="U153" s="146" t="str">
        <x:v>neutral</x:v>
      </x:c>
      <x:c r="V153" s="146" t="str">
        <x:v>neutral</x:v>
      </x:c>
      <x:c r="W153" s="146" t="str">
        <x:v>not_applicable</x:v>
      </x:c>
      <x:c r="X153" s="146" t="str">
        <x:v>not_applicable</x:v>
      </x:c>
      <x:c r="Y153" s="146" t="n">
        <x:v>3</x:v>
      </x:c>
      <x:c r="Z153" s="146" t="n">
        <x:v>1</x:v>
      </x:c>
      <x:c r="AA153" s="146" t="str">
        <x:v>high</x:v>
      </x:c>
      <x:c r="AB153" s="146" t="str">
        <x:v>high</x:v>
      </x:c>
      <x:c r="AC153" s="146"/>
      <x:c r="AD153" s="146" t="str">
        <x:v>x</x:v>
      </x:c>
      <x:c r="AE153" s="151" t="str">
        <x:v>LEGAL.basis;PROG.remuneration_no</x:v>
      </x:c>
      <x:c r="AF153" s="151" t="str">
        <x:v>ACCESS.universal</x:v>
      </x:c>
      <x:c r="AG153" s="151" t="str">
        <x:v>proposal</x:v>
      </x:c>
      <x:c r="AH153" s="151" t="str">
        <x:v>proposal</x:v>
      </x:c>
      <x:c r="AI153" s="154" t="n">
        <x:f>IF(K153,0,1)</x:f>
        <x:v>1</x:v>
      </x:c>
      <x:c r="AJ153" s="154" t="n">
        <x:f>IF(L153="keep",1,0)</x:f>
        <x:v>1</x:v>
      </x:c>
      <x:c r="AK153" s="154" t="n">
        <x:f>IF(M153="keep",1,0)</x:f>
        <x:v>1</x:v>
      </x:c>
      <x:c r="AL153" s="154" t="n">
        <x:f>(AJ153+AK153)/2</x:f>
        <x:v>1</x:v>
      </x:c>
      <x:c r="AM153" s="154" t="n">
        <x:f>MIN(AJ153,AK153)</x:f>
        <x:v>1</x:v>
      </x:c>
      <x:c r="AN153" s="154" t="n">
        <x:f>MAX(AJ153,AK153)</x:f>
        <x:v>1</x:v>
      </x:c>
      <x:c r="AO153" s="154" t="n">
        <x:f>IF(L153=M153,1,0)</x:f>
        <x:v>1</x:v>
      </x:c>
    </x:row>
    <x:row r="154">
      <x:c r="A154" s="38" t="str">
        <x:v>SV-0153</x:v>
      </x:c>
      <x:c r="B154" s="38" t="str">
        <x:v>PC-00343</x:v>
      </x:c>
      <x:c r="C154" s="38" t="str">
        <x:v>en|both</x:v>
      </x:c>
      <x:c r="D154" s="87" t="n">
        <x:v>19.069444444444443</x:v>
      </x:c>
      <x:c r="E154" s="38" t="str">
        <x:v>both</x:v>
      </x:c>
      <x:c r="F154" s="38" t="str">
        <x:v>AU_RBA_003</x:v>
      </x:c>
      <x:c r="G154" s="38" t="n">
        <x:v>40</x:v>
      </x:c>
      <x:c r="H154" s="38" t="str">
        <x:v>en</x:v>
      </x:c>
      <x:c r="I154" s="38" t="str">
        <x:v>Reserve Bank of Australia and Digital Finance CRC (Project Acacia)</x:v>
      </x:c>
      <x:c r="J154" s="38" t="str">
        <x:v>Fewer inter -system 
interactions may result in 
better settlement throughput 
and latency (no on - or off -
ramping into or out of 
tokenised money, and no 
interchange between different 
money tokens – interchange of 
commercial bank money 
occurs through existing highly 
performant infrastructure )</x:v>
      </x:c>
      <x:c r="K154" s="142" t="b">
        <x:v>0</x:v>
      </x:c>
      <x:c r="L154" s="146" t="str">
        <x:v>keep</x:v>
      </x:c>
      <x:c r="M154" s="146" t="str">
        <x:v>keep</x:v>
      </x:c>
      <x:c r="N154" s="147" t="b">
        <x:v>1</x:v>
      </x:c>
      <x:c r="O154" s="146" t="str">
        <x:v>OPS.resilience</x:v>
      </x:c>
      <x:c r="P154" s="146" t="str">
        <x:v>STAB.disintermediation</x:v>
      </x:c>
      <x:c r="Q154" s="146" t="str">
        <x:v>OPS</x:v>
      </x:c>
      <x:c r="R154" s="146" t="str">
        <x:v>STAB</x:v>
      </x:c>
      <x:c r="S154" s="146" t="str">
        <x:v>finding</x:v>
      </x:c>
      <x:c r="T154" s="146" t="str">
        <x:v>finding</x:v>
      </x:c>
      <x:c r="U154" s="146" t="str">
        <x:v>neutral</x:v>
      </x:c>
      <x:c r="V154" s="146" t="str">
        <x:v>neutral</x:v>
      </x:c>
      <x:c r="W154" s="146" t="str">
        <x:v>not_applicable</x:v>
      </x:c>
      <x:c r="X154" s="146" t="str">
        <x:v>not_applicable</x:v>
      </x:c>
      <x:c r="Y154" s="146" t="n">
        <x:v>2</x:v>
      </x:c>
      <x:c r="Z154" s="146" t="n">
        <x:v>2</x:v>
      </x:c>
      <x:c r="AA154" s="146" t="str">
        <x:v>high</x:v>
      </x:c>
      <x:c r="AB154" s="146" t="str">
        <x:v>high</x:v>
      </x:c>
      <x:c r="AC154" s="146"/>
      <x:c r="AD154" s="146"/>
      <x:c r="AE154" s="151" t="str">
        <x:v>OPS.resilience</x:v>
      </x:c>
      <x:c r="AF154" s="151" t="str">
        <x:v>STAB.disintermediation</x:v>
      </x:c>
      <x:c r="AG154" s="151" t="str">
        <x:v>finding</x:v>
      </x:c>
      <x:c r="AH154" s="151" t="str">
        <x:v>finding</x:v>
      </x:c>
      <x:c r="AI154" s="154" t="n">
        <x:f>IF(K154,0,1)</x:f>
        <x:v>1</x:v>
      </x:c>
      <x:c r="AJ154" s="154" t="n">
        <x:f>IF(L154="keep",1,0)</x:f>
        <x:v>1</x:v>
      </x:c>
      <x:c r="AK154" s="154" t="n">
        <x:f>IF(M154="keep",1,0)</x:f>
        <x:v>1</x:v>
      </x:c>
      <x:c r="AL154" s="154" t="n">
        <x:f>(AJ154+AK154)/2</x:f>
        <x:v>1</x:v>
      </x:c>
      <x:c r="AM154" s="154" t="n">
        <x:f>MIN(AJ154,AK154)</x:f>
        <x:v>1</x:v>
      </x:c>
      <x:c r="AN154" s="154" t="n">
        <x:f>MAX(AJ154,AK154)</x:f>
        <x:v>1</x:v>
      </x:c>
      <x:c r="AO154" s="154" t="n">
        <x:f>IF(L154=M154,1,0)</x:f>
        <x:v>1</x:v>
      </x:c>
    </x:row>
    <x:row r="155">
      <x:c r="A155" s="38" t="str">
        <x:v>SV-0154</x:v>
      </x:c>
      <x:c r="B155" s="38" t="str">
        <x:v>PC-04574</x:v>
      </x:c>
      <x:c r="C155" s="38" t="str">
        <x:v>en|both</x:v>
      </x:c>
      <x:c r="D155" s="87" t="n">
        <x:v>19.069444444444443</x:v>
      </x:c>
      <x:c r="E155" s="38" t="str">
        <x:v>both</x:v>
      </x:c>
      <x:c r="F155" s="38" t="str">
        <x:v>NZ_RBNZ_CBDCIssuesPaper_2021</x:v>
      </x:c>
      <x:c r="G155" s="38" t="n">
        <x:v>34</x:v>
      </x:c>
      <x:c r="H155" s="38" t="str">
        <x:v>en</x:v>
      </x:c>
      <x:c r="I155" s="38" t="str">
        <x:v>Reserve Bank of New Zealand</x:v>
      </x:c>
      <x:c r="J155" s="38" t="str">
        <x:v>Uniform: A CBDC should be exchanged 1:1 with cash and support the NZD as our single unit of 
account.</x:v>
      </x:c>
      <x:c r="K155" s="142" t="b">
        <x:v>0</x:v>
      </x:c>
      <x:c r="L155" s="146" t="str">
        <x:v>keep</x:v>
      </x:c>
      <x:c r="M155" s="146" t="str">
        <x:v>keep</x:v>
      </x:c>
      <x:c r="N155" s="147" t="b">
        <x:v>1</x:v>
      </x:c>
      <x:c r="O155" s="146" t="str">
        <x:v>CASH.relation</x:v>
      </x:c>
      <x:c r="P155" s="146" t="str">
        <x:v>CASH.relation</x:v>
      </x:c>
      <x:c r="Q155" s="146" t="str">
        <x:v>CASH</x:v>
      </x:c>
      <x:c r="R155" s="146" t="str">
        <x:v>CASH</x:v>
      </x:c>
      <x:c r="S155" s="146" t="str">
        <x:v>proposal</x:v>
      </x:c>
      <x:c r="T155" s="146" t="str">
        <x:v>proposal</x:v>
      </x:c>
      <x:c r="U155" s="146" t="str">
        <x:v>increases</x:v>
      </x:c>
      <x:c r="V155" s="146" t="str">
        <x:v>neutral</x:v>
      </x:c>
      <x:c r="W155" s="146" t="str">
        <x:v>from_state</x:v>
      </x:c>
      <x:c r="X155" s="146" t="str">
        <x:v>not_applicable</x:v>
      </x:c>
      <x:c r="Y155" s="146" t="n">
        <x:v>2</x:v>
      </x:c>
      <x:c r="Z155" s="146" t="n">
        <x:v>2</x:v>
      </x:c>
      <x:c r="AA155" s="146" t="str">
        <x:v>high</x:v>
      </x:c>
      <x:c r="AB155" s="146" t="str">
        <x:v>high</x:v>
      </x:c>
      <x:c r="AC155" s="146"/>
      <x:c r="AD155" s="146"/>
      <x:c r="AE155" s="151" t="str">
        <x:v>PRIV.ANON</x:v>
      </x:c>
      <x:c r="AF155" s="151" t="str">
        <x:v>CASH.relation</x:v>
      </x:c>
      <x:c r="AG155" s="151" t="str">
        <x:v>proposal</x:v>
      </x:c>
      <x:c r="AH155" s="151" t="str">
        <x:v>proposal</x:v>
      </x:c>
      <x:c r="AI155" s="154" t="n">
        <x:f>IF(K155,0,1)</x:f>
        <x:v>1</x:v>
      </x:c>
      <x:c r="AJ155" s="154" t="n">
        <x:f>IF(L155="keep",1,0)</x:f>
        <x:v>1</x:v>
      </x:c>
      <x:c r="AK155" s="154" t="n">
        <x:f>IF(M155="keep",1,0)</x:f>
        <x:v>1</x:v>
      </x:c>
      <x:c r="AL155" s="154" t="n">
        <x:f>(AJ155+AK155)/2</x:f>
        <x:v>1</x:v>
      </x:c>
      <x:c r="AM155" s="154" t="n">
        <x:f>MIN(AJ155,AK155)</x:f>
        <x:v>1</x:v>
      </x:c>
      <x:c r="AN155" s="154" t="n">
        <x:f>MAX(AJ155,AK155)</x:f>
        <x:v>1</x:v>
      </x:c>
      <x:c r="AO155" s="154" t="n">
        <x:f>IF(L155=M155,1,0)</x:f>
        <x:v>1</x:v>
      </x:c>
    </x:row>
    <x:row r="156">
      <x:c r="A156" s="38" t="str">
        <x:v>SV-0155</x:v>
      </x:c>
      <x:c r="B156" s="38" t="str">
        <x:v>PC-04595</x:v>
      </x:c>
      <x:c r="C156" s="38" t="str">
        <x:v>en|both</x:v>
      </x:c>
      <x:c r="D156" s="87" t="n">
        <x:v>19.069444444444443</x:v>
      </x:c>
      <x:c r="E156" s="38" t="str">
        <x:v>both</x:v>
      </x:c>
      <x:c r="F156" s="38" t="str">
        <x:v>NZ_RBNZ_cbdc-insights-dossier-for-public-1</x:v>
      </x:c>
      <x:c r="G156" s="38" t="n">
        <x:v>45</x:v>
      </x:c>
      <x:c r="H156" s="38" t="str">
        <x:v>en</x:v>
      </x:c>
      <x:c r="I156" s="38" t="str">
        <x:v>Reserve Bank of New Zealand (digital cash/CBDC)</x:v>
      </x:c>
      <x:c r="J156" s="38" t="str">
        <x:v>Rationale:RBNZ’s initial preference is interoperability with existing payments systems.</x:v>
      </x:c>
      <x:c r="K156" s="142" t="b">
        <x:v>0</x:v>
      </x:c>
      <x:c r="L156" s="146" t="str">
        <x:v>keep</x:v>
      </x:c>
      <x:c r="M156" s="146" t="str">
        <x:v>keep</x:v>
      </x:c>
      <x:c r="N156" s="147" t="b">
        <x:v>1</x:v>
      </x:c>
      <x:c r="O156" s="146" t="str">
        <x:v>INTEROP.domestic</x:v>
      </x:c>
      <x:c r="P156" s="146" t="str">
        <x:v>INTEROP.domestic</x:v>
      </x:c>
      <x:c r="Q156" s="146" t="str">
        <x:v>INTEROP</x:v>
      </x:c>
      <x:c r="R156" s="146" t="str">
        <x:v>INTEROP</x:v>
      </x:c>
      <x:c r="S156" s="146" t="str">
        <x:v>proposal</x:v>
      </x:c>
      <x:c r="T156" s="146" t="str">
        <x:v>proposal</x:v>
      </x:c>
      <x:c r="U156" s="146" t="str">
        <x:v>neutral</x:v>
      </x:c>
      <x:c r="V156" s="146" t="str">
        <x:v>neutral</x:v>
      </x:c>
      <x:c r="W156" s="146" t="str">
        <x:v>not_applicable</x:v>
      </x:c>
      <x:c r="X156" s="146" t="str">
        <x:v>not_applicable</x:v>
      </x:c>
      <x:c r="Y156" s="146" t="n">
        <x:v>3</x:v>
      </x:c>
      <x:c r="Z156" s="146" t="n">
        <x:v>3</x:v>
      </x:c>
      <x:c r="AA156" s="146" t="str">
        <x:v>high</x:v>
      </x:c>
      <x:c r="AB156" s="146" t="str">
        <x:v>high</x:v>
      </x:c>
      <x:c r="AC156" s="146"/>
      <x:c r="AD156" s="146"/>
      <x:c r="AE156" s="151" t="str">
        <x:v>INTEROP.domestic</x:v>
      </x:c>
      <x:c r="AF156" s="151" t="str">
        <x:v>INTEROP.domestic</x:v>
      </x:c>
      <x:c r="AG156" s="151" t="str">
        <x:v>proposal</x:v>
      </x:c>
      <x:c r="AH156" s="151" t="str">
        <x:v>proposal</x:v>
      </x:c>
      <x:c r="AI156" s="154" t="n">
        <x:f>IF(K156,0,1)</x:f>
        <x:v>1</x:v>
      </x:c>
      <x:c r="AJ156" s="154" t="n">
        <x:f>IF(L156="keep",1,0)</x:f>
        <x:v>1</x:v>
      </x:c>
      <x:c r="AK156" s="154" t="n">
        <x:f>IF(M156="keep",1,0)</x:f>
        <x:v>1</x:v>
      </x:c>
      <x:c r="AL156" s="154" t="n">
        <x:f>(AJ156+AK156)/2</x:f>
        <x:v>1</x:v>
      </x:c>
      <x:c r="AM156" s="154" t="n">
        <x:f>MIN(AJ156,AK156)</x:f>
        <x:v>1</x:v>
      </x:c>
      <x:c r="AN156" s="154" t="n">
        <x:f>MAX(AJ156,AK156)</x:f>
        <x:v>1</x:v>
      </x:c>
      <x:c r="AO156" s="154" t="n">
        <x:f>IF(L156=M156,1,0)</x:f>
        <x:v>1</x:v>
      </x:c>
    </x:row>
    <x:row r="157">
      <x:c r="A157" s="38" t="str">
        <x:v>SV-0156</x:v>
      </x:c>
      <x:c r="B157" s="38" t="str">
        <x:v>PC-03280</x:v>
      </x:c>
      <x:c r="C157" s="38" t="str">
        <x:v>en|openai_only</x:v>
      </x:c>
      <x:c r="D157" s="87" t="n">
        <x:v>19.21875</x:v>
      </x:c>
      <x:c r="E157" s="38" t="str">
        <x:v>openai_only</x:v>
      </x:c>
      <x:c r="F157" s="38" t="str">
        <x:v>IL_Israel_#U05d0#U05e8#U05db#U05d9#U05d8#U05e7#U05d8#U05d5#U05e8#U05d4-#U05dc#U05d5#U05d2#U05d9#U05ea-#U05d0#U05e0#U05d2#U05dc#U05d9#U05ea.pdf</x:v>
      </x:c>
      <x:c r="G157" s="38" t="n">
        <x:v>36</x:v>
      </x:c>
      <x:c r="H157" s="38" t="str">
        <x:v>en</x:v>
      </x:c>
      <x:c r="I157" s="38" t="str">
        <x:v>Bank of Israel (digital shekel)</x:v>
      </x:c>
      <x:c r="J157" s="38" t="str">
        <x:v>The system will support the participation of various types of FIs, whether or not they are connected 
to the RTGS system.</x:v>
      </x:c>
      <x:c r="K157" s="142" t="b">
        <x:v>0</x:v>
      </x:c>
      <x:c r="L157" s="146" t="str">
        <x:v>keep</x:v>
      </x:c>
      <x:c r="M157" s="146" t="str">
        <x:v>exclude</x:v>
      </x:c>
      <x:c r="N157" s="147" t="b">
        <x:v>0</x:v>
      </x:c>
      <x:c r="O157" s="146" t="str">
        <x:v>SYS.design</x:v>
      </x:c>
      <x:c r="P157" s="146"/>
      <x:c r="Q157" s="146" t="str">
        <x:v>SYS</x:v>
      </x:c>
      <x:c r="R157" s="146" t="str"/>
      <x:c r="S157" s="146" t="str">
        <x:v>decision</x:v>
      </x:c>
      <x:c r="T157" s="146"/>
      <x:c r="U157" s="146" t="str">
        <x:v>neutral</x:v>
      </x:c>
      <x:c r="V157" s="146"/>
      <x:c r="W157" s="146" t="str">
        <x:v>not_applicable</x:v>
      </x:c>
      <x:c r="X157" s="146"/>
      <x:c r="Y157" s="146" t="n">
        <x:v>2</x:v>
      </x:c>
      <x:c r="Z157" s="146"/>
      <x:c r="AA157" s="146" t="str">
        <x:v>high</x:v>
      </x:c>
      <x:c r="AB157" s="146" t="str">
        <x:v>high</x:v>
      </x:c>
      <x:c r="AC157" s="146"/>
      <x:c r="AD157" s="146"/>
      <x:c r="AE157" s="151" t="str">
        <x:v>SYS.design</x:v>
      </x:c>
      <x:c r="AF157" s="151"/>
      <x:c r="AG157" s="151" t="str">
        <x:v>decision</x:v>
      </x:c>
      <x:c r="AH157" s="151"/>
      <x:c r="AI157" s="154" t="n">
        <x:f>IF(K157,0,1)</x:f>
        <x:v>1</x:v>
      </x:c>
      <x:c r="AJ157" s="154" t="n">
        <x:f>IF(L157="keep",1,0)</x:f>
        <x:v>1</x:v>
      </x:c>
      <x:c r="AK157" s="154" t="n">
        <x:f>IF(M157="keep",1,0)</x:f>
        <x:v>0</x:v>
      </x:c>
      <x:c r="AL157" s="154" t="n">
        <x:f>(AJ157+AK157)/2</x:f>
        <x:v>0.5</x:v>
      </x:c>
      <x:c r="AM157" s="154" t="n">
        <x:f>MIN(AJ157,AK157)</x:f>
        <x:v>0</x:v>
      </x:c>
      <x:c r="AN157" s="154" t="n">
        <x:f>MAX(AJ157,AK157)</x:f>
        <x:v>1</x:v>
      </x:c>
      <x:c r="AO157" s="154" t="n">
        <x:f>IF(L157=M157,1,0)</x:f>
        <x:v>0</x:v>
      </x:c>
    </x:row>
    <x:row r="158">
      <x:c r="A158" s="38" t="str">
        <x:v>SV-0157</x:v>
      </x:c>
      <x:c r="B158" s="38" t="str">
        <x:v>PC-05425</x:v>
      </x:c>
      <x:c r="C158" s="38" t="str">
        <x:v>en|both</x:v>
      </x:c>
      <x:c r="D158" s="87" t="n">
        <x:v>19.069444444444443</x:v>
      </x:c>
      <x:c r="E158" s="38" t="str">
        <x:v>both</x:v>
      </x:c>
      <x:c r="F158" s="38" t="str">
        <x:v>SZ_Eswatini_2024-Fintech-Digital-Lilangeni-Design-Paper</x:v>
      </x:c>
      <x:c r="G158" s="38" t="n">
        <x:v>11</x:v>
      </x:c>
      <x:c r="H158" s="38" t="str">
        <x:v>en</x:v>
      </x:c>
      <x:c r="I158" s="38" t="str">
        <x:v>Central Bank of Eswatini (Digital Lilangeni)</x:v>
      </x:c>
      <x:c r="J158" s="38" t="str">
        <x:v>The ability to utilise the analytics on aggregate retail payment data opens up new 
opportunities for the CBE in financial stability and monetary policy.</x:v>
      </x:c>
      <x:c r="K158" s="142" t="b">
        <x:v>0</x:v>
      </x:c>
      <x:c r="L158" s="146" t="str">
        <x:v>keep</x:v>
      </x:c>
      <x:c r="M158" s="146" t="str">
        <x:v>keep</x:v>
      </x:c>
      <x:c r="N158" s="147" t="b">
        <x:v>1</x:v>
      </x:c>
      <x:c r="O158" s="146" t="str">
        <x:v>PRIV.CB.visibility.transparent</x:v>
      </x:c>
      <x:c r="P158" s="146" t="str">
        <x:v>STAB.disintermediation</x:v>
      </x:c>
      <x:c r="Q158" s="146" t="str">
        <x:v>PRIV</x:v>
      </x:c>
      <x:c r="R158" s="146" t="str">
        <x:v>STAB</x:v>
      </x:c>
      <x:c r="S158" s="146" t="str">
        <x:v>proposal</x:v>
      </x:c>
      <x:c r="T158" s="146" t="str">
        <x:v>proposal</x:v>
      </x:c>
      <x:c r="U158" s="146" t="str">
        <x:v>decreases</x:v>
      </x:c>
      <x:c r="V158" s="146" t="str">
        <x:v>neutral</x:v>
      </x:c>
      <x:c r="W158" s="146" t="str">
        <x:v>from_state</x:v>
      </x:c>
      <x:c r="X158" s="146" t="str">
        <x:v>not_applicable</x:v>
      </x:c>
      <x:c r="Y158" s="146" t="n">
        <x:v>2</x:v>
      </x:c>
      <x:c r="Z158" s="146" t="n">
        <x:v>1</x:v>
      </x:c>
      <x:c r="AA158" s="146" t="str">
        <x:v>high</x:v>
      </x:c>
      <x:c r="AB158" s="146" t="str">
        <x:v>high</x:v>
      </x:c>
      <x:c r="AC158" s="146"/>
      <x:c r="AD158" s="146"/>
      <x:c r="AE158" s="151" t="str">
        <x:v>SYS.design</x:v>
      </x:c>
      <x:c r="AF158" s="151" t="str">
        <x:v>STAB.disintermediation</x:v>
      </x:c>
      <x:c r="AG158" s="151" t="str">
        <x:v>proposal</x:v>
      </x:c>
      <x:c r="AH158" s="151" t="str">
        <x:v>proposal</x:v>
      </x:c>
      <x:c r="AI158" s="154" t="n">
        <x:f>IF(K158,0,1)</x:f>
        <x:v>1</x:v>
      </x:c>
      <x:c r="AJ158" s="154" t="n">
        <x:f>IF(L158="keep",1,0)</x:f>
        <x:v>1</x:v>
      </x:c>
      <x:c r="AK158" s="154" t="n">
        <x:f>IF(M158="keep",1,0)</x:f>
        <x:v>1</x:v>
      </x:c>
      <x:c r="AL158" s="154" t="n">
        <x:f>(AJ158+AK158)/2</x:f>
        <x:v>1</x:v>
      </x:c>
      <x:c r="AM158" s="154" t="n">
        <x:f>MIN(AJ158,AK158)</x:f>
        <x:v>1</x:v>
      </x:c>
      <x:c r="AN158" s="154" t="n">
        <x:f>MAX(AJ158,AK158)</x:f>
        <x:v>1</x:v>
      </x:c>
      <x:c r="AO158" s="154" t="n">
        <x:f>IF(L158=M158,1,0)</x:f>
        <x:v>1</x:v>
      </x:c>
    </x:row>
    <x:row r="159">
      <x:c r="A159" s="38" t="str">
        <x:v>SV-0158</x:v>
      </x:c>
      <x:c r="B159" s="38" t="str">
        <x:v>PC-05002</x:v>
      </x:c>
      <x:c r="C159" s="38" t="str">
        <x:v>en|claude_only</x:v>
      </x:c>
      <x:c r="D159" s="87" t="n">
        <x:v>19.375</x:v>
      </x:c>
      <x:c r="E159" s="38" t="str">
        <x:v>claude_only</x:v>
      </x:c>
      <x:c r="F159" s="38" t="str">
        <x:v>RU_Russia_consultation_paper_201013</x:v>
      </x:c>
      <x:c r="G159" s="38" t="n">
        <x:v>32</x:v>
      </x:c>
      <x:c r="H159" s="38" t="str">
        <x:v>en</x:v>
      </x:c>
      <x:c r="I159" s="38" t="str">
        <x:v>Bank of Russia (digital ruble)</x:v>
      </x:c>
      <x:c r="J159" s="38" t="str">
        <x:v>When clients make payments on the CBDC platform, confidentiality restrictions may be established 
which imply that banks / financial intermediaries (models C and D) only have access to identification 
information about customers’ wallets and not about the purpose and destination of payments made 
by customers using their CBDC wallets.</x:v>
      </x:c>
      <x:c r="K159" s="142" t="b">
        <x:v>0</x:v>
      </x:c>
      <x:c r="L159" s="146" t="str">
        <x:v>exclude</x:v>
      </x:c>
      <x:c r="M159" s="146" t="str">
        <x:v>keep</x:v>
      </x:c>
      <x:c r="N159" s="147" t="b">
        <x:v>0</x:v>
      </x:c>
      <x:c r="O159" s="146"/>
      <x:c r="P159" s="146" t="str">
        <x:v>PRIV.MIN</x:v>
      </x:c>
      <x:c r="Q159" s="146" t="str"/>
      <x:c r="R159" s="146" t="str">
        <x:v>PRIV</x:v>
      </x:c>
      <x:c r="S159" s="146"/>
      <x:c r="T159" s="146" t="str">
        <x:v>proposal</x:v>
      </x:c>
      <x:c r="U159" s="146"/>
      <x:c r="V159" s="146" t="str">
        <x:v>increases</x:v>
      </x:c>
      <x:c r="W159" s="146"/>
      <x:c r="X159" s="146" t="str">
        <x:v>from_intermediary</x:v>
      </x:c>
      <x:c r="Y159" s="146"/>
      <x:c r="Z159" s="146" t="n">
        <x:v>2</x:v>
      </x:c>
      <x:c r="AA159" s="146" t="str">
        <x:v>high</x:v>
      </x:c>
      <x:c r="AB159" s="146" t="str">
        <x:v>high</x:v>
      </x:c>
      <x:c r="AC159" s="146"/>
      <x:c r="AD159" s="146"/>
      <x:c r="AE159" s="151"/>
      <x:c r="AF159" s="151" t="str">
        <x:v>PRIV.MIN</x:v>
      </x:c>
      <x:c r="AG159" s="151"/>
      <x:c r="AH159" s="151" t="str">
        <x:v>proposal</x:v>
      </x:c>
      <x:c r="AI159" s="154" t="n">
        <x:f>IF(K159,0,1)</x:f>
        <x:v>1</x:v>
      </x:c>
      <x:c r="AJ159" s="154" t="n">
        <x:f>IF(L159="keep",1,0)</x:f>
        <x:v>0</x:v>
      </x:c>
      <x:c r="AK159" s="154" t="n">
        <x:f>IF(M159="keep",1,0)</x:f>
        <x:v>1</x:v>
      </x:c>
      <x:c r="AL159" s="154" t="n">
        <x:f>(AJ159+AK159)/2</x:f>
        <x:v>0.5</x:v>
      </x:c>
      <x:c r="AM159" s="154" t="n">
        <x:f>MIN(AJ159,AK159)</x:f>
        <x:v>0</x:v>
      </x:c>
      <x:c r="AN159" s="154" t="n">
        <x:f>MAX(AJ159,AK159)</x:f>
        <x:v>1</x:v>
      </x:c>
      <x:c r="AO159" s="154" t="n">
        <x:f>IF(L159=M159,1,0)</x:f>
        <x:v>0</x:v>
      </x:c>
    </x:row>
    <x:row r="160">
      <x:c r="A160" s="38" t="str">
        <x:v>SV-0159</x:v>
      </x:c>
      <x:c r="B160" s="38" t="str">
        <x:v>PC-01867</x:v>
      </x:c>
      <x:c r="C160" s="38" t="str">
        <x:v>en|both</x:v>
      </x:c>
      <x:c r="D160" s="87" t="n">
        <x:v>19.069444444444443</x:v>
      </x:c>
      <x:c r="E160" s="38" t="str">
        <x:v>both</x:v>
      </x:c>
      <x:c r="F160" s="38" t="str">
        <x:v>HK_HKMA_2021</x:v>
      </x:c>
      <x:c r="G160" s="38" t="n">
        <x:v>30</x:v>
      </x:c>
      <x:c r="H160" s="38" t="str">
        <x:v>en</x:v>
      </x:c>
      <x:c r="I160" s="38" t="str">
        <x:v>Hong Kong Monetary Authority (e-HKD)</x:v>
      </x:c>
      <x:c r="J160" s="38" t="str">
        <x:v>To improve the user friendliness of this model, 
users would only see account balances at intermediaries serving them, and the intermediaries would 
manage UTXO transactions for the users.</x:v>
      </x:c>
      <x:c r="K160" s="142" t="b">
        <x:v>0</x:v>
      </x:c>
      <x:c r="L160" s="146" t="str">
        <x:v>keep</x:v>
      </x:c>
      <x:c r="M160" s="146" t="str">
        <x:v>keep</x:v>
      </x:c>
      <x:c r="N160" s="147" t="b">
        <x:v>1</x:v>
      </x:c>
      <x:c r="O160" s="146" t="str">
        <x:v>ADOPT.experience</x:v>
      </x:c>
      <x:c r="P160" s="146" t="str">
        <x:v>TECH.TOKEN.considered</x:v>
      </x:c>
      <x:c r="Q160" s="146" t="str">
        <x:v>ADOPT</x:v>
      </x:c>
      <x:c r="R160" s="146" t="str">
        <x:v>TECH</x:v>
      </x:c>
      <x:c r="S160" s="146" t="str">
        <x:v>proposal</x:v>
      </x:c>
      <x:c r="T160" s="146" t="str">
        <x:v>finding</x:v>
      </x:c>
      <x:c r="U160" s="146" t="str">
        <x:v>neutral</x:v>
      </x:c>
      <x:c r="V160" s="146" t="str">
        <x:v>neutral</x:v>
      </x:c>
      <x:c r="W160" s="146" t="str">
        <x:v>not_applicable</x:v>
      </x:c>
      <x:c r="X160" s="146" t="str">
        <x:v>not_applicable</x:v>
      </x:c>
      <x:c r="Y160" s="146" t="n">
        <x:v>2</x:v>
      </x:c>
      <x:c r="Z160" s="146" t="n">
        <x:v>2</x:v>
      </x:c>
      <x:c r="AA160" s="146" t="str">
        <x:v>high</x:v>
      </x:c>
      <x:c r="AB160" s="146" t="str">
        <x:v>high</x:v>
      </x:c>
      <x:c r="AC160" s="146"/>
      <x:c r="AD160" s="146"/>
      <x:c r="AE160" s="151" t="str">
        <x:v>SYS.design</x:v>
      </x:c>
      <x:c r="AF160" s="151" t="str">
        <x:v>TECH.TOKEN.considered</x:v>
      </x:c>
      <x:c r="AG160" s="151" t="str">
        <x:v>proposal</x:v>
      </x:c>
      <x:c r="AH160" s="151" t="str">
        <x:v>finding</x:v>
      </x:c>
      <x:c r="AI160" s="154" t="n">
        <x:f>IF(K160,0,1)</x:f>
        <x:v>1</x:v>
      </x:c>
      <x:c r="AJ160" s="154" t="n">
        <x:f>IF(L160="keep",1,0)</x:f>
        <x:v>1</x:v>
      </x:c>
      <x:c r="AK160" s="154" t="n">
        <x:f>IF(M160="keep",1,0)</x:f>
        <x:v>1</x:v>
      </x:c>
      <x:c r="AL160" s="154" t="n">
        <x:f>(AJ160+AK160)/2</x:f>
        <x:v>1</x:v>
      </x:c>
      <x:c r="AM160" s="154" t="n">
        <x:f>MIN(AJ160,AK160)</x:f>
        <x:v>1</x:v>
      </x:c>
      <x:c r="AN160" s="154" t="n">
        <x:f>MAX(AJ160,AK160)</x:f>
        <x:v>1</x:v>
      </x:c>
      <x:c r="AO160" s="154" t="n">
        <x:f>IF(L160=M160,1,0)</x:f>
        <x:v>1</x:v>
      </x:c>
    </x:row>
    <x:row r="161">
      <x:c r="A161" s="38" t="str">
        <x:v>SV-0160</x:v>
      </x:c>
      <x:c r="B161" s="38" t="str">
        <x:v>PC-01808</x:v>
      </x:c>
      <x:c r="C161" s="38" t="str">
        <x:v>en|openai_only</x:v>
      </x:c>
      <x:c r="D161" s="87" t="n">
        <x:v>19.21875</x:v>
      </x:c>
      <x:c r="E161" s="38" t="str">
        <x:v>openai_only</x:v>
      </x:c>
      <x:c r="F161" s="38" t="str">
        <x:v>HK_HKMA_2021</x:v>
      </x:c>
      <x:c r="G161" s="38" t="n">
        <x:v>16</x:v>
      </x:c>
      <x:c r="H161" s="38" t="str">
        <x:v>en</x:v>
      </x:c>
      <x:c r="I161" s="38" t="str">
        <x:v>Hong Kong Monetary Authority (e-HKD)</x:v>
      </x:c>
      <x:c r="J161" s="38" t="str">
        <x:v>A robust design is necessary to guard against the po ssibility of over -issuance and doub le 
spending by an intermediary.</x:v>
      </x:c>
      <x:c r="K161" s="142" t="b">
        <x:v>0</x:v>
      </x:c>
      <x:c r="L161" s="146" t="str">
        <x:v>keep</x:v>
      </x:c>
      <x:c r="M161" s="146" t="str">
        <x:v>exclude</x:v>
      </x:c>
      <x:c r="N161" s="147" t="b">
        <x:v>0</x:v>
      </x:c>
      <x:c r="O161" s="146" t="str">
        <x:v>OPS.resilience</x:v>
      </x:c>
      <x:c r="P161" s="146"/>
      <x:c r="Q161" s="146" t="str">
        <x:v>OPS</x:v>
      </x:c>
      <x:c r="R161" s="146" t="str"/>
      <x:c r="S161" s="146" t="str">
        <x:v>proposal</x:v>
      </x:c>
      <x:c r="T161" s="146"/>
      <x:c r="U161" s="146" t="str">
        <x:v>neutral</x:v>
      </x:c>
      <x:c r="V161" s="146"/>
      <x:c r="W161" s="146" t="str">
        <x:v>not_applicable</x:v>
      </x:c>
      <x:c r="X161" s="146"/>
      <x:c r="Y161" s="146" t="n">
        <x:v>2</x:v>
      </x:c>
      <x:c r="Z161" s="146"/>
      <x:c r="AA161" s="146" t="str">
        <x:v>high</x:v>
      </x:c>
      <x:c r="AB161" s="146" t="str">
        <x:v>high</x:v>
      </x:c>
      <x:c r="AC161" s="146"/>
      <x:c r="AD161" s="146"/>
      <x:c r="AE161" s="151" t="str">
        <x:v>OPS.resilience</x:v>
      </x:c>
      <x:c r="AF161" s="151"/>
      <x:c r="AG161" s="151" t="str">
        <x:v>proposal</x:v>
      </x:c>
      <x:c r="AH161" s="151"/>
      <x:c r="AI161" s="154" t="n">
        <x:f>IF(K161,0,1)</x:f>
        <x:v>1</x:v>
      </x:c>
      <x:c r="AJ161" s="154" t="n">
        <x:f>IF(L161="keep",1,0)</x:f>
        <x:v>1</x:v>
      </x:c>
      <x:c r="AK161" s="154" t="n">
        <x:f>IF(M161="keep",1,0)</x:f>
        <x:v>0</x:v>
      </x:c>
      <x:c r="AL161" s="154" t="n">
        <x:f>(AJ161+AK161)/2</x:f>
        <x:v>0.5</x:v>
      </x:c>
      <x:c r="AM161" s="154" t="n">
        <x:f>MIN(AJ161,AK161)</x:f>
        <x:v>0</x:v>
      </x:c>
      <x:c r="AN161" s="154" t="n">
        <x:f>MAX(AJ161,AK161)</x:f>
        <x:v>1</x:v>
      </x:c>
      <x:c r="AO161" s="154" t="n">
        <x:f>IF(L161=M161,1,0)</x:f>
        <x:v>0</x:v>
      </x:c>
    </x:row>
    <x:row r="162">
      <x:c r="A162" s="38" t="str">
        <x:v>SV-0161</x:v>
      </x:c>
      <x:c r="B162" s="38" t="str">
        <x:v>PC-06183</x:v>
      </x:c>
      <x:c r="C162" s="38" t="str">
        <x:v>en|both</x:v>
      </x:c>
      <x:c r="D162" s="87" t="n">
        <x:v>19.069444444444443</x:v>
      </x:c>
      <x:c r="E162" s="38" t="str">
        <x:v>both</x:v>
      </x:c>
      <x:c r="F162" s="38" t="str">
        <x:v>UK_BoE_2023_TechWP</x:v>
      </x:c>
      <x:c r="G162" s="38" t="n">
        <x:v>7</x:v>
      </x:c>
      <x:c r="H162" s="38" t="str">
        <x:v>en</x:v>
      </x:c>
      <x:c r="I162" s="38" t="str">
        <x:v>Bank of England and HM Treasury (digital pound)</x:v>
      </x:c>
      <x:c r="J162" s="38" t="str">
        <x:v>CBDC would be interoperable, allowing conversion between CBDC and 
other forms of money, particularly cash and bank deposits.</x:v>
      </x:c>
      <x:c r="K162" s="142" t="b">
        <x:v>0</x:v>
      </x:c>
      <x:c r="L162" s="146" t="str">
        <x:v>keep</x:v>
      </x:c>
      <x:c r="M162" s="146" t="str">
        <x:v>keep</x:v>
      </x:c>
      <x:c r="N162" s="147" t="b">
        <x:v>1</x:v>
      </x:c>
      <x:c r="O162" s="146" t="str">
        <x:v>INTEROP.domestic</x:v>
      </x:c>
      <x:c r="P162" s="146" t="str">
        <x:v>INTEROP.domestic</x:v>
      </x:c>
      <x:c r="Q162" s="146" t="str">
        <x:v>INTEROP</x:v>
      </x:c>
      <x:c r="R162" s="146" t="str">
        <x:v>INTEROP</x:v>
      </x:c>
      <x:c r="S162" s="146" t="str">
        <x:v>proposal</x:v>
      </x:c>
      <x:c r="T162" s="146" t="str">
        <x:v>proposal</x:v>
      </x:c>
      <x:c r="U162" s="146" t="str">
        <x:v>neutral</x:v>
      </x:c>
      <x:c r="V162" s="146" t="str">
        <x:v>neutral</x:v>
      </x:c>
      <x:c r="W162" s="146" t="str">
        <x:v>not_applicable</x:v>
      </x:c>
      <x:c r="X162" s="146" t="str">
        <x:v>not_applicable</x:v>
      </x:c>
      <x:c r="Y162" s="146" t="n">
        <x:v>3</x:v>
      </x:c>
      <x:c r="Z162" s="146" t="n">
        <x:v>2</x:v>
      </x:c>
      <x:c r="AA162" s="146" t="str">
        <x:v>high</x:v>
      </x:c>
      <x:c r="AB162" s="146" t="str">
        <x:v>high</x:v>
      </x:c>
      <x:c r="AC162" s="146"/>
      <x:c r="AD162" s="146"/>
      <x:c r="AE162" s="151" t="str">
        <x:v>INTEROP.domestic</x:v>
      </x:c>
      <x:c r="AF162" s="151" t="str">
        <x:v>INTEROP.domestic</x:v>
      </x:c>
      <x:c r="AG162" s="151" t="str">
        <x:v>proposal</x:v>
      </x:c>
      <x:c r="AH162" s="151" t="str">
        <x:v>proposal</x:v>
      </x:c>
      <x:c r="AI162" s="154" t="n">
        <x:f>IF(K162,0,1)</x:f>
        <x:v>1</x:v>
      </x:c>
      <x:c r="AJ162" s="154" t="n">
        <x:f>IF(L162="keep",1,0)</x:f>
        <x:v>1</x:v>
      </x:c>
      <x:c r="AK162" s="154" t="n">
        <x:f>IF(M162="keep",1,0)</x:f>
        <x:v>1</x:v>
      </x:c>
      <x:c r="AL162" s="154" t="n">
        <x:f>(AJ162+AK162)/2</x:f>
        <x:v>1</x:v>
      </x:c>
      <x:c r="AM162" s="154" t="n">
        <x:f>MIN(AJ162,AK162)</x:f>
        <x:v>1</x:v>
      </x:c>
      <x:c r="AN162" s="154" t="n">
        <x:f>MAX(AJ162,AK162)</x:f>
        <x:v>1</x:v>
      </x:c>
      <x:c r="AO162" s="154" t="n">
        <x:f>IF(L162=M162,1,0)</x:f>
        <x:v>1</x:v>
      </x:c>
    </x:row>
    <x:row r="163">
      <x:c r="A163" s="38" t="str">
        <x:v>SV-0162</x:v>
      </x:c>
      <x:c r="B163" s="38" t="str">
        <x:v>PC-05247</x:v>
      </x:c>
      <x:c r="C163" s="38" t="str">
        <x:v>en|claude_only</x:v>
      </x:c>
      <x:c r="D163" s="87" t="n">
        <x:v>19.375</x:v>
      </x:c>
      <x:c r="E163" s="38" t="str">
        <x:v>claude_only</x:v>
      </x:c>
      <x:c r="F163" s="38" t="str">
        <x:v>SE_Riksbank_PaymentsReport_2026</x:v>
      </x:c>
      <x:c r="G163" s="38" t="n">
        <x:v>63</x:v>
      </x:c>
      <x:c r="H163" s="38" t="str">
        <x:v>en</x:v>
      </x:c>
      <x:c r="I163" s="38" t="str">
        <x:v>Sveriges Riksbank</x:v>
      </x:c>
      <x:c r="J163" s="38" t="str">
        <x:v>Such an e-krona could, by agreement with the ECB, use the euro digital platform. This 
would enable a major cost advantage and compatibility between Swedish and 
European payments.</x:v>
      </x:c>
      <x:c r="K163" s="142" t="b">
        <x:v>0</x:v>
      </x:c>
      <x:c r="L163" s="146" t="str">
        <x:v>exclude</x:v>
      </x:c>
      <x:c r="M163" s="146" t="str">
        <x:v>keep</x:v>
      </x:c>
      <x:c r="N163" s="147" t="b">
        <x:v>0</x:v>
      </x:c>
      <x:c r="O163" s="146"/>
      <x:c r="P163" s="146" t="str">
        <x:v>SYS.design</x:v>
      </x:c>
      <x:c r="Q163" s="146" t="str"/>
      <x:c r="R163" s="146" t="str">
        <x:v>SYS</x:v>
      </x:c>
      <x:c r="S163" s="146"/>
      <x:c r="T163" s="146" t="str">
        <x:v>proposal</x:v>
      </x:c>
      <x:c r="U163" s="146"/>
      <x:c r="V163" s="146" t="str">
        <x:v>neutral</x:v>
      </x:c>
      <x:c r="W163" s="146"/>
      <x:c r="X163" s="146" t="str">
        <x:v>not_applicable</x:v>
      </x:c>
      <x:c r="Y163" s="146"/>
      <x:c r="Z163" s="146" t="n">
        <x:v>2</x:v>
      </x:c>
      <x:c r="AA163" s="146" t="str">
        <x:v>high</x:v>
      </x:c>
      <x:c r="AB163" s="146" t="str">
        <x:v>high</x:v>
      </x:c>
      <x:c r="AC163" s="146"/>
      <x:c r="AD163" s="146"/>
      <x:c r="AE163" s="151"/>
      <x:c r="AF163" s="151" t="str">
        <x:v>SYS.design</x:v>
      </x:c>
      <x:c r="AG163" s="151"/>
      <x:c r="AH163" s="151" t="str">
        <x:v>proposal</x:v>
      </x:c>
      <x:c r="AI163" s="154" t="n">
        <x:f>IF(K163,0,1)</x:f>
        <x:v>1</x:v>
      </x:c>
      <x:c r="AJ163" s="154" t="n">
        <x:f>IF(L163="keep",1,0)</x:f>
        <x:v>0</x:v>
      </x:c>
      <x:c r="AK163" s="154" t="n">
        <x:f>IF(M163="keep",1,0)</x:f>
        <x:v>1</x:v>
      </x:c>
      <x:c r="AL163" s="154" t="n">
        <x:f>(AJ163+AK163)/2</x:f>
        <x:v>0.5</x:v>
      </x:c>
      <x:c r="AM163" s="154" t="n">
        <x:f>MIN(AJ163,AK163)</x:f>
        <x:v>0</x:v>
      </x:c>
      <x:c r="AN163" s="154" t="n">
        <x:f>MAX(AJ163,AK163)</x:f>
        <x:v>1</x:v>
      </x:c>
      <x:c r="AO163" s="154" t="n">
        <x:f>IF(L163=M163,1,0)</x:f>
        <x:v>0</x:v>
      </x:c>
    </x:row>
    <x:row r="164">
      <x:c r="A164" s="38" t="str">
        <x:v>SV-0163</x:v>
      </x:c>
      <x:c r="B164" s="38" t="str">
        <x:v>PC-02123</x:v>
      </x:c>
      <x:c r="C164" s="38" t="str">
        <x:v>en|claude_only</x:v>
      </x:c>
      <x:c r="D164" s="87" t="n">
        <x:v>19.375</x:v>
      </x:c>
      <x:c r="E164" s="38" t="str">
        <x:v>claude_only</x:v>
      </x:c>
      <x:c r="F164" s="38" t="str">
        <x:v>HK_HKMA_eHKD_PolicyDesign</x:v>
      </x:c>
      <x:c r="G164" s="38" t="n">
        <x:v>27</x:v>
      </x:c>
      <x:c r="H164" s="38" t="str">
        <x:v>en</x:v>
      </x:c>
      <x:c r="I164" s="38" t="str">
        <x:v>Hong Kong Monetary Authority (e-HKD)</x:v>
      </x:c>
      <x:c r="J164" s="38" t="str">
        <x:v>It should be noted that no cyber security study of the e-HKD distribution infrastructure 
has been conducted so far.</x:v>
      </x:c>
      <x:c r="K164" s="142" t="b">
        <x:v>0</x:v>
      </x:c>
      <x:c r="L164" s="146" t="str">
        <x:v>exclude</x:v>
      </x:c>
      <x:c r="M164" s="146" t="str">
        <x:v>keep</x:v>
      </x:c>
      <x:c r="N164" s="147" t="b">
        <x:v>0</x:v>
      </x:c>
      <x:c r="O164" s="146"/>
      <x:c r="P164" s="146" t="str">
        <x:v>OPS.resilience</x:v>
      </x:c>
      <x:c r="Q164" s="146" t="str"/>
      <x:c r="R164" s="146" t="str">
        <x:v>OPS</x:v>
      </x:c>
      <x:c r="S164" s="146"/>
      <x:c r="T164" s="146" t="str">
        <x:v>finding</x:v>
      </x:c>
      <x:c r="U164" s="146"/>
      <x:c r="V164" s="146" t="str">
        <x:v>neutral</x:v>
      </x:c>
      <x:c r="W164" s="146"/>
      <x:c r="X164" s="146" t="str">
        <x:v>not_applicable</x:v>
      </x:c>
      <x:c r="Y164" s="146"/>
      <x:c r="Z164" s="146" t="n">
        <x:v>2</x:v>
      </x:c>
      <x:c r="AA164" s="146" t="str">
        <x:v>high</x:v>
      </x:c>
      <x:c r="AB164" s="146" t="str">
        <x:v>high</x:v>
      </x:c>
      <x:c r="AC164" s="146"/>
      <x:c r="AD164" s="146"/>
      <x:c r="AE164" s="151"/>
      <x:c r="AF164" s="151" t="str">
        <x:v>OPS.resilience</x:v>
      </x:c>
      <x:c r="AG164" s="151"/>
      <x:c r="AH164" s="151" t="str">
        <x:v>finding</x:v>
      </x:c>
      <x:c r="AI164" s="154" t="n">
        <x:f>IF(K164,0,1)</x:f>
        <x:v>1</x:v>
      </x:c>
      <x:c r="AJ164" s="154" t="n">
        <x:f>IF(L164="keep",1,0)</x:f>
        <x:v>0</x:v>
      </x:c>
      <x:c r="AK164" s="154" t="n">
        <x:f>IF(M164="keep",1,0)</x:f>
        <x:v>1</x:v>
      </x:c>
      <x:c r="AL164" s="154" t="n">
        <x:f>(AJ164+AK164)/2</x:f>
        <x:v>0.5</x:v>
      </x:c>
      <x:c r="AM164" s="154" t="n">
        <x:f>MIN(AJ164,AK164)</x:f>
        <x:v>0</x:v>
      </x:c>
      <x:c r="AN164" s="154" t="n">
        <x:f>MAX(AJ164,AK164)</x:f>
        <x:v>1</x:v>
      </x:c>
      <x:c r="AO164" s="154" t="n">
        <x:f>IF(L164=M164,1,0)</x:f>
        <x:v>0</x:v>
      </x:c>
    </x:row>
    <x:row r="165">
      <x:c r="A165" s="38" t="str">
        <x:v>SV-0164</x:v>
      </x:c>
      <x:c r="B165" s="38" t="str">
        <x:v>PC-02128</x:v>
      </x:c>
      <x:c r="C165" s="38" t="str">
        <x:v>en|claude_only</x:v>
      </x:c>
      <x:c r="D165" s="87" t="n">
        <x:v>19.375</x:v>
      </x:c>
      <x:c r="E165" s="38" t="str">
        <x:v>claude_only</x:v>
      </x:c>
      <x:c r="F165" s="38" t="str">
        <x:v>HK_HKMA_eHKD_PolicyDesign</x:v>
      </x:c>
      <x:c r="G165" s="38" t="n">
        <x:v>31</x:v>
      </x:c>
      <x:c r="H165" s="38" t="str">
        <x:v>en</x:v>
      </x:c>
      <x:c r="I165" s="38" t="str">
        <x:v>Hong Kong Monetary Authority (e-HKD)</x:v>
      </x:c>
      <x:c r="J165" s="38" t="str">
        <x:v>designated banks 
would be required to submit US$1 to the HKMA to purchase HK$7.80 of CIs 
before issuing HK$7.80 e-HKD to the depositors (Figure 7). Under this approach, 
e-HKD would be issued by the designated banks and hence would become the 
liabilities of the designated banks instead of the Government, but with full backing 
by the USD via CIs.</x:v>
      </x:c>
      <x:c r="K165" s="142" t="b">
        <x:v>0</x:v>
      </x:c>
      <x:c r="L165" s="146" t="str">
        <x:v>exclude</x:v>
      </x:c>
      <x:c r="M165" s="146" t="str">
        <x:v>keep</x:v>
      </x:c>
      <x:c r="N165" s="147" t="b">
        <x:v>0</x:v>
      </x:c>
      <x:c r="O165" s="146"/>
      <x:c r="P165" s="146" t="str">
        <x:v>SYS.design</x:v>
      </x:c>
      <x:c r="Q165" s="146" t="str"/>
      <x:c r="R165" s="146" t="str">
        <x:v>SYS</x:v>
      </x:c>
      <x:c r="S165" s="146"/>
      <x:c r="T165" s="146" t="str">
        <x:v>proposal</x:v>
      </x:c>
      <x:c r="U165" s="146"/>
      <x:c r="V165" s="146" t="str">
        <x:v>neutral</x:v>
      </x:c>
      <x:c r="W165" s="146"/>
      <x:c r="X165" s="146" t="str">
        <x:v>not_applicable</x:v>
      </x:c>
      <x:c r="Y165" s="146"/>
      <x:c r="Z165" s="146" t="n">
        <x:v>2</x:v>
      </x:c>
      <x:c r="AA165" s="146" t="str">
        <x:v>high</x:v>
      </x:c>
      <x:c r="AB165" s="146" t="str">
        <x:v>high</x:v>
      </x:c>
      <x:c r="AC165" s="146"/>
      <x:c r="AD165" s="146"/>
      <x:c r="AE165" s="151"/>
      <x:c r="AF165" s="151" t="str">
        <x:v>SYS.design</x:v>
      </x:c>
      <x:c r="AG165" s="151"/>
      <x:c r="AH165" s="151" t="str">
        <x:v>proposal</x:v>
      </x:c>
      <x:c r="AI165" s="154" t="n">
        <x:f>IF(K165,0,1)</x:f>
        <x:v>1</x:v>
      </x:c>
      <x:c r="AJ165" s="154" t="n">
        <x:f>IF(L165="keep",1,0)</x:f>
        <x:v>0</x:v>
      </x:c>
      <x:c r="AK165" s="154" t="n">
        <x:f>IF(M165="keep",1,0)</x:f>
        <x:v>1</x:v>
      </x:c>
      <x:c r="AL165" s="154" t="n">
        <x:f>(AJ165+AK165)/2</x:f>
        <x:v>0.5</x:v>
      </x:c>
      <x:c r="AM165" s="154" t="n">
        <x:f>MIN(AJ165,AK165)</x:f>
        <x:v>0</x:v>
      </x:c>
      <x:c r="AN165" s="154" t="n">
        <x:f>MAX(AJ165,AK165)</x:f>
        <x:v>1</x:v>
      </x:c>
      <x:c r="AO165" s="154" t="n">
        <x:f>IF(L165=M165,1,0)</x:f>
        <x:v>0</x:v>
      </x:c>
    </x:row>
    <x:row r="166">
      <x:c r="A166" s="38" t="str">
        <x:v>SV-0165</x:v>
      </x:c>
      <x:c r="B166" s="38" t="str">
        <x:v>PC-02824</x:v>
      </x:c>
      <x:c r="C166" s="38" t="str">
        <x:v>en|both</x:v>
      </x:c>
      <x:c r="D166" s="87" t="n">
        <x:v>19.069444444444443</x:v>
      </x:c>
      <x:c r="E166" s="38" t="str">
        <x:v>both</x:v>
      </x:c>
      <x:c r="F166" s="38" t="str">
        <x:v>IL_BoI_2024</x:v>
      </x:c>
      <x:c r="G166" s="38" t="n">
        <x:v>51</x:v>
      </x:c>
      <x:c r="H166" s="38" t="str">
        <x:v>en</x:v>
      </x:c>
      <x:c r="I166" s="38" t="str">
        <x:v>Bank of Israel (digital shekel)</x:v>
      </x:c>
      <x:c r="J166" s="38" t="str">
        <x:v>As such, they can also operate as end users and perform transactions for themselves, 
make payments between them and other financial institutions, and between them and the 
Bank of Israel, including payments requiring final s ettlement (currently done in the RTGS 
system).</x:v>
      </x:c>
      <x:c r="K166" s="142" t="b">
        <x:v>0</x:v>
      </x:c>
      <x:c r="L166" s="146" t="str">
        <x:v>keep</x:v>
      </x:c>
      <x:c r="M166" s="146" t="str">
        <x:v>keep</x:v>
      </x:c>
      <x:c r="N166" s="147" t="b">
        <x:v>1</x:v>
      </x:c>
      <x:c r="O166" s="146" t="str">
        <x:v>INTEROP.domestic</x:v>
      </x:c>
      <x:c r="P166" s="146" t="str">
        <x:v>SYS.design</x:v>
      </x:c>
      <x:c r="Q166" s="146" t="str">
        <x:v>INTEROP</x:v>
      </x:c>
      <x:c r="R166" s="146" t="str">
        <x:v>SYS</x:v>
      </x:c>
      <x:c r="S166" s="146" t="str">
        <x:v>proposal</x:v>
      </x:c>
      <x:c r="T166" s="146" t="str">
        <x:v>decision</x:v>
      </x:c>
      <x:c r="U166" s="146" t="str">
        <x:v>neutral</x:v>
      </x:c>
      <x:c r="V166" s="146" t="str">
        <x:v>neutral</x:v>
      </x:c>
      <x:c r="W166" s="146" t="str">
        <x:v>not_applicable</x:v>
      </x:c>
      <x:c r="X166" s="146" t="str">
        <x:v>not_applicable</x:v>
      </x:c>
      <x:c r="Y166" s="146" t="n">
        <x:v>2</x:v>
      </x:c>
      <x:c r="Z166" s="146" t="n">
        <x:v>2</x:v>
      </x:c>
      <x:c r="AA166" s="146" t="str">
        <x:v>high</x:v>
      </x:c>
      <x:c r="AB166" s="146" t="str">
        <x:v>high</x:v>
      </x:c>
      <x:c r="AC166" s="146"/>
      <x:c r="AD166" s="146"/>
      <x:c r="AE166" s="151" t="str">
        <x:v>INTEROP.domestic</x:v>
      </x:c>
      <x:c r="AF166" s="151" t="str">
        <x:v>SYS.design</x:v>
      </x:c>
      <x:c r="AG166" s="151" t="str">
        <x:v>proposal</x:v>
      </x:c>
      <x:c r="AH166" s="151" t="str">
        <x:v>decision</x:v>
      </x:c>
      <x:c r="AI166" s="154" t="n">
        <x:f>IF(K166,0,1)</x:f>
        <x:v>1</x:v>
      </x:c>
      <x:c r="AJ166" s="154" t="n">
        <x:f>IF(L166="keep",1,0)</x:f>
        <x:v>1</x:v>
      </x:c>
      <x:c r="AK166" s="154" t="n">
        <x:f>IF(M166="keep",1,0)</x:f>
        <x:v>1</x:v>
      </x:c>
      <x:c r="AL166" s="154" t="n">
        <x:f>(AJ166+AK166)/2</x:f>
        <x:v>1</x:v>
      </x:c>
      <x:c r="AM166" s="154" t="n">
        <x:f>MIN(AJ166,AK166)</x:f>
        <x:v>1</x:v>
      </x:c>
      <x:c r="AN166" s="154" t="n">
        <x:f>MAX(AJ166,AK166)</x:f>
        <x:v>1</x:v>
      </x:c>
      <x:c r="AO166" s="154" t="n">
        <x:f>IF(L166=M166,1,0)</x:f>
        <x:v>1</x:v>
      </x:c>
    </x:row>
    <x:row r="167">
      <x:c r="A167" s="38" t="str">
        <x:v>SV-0166</x:v>
      </x:c>
      <x:c r="B167" s="38" t="str">
        <x:v>PC-06429</x:v>
      </x:c>
      <x:c r="C167" s="38" t="str">
        <x:v>en|openai_only</x:v>
      </x:c>
      <x:c r="D167" s="87" t="n">
        <x:v>19.21875</x:v>
      </x:c>
      <x:c r="E167" s="38" t="str">
        <x:v>openai_only</x:v>
      </x:c>
      <x:c r="F167" s="38" t="str">
        <x:v>UN_ESCAP_ESCAP-2022-RP-National-study-central-bank-digital-currency-stablecoin-Maldives</x:v>
      </x:c>
      <x:c r="G167" s="38" t="n">
        <x:v>41</x:v>
      </x:c>
      <x:c r="H167" s="38" t="str">
        <x:v>en</x:v>
      </x:c>
      <x:c r="I167" s="38" t="str">
        <x:v>Maldives Monetary Authority / Maldives CBDC policy study</x:v>
      </x:c>
      <x:c r="J167" s="38" t="str">
        <x:v>It is an aim of th is project to ensure that Maldivian FinTech companies are involved in 
the development of the CBDC and stablecoin / asset tokenization initiatives .</x:v>
      </x:c>
      <x:c r="K167" s="142" t="b">
        <x:v>0</x:v>
      </x:c>
      <x:c r="L167" s="146" t="str">
        <x:v>keep</x:v>
      </x:c>
      <x:c r="M167" s="146" t="str">
        <x:v>exclude</x:v>
      </x:c>
      <x:c r="N167" s="147" t="b">
        <x:v>0</x:v>
      </x:c>
      <x:c r="O167" s="146" t="str">
        <x:v>INTEROP.domestic</x:v>
      </x:c>
      <x:c r="P167" s="146"/>
      <x:c r="Q167" s="146" t="str">
        <x:v>INTEROP</x:v>
      </x:c>
      <x:c r="R167" s="146" t="str"/>
      <x:c r="S167" s="146" t="str">
        <x:v>proposal</x:v>
      </x:c>
      <x:c r="T167" s="146"/>
      <x:c r="U167" s="146" t="str">
        <x:v>neutral</x:v>
      </x:c>
      <x:c r="V167" s="146"/>
      <x:c r="W167" s="146" t="str">
        <x:v>not_applicable</x:v>
      </x:c>
      <x:c r="X167" s="146"/>
      <x:c r="Y167" s="146" t="n">
        <x:v>2</x:v>
      </x:c>
      <x:c r="Z167" s="146"/>
      <x:c r="AA167" s="146" t="str">
        <x:v>high</x:v>
      </x:c>
      <x:c r="AB167" s="146" t="str">
        <x:v>high</x:v>
      </x:c>
      <x:c r="AC167" s="146"/>
      <x:c r="AD167" s="146"/>
      <x:c r="AE167" s="151" t="str">
        <x:v>INST.mandate</x:v>
      </x:c>
      <x:c r="AF167" s="151"/>
      <x:c r="AG167" s="151" t="str">
        <x:v>proposal</x:v>
      </x:c>
      <x:c r="AH167" s="151"/>
      <x:c r="AI167" s="154" t="n">
        <x:f>IF(K167,0,1)</x:f>
        <x:v>1</x:v>
      </x:c>
      <x:c r="AJ167" s="154" t="n">
        <x:f>IF(L167="keep",1,0)</x:f>
        <x:v>1</x:v>
      </x:c>
      <x:c r="AK167" s="154" t="n">
        <x:f>IF(M167="keep",1,0)</x:f>
        <x:v>0</x:v>
      </x:c>
      <x:c r="AL167" s="154" t="n">
        <x:f>(AJ167+AK167)/2</x:f>
        <x:v>0.5</x:v>
      </x:c>
      <x:c r="AM167" s="154" t="n">
        <x:f>MIN(AJ167,AK167)</x:f>
        <x:v>0</x:v>
      </x:c>
      <x:c r="AN167" s="154" t="n">
        <x:f>MAX(AJ167,AK167)</x:f>
        <x:v>1</x:v>
      </x:c>
      <x:c r="AO167" s="154" t="n">
        <x:f>IF(L167=M167,1,0)</x:f>
        <x:v>0</x:v>
      </x:c>
    </x:row>
    <x:row r="168">
      <x:c r="A168" s="38" t="str">
        <x:v>SV-0167</x:v>
      </x:c>
      <x:c r="B168" s="38" t="str">
        <x:v>PC-04375</x:v>
      </x:c>
      <x:c r="C168" s="38" t="str">
        <x:v>en|both</x:v>
      </x:c>
      <x:c r="D168" s="87" t="n">
        <x:v>19.069444444444443</x:v>
      </x:c>
      <x:c r="E168" s="38" t="str">
        <x:v>both</x:v>
      </x:c>
      <x:c r="F168" s="38" t="str">
        <x:v>NO_Norway_norges-bank-memo-1-2021</x:v>
      </x:c>
      <x:c r="G168" s="38" t="n">
        <x:v>36</x:v>
      </x:c>
      <x:c r="H168" s="38" t="str">
        <x:v>en</x:v>
      </x:c>
      <x:c r="I168" s="38" t="str">
        <x:v>Norges Bank (Norwegian CBDC work)</x:v>
      </x:c>
      <x:c r="J168" s="38" t="str">
        <x:v>Dersom det tilbys omfattende programmerings-
alternativer på toppen av DSP, som for eksempel legger til rette for 
tokenisering av aktiva på toppen av DSP-registeret, vil det i praksis kunne gi 
Norges Bank ansvar utover oppgavene etter sentralbankloven.</x:v>
      </x:c>
      <x:c r="K168" s="142" t="b">
        <x:v>0</x:v>
      </x:c>
      <x:c r="L168" s="146" t="str">
        <x:v>keep</x:v>
      </x:c>
      <x:c r="M168" s="146" t="str">
        <x:v>keep</x:v>
      </x:c>
      <x:c r="N168" s="147" t="b">
        <x:v>1</x:v>
      </x:c>
      <x:c r="O168" s="146" t="str">
        <x:v>PROG.generic</x:v>
      </x:c>
      <x:c r="P168" s="146" t="str">
        <x:v>PROG.generic</x:v>
      </x:c>
      <x:c r="Q168" s="146" t="str">
        <x:v>PROG</x:v>
      </x:c>
      <x:c r="R168" s="146" t="str">
        <x:v>PROG</x:v>
      </x:c>
      <x:c r="S168" s="146" t="str">
        <x:v>proposal</x:v>
      </x:c>
      <x:c r="T168" s="146" t="str">
        <x:v>finding</x:v>
      </x:c>
      <x:c r="U168" s="146" t="str">
        <x:v>neutral</x:v>
      </x:c>
      <x:c r="V168" s="146" t="str">
        <x:v>neutral</x:v>
      </x:c>
      <x:c r="W168" s="146" t="str">
        <x:v>not_applicable</x:v>
      </x:c>
      <x:c r="X168" s="146" t="str">
        <x:v>not_applicable</x:v>
      </x:c>
      <x:c r="Y168" s="146" t="n">
        <x:v>2</x:v>
      </x:c>
      <x:c r="Z168" s="146" t="n">
        <x:v>2</x:v>
      </x:c>
      <x:c r="AA168" s="146" t="str">
        <x:v>high</x:v>
      </x:c>
      <x:c r="AB168" s="146" t="str">
        <x:v>high</x:v>
      </x:c>
      <x:c r="AC168" s="146"/>
      <x:c r="AD168" s="146"/>
      <x:c r="AE168" s="151" t="str">
        <x:v>PROG.generic</x:v>
      </x:c>
      <x:c r="AF168" s="151" t="str">
        <x:v>PROG.generic</x:v>
      </x:c>
      <x:c r="AG168" s="151" t="str">
        <x:v>proposal</x:v>
      </x:c>
      <x:c r="AH168" s="151" t="str">
        <x:v>finding</x:v>
      </x:c>
      <x:c r="AI168" s="154" t="n">
        <x:f>IF(K168,0,1)</x:f>
        <x:v>1</x:v>
      </x:c>
      <x:c r="AJ168" s="154" t="n">
        <x:f>IF(L168="keep",1,0)</x:f>
        <x:v>1</x:v>
      </x:c>
      <x:c r="AK168" s="154" t="n">
        <x:f>IF(M168="keep",1,0)</x:f>
        <x:v>1</x:v>
      </x:c>
      <x:c r="AL168" s="154" t="n">
        <x:f>(AJ168+AK168)/2</x:f>
        <x:v>1</x:v>
      </x:c>
      <x:c r="AM168" s="154" t="n">
        <x:f>MIN(AJ168,AK168)</x:f>
        <x:v>1</x:v>
      </x:c>
      <x:c r="AN168" s="154" t="n">
        <x:f>MAX(AJ168,AK168)</x:f>
        <x:v>1</x:v>
      </x:c>
      <x:c r="AO168" s="154" t="n">
        <x:f>IF(L168=M168,1,0)</x:f>
        <x:v>1</x:v>
      </x:c>
    </x:row>
    <x:row r="169">
      <x:c r="A169" s="38" t="str">
        <x:v>SV-0168</x:v>
      </x:c>
      <x:c r="B169" s="38" t="str">
        <x:v>PC-01981</x:v>
      </x:c>
      <x:c r="C169" s="38" t="str">
        <x:v>en|both</x:v>
      </x:c>
      <x:c r="D169" s="87" t="n">
        <x:v>19.069444444444443</x:v>
      </x:c>
      <x:c r="E169" s="38" t="str">
        <x:v>both</x:v>
      </x:c>
      <x:c r="F169" s="38" t="str">
        <x:v>HK_HKMA_eHKD_Phase2_2025</x:v>
      </x:c>
      <x:c r="G169" s="38" t="n">
        <x:v>15</x:v>
      </x:c>
      <x:c r="H169" s="38" t="str">
        <x:v>en</x:v>
      </x:c>
      <x:c r="I169" s="38" t="str">
        <x:v>Hong Kong Monetary Authority (e-HKD Phase 2 pilots)</x:v>
      </x:c>
      <x:c r="J169" s="38" t="str">
        <x:v>Findings from Phase 1 of the e-HKD 
Pilot Programme (Phase 1) showed that 
programmability implemented through smart 
contracts and supported by an e-HKD could 
address many of these constraints and enable 
wider adoption of retail conditional transactions.</x:v>
      </x:c>
      <x:c r="K169" s="142" t="b">
        <x:v>0</x:v>
      </x:c>
      <x:c r="L169" s="146" t="str">
        <x:v>keep</x:v>
      </x:c>
      <x:c r="M169" s="146" t="str">
        <x:v>keep</x:v>
      </x:c>
      <x:c r="N169" s="147" t="b">
        <x:v>1</x:v>
      </x:c>
      <x:c r="O169" s="146" t="str">
        <x:v>PROG.generic</x:v>
      </x:c>
      <x:c r="P169" s="146" t="str">
        <x:v>PROG.generic</x:v>
      </x:c>
      <x:c r="Q169" s="146" t="str">
        <x:v>PROG</x:v>
      </x:c>
      <x:c r="R169" s="146" t="str">
        <x:v>PROG</x:v>
      </x:c>
      <x:c r="S169" s="146" t="str">
        <x:v>finding</x:v>
      </x:c>
      <x:c r="T169" s="146" t="str">
        <x:v>finding</x:v>
      </x:c>
      <x:c r="U169" s="146" t="str">
        <x:v>neutral</x:v>
      </x:c>
      <x:c r="V169" s="146" t="str">
        <x:v>neutral</x:v>
      </x:c>
      <x:c r="W169" s="146" t="str">
        <x:v>not_applicable</x:v>
      </x:c>
      <x:c r="X169" s="146" t="str">
        <x:v>not_applicable</x:v>
      </x:c>
      <x:c r="Y169" s="146" t="n">
        <x:v>2</x:v>
      </x:c>
      <x:c r="Z169" s="146" t="n">
        <x:v>2</x:v>
      </x:c>
      <x:c r="AA169" s="146" t="str">
        <x:v>high</x:v>
      </x:c>
      <x:c r="AB169" s="146" t="str">
        <x:v>high</x:v>
      </x:c>
      <x:c r="AC169" s="146"/>
      <x:c r="AD169" s="146" t="str">
        <x:v>x</x:v>
      </x:c>
      <x:c r="AE169" s="151" t="str">
        <x:v>PROG.generic</x:v>
      </x:c>
      <x:c r="AF169" s="151" t="str">
        <x:v>TECH.DLT</x:v>
      </x:c>
      <x:c r="AG169" s="151" t="str">
        <x:v>finding</x:v>
      </x:c>
      <x:c r="AH169" s="151" t="str">
        <x:v>finding</x:v>
      </x:c>
      <x:c r="AI169" s="154" t="n">
        <x:f>IF(K169,0,1)</x:f>
        <x:v>1</x:v>
      </x:c>
      <x:c r="AJ169" s="154" t="n">
        <x:f>IF(L169="keep",1,0)</x:f>
        <x:v>1</x:v>
      </x:c>
      <x:c r="AK169" s="154" t="n">
        <x:f>IF(M169="keep",1,0)</x:f>
        <x:v>1</x:v>
      </x:c>
      <x:c r="AL169" s="154" t="n">
        <x:f>(AJ169+AK169)/2</x:f>
        <x:v>1</x:v>
      </x:c>
      <x:c r="AM169" s="154" t="n">
        <x:f>MIN(AJ169,AK169)</x:f>
        <x:v>1</x:v>
      </x:c>
      <x:c r="AN169" s="154" t="n">
        <x:f>MAX(AJ169,AK169)</x:f>
        <x:v>1</x:v>
      </x:c>
      <x:c r="AO169" s="154" t="n">
        <x:f>IF(L169=M169,1,0)</x:f>
        <x:v>1</x:v>
      </x:c>
    </x:row>
    <x:row r="170">
      <x:c r="A170" s="38" t="str">
        <x:v>SV-0169</x:v>
      </x:c>
      <x:c r="B170" s="38" t="str">
        <x:v>PC-05770</x:v>
      </x:c>
      <x:c r="C170" s="38" t="str">
        <x:v>en|both</x:v>
      </x:c>
      <x:c r="D170" s="87" t="n">
        <x:v>19.069444444444443</x:v>
      </x:c>
      <x:c r="E170" s="38" t="str">
        <x:v>both</x:v>
      </x:c>
      <x:c r="F170" s="38" t="str">
        <x:v>TR_Turkey_Digital_Turkish_Lira_First_Phase_Evaluation_Report</x:v>
      </x:c>
      <x:c r="G170" s="38" t="n">
        <x:v>29</x:v>
      </x:c>
      <x:c r="H170" s="38" t="str">
        <x:v>en</x:v>
      </x:c>
      <x:c r="I170" s="38" t="str">
        <x:v>Central Bank of the Republic of Turkiye (Digital Turkish Lira)</x:v>
      </x:c>
      <x:c r="J170" s="38" t="str">
        <x:v>in the digital currency system, the 
central bank does not know which account belongs to which user since 
it does not have the identity information of the end users.</x:v>
      </x:c>
      <x:c r="K170" s="142" t="b">
        <x:v>0</x:v>
      </x:c>
      <x:c r="L170" s="146" t="str">
        <x:v>keep</x:v>
      </x:c>
      <x:c r="M170" s="146" t="str">
        <x:v>keep</x:v>
      </x:c>
      <x:c r="N170" s="147" t="b">
        <x:v>1</x:v>
      </x:c>
      <x:c r="O170" s="146" t="str">
        <x:v>SYS.design</x:v>
      </x:c>
      <x:c r="P170" s="146" t="str">
        <x:v>PRIV.CB.visibility.opaque</x:v>
      </x:c>
      <x:c r="Q170" s="146" t="str">
        <x:v>SYS</x:v>
      </x:c>
      <x:c r="R170" s="146" t="str">
        <x:v>PRIV</x:v>
      </x:c>
      <x:c r="S170" s="146" t="str">
        <x:v>decision</x:v>
      </x:c>
      <x:c r="T170" s="146" t="str">
        <x:v>decision</x:v>
      </x:c>
      <x:c r="U170" s="146" t="str">
        <x:v>neutral</x:v>
      </x:c>
      <x:c r="V170" s="146" t="str">
        <x:v>increases</x:v>
      </x:c>
      <x:c r="W170" s="146" t="str">
        <x:v>not_applicable</x:v>
      </x:c>
      <x:c r="X170" s="146" t="str">
        <x:v>from_state</x:v>
      </x:c>
      <x:c r="Y170" s="146" t="n">
        <x:v>3</x:v>
      </x:c>
      <x:c r="Z170" s="146" t="n">
        <x:v>3</x:v>
      </x:c>
      <x:c r="AA170" s="146" t="str">
        <x:v>high</x:v>
      </x:c>
      <x:c r="AB170" s="146" t="str">
        <x:v>high</x:v>
      </x:c>
      <x:c r="AC170" s="146"/>
      <x:c r="AD170" s="146"/>
      <x:c r="AE170" s="151" t="str">
        <x:v>SYS.design</x:v>
      </x:c>
      <x:c r="AF170" s="151" t="str">
        <x:v>PRIV.CB.visibility.opaque</x:v>
      </x:c>
      <x:c r="AG170" s="151" t="str">
        <x:v>decision</x:v>
      </x:c>
      <x:c r="AH170" s="151" t="str">
        <x:v>decision</x:v>
      </x:c>
      <x:c r="AI170" s="154" t="n">
        <x:f>IF(K170,0,1)</x:f>
        <x:v>1</x:v>
      </x:c>
      <x:c r="AJ170" s="154" t="n">
        <x:f>IF(L170="keep",1,0)</x:f>
        <x:v>1</x:v>
      </x:c>
      <x:c r="AK170" s="154" t="n">
        <x:f>IF(M170="keep",1,0)</x:f>
        <x:v>1</x:v>
      </x:c>
      <x:c r="AL170" s="154" t="n">
        <x:f>(AJ170+AK170)/2</x:f>
        <x:v>1</x:v>
      </x:c>
      <x:c r="AM170" s="154" t="n">
        <x:f>MIN(AJ170,AK170)</x:f>
        <x:v>1</x:v>
      </x:c>
      <x:c r="AN170" s="154" t="n">
        <x:f>MAX(AJ170,AK170)</x:f>
        <x:v>1</x:v>
      </x:c>
      <x:c r="AO170" s="154" t="n">
        <x:f>IF(L170=M170,1,0)</x:f>
        <x:v>1</x:v>
      </x:c>
    </x:row>
    <x:row r="171">
      <x:c r="A171" s="38" t="str">
        <x:v>SV-0170</x:v>
      </x:c>
      <x:c r="B171" s="38" t="str">
        <x:v>PC-04387</x:v>
      </x:c>
      <x:c r="C171" s="38" t="str">
        <x:v>en|openai_only</x:v>
      </x:c>
      <x:c r="D171" s="87" t="n">
        <x:v>19.21875</x:v>
      </x:c>
      <x:c r="E171" s="38" t="str">
        <x:v>openai_only</x:v>
      </x:c>
      <x:c r="F171" s="38" t="str">
        <x:v>NO_Norway_norges-bank-memo-1-2021</x:v>
      </x:c>
      <x:c r="G171" s="38" t="n">
        <x:v>39</x:v>
      </x:c>
      <x:c r="H171" s="38" t="str">
        <x:v>en</x:v>
      </x:c>
      <x:c r="I171" s="38" t="str">
        <x:v>Norges Bank (Norwegian CBDC work)</x:v>
      </x:c>
      <x:c r="J171" s="38" t="str">
        <x:v>Hvis brukeren mister tilgangen til koden 
eller blir utsatt for ondsinnet programvare, vil brukeren kunne miste eller bli 
frastjålet midlene sine.</x:v>
      </x:c>
      <x:c r="K171" s="142" t="b">
        <x:v>0</x:v>
      </x:c>
      <x:c r="L171" s="146" t="str">
        <x:v>keep</x:v>
      </x:c>
      <x:c r="M171" s="146" t="str">
        <x:v>exclude</x:v>
      </x:c>
      <x:c r="N171" s="147" t="b">
        <x:v>0</x:v>
      </x:c>
      <x:c r="O171" s="146" t="str">
        <x:v>OPS.resilience</x:v>
      </x:c>
      <x:c r="P171" s="146"/>
      <x:c r="Q171" s="146" t="str">
        <x:v>OPS</x:v>
      </x:c>
      <x:c r="R171" s="146" t="str"/>
      <x:c r="S171" s="146" t="str">
        <x:v>finding</x:v>
      </x:c>
      <x:c r="T171" s="146"/>
      <x:c r="U171" s="146" t="str">
        <x:v>neutral</x:v>
      </x:c>
      <x:c r="V171" s="146"/>
      <x:c r="W171" s="146" t="str">
        <x:v>not_applicable</x:v>
      </x:c>
      <x:c r="X171" s="146"/>
      <x:c r="Y171" s="146" t="n">
        <x:v>2</x:v>
      </x:c>
      <x:c r="Z171" s="146"/>
      <x:c r="AA171" s="146" t="str">
        <x:v>high</x:v>
      </x:c>
      <x:c r="AB171" s="146" t="str">
        <x:v>high</x:v>
      </x:c>
      <x:c r="AC171" s="146"/>
      <x:c r="AD171" s="146"/>
      <x:c r="AE171" s="151" t="str">
        <x:v>OPS.resilience</x:v>
      </x:c>
      <x:c r="AF171" s="151"/>
      <x:c r="AG171" s="151" t="str">
        <x:v>finding</x:v>
      </x:c>
      <x:c r="AH171" s="151"/>
      <x:c r="AI171" s="154" t="n">
        <x:f>IF(K171,0,1)</x:f>
        <x:v>1</x:v>
      </x:c>
      <x:c r="AJ171" s="154" t="n">
        <x:f>IF(L171="keep",1,0)</x:f>
        <x:v>1</x:v>
      </x:c>
      <x:c r="AK171" s="154" t="n">
        <x:f>IF(M171="keep",1,0)</x:f>
        <x:v>0</x:v>
      </x:c>
      <x:c r="AL171" s="154" t="n">
        <x:f>(AJ171+AK171)/2</x:f>
        <x:v>0.5</x:v>
      </x:c>
      <x:c r="AM171" s="154" t="n">
        <x:f>MIN(AJ171,AK171)</x:f>
        <x:v>0</x:v>
      </x:c>
      <x:c r="AN171" s="154" t="n">
        <x:f>MAX(AJ171,AK171)</x:f>
        <x:v>1</x:v>
      </x:c>
      <x:c r="AO171" s="154" t="n">
        <x:f>IF(L171=M171,1,0)</x:f>
        <x:v>0</x:v>
      </x:c>
    </x:row>
    <x:row r="172">
      <x:c r="A172" s="38" t="str">
        <x:v>SV-0171</x:v>
      </x:c>
      <x:c r="B172" s="38" t="str">
        <x:v>PC-05521</x:v>
      </x:c>
      <x:c r="C172" s="38" t="str">
        <x:v>en|both</x:v>
      </x:c>
      <x:c r="D172" s="87" t="n">
        <x:v>19.069444444444443</x:v>
      </x:c>
      <x:c r="E172" s="38" t="str">
        <x:v>both</x:v>
      </x:c>
      <x:c r="F172" s="38" t="str">
        <x:v>SZ_Eswatini_2024-Fintech-Digital-Lilangeni-Design-Paper</x:v>
      </x:c>
      <x:c r="G172" s="38" t="n">
        <x:v>32</x:v>
      </x:c>
      <x:c r="H172" s="38" t="str">
        <x:v>en</x:v>
      </x:c>
      <x:c r="I172" s="38" t="str">
        <x:v>Central Bank of Eswatini (Digital Lilangeni)</x:v>
      </x:c>
      <x:c r="J172" s="38" t="str">
        <x:v>A retail CBDC is designed to provide the citizens of Eswatini with an additional means of 
payment. As such, it offers them the possibility of making digital payments between one 
another (P2P), paying at the merchant checkout with Digital Lilangeni (P2B) as  well as 
making transactions with governmental institutions (e.g., receive or pay funds, tax bills, 
G2P, P2G).</x:v>
      </x:c>
      <x:c r="K172" s="142" t="b">
        <x:v>0</x:v>
      </x:c>
      <x:c r="L172" s="146" t="str">
        <x:v>keep</x:v>
      </x:c>
      <x:c r="M172" s="146" t="str">
        <x:v>keep</x:v>
      </x:c>
      <x:c r="N172" s="147" t="b">
        <x:v>1</x:v>
      </x:c>
      <x:c r="O172" s="146" t="str">
        <x:v>SYS.design</x:v>
      </x:c>
      <x:c r="P172" s="146" t="str">
        <x:v>SYS.design</x:v>
      </x:c>
      <x:c r="Q172" s="146" t="str">
        <x:v>SYS</x:v>
      </x:c>
      <x:c r="R172" s="146" t="str">
        <x:v>SYS</x:v>
      </x:c>
      <x:c r="S172" s="146" t="str">
        <x:v>proposal</x:v>
      </x:c>
      <x:c r="T172" s="146" t="str">
        <x:v>decision</x:v>
      </x:c>
      <x:c r="U172" s="146" t="str">
        <x:v>neutral</x:v>
      </x:c>
      <x:c r="V172" s="146" t="str">
        <x:v>neutral</x:v>
      </x:c>
      <x:c r="W172" s="146" t="str">
        <x:v>not_applicable</x:v>
      </x:c>
      <x:c r="X172" s="146" t="str">
        <x:v>not_applicable</x:v>
      </x:c>
      <x:c r="Y172" s="146" t="n">
        <x:v>2</x:v>
      </x:c>
      <x:c r="Z172" s="146" t="n">
        <x:v>2</x:v>
      </x:c>
      <x:c r="AA172" s="146" t="str">
        <x:v>high</x:v>
      </x:c>
      <x:c r="AB172" s="146" t="str">
        <x:v>high</x:v>
      </x:c>
      <x:c r="AC172" s="146"/>
      <x:c r="AD172" s="146"/>
      <x:c r="AE172" s="151" t="str">
        <x:v>SYS.design</x:v>
      </x:c>
      <x:c r="AF172" s="151" t="str">
        <x:v>SYS.design</x:v>
      </x:c>
      <x:c r="AG172" s="151" t="str">
        <x:v>proposal</x:v>
      </x:c>
      <x:c r="AH172" s="151" t="str">
        <x:v>decision</x:v>
      </x:c>
      <x:c r="AI172" s="154" t="n">
        <x:f>IF(K172,0,1)</x:f>
        <x:v>1</x:v>
      </x:c>
      <x:c r="AJ172" s="154" t="n">
        <x:f>IF(L172="keep",1,0)</x:f>
        <x:v>1</x:v>
      </x:c>
      <x:c r="AK172" s="154" t="n">
        <x:f>IF(M172="keep",1,0)</x:f>
        <x:v>1</x:v>
      </x:c>
      <x:c r="AL172" s="154" t="n">
        <x:f>(AJ172+AK172)/2</x:f>
        <x:v>1</x:v>
      </x:c>
      <x:c r="AM172" s="154" t="n">
        <x:f>MIN(AJ172,AK172)</x:f>
        <x:v>1</x:v>
      </x:c>
      <x:c r="AN172" s="154" t="n">
        <x:f>MAX(AJ172,AK172)</x:f>
        <x:v>1</x:v>
      </x:c>
      <x:c r="AO172" s="154" t="n">
        <x:f>IF(L172=M172,1,0)</x:f>
        <x:v>1</x:v>
      </x:c>
    </x:row>
    <x:row r="173">
      <x:c r="A173" s="38" t="str">
        <x:v>SV-0172</x:v>
      </x:c>
      <x:c r="B173" s="38" t="str">
        <x:v>PC-06327</x:v>
      </x:c>
      <x:c r="C173" s="38" t="str">
        <x:v>en|both</x:v>
      </x:c>
      <x:c r="D173" s="87" t="n">
        <x:v>19.069444444444443</x:v>
      </x:c>
      <x:c r="E173" s="38" t="str">
        <x:v>both</x:v>
      </x:c>
      <x:c r="F173" s="38" t="str">
        <x:v>UK_BoE_2023_TechWP</x:v>
      </x:c>
      <x:c r="G173" s="38" t="n">
        <x:v>61</x:v>
      </x:c>
      <x:c r="H173" s="38" t="str">
        <x:v>en</x:v>
      </x:c>
      <x:c r="I173" s="38" t="str">
        <x:v>Bank of England and HM Treasury (digital pound)</x:v>
      </x:c>
      <x:c r="J173" s="38" t="str">
        <x:v>The governance of the API layer should be clearly defined from the beginning to 
ensure minimal impact in the CBDC ecosystem when changes are implemented in the 
API layer.</x:v>
      </x:c>
      <x:c r="K173" s="142" t="b">
        <x:v>0</x:v>
      </x:c>
      <x:c r="L173" s="146" t="str">
        <x:v>keep</x:v>
      </x:c>
      <x:c r="M173" s="146" t="str">
        <x:v>keep</x:v>
      </x:c>
      <x:c r="N173" s="147" t="b">
        <x:v>1</x:v>
      </x:c>
      <x:c r="O173" s="146" t="str">
        <x:v>SYS.design</x:v>
      </x:c>
      <x:c r="P173" s="146" t="str">
        <x:v>SYS.design</x:v>
      </x:c>
      <x:c r="Q173" s="146" t="str">
        <x:v>SYS</x:v>
      </x:c>
      <x:c r="R173" s="146" t="str">
        <x:v>SYS</x:v>
      </x:c>
      <x:c r="S173" s="146" t="str">
        <x:v>proposal</x:v>
      </x:c>
      <x:c r="T173" s="146" t="str">
        <x:v>proposal</x:v>
      </x:c>
      <x:c r="U173" s="146" t="str">
        <x:v>neutral</x:v>
      </x:c>
      <x:c r="V173" s="146" t="str">
        <x:v>neutral</x:v>
      </x:c>
      <x:c r="W173" s="146" t="str">
        <x:v>not_applicable</x:v>
      </x:c>
      <x:c r="X173" s="146" t="str">
        <x:v>not_applicable</x:v>
      </x:c>
      <x:c r="Y173" s="146" t="n">
        <x:v>2</x:v>
      </x:c>
      <x:c r="Z173" s="146" t="n">
        <x:v>1</x:v>
      </x:c>
      <x:c r="AA173" s="146" t="str">
        <x:v>high</x:v>
      </x:c>
      <x:c r="AB173" s="146" t="str">
        <x:v>high</x:v>
      </x:c>
      <x:c r="AC173" s="146"/>
      <x:c r="AD173" s="146"/>
      <x:c r="AE173" s="151" t="str">
        <x:v>SYS.design</x:v>
      </x:c>
      <x:c r="AF173" s="151" t="str">
        <x:v>SYS.design</x:v>
      </x:c>
      <x:c r="AG173" s="151" t="str">
        <x:v>proposal</x:v>
      </x:c>
      <x:c r="AH173" s="151" t="str">
        <x:v>proposal</x:v>
      </x:c>
      <x:c r="AI173" s="154" t="n">
        <x:f>IF(K173,0,1)</x:f>
        <x:v>1</x:v>
      </x:c>
      <x:c r="AJ173" s="154" t="n">
        <x:f>IF(L173="keep",1,0)</x:f>
        <x:v>1</x:v>
      </x:c>
      <x:c r="AK173" s="154" t="n">
        <x:f>IF(M173="keep",1,0)</x:f>
        <x:v>1</x:v>
      </x:c>
      <x:c r="AL173" s="154" t="n">
        <x:f>(AJ173+AK173)/2</x:f>
        <x:v>1</x:v>
      </x:c>
      <x:c r="AM173" s="154" t="n">
        <x:f>MIN(AJ173,AK173)</x:f>
        <x:v>1</x:v>
      </x:c>
      <x:c r="AN173" s="154" t="n">
        <x:f>MAX(AJ173,AK173)</x:f>
        <x:v>1</x:v>
      </x:c>
      <x:c r="AO173" s="154" t="n">
        <x:f>IF(L173=M173,1,0)</x:f>
        <x:v>1</x:v>
      </x:c>
    </x:row>
    <x:row r="174">
      <x:c r="A174" s="38" t="str">
        <x:v>SV-0173</x:v>
      </x:c>
      <x:c r="B174" s="38" t="str">
        <x:v>PC-04838</x:v>
      </x:c>
      <x:c r="C174" s="38" t="str">
        <x:v>ru/uk|openai_only</x:v>
      </x:c>
      <x:c r="D174" s="87" t="n">
        <x:v>20.33333333333333</x:v>
      </x:c>
      <x:c r="E174" s="38" t="str">
        <x:v>openai_only</x:v>
      </x:c>
      <x:c r="F174" s="38" t="str">
        <x:v>RU_Russia_concept_08042021</x:v>
      </x:c>
      <x:c r="G174" s="38" t="n">
        <x:v>15</x:v>
      </x:c>
      <x:c r="H174" s="38" t="str">
        <x:v>ru/uk</x:v>
      </x:c>
      <x:c r="I174" s="38" t="str">
        <x:v>Bank of Russia (digital ruble)</x:v>
      </x:c>
      <x:c r="J174" s="38" t="str">
        <x:v>При переводе средств между кошельками клиентов – физических лиц на пассивной сторо-
не баланса Банка России средства перемещаются с цифрового кошелька клиента А на циф -
ровой кошелек клиента Б.</x:v>
      </x:c>
      <x:c r="K174" s="142" t="b">
        <x:v>0</x:v>
      </x:c>
      <x:c r="L174" s="146" t="str">
        <x:v>keep</x:v>
      </x:c>
      <x:c r="M174" s="146" t="str">
        <x:v>exclude</x:v>
      </x:c>
      <x:c r="N174" s="147" t="b">
        <x:v>0</x:v>
      </x:c>
      <x:c r="O174" s="146" t="str">
        <x:v>SYS.design</x:v>
      </x:c>
      <x:c r="P174" s="146"/>
      <x:c r="Q174" s="146" t="str">
        <x:v>SYS</x:v>
      </x:c>
      <x:c r="R174" s="146" t="str"/>
      <x:c r="S174" s="146" t="str">
        <x:v>proposal</x:v>
      </x:c>
      <x:c r="T174" s="146"/>
      <x:c r="U174" s="146" t="str">
        <x:v>neutral</x:v>
      </x:c>
      <x:c r="V174" s="146"/>
      <x:c r="W174" s="146" t="str">
        <x:v>not_applicable</x:v>
      </x:c>
      <x:c r="X174" s="146"/>
      <x:c r="Y174" s="146" t="n">
        <x:v>2</x:v>
      </x:c>
      <x:c r="Z174" s="146"/>
      <x:c r="AA174" s="146" t="str">
        <x:v>high</x:v>
      </x:c>
      <x:c r="AB174" s="146" t="str">
        <x:v>high</x:v>
      </x:c>
      <x:c r="AC174" s="146"/>
      <x:c r="AD174" s="146"/>
      <x:c r="AE174" s="151" t="str">
        <x:v>SYS.design</x:v>
      </x:c>
      <x:c r="AF174" s="151"/>
      <x:c r="AG174" s="151" t="str">
        <x:v>proposal</x:v>
      </x:c>
      <x:c r="AH174" s="151"/>
      <x:c r="AI174" s="154" t="n">
        <x:f>IF(K174,0,1)</x:f>
        <x:v>1</x:v>
      </x:c>
      <x:c r="AJ174" s="154" t="n">
        <x:f>IF(L174="keep",1,0)</x:f>
        <x:v>1</x:v>
      </x:c>
      <x:c r="AK174" s="154" t="n">
        <x:f>IF(M174="keep",1,0)</x:f>
        <x:v>0</x:v>
      </x:c>
      <x:c r="AL174" s="154" t="n">
        <x:f>(AJ174+AK174)/2</x:f>
        <x:v>0.5</x:v>
      </x:c>
      <x:c r="AM174" s="154" t="n">
        <x:f>MIN(AJ174,AK174)</x:f>
        <x:v>0</x:v>
      </x:c>
      <x:c r="AN174" s="154" t="n">
        <x:f>MAX(AJ174,AK174)</x:f>
        <x:v>1</x:v>
      </x:c>
      <x:c r="AO174" s="154" t="n">
        <x:f>IF(L174=M174,1,0)</x:f>
        <x:v>0</x:v>
      </x:c>
    </x:row>
    <x:row r="175">
      <x:c r="A175" s="38" t="str">
        <x:v>SV-0174</x:v>
      </x:c>
      <x:c r="B175" s="38" t="str">
        <x:v>PC-03349</x:v>
      </x:c>
      <x:c r="C175" s="38" t="str">
        <x:v>en|both</x:v>
      </x:c>
      <x:c r="D175" s="87" t="n">
        <x:v>19.069444444444443</x:v>
      </x:c>
      <x:c r="E175" s="38" t="str">
        <x:v>both</x:v>
      </x:c>
      <x:c r="F175" s="38" t="str">
        <x:v>IN_RBI_ConceptNote_2022</x:v>
      </x:c>
      <x:c r="G175" s="38" t="n">
        <x:v>15</x:v>
      </x:c>
      <x:c r="H175" s="38" t="str">
        <x:v>en</x:v>
      </x:c>
      <x:c r="I175" s="38" t="str">
        <x:v>Reserve Bank of India (digital rupee)</x:v>
      </x:c>
      <x:c r="J175" s="38" t="str">
        <x:v>It appears as a liability on the central bank’s 
balance sheet</x:v>
      </x:c>
      <x:c r="K175" s="142" t="b">
        <x:v>0</x:v>
      </x:c>
      <x:c r="L175" s="146" t="str">
        <x:v>keep</x:v>
      </x:c>
      <x:c r="M175" s="146" t="str">
        <x:v>keep</x:v>
      </x:c>
      <x:c r="N175" s="147" t="b">
        <x:v>1</x:v>
      </x:c>
      <x:c r="O175" s="146" t="str">
        <x:v>STAB.disintermediation</x:v>
      </x:c>
      <x:c r="P175" s="146" t="str">
        <x:v>INTEROP.domestic</x:v>
      </x:c>
      <x:c r="Q175" s="146" t="str">
        <x:v>STAB</x:v>
      </x:c>
      <x:c r="R175" s="146" t="str">
        <x:v>INTEROP</x:v>
      </x:c>
      <x:c r="S175" s="146" t="str">
        <x:v>proposal</x:v>
      </x:c>
      <x:c r="T175" s="146" t="str">
        <x:v>decision</x:v>
      </x:c>
      <x:c r="U175" s="146" t="str">
        <x:v>neutral</x:v>
      </x:c>
      <x:c r="V175" s="146" t="str">
        <x:v>neutral</x:v>
      </x:c>
      <x:c r="W175" s="146" t="str">
        <x:v>not_applicable</x:v>
      </x:c>
      <x:c r="X175" s="146" t="str">
        <x:v>not_applicable</x:v>
      </x:c>
      <x:c r="Y175" s="146" t="n">
        <x:v>3</x:v>
      </x:c>
      <x:c r="Z175" s="146" t="n">
        <x:v>2</x:v>
      </x:c>
      <x:c r="AA175" s="146" t="str">
        <x:v>high</x:v>
      </x:c>
      <x:c r="AB175" s="146" t="str">
        <x:v>high</x:v>
      </x:c>
      <x:c r="AC175" s="146"/>
      <x:c r="AD175" s="146"/>
      <x:c r="AE175" s="151" t="str">
        <x:v>SYS.design</x:v>
      </x:c>
      <x:c r="AF175" s="151" t="str">
        <x:v>INTEROP.domestic</x:v>
      </x:c>
      <x:c r="AG175" s="151" t="str">
        <x:v>proposal</x:v>
      </x:c>
      <x:c r="AH175" s="151" t="str">
        <x:v>decision</x:v>
      </x:c>
      <x:c r="AI175" s="154" t="n">
        <x:f>IF(K175,0,1)</x:f>
        <x:v>1</x:v>
      </x:c>
      <x:c r="AJ175" s="154" t="n">
        <x:f>IF(L175="keep",1,0)</x:f>
        <x:v>1</x:v>
      </x:c>
      <x:c r="AK175" s="154" t="n">
        <x:f>IF(M175="keep",1,0)</x:f>
        <x:v>1</x:v>
      </x:c>
      <x:c r="AL175" s="154" t="n">
        <x:f>(AJ175+AK175)/2</x:f>
        <x:v>1</x:v>
      </x:c>
      <x:c r="AM175" s="154" t="n">
        <x:f>MIN(AJ175,AK175)</x:f>
        <x:v>1</x:v>
      </x:c>
      <x:c r="AN175" s="154" t="n">
        <x:f>MAX(AJ175,AK175)</x:f>
        <x:v>1</x:v>
      </x:c>
      <x:c r="AO175" s="154" t="n">
        <x:f>IF(L175=M175,1,0)</x:f>
        <x:v>1</x:v>
      </x:c>
    </x:row>
    <x:row r="176">
      <x:c r="A176" s="38" t="str">
        <x:v>SV-0175</x:v>
      </x:c>
      <x:c r="B176" s="38" t="str">
        <x:v>PC-05230</x:v>
      </x:c>
      <x:c r="C176" s="38" t="str">
        <x:v>en|openai_only</x:v>
      </x:c>
      <x:c r="D176" s="87" t="n">
        <x:v>19.21875</x:v>
      </x:c>
      <x:c r="E176" s="38" t="str">
        <x:v>openai_only</x:v>
      </x:c>
      <x:c r="F176" s="38" t="str">
        <x:v>SE_Riksbank_2017</x:v>
      </x:c>
      <x:c r="G176" s="38" t="n">
        <x:v>42</x:v>
      </x:c>
      <x:c r="H176" s="38" t="str">
        <x:v>en</x:v>
      </x:c>
      <x:c r="I176" s="38" t="str">
        <x:v>Sveriges Riksbank (e-krona)</x:v>
      </x:c>
      <x:c r="J176" s="38" t="str">
        <x:v>The Riksbank will be responsible at the very least for the issue, 
redemption and settlement of the e-krona.</x:v>
      </x:c>
      <x:c r="K176" s="142" t="b">
        <x:v>0</x:v>
      </x:c>
      <x:c r="L176" s="146" t="str">
        <x:v>keep</x:v>
      </x:c>
      <x:c r="M176" s="146" t="str">
        <x:v>exclude</x:v>
      </x:c>
      <x:c r="N176" s="147" t="b">
        <x:v>0</x:v>
      </x:c>
      <x:c r="O176" s="146" t="str">
        <x:v>INST.mandate</x:v>
      </x:c>
      <x:c r="P176" s="146"/>
      <x:c r="Q176" s="146" t="str">
        <x:v>INST</x:v>
      </x:c>
      <x:c r="R176" s="146" t="str"/>
      <x:c r="S176" s="146" t="str">
        <x:v>proposal</x:v>
      </x:c>
      <x:c r="T176" s="146"/>
      <x:c r="U176" s="146" t="str">
        <x:v>neutral</x:v>
      </x:c>
      <x:c r="V176" s="146"/>
      <x:c r="W176" s="146" t="str">
        <x:v>not_applicable</x:v>
      </x:c>
      <x:c r="X176" s="146"/>
      <x:c r="Y176" s="146" t="n">
        <x:v>3</x:v>
      </x:c>
      <x:c r="Z176" s="146"/>
      <x:c r="AA176" s="146" t="str">
        <x:v>high</x:v>
      </x:c>
      <x:c r="AB176" s="146" t="str">
        <x:v>high</x:v>
      </x:c>
      <x:c r="AC176" s="146"/>
      <x:c r="AD176" s="146"/>
      <x:c r="AE176" s="151" t="str">
        <x:v>INST.mandate</x:v>
      </x:c>
      <x:c r="AF176" s="151"/>
      <x:c r="AG176" s="151" t="str">
        <x:v>proposal</x:v>
      </x:c>
      <x:c r="AH176" s="151"/>
      <x:c r="AI176" s="154" t="n">
        <x:f>IF(K176,0,1)</x:f>
        <x:v>1</x:v>
      </x:c>
      <x:c r="AJ176" s="154" t="n">
        <x:f>IF(L176="keep",1,0)</x:f>
        <x:v>1</x:v>
      </x:c>
      <x:c r="AK176" s="154" t="n">
        <x:f>IF(M176="keep",1,0)</x:f>
        <x:v>0</x:v>
      </x:c>
      <x:c r="AL176" s="154" t="n">
        <x:f>(AJ176+AK176)/2</x:f>
        <x:v>0.5</x:v>
      </x:c>
      <x:c r="AM176" s="154" t="n">
        <x:f>MIN(AJ176,AK176)</x:f>
        <x:v>0</x:v>
      </x:c>
      <x:c r="AN176" s="154" t="n">
        <x:f>MAX(AJ176,AK176)</x:f>
        <x:v>1</x:v>
      </x:c>
      <x:c r="AO176" s="154" t="n">
        <x:f>IF(L176=M176,1,0)</x:f>
        <x:v>0</x:v>
      </x:c>
    </x:row>
    <x:row r="177">
      <x:c r="A177" s="38" t="str">
        <x:v>SV-0176</x:v>
      </x:c>
      <x:c r="B177" s="38" t="str">
        <x:v>PC-03682</x:v>
      </x:c>
      <x:c r="C177" s="38" t="str">
        <x:v>en|claude_only</x:v>
      </x:c>
      <x:c r="D177" s="87" t="n">
        <x:v>19.375</x:v>
      </x:c>
      <x:c r="E177" s="38" t="str">
        <x:v>claude_only</x:v>
      </x:c>
      <x:c r="F177" s="38" t="str">
        <x:v>JP_BoJ_2022</x:v>
      </x:c>
      <x:c r="G177" s="38" t="n">
        <x:v>9</x:v>
      </x:c>
      <x:c r="H177" s="38" t="str">
        <x:v>en</x:v>
      </x:c>
      <x:c r="I177" s="38" t="str">
        <x:v>Bank of Japan</x:v>
      </x:c>
      <x:c r="J177" s="38" t="str">
        <x:v>The main 
factor behind this is that for each transaction instruction, holder ID updates were processed for 
multiple tokens, and because exchange processes happen for a constant fraction, the number 
of processes ballooned compared with the other designs. These resource constraints 
decreased throughput and increased latency.</x:v>
      </x:c>
      <x:c r="K177" s="142" t="b">
        <x:v>0</x:v>
      </x:c>
      <x:c r="L177" s="146" t="str">
        <x:v>exclude</x:v>
      </x:c>
      <x:c r="M177" s="146" t="str">
        <x:v>keep</x:v>
      </x:c>
      <x:c r="N177" s="147" t="b">
        <x:v>0</x:v>
      </x:c>
      <x:c r="O177" s="146"/>
      <x:c r="P177" s="146" t="str">
        <x:v>PROC.pilot_learning</x:v>
      </x:c>
      <x:c r="Q177" s="146" t="str"/>
      <x:c r="R177" s="146" t="str">
        <x:v>PROC</x:v>
      </x:c>
      <x:c r="S177" s="146"/>
      <x:c r="T177" s="146" t="str">
        <x:v>finding</x:v>
      </x:c>
      <x:c r="U177" s="146"/>
      <x:c r="V177" s="146" t="str">
        <x:v>neutral</x:v>
      </x:c>
      <x:c r="W177" s="146"/>
      <x:c r="X177" s="146" t="str">
        <x:v>not_applicable</x:v>
      </x:c>
      <x:c r="Y177" s="146"/>
      <x:c r="Z177" s="146" t="n">
        <x:v>3</x:v>
      </x:c>
      <x:c r="AA177" s="146" t="str">
        <x:v>high</x:v>
      </x:c>
      <x:c r="AB177" s="146" t="str">
        <x:v>high</x:v>
      </x:c>
      <x:c r="AC177" s="146"/>
      <x:c r="AD177" s="146"/>
      <x:c r="AE177" s="151"/>
      <x:c r="AF177" s="151" t="str">
        <x:v>PROC.pilot_learning</x:v>
      </x:c>
      <x:c r="AG177" s="151"/>
      <x:c r="AH177" s="151" t="str">
        <x:v>finding</x:v>
      </x:c>
      <x:c r="AI177" s="154" t="n">
        <x:f>IF(K177,0,1)</x:f>
        <x:v>1</x:v>
      </x:c>
      <x:c r="AJ177" s="154" t="n">
        <x:f>IF(L177="keep",1,0)</x:f>
        <x:v>0</x:v>
      </x:c>
      <x:c r="AK177" s="154" t="n">
        <x:f>IF(M177="keep",1,0)</x:f>
        <x:v>1</x:v>
      </x:c>
      <x:c r="AL177" s="154" t="n">
        <x:f>(AJ177+AK177)/2</x:f>
        <x:v>0.5</x:v>
      </x:c>
      <x:c r="AM177" s="154" t="n">
        <x:f>MIN(AJ177,AK177)</x:f>
        <x:v>0</x:v>
      </x:c>
      <x:c r="AN177" s="154" t="n">
        <x:f>MAX(AJ177,AK177)</x:f>
        <x:v>1</x:v>
      </x:c>
      <x:c r="AO177" s="154" t="n">
        <x:f>IF(L177=M177,1,0)</x:f>
        <x:v>0</x:v>
      </x:c>
    </x:row>
    <x:row r="178">
      <x:c r="A178" s="38" t="str">
        <x:v>SV-0177</x:v>
      </x:c>
      <x:c r="B178" s="38" t="str">
        <x:v>PC-00358</x:v>
      </x:c>
      <x:c r="C178" s="38" t="str">
        <x:v>en|both</x:v>
      </x:c>
      <x:c r="D178" s="87" t="n">
        <x:v>19.069444444444443</x:v>
      </x:c>
      <x:c r="E178" s="38" t="str">
        <x:v>both</x:v>
      </x:c>
      <x:c r="F178" s="38" t="str">
        <x:v>AU_RBA_003</x:v>
      </x:c>
      <x:c r="G178" s="38" t="n">
        <x:v>46</x:v>
      </x:c>
      <x:c r="H178" s="38" t="str">
        <x:v>en</x:v>
      </x:c>
      <x:c r="I178" s="38" t="str">
        <x:v>Reserve Bank of Australia and Digital Finance CRC (Project Acacia)</x:v>
      </x:c>
      <x:c r="J178" s="38" t="str">
        <x:v>Firm A redeems DTs for traditional bank deposits.</x:v>
      </x:c>
      <x:c r="K178" s="142" t="b">
        <x:v>0</x:v>
      </x:c>
      <x:c r="L178" s="146" t="str">
        <x:v>exclude</x:v>
      </x:c>
      <x:c r="M178" s="146" t="str">
        <x:v>exclude</x:v>
      </x:c>
      <x:c r="N178" s="147" t="b">
        <x:v>1</x:v>
      </x:c>
      <x:c r="O178" s="146"/>
      <x:c r="P178" s="146" t="str">
        <x:v>SYS.design</x:v>
      </x:c>
      <x:c r="Q178" s="146" t="str"/>
      <x:c r="R178" s="146" t="str">
        <x:v>SYS</x:v>
      </x:c>
      <x:c r="S178" s="146"/>
      <x:c r="T178" s="146" t="str">
        <x:v>proposal</x:v>
      </x:c>
      <x:c r="U178" s="146"/>
      <x:c r="V178" s="146" t="str">
        <x:v>neutral</x:v>
      </x:c>
      <x:c r="W178" s="146"/>
      <x:c r="X178" s="146" t="str">
        <x:v>not_applicable</x:v>
      </x:c>
      <x:c r="Y178" s="146"/>
      <x:c r="Z178" s="146" t="n">
        <x:v>2</x:v>
      </x:c>
      <x:c r="AA178" s="146" t="str">
        <x:v>high</x:v>
      </x:c>
      <x:c r="AB178" s="146" t="str">
        <x:v>high</x:v>
      </x:c>
      <x:c r="AC178" s="146"/>
      <x:c r="AD178" s="146" t="str">
        <x:v>x</x:v>
      </x:c>
      <x:c r="AE178" s="151" t="str">
        <x:v>INTEROP.domestic</x:v>
      </x:c>
      <x:c r="AF178" s="151" t="str">
        <x:v>SYS.design</x:v>
      </x:c>
      <x:c r="AG178" s="151" t="str">
        <x:v>proposal</x:v>
      </x:c>
      <x:c r="AH178" s="151" t="str">
        <x:v>proposal</x:v>
      </x:c>
      <x:c r="AI178" s="154" t="n">
        <x:f>IF(K178,0,1)</x:f>
        <x:v>1</x:v>
      </x:c>
      <x:c r="AJ178" s="154" t="n">
        <x:f>IF(L178="keep",1,0)</x:f>
        <x:v>0</x:v>
      </x:c>
      <x:c r="AK178" s="154" t="n">
        <x:f>IF(M178="keep",1,0)</x:f>
        <x:v>0</x:v>
      </x:c>
      <x:c r="AL178" s="154" t="n">
        <x:f>(AJ178+AK178)/2</x:f>
        <x:v>0</x:v>
      </x:c>
      <x:c r="AM178" s="154" t="n">
        <x:f>MIN(AJ178,AK178)</x:f>
        <x:v>0</x:v>
      </x:c>
      <x:c r="AN178" s="154" t="n">
        <x:f>MAX(AJ178,AK178)</x:f>
        <x:v>0</x:v>
      </x:c>
      <x:c r="AO178" s="154" t="n">
        <x:f>IF(L178=M178,1,0)</x:f>
        <x:v>1</x:v>
      </x:c>
    </x:row>
    <x:row r="179">
      <x:c r="A179" s="38" t="str">
        <x:v>SV-0178</x:v>
      </x:c>
      <x:c r="B179" s="38" t="str">
        <x:v>PC-05512</x:v>
      </x:c>
      <x:c r="C179" s="38" t="str">
        <x:v>en|claude_only</x:v>
      </x:c>
      <x:c r="D179" s="87" t="n">
        <x:v>19.375</x:v>
      </x:c>
      <x:c r="E179" s="38" t="str">
        <x:v>claude_only</x:v>
      </x:c>
      <x:c r="F179" s="38" t="str">
        <x:v>SZ_Eswatini_2024-Fintech-Digital-Lilangeni-Design-Paper</x:v>
      </x:c>
      <x:c r="G179" s="38" t="n">
        <x:v>30</x:v>
      </x:c>
      <x:c r="H179" s="38" t="str">
        <x:v>en</x:v>
      </x:c>
      <x:c r="I179" s="38" t="str">
        <x:v>Central Bank of Eswatini (Digital Lilangeni)</x:v>
      </x:c>
      <x:c r="J179" s="38" t="str">
        <x:v>This two -tier hybrid approach was also tested during the FSP Pilot Project, where 
Swaziland Building Society (SBS) was the intermediary to take over the integration of a 
Digital Lilangeni into their system and to offer the CBDC payment option as a service to 
its employees including selected CBE staff members with accounts at SBS. The CBE took 
on the role of minting, while SBS handled the distribution to and onboarding of end users 
in the pilot ecosystem.</x:v>
      </x:c>
      <x:c r="K179" s="142" t="b">
        <x:v>0</x:v>
      </x:c>
      <x:c r="L179" s="146" t="str">
        <x:v>keep</x:v>
      </x:c>
      <x:c r="M179" s="146" t="str">
        <x:v>keep</x:v>
      </x:c>
      <x:c r="N179" s="147" t="b">
        <x:v>1</x:v>
      </x:c>
      <x:c r="O179" s="146" t="str">
        <x:v>TECH.TOKEN.considered</x:v>
      </x:c>
      <x:c r="P179" s="146" t="str">
        <x:v>PROC.pilot_learning</x:v>
      </x:c>
      <x:c r="Q179" s="146" t="str">
        <x:v>TECH</x:v>
      </x:c>
      <x:c r="R179" s="146" t="str">
        <x:v>PROC</x:v>
      </x:c>
      <x:c r="S179" s="146" t="str">
        <x:v>proposal</x:v>
      </x:c>
      <x:c r="T179" s="146" t="str">
        <x:v>finding</x:v>
      </x:c>
      <x:c r="U179" s="146" t="str">
        <x:v>neutral</x:v>
      </x:c>
      <x:c r="V179" s="146" t="str">
        <x:v>neutral</x:v>
      </x:c>
      <x:c r="W179" s="146" t="str">
        <x:v>not_applicable</x:v>
      </x:c>
      <x:c r="X179" s="146" t="str">
        <x:v>not_applicable</x:v>
      </x:c>
      <x:c r="Y179" s="146" t="n">
        <x:v>2</x:v>
      </x:c>
      <x:c r="Z179" s="146" t="n">
        <x:v>3</x:v>
      </x:c>
      <x:c r="AA179" s="146" t="str">
        <x:v>high</x:v>
      </x:c>
      <x:c r="AB179" s="146" t="str">
        <x:v>high</x:v>
      </x:c>
      <x:c r="AC179" s="146"/>
      <x:c r="AD179" s="146"/>
      <x:c r="AE179" s="151"/>
      <x:c r="AF179" s="151" t="str">
        <x:v>PROC.pilot_learning</x:v>
      </x:c>
      <x:c r="AG179" s="151"/>
      <x:c r="AH179" s="151" t="str">
        <x:v>finding</x:v>
      </x:c>
      <x:c r="AI179" s="154" t="n">
        <x:f>IF(K179,0,1)</x:f>
        <x:v>1</x:v>
      </x:c>
      <x:c r="AJ179" s="154" t="n">
        <x:f>IF(L179="keep",1,0)</x:f>
        <x:v>1</x:v>
      </x:c>
      <x:c r="AK179" s="154" t="n">
        <x:f>IF(M179="keep",1,0)</x:f>
        <x:v>1</x:v>
      </x:c>
      <x:c r="AL179" s="154" t="n">
        <x:f>(AJ179+AK179)/2</x:f>
        <x:v>1</x:v>
      </x:c>
      <x:c r="AM179" s="154" t="n">
        <x:f>MIN(AJ179,AK179)</x:f>
        <x:v>1</x:v>
      </x:c>
      <x:c r="AN179" s="154" t="n">
        <x:f>MAX(AJ179,AK179)</x:f>
        <x:v>1</x:v>
      </x:c>
      <x:c r="AO179" s="154" t="n">
        <x:f>IF(L179=M179,1,0)</x:f>
        <x:v>1</x:v>
      </x:c>
    </x:row>
    <x:row r="180">
      <x:c r="A180" s="38" t="str">
        <x:v>SV-0179</x:v>
      </x:c>
      <x:c r="B180" s="38" t="str">
        <x:v>PC-02952</x:v>
      </x:c>
      <x:c r="C180" s="38" t="str">
        <x:v>en|both</x:v>
      </x:c>
      <x:c r="D180" s="87" t="n">
        <x:v>19.069444444444443</x:v>
      </x:c>
      <x:c r="E180" s="38" t="str">
        <x:v>both</x:v>
      </x:c>
      <x:c r="F180" s="38" t="str">
        <x:v>IL_BoI_2024</x:v>
      </x:c>
      <x:c r="G180" s="38" t="n">
        <x:v>85</x:v>
      </x:c>
      <x:c r="H180" s="38" t="str">
        <x:v>en</x:v>
      </x:c>
      <x:c r="I180" s="38" t="str">
        <x:v>Bank of Israel (digital shekel)</x:v>
      </x:c>
      <x:c r="J180" s="38" t="str">
        <x:v>The user should be able to see the exchange rate and the total fees that wil l be 
charged for the payment transaction before approving the transaction.</x:v>
      </x:c>
      <x:c r="K180" s="142" t="b">
        <x:v>0</x:v>
      </x:c>
      <x:c r="L180" s="146" t="str">
        <x:v>keep</x:v>
      </x:c>
      <x:c r="M180" s="146" t="str">
        <x:v>keep</x:v>
      </x:c>
      <x:c r="N180" s="147" t="b">
        <x:v>1</x:v>
      </x:c>
      <x:c r="O180" s="146" t="str">
        <x:v>ADOPT.experience</x:v>
      </x:c>
      <x:c r="P180" s="146" t="str">
        <x:v>INTEROP.crossborder</x:v>
      </x:c>
      <x:c r="Q180" s="146" t="str">
        <x:v>ADOPT</x:v>
      </x:c>
      <x:c r="R180" s="146" t="str">
        <x:v>INTEROP</x:v>
      </x:c>
      <x:c r="S180" s="146" t="str">
        <x:v>proposal</x:v>
      </x:c>
      <x:c r="T180" s="146" t="str">
        <x:v>proposal</x:v>
      </x:c>
      <x:c r="U180" s="146" t="str">
        <x:v>neutral</x:v>
      </x:c>
      <x:c r="V180" s="146" t="str">
        <x:v>neutral</x:v>
      </x:c>
      <x:c r="W180" s="146" t="str">
        <x:v>not_applicable</x:v>
      </x:c>
      <x:c r="X180" s="146" t="str">
        <x:v>not_applicable</x:v>
      </x:c>
      <x:c r="Y180" s="146" t="n">
        <x:v>2</x:v>
      </x:c>
      <x:c r="Z180" s="146" t="n">
        <x:v>1</x:v>
      </x:c>
      <x:c r="AA180" s="146" t="str">
        <x:v>high</x:v>
      </x:c>
      <x:c r="AB180" s="146" t="str">
        <x:v>high</x:v>
      </x:c>
      <x:c r="AC180" s="146"/>
      <x:c r="AD180" s="146"/>
      <x:c r="AE180" s="151" t="str">
        <x:v>ADOPT.experience</x:v>
      </x:c>
      <x:c r="AF180" s="151" t="str">
        <x:v>INTEROP.crossborder</x:v>
      </x:c>
      <x:c r="AG180" s="151" t="str">
        <x:v>proposal</x:v>
      </x:c>
      <x:c r="AH180" s="151" t="str">
        <x:v>proposal</x:v>
      </x:c>
      <x:c r="AI180" s="154" t="n">
        <x:f>IF(K180,0,1)</x:f>
        <x:v>1</x:v>
      </x:c>
      <x:c r="AJ180" s="154" t="n">
        <x:f>IF(L180="keep",1,0)</x:f>
        <x:v>1</x:v>
      </x:c>
      <x:c r="AK180" s="154" t="n">
        <x:f>IF(M180="keep",1,0)</x:f>
        <x:v>1</x:v>
      </x:c>
      <x:c r="AL180" s="154" t="n">
        <x:f>(AJ180+AK180)/2</x:f>
        <x:v>1</x:v>
      </x:c>
      <x:c r="AM180" s="154" t="n">
        <x:f>MIN(AJ180,AK180)</x:f>
        <x:v>1</x:v>
      </x:c>
      <x:c r="AN180" s="154" t="n">
        <x:f>MAX(AJ180,AK180)</x:f>
        <x:v>1</x:v>
      </x:c>
      <x:c r="AO180" s="154" t="n">
        <x:f>IF(L180=M180,1,0)</x:f>
        <x:v>1</x:v>
      </x:c>
    </x:row>
    <x:row r="181">
      <x:c r="A181" s="38" t="str">
        <x:v>SV-0180</x:v>
      </x:c>
      <x:c r="B181" s="38" t="str">
        <x:v>PC-04376</x:v>
      </x:c>
      <x:c r="C181" s="38" t="str">
        <x:v>en|openai_only</x:v>
      </x:c>
      <x:c r="D181" s="87" t="n">
        <x:v>19.21875</x:v>
      </x:c>
      <x:c r="E181" s="38" t="str">
        <x:v>openai_only</x:v>
      </x:c>
      <x:c r="F181" s="38" t="str">
        <x:v>NO_Norway_norges-bank-memo-1-2021</x:v>
      </x:c>
      <x:c r="G181" s="38" t="n">
        <x:v>36</x:v>
      </x:c>
      <x:c r="H181" s="38" t="str">
        <x:v>en</x:v>
      </x:c>
      <x:c r="I181" s="38" t="str">
        <x:v>Norges Bank (Norwegian CBDC work)</x:v>
      </x:c>
      <x:c r="J181" s="38" t="str">
        <x:v>Selv om et DSP-register i seg selv ikke er basert på desentralisert teknologi, 
utelukker ikke dette at DSP kan utnytte fordeler ved DLT.</x:v>
      </x:c>
      <x:c r="K181" s="142" t="b">
        <x:v>0</x:v>
      </x:c>
      <x:c r="L181" s="146" t="str">
        <x:v>keep</x:v>
      </x:c>
      <x:c r="M181" s="146" t="str">
        <x:v>exclude</x:v>
      </x:c>
      <x:c r="N181" s="147" t="b">
        <x:v>0</x:v>
      </x:c>
      <x:c r="O181" s="146" t="str">
        <x:v>TECH.DLT</x:v>
      </x:c>
      <x:c r="P181" s="146"/>
      <x:c r="Q181" s="146" t="str">
        <x:v>TECH</x:v>
      </x:c>
      <x:c r="R181" s="146" t="str"/>
      <x:c r="S181" s="146" t="str">
        <x:v>proposal</x:v>
      </x:c>
      <x:c r="T181" s="146"/>
      <x:c r="U181" s="146" t="str">
        <x:v>neutral</x:v>
      </x:c>
      <x:c r="V181" s="146"/>
      <x:c r="W181" s="146" t="str">
        <x:v>not_applicable</x:v>
      </x:c>
      <x:c r="X181" s="146"/>
      <x:c r="Y181" s="146" t="n">
        <x:v>2</x:v>
      </x:c>
      <x:c r="Z181" s="146"/>
      <x:c r="AA181" s="146" t="str">
        <x:v>high</x:v>
      </x:c>
      <x:c r="AB181" s="146" t="str">
        <x:v>high</x:v>
      </x:c>
      <x:c r="AC181" s="146"/>
      <x:c r="AD181" s="146"/>
      <x:c r="AE181" s="151" t="str">
        <x:v>TECH.DLT</x:v>
      </x:c>
      <x:c r="AF181" s="151"/>
      <x:c r="AG181" s="151" t="str">
        <x:v>proposal</x:v>
      </x:c>
      <x:c r="AH181" s="151"/>
      <x:c r="AI181" s="154" t="n">
        <x:f>IF(K181,0,1)</x:f>
        <x:v>1</x:v>
      </x:c>
      <x:c r="AJ181" s="154" t="n">
        <x:f>IF(L181="keep",1,0)</x:f>
        <x:v>1</x:v>
      </x:c>
      <x:c r="AK181" s="154" t="n">
        <x:f>IF(M181="keep",1,0)</x:f>
        <x:v>0</x:v>
      </x:c>
      <x:c r="AL181" s="154" t="n">
        <x:f>(AJ181+AK181)/2</x:f>
        <x:v>0.5</x:v>
      </x:c>
      <x:c r="AM181" s="154" t="n">
        <x:f>MIN(AJ181,AK181)</x:f>
        <x:v>0</x:v>
      </x:c>
      <x:c r="AN181" s="154" t="n">
        <x:f>MAX(AJ181,AK181)</x:f>
        <x:v>1</x:v>
      </x:c>
      <x:c r="AO181" s="154" t="n">
        <x:f>IF(L181=M181,1,0)</x:f>
        <x:v>0</x:v>
      </x:c>
    </x:row>
    <x:row r="182">
      <x:c r="A182" s="38" t="str">
        <x:v>SV-0181</x:v>
      </x:c>
      <x:c r="B182" s="38" t="str">
        <x:v>PC-04984</x:v>
      </x:c>
      <x:c r="C182" s="38" t="str">
        <x:v>en|claude_only</x:v>
      </x:c>
      <x:c r="D182" s="87" t="n">
        <x:v>19.375</x:v>
      </x:c>
      <x:c r="E182" s="38" t="str">
        <x:v>claude_only</x:v>
      </x:c>
      <x:c r="F182" s="38" t="str">
        <x:v>RU_Russia_consultation_paper_201013</x:v>
      </x:c>
      <x:c r="G182" s="38" t="n">
        <x:v>20</x:v>
      </x:c>
      <x:c r="H182" s="38" t="str">
        <x:v>en</x:v>
      </x:c>
      <x:c r="I182" s="38" t="str">
        <x:v>Bank of Russia (digital ruble)</x:v>
      </x:c>
      <x:c r="J182" s="38" t="str">
        <x:v>This will influence banks’ 
needs with regard to transactions with the central bank, which will have to be taken into account 
when tuning the operational procedure of monetary policy and in order to ensure financial stability.</x:v>
      </x:c>
      <x:c r="K182" s="142" t="b">
        <x:v>0</x:v>
      </x:c>
      <x:c r="L182" s="146" t="str">
        <x:v>exclude</x:v>
      </x:c>
      <x:c r="M182" s="146" t="str">
        <x:v>keep</x:v>
      </x:c>
      <x:c r="N182" s="147" t="b">
        <x:v>0</x:v>
      </x:c>
      <x:c r="O182" s="146"/>
      <x:c r="P182" s="146" t="str">
        <x:v>STAB.disintermediation</x:v>
      </x:c>
      <x:c r="Q182" s="146" t="str"/>
      <x:c r="R182" s="146" t="str">
        <x:v>STAB</x:v>
      </x:c>
      <x:c r="S182" s="146"/>
      <x:c r="T182" s="146" t="str">
        <x:v>finding</x:v>
      </x:c>
      <x:c r="U182" s="146"/>
      <x:c r="V182" s="146" t="str">
        <x:v>neutral</x:v>
      </x:c>
      <x:c r="W182" s="146"/>
      <x:c r="X182" s="146" t="str">
        <x:v>not_applicable</x:v>
      </x:c>
      <x:c r="Y182" s="146"/>
      <x:c r="Z182" s="146" t="n">
        <x:v>2</x:v>
      </x:c>
      <x:c r="AA182" s="146" t="str">
        <x:v>high</x:v>
      </x:c>
      <x:c r="AB182" s="146" t="str">
        <x:v>high</x:v>
      </x:c>
      <x:c r="AC182" s="146"/>
      <x:c r="AD182" s="146"/>
      <x:c r="AE182" s="151"/>
      <x:c r="AF182" s="151" t="str">
        <x:v>STAB.disintermediation</x:v>
      </x:c>
      <x:c r="AG182" s="151"/>
      <x:c r="AH182" s="151" t="str">
        <x:v>finding</x:v>
      </x:c>
      <x:c r="AI182" s="154" t="n">
        <x:f>IF(K182,0,1)</x:f>
        <x:v>1</x:v>
      </x:c>
      <x:c r="AJ182" s="154" t="n">
        <x:f>IF(L182="keep",1,0)</x:f>
        <x:v>0</x:v>
      </x:c>
      <x:c r="AK182" s="154" t="n">
        <x:f>IF(M182="keep",1,0)</x:f>
        <x:v>1</x:v>
      </x:c>
      <x:c r="AL182" s="154" t="n">
        <x:f>(AJ182+AK182)/2</x:f>
        <x:v>0.5</x:v>
      </x:c>
      <x:c r="AM182" s="154" t="n">
        <x:f>MIN(AJ182,AK182)</x:f>
        <x:v>0</x:v>
      </x:c>
      <x:c r="AN182" s="154" t="n">
        <x:f>MAX(AJ182,AK182)</x:f>
        <x:v>1</x:v>
      </x:c>
      <x:c r="AO182" s="154" t="n">
        <x:f>IF(L182=M182,1,0)</x:f>
        <x:v>0</x:v>
      </x:c>
    </x:row>
    <x:row r="183">
      <x:c r="A183" s="38" t="str">
        <x:v>SV-0182</x:v>
      </x:c>
      <x:c r="B183" s="38" t="str">
        <x:v>PC-00964</x:v>
      </x:c>
      <x:c r="C183" s="38" t="str">
        <x:v>en|claude_only</x:v>
      </x:c>
      <x:c r="D183" s="87" t="n">
        <x:v>19.375</x:v>
      </x:c>
      <x:c r="E183" s="38" t="str">
        <x:v>claude_only</x:v>
      </x:c>
      <x:c r="F183" s="38" t="str">
        <x:v>CA_Jasper_Phase12_2017</x:v>
      </x:c>
      <x:c r="G183" s="38" t="n">
        <x:v>22</x:v>
      </x:c>
      <x:c r="H183" s="38" t="str">
        <x:v>en</x:v>
      </x:c>
      <x:c r="I183" s="38" t="str">
        <x:v>Bank of Canada and Payments Canada (Project Jasper)</x:v>
      </x:c>
      <x:c r="J183" s="38" t="str">
        <x:v>Two options for meeting user privacy requirements are currently under 
development. One is for the sender to perform the validation themselves 
and then convince the receiver beyond doubt that they have done so, 
without providing additional transaction information. This is the idea 
behind zero knowledge proofs, and Corda is designed to adopt this 
technology as it matures. The other option is to send the necessary data 
to the recipient’s computer for verification, but to do so in such a way 
that the recipient cannot see it, even though they have full control of 
their computer . This is what homomorphic encryption will allow as it 
matures and is what secure enclave technology, such as that provided  
by Intel’s SGX, offers today. Corda is designed to take full advantage  
of Intel SGX.</x:v>
      </x:c>
      <x:c r="K183" s="142" t="b">
        <x:v>0</x:v>
      </x:c>
      <x:c r="L183" s="146" t="str">
        <x:v>keep</x:v>
      </x:c>
      <x:c r="M183" s="146" t="str">
        <x:v>keep</x:v>
      </x:c>
      <x:c r="N183" s="147" t="b">
        <x:v>1</x:v>
      </x:c>
      <x:c r="O183" s="146" t="str">
        <x:v>PRIV.ANON</x:v>
      </x:c>
      <x:c r="P183" s="146" t="str">
        <x:v>PRIV.PET</x:v>
      </x:c>
      <x:c r="Q183" s="146" t="str">
        <x:v>PRIV</x:v>
      </x:c>
      <x:c r="R183" s="146" t="str">
        <x:v>PRIV</x:v>
      </x:c>
      <x:c r="S183" s="146" t="str">
        <x:v>proposal</x:v>
      </x:c>
      <x:c r="T183" s="146" t="str">
        <x:v>proposal</x:v>
      </x:c>
      <x:c r="U183" s="146" t="str">
        <x:v>increases</x:v>
      </x:c>
      <x:c r="V183" s="146" t="str">
        <x:v>increases</x:v>
      </x:c>
      <x:c r="W183" s="146" t="str">
        <x:v>from_state</x:v>
      </x:c>
      <x:c r="X183" s="146" t="str">
        <x:v>not_applicable</x:v>
      </x:c>
      <x:c r="Y183" s="146" t="n">
        <x:v>2</x:v>
      </x:c>
      <x:c r="Z183" s="146" t="n">
        <x:v>2</x:v>
      </x:c>
      <x:c r="AA183" s="146" t="str">
        <x:v>high</x:v>
      </x:c>
      <x:c r="AB183" s="146" t="str">
        <x:v>high</x:v>
      </x:c>
      <x:c r="AC183" s="146"/>
      <x:c r="AD183" s="146"/>
      <x:c r="AE183" s="151"/>
      <x:c r="AF183" s="151" t="str">
        <x:v>PRIV.PET</x:v>
      </x:c>
      <x:c r="AG183" s="151"/>
      <x:c r="AH183" s="151" t="str">
        <x:v>proposal</x:v>
      </x:c>
      <x:c r="AI183" s="154" t="n">
        <x:f>IF(K183,0,1)</x:f>
        <x:v>1</x:v>
      </x:c>
      <x:c r="AJ183" s="154" t="n">
        <x:f>IF(L183="keep",1,0)</x:f>
        <x:v>1</x:v>
      </x:c>
      <x:c r="AK183" s="154" t="n">
        <x:f>IF(M183="keep",1,0)</x:f>
        <x:v>1</x:v>
      </x:c>
      <x:c r="AL183" s="154" t="n">
        <x:f>(AJ183+AK183)/2</x:f>
        <x:v>1</x:v>
      </x:c>
      <x:c r="AM183" s="154" t="n">
        <x:f>MIN(AJ183,AK183)</x:f>
        <x:v>1</x:v>
      </x:c>
      <x:c r="AN183" s="154" t="n">
        <x:f>MAX(AJ183,AK183)</x:f>
        <x:v>1</x:v>
      </x:c>
      <x:c r="AO183" s="154" t="n">
        <x:f>IF(L183=M183,1,0)</x:f>
        <x:v>1</x:v>
      </x:c>
    </x:row>
    <x:row r="184">
      <x:c r="A184" s="38" t="str">
        <x:v>SV-0183</x:v>
      </x:c>
      <x:c r="B184" s="38" t="str">
        <x:v>PC-03213</x:v>
      </x:c>
      <x:c r="C184" s="38" t="str">
        <x:v>en|both</x:v>
      </x:c>
      <x:c r="D184" s="87" t="n">
        <x:v>19.069444444444443</x:v>
      </x:c>
      <x:c r="E184" s="38" t="str">
        <x:v>both</x:v>
      </x:c>
      <x:c r="F184" s="38" t="str">
        <x:v>IL_Israel_#U05d0#U05e8#U05db#U05d9#U05d8#U05e7#U05d8#U05d5#U05e8#U05d4-#U05dc#U05d5#U05d2#U05d9#U05ea-#U05d0#U05e0#U05d2#U05dc#U05d9#U05ea.pdf</x:v>
      </x:c>
      <x:c r="G184" s="38" t="n">
        <x:v>14</x:v>
      </x:c>
      <x:c r="H184" s="38" t="str">
        <x:v>en</x:v>
      </x:c>
      <x:c r="I184" s="38" t="str">
        <x:v>Bank of Israel (digital shekel)</x:v>
      </x:c>
      <x:c r="J184" s="38" t="str">
        <x:v>Access technology recovery Support the end user’s ability to recover the access 
technology (for example, the loss of a card or the 
erasure of the cellular device).</x:v>
      </x:c>
      <x:c r="K184" s="142" t="b">
        <x:v>0</x:v>
      </x:c>
      <x:c r="L184" s="146" t="str">
        <x:v>keep</x:v>
      </x:c>
      <x:c r="M184" s="146" t="str">
        <x:v>keep</x:v>
      </x:c>
      <x:c r="N184" s="147" t="b">
        <x:v>1</x:v>
      </x:c>
      <x:c r="O184" s="146" t="str">
        <x:v>OPS.resilience</x:v>
      </x:c>
      <x:c r="P184" s="146" t="str">
        <x:v>AML.FATF</x:v>
      </x:c>
      <x:c r="Q184" s="146" t="str">
        <x:v>OPS</x:v>
      </x:c>
      <x:c r="R184" s="146" t="str">
        <x:v>AML</x:v>
      </x:c>
      <x:c r="S184" s="146" t="str">
        <x:v>proposal</x:v>
      </x:c>
      <x:c r="T184" s="146" t="str">
        <x:v>decision</x:v>
      </x:c>
      <x:c r="U184" s="146" t="str">
        <x:v>neutral</x:v>
      </x:c>
      <x:c r="V184" s="146" t="str">
        <x:v>neutral</x:v>
      </x:c>
      <x:c r="W184" s="146" t="str">
        <x:v>not_applicable</x:v>
      </x:c>
      <x:c r="X184" s="146" t="str">
        <x:v>not_applicable</x:v>
      </x:c>
      <x:c r="Y184" s="146" t="n">
        <x:v>2</x:v>
      </x:c>
      <x:c r="Z184" s="146" t="n">
        <x:v>2</x:v>
      </x:c>
      <x:c r="AA184" s="146" t="str">
        <x:v>high</x:v>
      </x:c>
      <x:c r="AB184" s="146" t="str">
        <x:v>high</x:v>
      </x:c>
      <x:c r="AC184" s="146"/>
      <x:c r="AD184" s="146"/>
      <x:c r="AE184" s="151" t="str">
        <x:v>OPS.resilience</x:v>
      </x:c>
      <x:c r="AF184" s="151" t="str">
        <x:v>AML.FATF</x:v>
      </x:c>
      <x:c r="AG184" s="151" t="str">
        <x:v>proposal</x:v>
      </x:c>
      <x:c r="AH184" s="151" t="str">
        <x:v>decision</x:v>
      </x:c>
      <x:c r="AI184" s="154" t="n">
        <x:f>IF(K184,0,1)</x:f>
        <x:v>1</x:v>
      </x:c>
      <x:c r="AJ184" s="154" t="n">
        <x:f>IF(L184="keep",1,0)</x:f>
        <x:v>1</x:v>
      </x:c>
      <x:c r="AK184" s="154" t="n">
        <x:f>IF(M184="keep",1,0)</x:f>
        <x:v>1</x:v>
      </x:c>
      <x:c r="AL184" s="154" t="n">
        <x:f>(AJ184+AK184)/2</x:f>
        <x:v>1</x:v>
      </x:c>
      <x:c r="AM184" s="154" t="n">
        <x:f>MIN(AJ184,AK184)</x:f>
        <x:v>1</x:v>
      </x:c>
      <x:c r="AN184" s="154" t="n">
        <x:f>MAX(AJ184,AK184)</x:f>
        <x:v>1</x:v>
      </x:c>
      <x:c r="AO184" s="154" t="n">
        <x:f>IF(L184=M184,1,0)</x:f>
        <x:v>1</x:v>
      </x:c>
    </x:row>
    <x:row r="185">
      <x:c r="A185" s="38" t="str">
        <x:v>SV-0184</x:v>
      </x:c>
      <x:c r="B185" s="38" t="str">
        <x:v>PC-06052</x:v>
      </x:c>
      <x:c r="C185" s="38" t="str">
        <x:v>en|both</x:v>
      </x:c>
      <x:c r="D185" s="87" t="n">
        <x:v>19.069444444444443</x:v>
      </x:c>
      <x:c r="E185" s="38" t="str">
        <x:v>both</x:v>
      </x:c>
      <x:c r="F185" s="38" t="str">
        <x:v>UK_BoE_2020_OpportChall</x:v>
      </x:c>
      <x:c r="G185" s="38" t="n">
        <x:v>28</x:v>
      </x:c>
      <x:c r="H185" s="38" t="str">
        <x:v>en</x:v>
      </x:c>
      <x:c r="I185" s="38" t="str">
        <x:v>Bank of England and HM Treasury (digital pound)</x:v>
      </x:c>
      <x:c r="J185" s="38" t="str">
        <x:v>This account could be pseudonymous on the core 
ledger, meaning that the core ledger would not need to record identity information. However, the Payment 
Interface Provider would record the identity of the user on its own systems, and would know which 
pseudonymous account(s) the user holds at the Bank.</x:v>
      </x:c>
      <x:c r="K185" s="142" t="b">
        <x:v>0</x:v>
      </x:c>
      <x:c r="L185" s="146" t="str">
        <x:v>keep</x:v>
      </x:c>
      <x:c r="M185" s="146" t="str">
        <x:v>keep</x:v>
      </x:c>
      <x:c r="N185" s="147" t="b">
        <x:v>1</x:v>
      </x:c>
      <x:c r="O185" s="146" t="str">
        <x:v>PRIV.ANON</x:v>
      </x:c>
      <x:c r="P185" s="146" t="str">
        <x:v>PRIV.CB.visibility.opaque</x:v>
      </x:c>
      <x:c r="Q185" s="146" t="str">
        <x:v>PRIV</x:v>
      </x:c>
      <x:c r="R185" s="146" t="str">
        <x:v>PRIV</x:v>
      </x:c>
      <x:c r="S185" s="146" t="str">
        <x:v>proposal</x:v>
      </x:c>
      <x:c r="T185" s="146" t="str">
        <x:v>proposal</x:v>
      </x:c>
      <x:c r="U185" s="146" t="str">
        <x:v>decreases</x:v>
      </x:c>
      <x:c r="V185" s="146" t="str">
        <x:v>increases</x:v>
      </x:c>
      <x:c r="W185" s="146" t="str">
        <x:v>from_intermediary</x:v>
      </x:c>
      <x:c r="X185" s="146" t="str">
        <x:v>from_state</x:v>
      </x:c>
      <x:c r="Y185" s="146" t="n">
        <x:v>3</x:v>
      </x:c>
      <x:c r="Z185" s="146" t="n">
        <x:v>3</x:v>
      </x:c>
      <x:c r="AA185" s="146" t="str">
        <x:v>high</x:v>
      </x:c>
      <x:c r="AB185" s="146" t="str">
        <x:v>high</x:v>
      </x:c>
      <x:c r="AC185" s="146"/>
      <x:c r="AD185" s="146"/>
      <x:c r="AE185" s="151" t="str">
        <x:v>SYS.design</x:v>
      </x:c>
      <x:c r="AF185" s="151" t="str">
        <x:v>PRIV.CB.visibility.opaque</x:v>
      </x:c>
      <x:c r="AG185" s="151" t="str">
        <x:v>proposal</x:v>
      </x:c>
      <x:c r="AH185" s="151" t="str">
        <x:v>proposal</x:v>
      </x:c>
      <x:c r="AI185" s="154" t="n">
        <x:f>IF(K185,0,1)</x:f>
        <x:v>1</x:v>
      </x:c>
      <x:c r="AJ185" s="154" t="n">
        <x:f>IF(L185="keep",1,0)</x:f>
        <x:v>1</x:v>
      </x:c>
      <x:c r="AK185" s="154" t="n">
        <x:f>IF(M185="keep",1,0)</x:f>
        <x:v>1</x:v>
      </x:c>
      <x:c r="AL185" s="154" t="n">
        <x:f>(AJ185+AK185)/2</x:f>
        <x:v>1</x:v>
      </x:c>
      <x:c r="AM185" s="154" t="n">
        <x:f>MIN(AJ185,AK185)</x:f>
        <x:v>1</x:v>
      </x:c>
      <x:c r="AN185" s="154" t="n">
        <x:f>MAX(AJ185,AK185)</x:f>
        <x:v>1</x:v>
      </x:c>
      <x:c r="AO185" s="154" t="n">
        <x:f>IF(L185=M185,1,0)</x:f>
        <x:v>1</x:v>
      </x:c>
    </x:row>
    <x:row r="186">
      <x:c r="A186" s="38" t="str">
        <x:v>SV-0185</x:v>
      </x:c>
      <x:c r="B186" s="38" t="str">
        <x:v>PC-04031</x:v>
      </x:c>
      <x:c r="C186" s="38" t="str">
        <x:v>en|both</x:v>
      </x:c>
      <x:c r="D186" s="87" t="n">
        <x:v>19.069444444444443</x:v>
      </x:c>
      <x:c r="E186" s="38" t="str">
        <x:v>both</x:v>
      </x:c>
      <x:c r="F186" s="38" t="str">
        <x:v>NO_NB_FI2024_CBDC</x:v>
      </x:c>
      <x:c r="G186" s="38" t="n">
        <x:v>39</x:v>
      </x:c>
      <x:c r="H186" s="38" t="str">
        <x:v>en</x:v>
      </x:c>
      <x:c r="I186" s="38" t="str">
        <x:v>Norges Bank (Norwegian CBDC work)</x:v>
      </x:c>
      <x:c r="J186" s="38" t="str">
        <x:v>the CBDC system must function
independently of banks’ payment systems.</x:v>
      </x:c>
      <x:c r="K186" s="142" t="b">
        <x:v>0</x:v>
      </x:c>
      <x:c r="L186" s="146" t="str">
        <x:v>keep</x:v>
      </x:c>
      <x:c r="M186" s="146" t="str">
        <x:v>keep</x:v>
      </x:c>
      <x:c r="N186" s="147" t="b">
        <x:v>1</x:v>
      </x:c>
      <x:c r="O186" s="146" t="str">
        <x:v>SYS.design</x:v>
      </x:c>
      <x:c r="P186" s="146" t="str">
        <x:v>SYS.design</x:v>
      </x:c>
      <x:c r="Q186" s="146" t="str">
        <x:v>SYS</x:v>
      </x:c>
      <x:c r="R186" s="146" t="str">
        <x:v>SYS</x:v>
      </x:c>
      <x:c r="S186" s="146" t="str">
        <x:v>decision</x:v>
      </x:c>
      <x:c r="T186" s="146" t="str">
        <x:v>proposal</x:v>
      </x:c>
      <x:c r="U186" s="146" t="str">
        <x:v>neutral</x:v>
      </x:c>
      <x:c r="V186" s="146" t="str">
        <x:v>neutral</x:v>
      </x:c>
      <x:c r="W186" s="146" t="str">
        <x:v>not_applicable</x:v>
      </x:c>
      <x:c r="X186" s="146" t="str">
        <x:v>not_applicable</x:v>
      </x:c>
      <x:c r="Y186" s="146" t="n">
        <x:v>3</x:v>
      </x:c>
      <x:c r="Z186" s="146" t="n">
        <x:v>2</x:v>
      </x:c>
      <x:c r="AA186" s="146" t="str">
        <x:v>high</x:v>
      </x:c>
      <x:c r="AB186" s="146" t="str">
        <x:v>high</x:v>
      </x:c>
      <x:c r="AC186" s="146"/>
      <x:c r="AD186" s="146"/>
      <x:c r="AE186" s="151" t="str">
        <x:v>OPS.resilience</x:v>
      </x:c>
      <x:c r="AF186" s="151" t="str">
        <x:v>SYS.design</x:v>
      </x:c>
      <x:c r="AG186" s="151" t="str">
        <x:v>decision</x:v>
      </x:c>
      <x:c r="AH186" s="151" t="str">
        <x:v>proposal</x:v>
      </x:c>
      <x:c r="AI186" s="154" t="n">
        <x:f>IF(K186,0,1)</x:f>
        <x:v>1</x:v>
      </x:c>
      <x:c r="AJ186" s="154" t="n">
        <x:f>IF(L186="keep",1,0)</x:f>
        <x:v>1</x:v>
      </x:c>
      <x:c r="AK186" s="154" t="n">
        <x:f>IF(M186="keep",1,0)</x:f>
        <x:v>1</x:v>
      </x:c>
      <x:c r="AL186" s="154" t="n">
        <x:f>(AJ186+AK186)/2</x:f>
        <x:v>1</x:v>
      </x:c>
      <x:c r="AM186" s="154" t="n">
        <x:f>MIN(AJ186,AK186)</x:f>
        <x:v>1</x:v>
      </x:c>
      <x:c r="AN186" s="154" t="n">
        <x:f>MAX(AJ186,AK186)</x:f>
        <x:v>1</x:v>
      </x:c>
      <x:c r="AO186" s="154" t="n">
        <x:f>IF(L186=M186,1,0)</x:f>
        <x:v>1</x:v>
      </x:c>
    </x:row>
    <x:row r="187">
      <x:c r="A187" s="38" t="str">
        <x:v>SV-0186</x:v>
      </x:c>
      <x:c r="B187" s="38" t="str">
        <x:v>PC-02547</x:v>
      </x:c>
      <x:c r="C187" s="38" t="str">
        <x:v>en|openai_only</x:v>
      </x:c>
      <x:c r="D187" s="87" t="n">
        <x:v>19.21875</x:v>
      </x:c>
      <x:c r="E187" s="38" t="str">
        <x:v>openai_only</x:v>
      </x:c>
      <x:c r="F187" s="38" t="str">
        <x:v>ID_Indonesia_2024</x:v>
      </x:c>
      <x:c r="G187" s="38" t="n">
        <x:v>21</x:v>
      </x:c>
      <x:c r="H187" s="38" t="str">
        <x:v>en</x:v>
      </x:c>
      <x:c r="I187" s="38" t="str">
        <x:v>Bank Indonesia (Digital Rupiah)</x:v>
      </x:c>
      <x:c r="J187" s="38" t="str">
        <x:v>The use of a unified 
ledger optimizes automation and customization of 
asset (programmability)</x:v>
      </x:c>
      <x:c r="K187" s="142" t="b">
        <x:v>0</x:v>
      </x:c>
      <x:c r="L187" s="146" t="str">
        <x:v>keep</x:v>
      </x:c>
      <x:c r="M187" s="146" t="str">
        <x:v>exclude</x:v>
      </x:c>
      <x:c r="N187" s="147" t="b">
        <x:v>0</x:v>
      </x:c>
      <x:c r="O187" s="146" t="str">
        <x:v>PROG.generic</x:v>
      </x:c>
      <x:c r="P187" s="146"/>
      <x:c r="Q187" s="146" t="str">
        <x:v>PROG</x:v>
      </x:c>
      <x:c r="R187" s="146" t="str"/>
      <x:c r="S187" s="146" t="str">
        <x:v>decision</x:v>
      </x:c>
      <x:c r="T187" s="146"/>
      <x:c r="U187" s="146" t="str">
        <x:v>neutral</x:v>
      </x:c>
      <x:c r="V187" s="146"/>
      <x:c r="W187" s="146" t="str">
        <x:v>not_applicable</x:v>
      </x:c>
      <x:c r="X187" s="146"/>
      <x:c r="Y187" s="146" t="n">
        <x:v>2</x:v>
      </x:c>
      <x:c r="Z187" s="146"/>
      <x:c r="AA187" s="146" t="str">
        <x:v>high</x:v>
      </x:c>
      <x:c r="AB187" s="146" t="str">
        <x:v>high</x:v>
      </x:c>
      <x:c r="AC187" s="146"/>
      <x:c r="AD187" s="146"/>
      <x:c r="AE187" s="151" t="str">
        <x:v>PROG.generic</x:v>
      </x:c>
      <x:c r="AF187" s="151"/>
      <x:c r="AG187" s="151" t="str">
        <x:v>decision</x:v>
      </x:c>
      <x:c r="AH187" s="151"/>
      <x:c r="AI187" s="154" t="n">
        <x:f>IF(K187,0,1)</x:f>
        <x:v>1</x:v>
      </x:c>
      <x:c r="AJ187" s="154" t="n">
        <x:f>IF(L187="keep",1,0)</x:f>
        <x:v>1</x:v>
      </x:c>
      <x:c r="AK187" s="154" t="n">
        <x:f>IF(M187="keep",1,0)</x:f>
        <x:v>0</x:v>
      </x:c>
      <x:c r="AL187" s="154" t="n">
        <x:f>(AJ187+AK187)/2</x:f>
        <x:v>0.5</x:v>
      </x:c>
      <x:c r="AM187" s="154" t="n">
        <x:f>MIN(AJ187,AK187)</x:f>
        <x:v>0</x:v>
      </x:c>
      <x:c r="AN187" s="154" t="n">
        <x:f>MAX(AJ187,AK187)</x:f>
        <x:v>1</x:v>
      </x:c>
      <x:c r="AO187" s="154" t="n">
        <x:f>IF(L187=M187,1,0)</x:f>
        <x:v>0</x:v>
      </x:c>
    </x:row>
    <x:row r="188">
      <x:c r="A188" s="38" t="str">
        <x:v>SV-0187</x:v>
      </x:c>
      <x:c r="B188" s="38" t="str">
        <x:v>PC-02308</x:v>
      </x:c>
      <x:c r="C188" s="38" t="str">
        <x:v>en|both</x:v>
      </x:c>
      <x:c r="D188" s="87" t="n">
        <x:v>19.069444444444443</x:v>
      </x:c>
      <x:c r="E188" s="38" t="str">
        <x:v>both</x:v>
      </x:c>
      <x:c r="F188" s="38" t="str">
        <x:v>ID_Indonesia_2022</x:v>
      </x:c>
      <x:c r="G188" s="38" t="n">
        <x:v>31</x:v>
      </x:c>
      <x:c r="H188" s="38" t="str">
        <x:v>en</x:v>
      </x:c>
      <x:c r="I188" s="38" t="str">
        <x:v>Bank Indonesia (Digital Rupiah)</x:v>
      </x:c>
      <x:c r="J188" s="38" t="str">
        <x:v>The development will commence with 
w-Digital Rupiah at the initial stage serving 
as the overall foundation of Digital Rupiah.</x:v>
      </x:c>
      <x:c r="K188" s="142" t="b">
        <x:v>0</x:v>
      </x:c>
      <x:c r="L188" s="146" t="str">
        <x:v>exclude</x:v>
      </x:c>
      <x:c r="M188" s="146" t="str">
        <x:v>keep</x:v>
      </x:c>
      <x:c r="N188" s="147" t="b">
        <x:v>0</x:v>
      </x:c>
      <x:c r="O188" s="146"/>
      <x:c r="P188" s="146" t="str">
        <x:v>SYS.design</x:v>
      </x:c>
      <x:c r="Q188" s="146" t="str"/>
      <x:c r="R188" s="146" t="str">
        <x:v>SYS</x:v>
      </x:c>
      <x:c r="S188" s="146"/>
      <x:c r="T188" s="146" t="str">
        <x:v>decision</x:v>
      </x:c>
      <x:c r="U188" s="146"/>
      <x:c r="V188" s="146" t="str">
        <x:v>neutral</x:v>
      </x:c>
      <x:c r="W188" s="146"/>
      <x:c r="X188" s="146" t="str">
        <x:v>not_applicable</x:v>
      </x:c>
      <x:c r="Y188" s="146"/>
      <x:c r="Z188" s="146" t="n">
        <x:v>2</x:v>
      </x:c>
      <x:c r="AA188" s="146" t="str">
        <x:v>high</x:v>
      </x:c>
      <x:c r="AB188" s="146" t="str">
        <x:v>high</x:v>
      </x:c>
      <x:c r="AC188" s="146"/>
      <x:c r="AD188" s="146"/>
      <x:c r="AE188" s="151" t="str">
        <x:v>SYS.design</x:v>
      </x:c>
      <x:c r="AF188" s="151" t="str">
        <x:v>SYS.design</x:v>
      </x:c>
      <x:c r="AG188" s="151" t="str">
        <x:v>decision</x:v>
      </x:c>
      <x:c r="AH188" s="151" t="str">
        <x:v>decision</x:v>
      </x:c>
      <x:c r="AI188" s="154" t="n">
        <x:f>IF(K188,0,1)</x:f>
        <x:v>1</x:v>
      </x:c>
      <x:c r="AJ188" s="154" t="n">
        <x:f>IF(L188="keep",1,0)</x:f>
        <x:v>0</x:v>
      </x:c>
      <x:c r="AK188" s="154" t="n">
        <x:f>IF(M188="keep",1,0)</x:f>
        <x:v>1</x:v>
      </x:c>
      <x:c r="AL188" s="154" t="n">
        <x:f>(AJ188+AK188)/2</x:f>
        <x:v>0.5</x:v>
      </x:c>
      <x:c r="AM188" s="154" t="n">
        <x:f>MIN(AJ188,AK188)</x:f>
        <x:v>0</x:v>
      </x:c>
      <x:c r="AN188" s="154" t="n">
        <x:f>MAX(AJ188,AK188)</x:f>
        <x:v>1</x:v>
      </x:c>
      <x:c r="AO188" s="154" t="n">
        <x:f>IF(L188=M188,1,0)</x:f>
        <x:v>0</x:v>
      </x:c>
    </x:row>
    <x:row r="189">
      <x:c r="A189" s="38" t="str">
        <x:v>SV-0188</x:v>
      </x:c>
      <x:c r="B189" s="38" t="str">
        <x:v>PC-04637</x:v>
      </x:c>
      <x:c r="C189" s="38" t="str">
        <x:v>en|claude_only</x:v>
      </x:c>
      <x:c r="D189" s="87" t="n">
        <x:v>19.375</x:v>
      </x:c>
      <x:c r="E189" s="38" t="str">
        <x:v>claude_only</x:v>
      </x:c>
      <x:c r="F189" s="38" t="str">
        <x:v>PE_Peru_cbdc-presentation</x:v>
      </x:c>
      <x:c r="G189" s="38" t="n">
        <x:v>9</x:v>
      </x:c>
      <x:c r="H189" s="38" t="str">
        <x:v>en</x:v>
      </x:c>
      <x:c r="I189" s="38" t="str">
        <x:v>Banco Central de Reserva del Peru</x:v>
      </x:c>
      <x:c r="J189" s="38" t="str">
        <x:v>• Multiple use cases for allowing person-to-person (P2P) and person-to-business (P2B) transfers.</x:v>
      </x:c>
      <x:c r="K189" s="142" t="b">
        <x:v>0</x:v>
      </x:c>
      <x:c r="L189" s="146" t="str">
        <x:v>exclude</x:v>
      </x:c>
      <x:c r="M189" s="146" t="str">
        <x:v>keep</x:v>
      </x:c>
      <x:c r="N189" s="147" t="b">
        <x:v>0</x:v>
      </x:c>
      <x:c r="O189" s="146"/>
      <x:c r="P189" s="146" t="str">
        <x:v>SYS.design</x:v>
      </x:c>
      <x:c r="Q189" s="146" t="str"/>
      <x:c r="R189" s="146" t="str">
        <x:v>SYS</x:v>
      </x:c>
      <x:c r="S189" s="146"/>
      <x:c r="T189" s="146" t="str">
        <x:v>proposal</x:v>
      </x:c>
      <x:c r="U189" s="146"/>
      <x:c r="V189" s="146" t="str">
        <x:v>neutral</x:v>
      </x:c>
      <x:c r="W189" s="146"/>
      <x:c r="X189" s="146" t="str">
        <x:v>not_applicable</x:v>
      </x:c>
      <x:c r="Y189" s="146"/>
      <x:c r="Z189" s="146" t="n">
        <x:v>2</x:v>
      </x:c>
      <x:c r="AA189" s="146" t="str">
        <x:v>high</x:v>
      </x:c>
      <x:c r="AB189" s="146" t="str">
        <x:v>high</x:v>
      </x:c>
      <x:c r="AC189" s="146"/>
      <x:c r="AD189" s="146"/>
      <x:c r="AE189" s="151"/>
      <x:c r="AF189" s="151" t="str">
        <x:v>SYS.design</x:v>
      </x:c>
      <x:c r="AG189" s="151"/>
      <x:c r="AH189" s="151" t="str">
        <x:v>proposal</x:v>
      </x:c>
      <x:c r="AI189" s="154" t="n">
        <x:f>IF(K189,0,1)</x:f>
        <x:v>1</x:v>
      </x:c>
      <x:c r="AJ189" s="154" t="n">
        <x:f>IF(L189="keep",1,0)</x:f>
        <x:v>0</x:v>
      </x:c>
      <x:c r="AK189" s="154" t="n">
        <x:f>IF(M189="keep",1,0)</x:f>
        <x:v>1</x:v>
      </x:c>
      <x:c r="AL189" s="154" t="n">
        <x:f>(AJ189+AK189)/2</x:f>
        <x:v>0.5</x:v>
      </x:c>
      <x:c r="AM189" s="154" t="n">
        <x:f>MIN(AJ189,AK189)</x:f>
        <x:v>0</x:v>
      </x:c>
      <x:c r="AN189" s="154" t="n">
        <x:f>MAX(AJ189,AK189)</x:f>
        <x:v>1</x:v>
      </x:c>
      <x:c r="AO189" s="154" t="n">
        <x:f>IF(L189=M189,1,0)</x:f>
        <x:v>0</x:v>
      </x:c>
    </x:row>
    <x:row r="190">
      <x:c r="A190" s="38" t="str">
        <x:v>SV-0189</x:v>
      </x:c>
      <x:c r="B190" s="38" t="str">
        <x:v>PC-01546</x:v>
      </x:c>
      <x:c r="C190" s="38" t="str">
        <x:v>en|claude_only</x:v>
      </x:c>
      <x:c r="D190" s="87" t="n">
        <x:v>19.375</x:v>
      </x:c>
      <x:c r="E190" s="38" t="str">
        <x:v>claude_only</x:v>
      </x:c>
      <x:c r="F190" s="38" t="str">
        <x:v>EU_ECB_ThirdProgress_2025</x:v>
      </x:c>
      <x:c r="G190" s="38" t="n">
        <x:v>9</x:v>
      </x:c>
      <x:c r="H190" s="38" t="str">
        <x:v>en</x:v>
      </x:c>
      <x:c r="I190" s="38" t="str">
        <x:v>European Central Bank / Eurosystem (digital euro)</x:v>
      </x:c>
      <x:c r="J190" s="38" t="str">
        <x:v>the ECB will delegate
certain DESP tasks to external providers of support services, which will further contribute to data</x:v>
      </x:c>
      <x:c r="K190" s="142" t="b">
        <x:v>0</x:v>
      </x:c>
      <x:c r="L190" s="146" t="str">
        <x:v>exclude</x:v>
      </x:c>
      <x:c r="M190" s="146" t="str">
        <x:v>keep</x:v>
      </x:c>
      <x:c r="N190" s="147" t="b">
        <x:v>0</x:v>
      </x:c>
      <x:c r="O190" s="146"/>
      <x:c r="P190" s="146" t="str">
        <x:v>SYS.design</x:v>
      </x:c>
      <x:c r="Q190" s="146" t="str"/>
      <x:c r="R190" s="146" t="str">
        <x:v>SYS</x:v>
      </x:c>
      <x:c r="S190" s="146"/>
      <x:c r="T190" s="146" t="str">
        <x:v>decision</x:v>
      </x:c>
      <x:c r="U190" s="146"/>
      <x:c r="V190" s="146" t="str">
        <x:v>neutral</x:v>
      </x:c>
      <x:c r="W190" s="146"/>
      <x:c r="X190" s="146" t="str">
        <x:v>not_applicable</x:v>
      </x:c>
      <x:c r="Y190" s="146"/>
      <x:c r="Z190" s="146" t="n">
        <x:v>2</x:v>
      </x:c>
      <x:c r="AA190" s="146" t="str">
        <x:v>high</x:v>
      </x:c>
      <x:c r="AB190" s="146" t="str">
        <x:v>high</x:v>
      </x:c>
      <x:c r="AC190" s="146"/>
      <x:c r="AD190" s="146"/>
      <x:c r="AE190" s="151"/>
      <x:c r="AF190" s="151" t="str">
        <x:v>SYS.design</x:v>
      </x:c>
      <x:c r="AG190" s="151"/>
      <x:c r="AH190" s="151" t="str">
        <x:v>decision</x:v>
      </x:c>
      <x:c r="AI190" s="154" t="n">
        <x:f>IF(K190,0,1)</x:f>
        <x:v>1</x:v>
      </x:c>
      <x:c r="AJ190" s="154" t="n">
        <x:f>IF(L190="keep",1,0)</x:f>
        <x:v>0</x:v>
      </x:c>
      <x:c r="AK190" s="154" t="n">
        <x:f>IF(M190="keep",1,0)</x:f>
        <x:v>1</x:v>
      </x:c>
      <x:c r="AL190" s="154" t="n">
        <x:f>(AJ190+AK190)/2</x:f>
        <x:v>0.5</x:v>
      </x:c>
      <x:c r="AM190" s="154" t="n">
        <x:f>MIN(AJ190,AK190)</x:f>
        <x:v>0</x:v>
      </x:c>
      <x:c r="AN190" s="154" t="n">
        <x:f>MAX(AJ190,AK190)</x:f>
        <x:v>1</x:v>
      </x:c>
      <x:c r="AO190" s="154" t="n">
        <x:f>IF(L190=M190,1,0)</x:f>
        <x:v>0</x:v>
      </x:c>
    </x:row>
    <x:row r="191">
      <x:c r="A191" s="38" t="str">
        <x:v>SV-0190</x:v>
      </x:c>
      <x:c r="B191" s="38" t="str">
        <x:v>PC-04408</x:v>
      </x:c>
      <x:c r="C191" s="38" t="str">
        <x:v>en|both</x:v>
      </x:c>
      <x:c r="D191" s="87" t="n">
        <x:v>19.069444444444443</x:v>
      </x:c>
      <x:c r="E191" s="38" t="str">
        <x:v>both</x:v>
      </x:c>
      <x:c r="F191" s="38" t="str">
        <x:v>NO_Norway_norges-bank-memo-1-2021</x:v>
      </x:c>
      <x:c r="G191" s="38" t="n">
        <x:v>46</x:v>
      </x:c>
      <x:c r="H191" s="38" t="str">
        <x:v>en</x:v>
      </x:c>
      <x:c r="I191" s="38" t="str">
        <x:v>Norges Bank (Norwegian CBDC work)</x:v>
      </x:c>
      <x:c r="J191" s="38" t="str">
        <x:v>En tokenbasert registerløsning er i utgangspunktet basert på at det er tilgang 
til kryptografiske koder og ikke identifisering som benyttes for å disponere over 
penger.</x:v>
      </x:c>
      <x:c r="K191" s="142" t="b">
        <x:v>0</x:v>
      </x:c>
      <x:c r="L191" s="146" t="str">
        <x:v>keep</x:v>
      </x:c>
      <x:c r="M191" s="146" t="str">
        <x:v>keep</x:v>
      </x:c>
      <x:c r="N191" s="147" t="b">
        <x:v>1</x:v>
      </x:c>
      <x:c r="O191" s="146" t="str">
        <x:v>SYS.design</x:v>
      </x:c>
      <x:c r="P191" s="146" t="str">
        <x:v>PRIV.ANON</x:v>
      </x:c>
      <x:c r="Q191" s="146" t="str">
        <x:v>SYS</x:v>
      </x:c>
      <x:c r="R191" s="146" t="str">
        <x:v>PRIV</x:v>
      </x:c>
      <x:c r="S191" s="146" t="str">
        <x:v>finding</x:v>
      </x:c>
      <x:c r="T191" s="146" t="str">
        <x:v>finding</x:v>
      </x:c>
      <x:c r="U191" s="146" t="str">
        <x:v>neutral</x:v>
      </x:c>
      <x:c r="V191" s="146" t="str">
        <x:v>increases</x:v>
      </x:c>
      <x:c r="W191" s="146" t="str">
        <x:v>not_applicable</x:v>
      </x:c>
      <x:c r="X191" s="146" t="str">
        <x:v>from_state</x:v>
      </x:c>
      <x:c r="Y191" s="146" t="n">
        <x:v>3</x:v>
      </x:c>
      <x:c r="Z191" s="146" t="n">
        <x:v>2</x:v>
      </x:c>
      <x:c r="AA191" s="146" t="str">
        <x:v>high</x:v>
      </x:c>
      <x:c r="AB191" s="146" t="str">
        <x:v>high</x:v>
      </x:c>
      <x:c r="AC191" s="146"/>
      <x:c r="AD191" s="146"/>
      <x:c r="AE191" s="151" t="str">
        <x:v>SYS.design</x:v>
      </x:c>
      <x:c r="AF191" s="151" t="str">
        <x:v>PRIV.ANON</x:v>
      </x:c>
      <x:c r="AG191" s="151" t="str">
        <x:v>finding</x:v>
      </x:c>
      <x:c r="AH191" s="151" t="str">
        <x:v>finding</x:v>
      </x:c>
      <x:c r="AI191" s="154" t="n">
        <x:f>IF(K191,0,1)</x:f>
        <x:v>1</x:v>
      </x:c>
      <x:c r="AJ191" s="154" t="n">
        <x:f>IF(L191="keep",1,0)</x:f>
        <x:v>1</x:v>
      </x:c>
      <x:c r="AK191" s="154" t="n">
        <x:f>IF(M191="keep",1,0)</x:f>
        <x:v>1</x:v>
      </x:c>
      <x:c r="AL191" s="154" t="n">
        <x:f>(AJ191+AK191)/2</x:f>
        <x:v>1</x:v>
      </x:c>
      <x:c r="AM191" s="154" t="n">
        <x:f>MIN(AJ191,AK191)</x:f>
        <x:v>1</x:v>
      </x:c>
      <x:c r="AN191" s="154" t="n">
        <x:f>MAX(AJ191,AK191)</x:f>
        <x:v>1</x:v>
      </x:c>
      <x:c r="AO191" s="154" t="n">
        <x:f>IF(L191=M191,1,0)</x:f>
        <x:v>1</x:v>
      </x:c>
    </x:row>
    <x:row r="192">
      <x:c r="A192" s="38" t="str">
        <x:v>SV-0191</x:v>
      </x:c>
      <x:c r="B192" s="38" t="str">
        <x:v>PC-06204</x:v>
      </x:c>
      <x:c r="C192" s="38" t="str">
        <x:v>en|both</x:v>
      </x:c>
      <x:c r="D192" s="87" t="n">
        <x:v>19.069444444444443</x:v>
      </x:c>
      <x:c r="E192" s="38" t="str">
        <x:v>both</x:v>
      </x:c>
      <x:c r="F192" s="38" t="str">
        <x:v>UK_BoE_2023_TechWP</x:v>
      </x:c>
      <x:c r="G192" s="38" t="n">
        <x:v>19</x:v>
      </x:c>
      <x:c r="H192" s="38" t="str">
        <x:v>en</x:v>
      </x:c>
      <x:c r="I192" s="38" t="str">
        <x:v>Bank of England and HM Treasury (digital pound)</x:v>
      </x:c>
      <x:c r="J192" s="38" t="str">
        <x:v>PIPs undertake know your customer checks and anti-money 
laundering (AML) compliance</x:v>
      </x:c>
      <x:c r="K192" s="142" t="b">
        <x:v>0</x:v>
      </x:c>
      <x:c r="L192" s="146" t="str">
        <x:v>keep</x:v>
      </x:c>
      <x:c r="M192" s="146" t="str">
        <x:v>keep</x:v>
      </x:c>
      <x:c r="N192" s="147" t="b">
        <x:v>1</x:v>
      </x:c>
      <x:c r="O192" s="146" t="str">
        <x:v>KYC.INTERMED</x:v>
      </x:c>
      <x:c r="P192" s="146" t="str">
        <x:v>KYC.TIER</x:v>
      </x:c>
      <x:c r="Q192" s="146" t="str">
        <x:v>KYC</x:v>
      </x:c>
      <x:c r="R192" s="146" t="str">
        <x:v>KYC</x:v>
      </x:c>
      <x:c r="S192" s="146" t="str">
        <x:v>proposal</x:v>
      </x:c>
      <x:c r="T192" s="146" t="str">
        <x:v>proposal</x:v>
      </x:c>
      <x:c r="U192" s="146" t="str">
        <x:v>neutral</x:v>
      </x:c>
      <x:c r="V192" s="146" t="str">
        <x:v>neutral</x:v>
      </x:c>
      <x:c r="W192" s="146" t="str">
        <x:v>not_applicable</x:v>
      </x:c>
      <x:c r="X192" s="146" t="str">
        <x:v>not_applicable</x:v>
      </x:c>
      <x:c r="Y192" s="146" t="n">
        <x:v>3</x:v>
      </x:c>
      <x:c r="Z192" s="146" t="n">
        <x:v>2</x:v>
      </x:c>
      <x:c r="AA192" s="146" t="str">
        <x:v>high</x:v>
      </x:c>
      <x:c r="AB192" s="146" t="str">
        <x:v>high</x:v>
      </x:c>
      <x:c r="AC192" s="146"/>
      <x:c r="AD192" s="146"/>
      <x:c r="AE192" s="151" t="str">
        <x:v>KYC.INTERMED</x:v>
      </x:c>
      <x:c r="AF192" s="151" t="str">
        <x:v>KYC.TIER</x:v>
      </x:c>
      <x:c r="AG192" s="151" t="str">
        <x:v>proposal</x:v>
      </x:c>
      <x:c r="AH192" s="151" t="str">
        <x:v>proposal</x:v>
      </x:c>
      <x:c r="AI192" s="154" t="n">
        <x:f>IF(K192,0,1)</x:f>
        <x:v>1</x:v>
      </x:c>
      <x:c r="AJ192" s="154" t="n">
        <x:f>IF(L192="keep",1,0)</x:f>
        <x:v>1</x:v>
      </x:c>
      <x:c r="AK192" s="154" t="n">
        <x:f>IF(M192="keep",1,0)</x:f>
        <x:v>1</x:v>
      </x:c>
      <x:c r="AL192" s="154" t="n">
        <x:f>(AJ192+AK192)/2</x:f>
        <x:v>1</x:v>
      </x:c>
      <x:c r="AM192" s="154" t="n">
        <x:f>MIN(AJ192,AK192)</x:f>
        <x:v>1</x:v>
      </x:c>
      <x:c r="AN192" s="154" t="n">
        <x:f>MAX(AJ192,AK192)</x:f>
        <x:v>1</x:v>
      </x:c>
      <x:c r="AO192" s="154" t="n">
        <x:f>IF(L192=M192,1,0)</x:f>
        <x:v>1</x:v>
      </x:c>
    </x:row>
    <x:row r="193">
      <x:c r="A193" s="38" t="str">
        <x:v>SV-0192</x:v>
      </x:c>
      <x:c r="B193" s="38" t="str">
        <x:v>PC-01264</x:v>
      </x:c>
      <x:c r="C193" s="38" t="str">
        <x:v>en|both</x:v>
      </x:c>
      <x:c r="D193" s="87" t="n">
        <x:v>19.069444444444443</x:v>
      </x:c>
      <x:c r="E193" s="38" t="str">
        <x:v>both</x:v>
      </x:c>
      <x:c r="F193" s="38" t="str">
        <x:v>CN_China_BIS_2022</x:v>
      </x:c>
      <x:c r="G193" s="38" t="n">
        <x:v>49</x:v>
      </x:c>
      <x:c r="H193" s="38" t="str">
        <x:v>en</x:v>
      </x:c>
      <x:c r="I193" s="38" t="str">
        <x:v>People's Bank of China (e-CNY)</x:v>
      </x:c>
      <x:c r="J193" s="38" t="str">
        <x:v>The e-CNY system will make 
financial services more accessible, providing fiat money for a large population in 
various scenarios.</x:v>
      </x:c>
      <x:c r="K193" s="142" t="b">
        <x:v>0</x:v>
      </x:c>
      <x:c r="L193" s="146" t="str">
        <x:v>keep</x:v>
      </x:c>
      <x:c r="M193" s="146" t="str">
        <x:v>keep</x:v>
      </x:c>
      <x:c r="N193" s="147" t="b">
        <x:v>1</x:v>
      </x:c>
      <x:c r="O193" s="146" t="str">
        <x:v>ACCESS.universal</x:v>
      </x:c>
      <x:c r="P193" s="146" t="str">
        <x:v>LEGAL.basis</x:v>
      </x:c>
      <x:c r="Q193" s="146" t="str">
        <x:v>ACCESS</x:v>
      </x:c>
      <x:c r="R193" s="146" t="str">
        <x:v>LEGAL</x:v>
      </x:c>
      <x:c r="S193" s="146" t="str">
        <x:v>proposal</x:v>
      </x:c>
      <x:c r="T193" s="146" t="str">
        <x:v>decision</x:v>
      </x:c>
      <x:c r="U193" s="146" t="str">
        <x:v>neutral</x:v>
      </x:c>
      <x:c r="V193" s="146" t="str">
        <x:v>neutral</x:v>
      </x:c>
      <x:c r="W193" s="146" t="str">
        <x:v>not_applicable</x:v>
      </x:c>
      <x:c r="X193" s="146" t="str">
        <x:v>not_applicable</x:v>
      </x:c>
      <x:c r="Y193" s="146" t="n">
        <x:v>2</x:v>
      </x:c>
      <x:c r="Z193" s="146" t="n">
        <x:v>3</x:v>
      </x:c>
      <x:c r="AA193" s="146" t="str">
        <x:v>high</x:v>
      </x:c>
      <x:c r="AB193" s="146" t="str">
        <x:v>high</x:v>
      </x:c>
      <x:c r="AC193" s="146"/>
      <x:c r="AD193" s="146"/>
      <x:c r="AE193" s="151" t="str">
        <x:v>ACCESS.universal</x:v>
      </x:c>
      <x:c r="AF193" s="151" t="str">
        <x:v>LEGAL.basis</x:v>
      </x:c>
      <x:c r="AG193" s="151" t="str">
        <x:v>proposal</x:v>
      </x:c>
      <x:c r="AH193" s="151" t="str">
        <x:v>decision</x:v>
      </x:c>
      <x:c r="AI193" s="154" t="n">
        <x:f>IF(K193,0,1)</x:f>
        <x:v>1</x:v>
      </x:c>
      <x:c r="AJ193" s="154" t="n">
        <x:f>IF(L193="keep",1,0)</x:f>
        <x:v>1</x:v>
      </x:c>
      <x:c r="AK193" s="154" t="n">
        <x:f>IF(M193="keep",1,0)</x:f>
        <x:v>1</x:v>
      </x:c>
      <x:c r="AL193" s="154" t="n">
        <x:f>(AJ193+AK193)/2</x:f>
        <x:v>1</x:v>
      </x:c>
      <x:c r="AM193" s="154" t="n">
        <x:f>MIN(AJ193,AK193)</x:f>
        <x:v>1</x:v>
      </x:c>
      <x:c r="AN193" s="154" t="n">
        <x:f>MAX(AJ193,AK193)</x:f>
        <x:v>1</x:v>
      </x:c>
      <x:c r="AO193" s="154" t="n">
        <x:f>IF(L193=M193,1,0)</x:f>
        <x:v>1</x:v>
      </x:c>
    </x:row>
    <x:row r="194">
      <x:c r="A194" s="38" t="str">
        <x:v>SV-0193</x:v>
      </x:c>
      <x:c r="B194" s="38" t="str">
        <x:v>PC-01740</x:v>
      </x:c>
      <x:c r="C194" s="38" t="str">
        <x:v>en|both</x:v>
      </x:c>
      <x:c r="D194" s="87" t="n">
        <x:v>19.069444444444443</x:v>
      </x:c>
      <x:c r="E194" s="38" t="str">
        <x:v>both</x:v>
      </x:c>
      <x:c r="F194" s="38" t="str">
        <x:v>GH_Ghana_2023</x:v>
      </x:c>
      <x:c r="G194" s="38" t="n">
        <x:v>22</x:v>
      </x:c>
      <x:c r="H194" s="38" t="str">
        <x:v>en</x:v>
      </x:c>
      <x:c r="I194" s="38" t="str">
        <x:v>Bank of Ghana (eCedi)</x:v>
      </x:c>
      <x:c r="J194" s="38" t="str">
        <x:v>Besides the 173 users onboarded to 
participate in the test, a number of 
persons and businesses, estimated to 
be fifty per cent (50  %) of the users, 
also expressed interest in joining the pilot to carry 
out transactions in the eCedi offline scenario.</x:v>
      </x:c>
      <x:c r="K194" s="142" t="b">
        <x:v>0</x:v>
      </x:c>
      <x:c r="L194" s="146" t="str">
        <x:v>keep</x:v>
      </x:c>
      <x:c r="M194" s="146" t="str">
        <x:v>keep</x:v>
      </x:c>
      <x:c r="N194" s="147" t="b">
        <x:v>1</x:v>
      </x:c>
      <x:c r="O194" s="146" t="str">
        <x:v>PROC.pilot_learning</x:v>
      </x:c>
      <x:c r="P194" s="146" t="str">
        <x:v>ADOPT.experience</x:v>
      </x:c>
      <x:c r="Q194" s="146" t="str">
        <x:v>PROC</x:v>
      </x:c>
      <x:c r="R194" s="146" t="str">
        <x:v>ADOPT</x:v>
      </x:c>
      <x:c r="S194" s="146" t="str">
        <x:v>finding</x:v>
      </x:c>
      <x:c r="T194" s="146" t="str">
        <x:v>finding</x:v>
      </x:c>
      <x:c r="U194" s="146" t="str">
        <x:v>neutral</x:v>
      </x:c>
      <x:c r="V194" s="146" t="str">
        <x:v>neutral</x:v>
      </x:c>
      <x:c r="W194" s="146" t="str">
        <x:v>not_applicable</x:v>
      </x:c>
      <x:c r="X194" s="146" t="str">
        <x:v>not_applicable</x:v>
      </x:c>
      <x:c r="Y194" s="146" t="n">
        <x:v>2</x:v>
      </x:c>
      <x:c r="Z194" s="146" t="n">
        <x:v>2</x:v>
      </x:c>
      <x:c r="AA194" s="146" t="str">
        <x:v>high</x:v>
      </x:c>
      <x:c r="AB194" s="146" t="str">
        <x:v>high</x:v>
      </x:c>
      <x:c r="AC194" s="146"/>
      <x:c r="AD194" s="146"/>
      <x:c r="AE194" s="151" t="str">
        <x:v>ADOPT.experience</x:v>
      </x:c>
      <x:c r="AF194" s="151" t="str">
        <x:v>ADOPT.experience</x:v>
      </x:c>
      <x:c r="AG194" s="151" t="str">
        <x:v>finding</x:v>
      </x:c>
      <x:c r="AH194" s="151" t="str">
        <x:v>finding</x:v>
      </x:c>
      <x:c r="AI194" s="154" t="n">
        <x:f>IF(K194,0,1)</x:f>
        <x:v>1</x:v>
      </x:c>
      <x:c r="AJ194" s="154" t="n">
        <x:f>IF(L194="keep",1,0)</x:f>
        <x:v>1</x:v>
      </x:c>
      <x:c r="AK194" s="154" t="n">
        <x:f>IF(M194="keep",1,0)</x:f>
        <x:v>1</x:v>
      </x:c>
      <x:c r="AL194" s="154" t="n">
        <x:f>(AJ194+AK194)/2</x:f>
        <x:v>1</x:v>
      </x:c>
      <x:c r="AM194" s="154" t="n">
        <x:f>MIN(AJ194,AK194)</x:f>
        <x:v>1</x:v>
      </x:c>
      <x:c r="AN194" s="154" t="n">
        <x:f>MAX(AJ194,AK194)</x:f>
        <x:v>1</x:v>
      </x:c>
      <x:c r="AO194" s="154" t="n">
        <x:f>IF(L194=M194,1,0)</x:f>
        <x:v>1</x:v>
      </x:c>
    </x:row>
    <x:row r="195">
      <x:c r="A195" s="38" t="str">
        <x:v>SV-0194</x:v>
      </x:c>
      <x:c r="B195" s="38" t="str">
        <x:v>PC-02624</x:v>
      </x:c>
      <x:c r="C195" s="38" t="str">
        <x:v>en|openai_only</x:v>
      </x:c>
      <x:c r="D195" s="87" t="n">
        <x:v>19.21875</x:v>
      </x:c>
      <x:c r="E195" s="38" t="str">
        <x:v>openai_only</x:v>
      </x:c>
      <x:c r="F195" s="38" t="str">
        <x:v>ID_Indonesia_2024</x:v>
      </x:c>
      <x:c r="G195" s="38" t="n">
        <x:v>42</x:v>
      </x:c>
      <x:c r="H195" s="38" t="str">
        <x:v>en</x:v>
      </x:c>
      <x:c r="I195" s="38" t="str">
        <x:v>Bank Indonesia (Digital Rupiah)</x:v>
      </x:c>
      <x:c r="J195" s="38" t="str">
        <x:v>Transaction validation ensures that all 
conditions required for a transaction are met 
(e.g., sufficient balance, participants acting 
within their authority). This process is performed 
by smart contracts (when executed) and the 
transaction participants.</x:v>
      </x:c>
      <x:c r="K195" s="142" t="b">
        <x:v>0</x:v>
      </x:c>
      <x:c r="L195" s="146" t="str">
        <x:v>keep</x:v>
      </x:c>
      <x:c r="M195" s="146" t="str">
        <x:v>exclude</x:v>
      </x:c>
      <x:c r="N195" s="147" t="b">
        <x:v>0</x:v>
      </x:c>
      <x:c r="O195" s="146" t="str">
        <x:v>SYS.design</x:v>
      </x:c>
      <x:c r="P195" s="146"/>
      <x:c r="Q195" s="146" t="str">
        <x:v>SYS</x:v>
      </x:c>
      <x:c r="R195" s="146" t="str"/>
      <x:c r="S195" s="146" t="str">
        <x:v>decision</x:v>
      </x:c>
      <x:c r="T195" s="146"/>
      <x:c r="U195" s="146" t="str">
        <x:v>neutral</x:v>
      </x:c>
      <x:c r="V195" s="146"/>
      <x:c r="W195" s="146" t="str">
        <x:v>not_applicable</x:v>
      </x:c>
      <x:c r="X195" s="146"/>
      <x:c r="Y195" s="146" t="n">
        <x:v>2</x:v>
      </x:c>
      <x:c r="Z195" s="146"/>
      <x:c r="AA195" s="146" t="str">
        <x:v>high</x:v>
      </x:c>
      <x:c r="AB195" s="146" t="str">
        <x:v>high</x:v>
      </x:c>
      <x:c r="AC195" s="146"/>
      <x:c r="AD195" s="146"/>
      <x:c r="AE195" s="151" t="str">
        <x:v>SYS.design</x:v>
      </x:c>
      <x:c r="AF195" s="151"/>
      <x:c r="AG195" s="151" t="str">
        <x:v>decision</x:v>
      </x:c>
      <x:c r="AH195" s="151"/>
      <x:c r="AI195" s="154" t="n">
        <x:f>IF(K195,0,1)</x:f>
        <x:v>1</x:v>
      </x:c>
      <x:c r="AJ195" s="154" t="n">
        <x:f>IF(L195="keep",1,0)</x:f>
        <x:v>1</x:v>
      </x:c>
      <x:c r="AK195" s="154" t="n">
        <x:f>IF(M195="keep",1,0)</x:f>
        <x:v>0</x:v>
      </x:c>
      <x:c r="AL195" s="154" t="n">
        <x:f>(AJ195+AK195)/2</x:f>
        <x:v>0.5</x:v>
      </x:c>
      <x:c r="AM195" s="154" t="n">
        <x:f>MIN(AJ195,AK195)</x:f>
        <x:v>0</x:v>
      </x:c>
      <x:c r="AN195" s="154" t="n">
        <x:f>MAX(AJ195,AK195)</x:f>
        <x:v>1</x:v>
      </x:c>
      <x:c r="AO195" s="154" t="n">
        <x:f>IF(L195=M195,1,0)</x:f>
        <x:v>0</x:v>
      </x:c>
    </x:row>
    <x:row r="196">
      <x:c r="A196" s="38" t="str">
        <x:v>SV-0195</x:v>
      </x:c>
      <x:c r="B196" s="38" t="str">
        <x:v>PC-04132</x:v>
      </x:c>
      <x:c r="C196" s="38" t="str">
        <x:v>en|claude_only</x:v>
      </x:c>
      <x:c r="D196" s="87" t="n">
        <x:v>19.375</x:v>
      </x:c>
      <x:c r="E196" s="38" t="str">
        <x:v>claude_only</x:v>
      </x:c>
      <x:c r="F196" s="38" t="str">
        <x:v>NO_Norway_nb_memo_2_19_dsp</x:v>
      </x:c>
      <x:c r="G196" s="38" t="n">
        <x:v>27</x:v>
      </x:c>
      <x:c r="H196" s="38" t="str">
        <x:v>en</x:v>
      </x:c>
      <x:c r="I196" s="38" t="str">
        <x:v>Norges Bank (Norwegian CBDC work)</x:v>
      </x:c>
      <x:c r="J196" s="38" t="str">
        <x:v>I 
praksis kan dette gjøres ved at Norges Bank selger tokenpenger til banker, som kan 
opprette registeradresser for pengene til sine kunder.</x:v>
      </x:c>
      <x:c r="K196" s="142" t="b">
        <x:v>0</x:v>
      </x:c>
      <x:c r="L196" s="146" t="str">
        <x:v>exclude</x:v>
      </x:c>
      <x:c r="M196" s="146" t="str">
        <x:v>keep</x:v>
      </x:c>
      <x:c r="N196" s="147" t="b">
        <x:v>0</x:v>
      </x:c>
      <x:c r="O196" s="146"/>
      <x:c r="P196" s="146" t="str">
        <x:v>SYS.design</x:v>
      </x:c>
      <x:c r="Q196" s="146" t="str"/>
      <x:c r="R196" s="146" t="str">
        <x:v>SYS</x:v>
      </x:c>
      <x:c r="S196" s="146"/>
      <x:c r="T196" s="146" t="str">
        <x:v>proposal</x:v>
      </x:c>
      <x:c r="U196" s="146"/>
      <x:c r="V196" s="146" t="str">
        <x:v>neutral</x:v>
      </x:c>
      <x:c r="W196" s="146"/>
      <x:c r="X196" s="146" t="str">
        <x:v>not_applicable</x:v>
      </x:c>
      <x:c r="Y196" s="146"/>
      <x:c r="Z196" s="146" t="n">
        <x:v>2</x:v>
      </x:c>
      <x:c r="AA196" s="146" t="str">
        <x:v>high</x:v>
      </x:c>
      <x:c r="AB196" s="146" t="str">
        <x:v>high</x:v>
      </x:c>
      <x:c r="AC196" s="146"/>
      <x:c r="AD196" s="146"/>
      <x:c r="AE196" s="151"/>
      <x:c r="AF196" s="151" t="str">
        <x:v>SYS.design</x:v>
      </x:c>
      <x:c r="AG196" s="151"/>
      <x:c r="AH196" s="151" t="str">
        <x:v>proposal</x:v>
      </x:c>
      <x:c r="AI196" s="154" t="n">
        <x:f>IF(K196,0,1)</x:f>
        <x:v>1</x:v>
      </x:c>
      <x:c r="AJ196" s="154" t="n">
        <x:f>IF(L196="keep",1,0)</x:f>
        <x:v>0</x:v>
      </x:c>
      <x:c r="AK196" s="154" t="n">
        <x:f>IF(M196="keep",1,0)</x:f>
        <x:v>1</x:v>
      </x:c>
      <x:c r="AL196" s="154" t="n">
        <x:f>(AJ196+AK196)/2</x:f>
        <x:v>0.5</x:v>
      </x:c>
      <x:c r="AM196" s="154" t="n">
        <x:f>MIN(AJ196,AK196)</x:f>
        <x:v>0</x:v>
      </x:c>
      <x:c r="AN196" s="154" t="n">
        <x:f>MAX(AJ196,AK196)</x:f>
        <x:v>1</x:v>
      </x:c>
      <x:c r="AO196" s="154" t="n">
        <x:f>IF(L196=M196,1,0)</x:f>
        <x:v>0</x:v>
      </x:c>
    </x:row>
    <x:row r="197">
      <x:c r="A197" s="38" t="str">
        <x:v>SV-0196</x:v>
      </x:c>
      <x:c r="B197" s="38" t="str">
        <x:v>PC-04035</x:v>
      </x:c>
      <x:c r="C197" s="38" t="str">
        <x:v>en|claude_only</x:v>
      </x:c>
      <x:c r="D197" s="87" t="n">
        <x:v>19.375</x:v>
      </x:c>
      <x:c r="E197" s="38" t="str">
        <x:v>claude_only</x:v>
      </x:c>
      <x:c r="F197" s="38" t="str">
        <x:v>NO_NB_FI2024_CBDC</x:v>
      </x:c>
      <x:c r="G197" s="38" t="n">
        <x:v>41</x:v>
      </x:c>
      <x:c r="H197" s="38" t="str">
        <x:v>en</x:v>
      </x:c>
      <x:c r="I197" s="38" t="str">
        <x:v>Norges Bank (Norwegian CBDC work)</x:v>
      </x:c>
      <x:c r="J197" s="38" t="str">
        <x:v>Wholesale CBDC has been given greater focus in the study than in previous
phases.</x:v>
      </x:c>
      <x:c r="K197" s="142" t="b">
        <x:v>0</x:v>
      </x:c>
      <x:c r="L197" s="146" t="str">
        <x:v>exclude</x:v>
      </x:c>
      <x:c r="M197" s="146" t="str">
        <x:v>keep</x:v>
      </x:c>
      <x:c r="N197" s="147" t="b">
        <x:v>0</x:v>
      </x:c>
      <x:c r="O197" s="146"/>
      <x:c r="P197" s="146" t="str">
        <x:v>SYS.design</x:v>
      </x:c>
      <x:c r="Q197" s="146" t="str"/>
      <x:c r="R197" s="146" t="str">
        <x:v>SYS</x:v>
      </x:c>
      <x:c r="S197" s="146"/>
      <x:c r="T197" s="146" t="str">
        <x:v>finding</x:v>
      </x:c>
      <x:c r="U197" s="146"/>
      <x:c r="V197" s="146" t="str">
        <x:v>neutral</x:v>
      </x:c>
      <x:c r="W197" s="146"/>
      <x:c r="X197" s="146" t="str">
        <x:v>not_applicable</x:v>
      </x:c>
      <x:c r="Y197" s="146"/>
      <x:c r="Z197" s="146" t="n">
        <x:v>1</x:v>
      </x:c>
      <x:c r="AA197" s="146" t="str">
        <x:v>high</x:v>
      </x:c>
      <x:c r="AB197" s="146" t="str">
        <x:v>high</x:v>
      </x:c>
      <x:c r="AC197" s="146"/>
      <x:c r="AD197" s="146"/>
      <x:c r="AE197" s="151"/>
      <x:c r="AF197" s="151" t="str">
        <x:v>SYS.design</x:v>
      </x:c>
      <x:c r="AG197" s="151"/>
      <x:c r="AH197" s="151" t="str">
        <x:v>finding</x:v>
      </x:c>
      <x:c r="AI197" s="154" t="n">
        <x:f>IF(K197,0,1)</x:f>
        <x:v>1</x:v>
      </x:c>
      <x:c r="AJ197" s="154" t="n">
        <x:f>IF(L197="keep",1,0)</x:f>
        <x:v>0</x:v>
      </x:c>
      <x:c r="AK197" s="154" t="n">
        <x:f>IF(M197="keep",1,0)</x:f>
        <x:v>1</x:v>
      </x:c>
      <x:c r="AL197" s="154" t="n">
        <x:f>(AJ197+AK197)/2</x:f>
        <x:v>0.5</x:v>
      </x:c>
      <x:c r="AM197" s="154" t="n">
        <x:f>MIN(AJ197,AK197)</x:f>
        <x:v>0</x:v>
      </x:c>
      <x:c r="AN197" s="154" t="n">
        <x:f>MAX(AJ197,AK197)</x:f>
        <x:v>1</x:v>
      </x:c>
      <x:c r="AO197" s="154" t="n">
        <x:f>IF(L197=M197,1,0)</x:f>
        <x:v>0</x:v>
      </x:c>
    </x:row>
    <x:row r="198">
      <x:c r="A198" s="38" t="str">
        <x:v>SV-0197</x:v>
      </x:c>
      <x:c r="B198" s="38" t="str">
        <x:v>PC-06829</x:v>
      </x:c>
      <x:c r="C198" s="38" t="str">
        <x:v>en|both</x:v>
      </x:c>
      <x:c r="D198" s="87" t="n">
        <x:v>19.069444444444443</x:v>
      </x:c>
      <x:c r="E198" s="38" t="str">
        <x:v>both</x:v>
      </x:c>
      <x:c r="F198" s="38" t="str">
        <x:v>ZA_SARB_SARB_ProjectKhokha-20180605</x:v>
      </x:c>
      <x:c r="G198" s="38" t="n">
        <x:v>2</x:v>
      </x:c>
      <x:c r="H198" s="38" t="str">
        <x:v>en</x:v>
      </x:c>
      <x:c r="I198" s="38" t="str">
        <x:v>South African Reserve Bank</x:v>
      </x:c>
      <x:c r="J198" s="38" t="str">
        <x:v>A significant contribution to the global DLT body 
of knowledge was made, as it is thought that this was 
the first time that the Istanbul Byzantine Fault Tolerance 
consensus mechanism and Pedersen commitments  
for confidentiality had been used with Quorum.</x:v>
      </x:c>
      <x:c r="K198" s="142" t="b">
        <x:v>0</x:v>
      </x:c>
      <x:c r="L198" s="146" t="str">
        <x:v>exclude</x:v>
      </x:c>
      <x:c r="M198" s="146" t="str">
        <x:v>keep</x:v>
      </x:c>
      <x:c r="N198" s="147" t="b">
        <x:v>0</x:v>
      </x:c>
      <x:c r="O198" s="146"/>
      <x:c r="P198" s="146" t="str">
        <x:v>TECH.DLT</x:v>
      </x:c>
      <x:c r="Q198" s="146" t="str"/>
      <x:c r="R198" s="146" t="str">
        <x:v>TECH</x:v>
      </x:c>
      <x:c r="S198" s="146"/>
      <x:c r="T198" s="146" t="str">
        <x:v>finding</x:v>
      </x:c>
      <x:c r="U198" s="146"/>
      <x:c r="V198" s="146" t="str">
        <x:v>neutral</x:v>
      </x:c>
      <x:c r="W198" s="146"/>
      <x:c r="X198" s="146" t="str">
        <x:v>not_applicable</x:v>
      </x:c>
      <x:c r="Y198" s="146"/>
      <x:c r="Z198" s="146" t="n">
        <x:v>2</x:v>
      </x:c>
      <x:c r="AA198" s="146" t="str">
        <x:v>high</x:v>
      </x:c>
      <x:c r="AB198" s="146" t="str">
        <x:v>high</x:v>
      </x:c>
      <x:c r="AC198" s="146"/>
      <x:c r="AD198" s="146"/>
      <x:c r="AE198" s="151" t="str">
        <x:v>PRIV.PET</x:v>
      </x:c>
      <x:c r="AF198" s="151" t="str">
        <x:v>PRIV.PET;TECH.DLT</x:v>
      </x:c>
      <x:c r="AG198" s="151" t="str">
        <x:v>finding</x:v>
      </x:c>
      <x:c r="AH198" s="151" t="str">
        <x:v>finding</x:v>
      </x:c>
      <x:c r="AI198" s="154" t="n">
        <x:f>IF(K198,0,1)</x:f>
        <x:v>1</x:v>
      </x:c>
      <x:c r="AJ198" s="154" t="n">
        <x:f>IF(L198="keep",1,0)</x:f>
        <x:v>0</x:v>
      </x:c>
      <x:c r="AK198" s="154" t="n">
        <x:f>IF(M198="keep",1,0)</x:f>
        <x:v>1</x:v>
      </x:c>
      <x:c r="AL198" s="154" t="n">
        <x:f>(AJ198+AK198)/2</x:f>
        <x:v>0.5</x:v>
      </x:c>
      <x:c r="AM198" s="154" t="n">
        <x:f>MIN(AJ198,AK198)</x:f>
        <x:v>0</x:v>
      </x:c>
      <x:c r="AN198" s="154" t="n">
        <x:f>MAX(AJ198,AK198)</x:f>
        <x:v>1</x:v>
      </x:c>
      <x:c r="AO198" s="154" t="n">
        <x:f>IF(L198=M198,1,0)</x:f>
        <x:v>0</x:v>
      </x:c>
    </x:row>
    <x:row r="199">
      <x:c r="A199" s="38" t="str">
        <x:v>SV-0198</x:v>
      </x:c>
      <x:c r="B199" s="38" t="str">
        <x:v>PC-04424</x:v>
      </x:c>
      <x:c r="C199" s="38" t="str">
        <x:v>en|claude_only</x:v>
      </x:c>
      <x:c r="D199" s="87" t="n">
        <x:v>19.375</x:v>
      </x:c>
      <x:c r="E199" s="38" t="str">
        <x:v>claude_only</x:v>
      </x:c>
      <x:c r="F199" s="38" t="str">
        <x:v>NO_Norway_norges-bank-memo-1-2021</x:v>
      </x:c>
      <x:c r="G199" s="38" t="n">
        <x:v>55</x:v>
      </x:c>
      <x:c r="H199" s="38" t="str">
        <x:v>en</x:v>
      </x:c>
      <x:c r="I199" s="38" t="str">
        <x:v>Norges Bank (Norwegian CBDC work)</x:v>
      </x:c>
      <x:c r="J199" s="38" t="str">
        <x:v>Men 
sentralbankens balanse kan forberedes slik at utlånene til bankene ikke 
nødvendigvis øker. Sentralbanken kan kjøpe aktiva slik at bankenes reserver 
er større enn det de trenger å være i forkant.</x:v>
      </x:c>
      <x:c r="K199" s="142" t="b">
        <x:v>0</x:v>
      </x:c>
      <x:c r="L199" s="146" t="str">
        <x:v>exclude</x:v>
      </x:c>
      <x:c r="M199" s="146" t="str">
        <x:v>keep</x:v>
      </x:c>
      <x:c r="N199" s="147" t="b">
        <x:v>0</x:v>
      </x:c>
      <x:c r="O199" s="146"/>
      <x:c r="P199" s="146" t="str">
        <x:v>STAB.disintermediation</x:v>
      </x:c>
      <x:c r="Q199" s="146" t="str"/>
      <x:c r="R199" s="146" t="str">
        <x:v>STAB</x:v>
      </x:c>
      <x:c r="S199" s="146"/>
      <x:c r="T199" s="146" t="str">
        <x:v>proposal</x:v>
      </x:c>
      <x:c r="U199" s="146"/>
      <x:c r="V199" s="146" t="str">
        <x:v>neutral</x:v>
      </x:c>
      <x:c r="W199" s="146"/>
      <x:c r="X199" s="146" t="str">
        <x:v>not_applicable</x:v>
      </x:c>
      <x:c r="Y199" s="146"/>
      <x:c r="Z199" s="146" t="n">
        <x:v>2</x:v>
      </x:c>
      <x:c r="AA199" s="146" t="str">
        <x:v>high</x:v>
      </x:c>
      <x:c r="AB199" s="146" t="str">
        <x:v>high</x:v>
      </x:c>
      <x:c r="AC199" s="146"/>
      <x:c r="AD199" s="146"/>
      <x:c r="AE199" s="151"/>
      <x:c r="AF199" s="151" t="str">
        <x:v>STAB.disintermediation</x:v>
      </x:c>
      <x:c r="AG199" s="151"/>
      <x:c r="AH199" s="151" t="str">
        <x:v>proposal</x:v>
      </x:c>
      <x:c r="AI199" s="154" t="n">
        <x:f>IF(K199,0,1)</x:f>
        <x:v>1</x:v>
      </x:c>
      <x:c r="AJ199" s="154" t="n">
        <x:f>IF(L199="keep",1,0)</x:f>
        <x:v>0</x:v>
      </x:c>
      <x:c r="AK199" s="154" t="n">
        <x:f>IF(M199="keep",1,0)</x:f>
        <x:v>1</x:v>
      </x:c>
      <x:c r="AL199" s="154" t="n">
        <x:f>(AJ199+AK199)/2</x:f>
        <x:v>0.5</x:v>
      </x:c>
      <x:c r="AM199" s="154" t="n">
        <x:f>MIN(AJ199,AK199)</x:f>
        <x:v>0</x:v>
      </x:c>
      <x:c r="AN199" s="154" t="n">
        <x:f>MAX(AJ199,AK199)</x:f>
        <x:v>1</x:v>
      </x:c>
      <x:c r="AO199" s="154" t="n">
        <x:f>IF(L199=M199,1,0)</x:f>
        <x:v>0</x:v>
      </x:c>
    </x:row>
    <x:row r="200">
      <x:c r="A200" s="38" t="str">
        <x:v>SV-0199</x:v>
      </x:c>
      <x:c r="B200" s="38" t="str">
        <x:v>PC-03650</x:v>
      </x:c>
      <x:c r="C200" s="38" t="str">
        <x:v>en|both</x:v>
      </x:c>
      <x:c r="D200" s="87" t="n">
        <x:v>19.069444444444443</x:v>
      </x:c>
      <x:c r="E200" s="38" t="str">
        <x:v>both</x:v>
      </x:c>
      <x:c r="F200" s="38" t="str">
        <x:v>IT_BdI_MISP_2021</x:v>
      </x:c>
      <x:c r="G200" s="38" t="n">
        <x:v>58</x:v>
      </x:c>
      <x:c r="H200" s="38" t="str">
        <x:v>en</x:v>
      </x:c>
      <x:c r="I200" s="38" t="str">
        <x:v>Banca d'Italia research context</x:v>
      </x:c>
      <x:c r="J200" s="38" t="str">
        <x:v>integration with other DLTs or interactions with technical 
components outside the Eurosystem’s control, pose other challenges from 
a cyber-security standpoint at the platform level and require an increase of 
defence mechanisms and protection of the D€ with ad hoc policies.</x:v>
      </x:c>
      <x:c r="K200" s="142" t="b">
        <x:v>0</x:v>
      </x:c>
      <x:c r="L200" s="146" t="str">
        <x:v>keep</x:v>
      </x:c>
      <x:c r="M200" s="146" t="str">
        <x:v>keep</x:v>
      </x:c>
      <x:c r="N200" s="147" t="b">
        <x:v>1</x:v>
      </x:c>
      <x:c r="O200" s="146" t="str">
        <x:v>OPS.resilience</x:v>
      </x:c>
      <x:c r="P200" s="146" t="str">
        <x:v>TECH.DLT</x:v>
      </x:c>
      <x:c r="Q200" s="146" t="str">
        <x:v>OPS</x:v>
      </x:c>
      <x:c r="R200" s="146" t="str">
        <x:v>TECH</x:v>
      </x:c>
      <x:c r="S200" s="146" t="str">
        <x:v>proposal</x:v>
      </x:c>
      <x:c r="T200" s="146" t="str">
        <x:v>decision</x:v>
      </x:c>
      <x:c r="U200" s="146" t="str">
        <x:v>neutral</x:v>
      </x:c>
      <x:c r="V200" s="146" t="str">
        <x:v>neutral</x:v>
      </x:c>
      <x:c r="W200" s="146" t="str">
        <x:v>not_applicable</x:v>
      </x:c>
      <x:c r="X200" s="146" t="str">
        <x:v>not_applicable</x:v>
      </x:c>
      <x:c r="Y200" s="146" t="n">
        <x:v>2</x:v>
      </x:c>
      <x:c r="Z200" s="146" t="n">
        <x:v>2</x:v>
      </x:c>
      <x:c r="AA200" s="146" t="str">
        <x:v>high</x:v>
      </x:c>
      <x:c r="AB200" s="146" t="str">
        <x:v>high</x:v>
      </x:c>
      <x:c r="AC200" s="146"/>
      <x:c r="AD200" s="146" t="str">
        <x:v>x</x:v>
      </x:c>
      <x:c r="AE200" s="151" t="str">
        <x:v>OPS.resilience</x:v>
      </x:c>
      <x:c r="AF200" s="151" t="str">
        <x:v>PRIV.ANON</x:v>
      </x:c>
      <x:c r="AG200" s="151" t="str">
        <x:v>proposal</x:v>
      </x:c>
      <x:c r="AH200" s="151" t="str">
        <x:v>decision</x:v>
      </x:c>
      <x:c r="AI200" s="154" t="n">
        <x:f>IF(K200,0,1)</x:f>
        <x:v>1</x:v>
      </x:c>
      <x:c r="AJ200" s="154" t="n">
        <x:f>IF(L200="keep",1,0)</x:f>
        <x:v>1</x:v>
      </x:c>
      <x:c r="AK200" s="154" t="n">
        <x:f>IF(M200="keep",1,0)</x:f>
        <x:v>1</x:v>
      </x:c>
      <x:c r="AL200" s="154" t="n">
        <x:f>(AJ200+AK200)/2</x:f>
        <x:v>1</x:v>
      </x:c>
      <x:c r="AM200" s="154" t="n">
        <x:f>MIN(AJ200,AK200)</x:f>
        <x:v>1</x:v>
      </x:c>
      <x:c r="AN200" s="154" t="n">
        <x:f>MAX(AJ200,AK200)</x:f>
        <x:v>1</x:v>
      </x:c>
      <x:c r="AO200" s="154" t="n">
        <x:f>IF(L200=M200,1,0)</x:f>
        <x:v>1</x:v>
      </x:c>
    </x:row>
    <x:row r="201">
      <x:c r="A201" s="38" t="str">
        <x:v>SV-0200</x:v>
      </x:c>
      <x:c r="B201" s="38" t="str">
        <x:v>PC-05290</x:v>
      </x:c>
      <x:c r="C201" s="38" t="str">
        <x:v>en|both</x:v>
      </x:c>
      <x:c r="D201" s="87" t="n">
        <x:v>19.069444444444443</x:v>
      </x:c>
      <x:c r="E201" s="38" t="str">
        <x:v>both</x:v>
      </x:c>
      <x:c r="F201" s="38" t="str">
        <x:v>SG_MAS_mas-project-orchid-report</x:v>
      </x:c>
      <x:c r="G201" s="38" t="n">
        <x:v>22</x:v>
      </x:c>
      <x:c r="H201" s="38" t="str">
        <x:v>en</x:v>
      </x:c>
      <x:c r="I201" s="38" t="str">
        <x:v>Monetary Authority of Singapore (Project Orchid / purpose-bound money)</x:v>
      </x:c>
      <x:c r="J201" s="38" t="str">
        <x:v>Nonetheless, increased 
transparency needs to be balanced against other 
policy goals such as personal data protection 
policies.</x:v>
      </x:c>
      <x:c r="K201" s="142" t="b">
        <x:v>0</x:v>
      </x:c>
      <x:c r="L201" s="146" t="str">
        <x:v>keep</x:v>
      </x:c>
      <x:c r="M201" s="146" t="str">
        <x:v>keep</x:v>
      </x:c>
      <x:c r="N201" s="147" t="b">
        <x:v>1</x:v>
      </x:c>
      <x:c r="O201" s="146" t="str">
        <x:v>PRIV.BAL</x:v>
      </x:c>
      <x:c r="P201" s="146" t="str">
        <x:v>PRIV.BAL</x:v>
      </x:c>
      <x:c r="Q201" s="146" t="str">
        <x:v>PRIV</x:v>
      </x:c>
      <x:c r="R201" s="146" t="str">
        <x:v>PRIV</x:v>
      </x:c>
      <x:c r="S201" s="146" t="str">
        <x:v>proposal</x:v>
      </x:c>
      <x:c r="T201" s="146" t="str">
        <x:v>proposal</x:v>
      </x:c>
      <x:c r="U201" s="146" t="str">
        <x:v>conditional</x:v>
      </x:c>
      <x:c r="V201" s="146" t="str">
        <x:v>conditional</x:v>
      </x:c>
      <x:c r="W201" s="146" t="str">
        <x:v>from_state</x:v>
      </x:c>
      <x:c r="X201" s="146" t="str">
        <x:v>from_state</x:v>
      </x:c>
      <x:c r="Y201" s="146" t="n">
        <x:v>2</x:v>
      </x:c>
      <x:c r="Z201" s="146" t="n">
        <x:v>2</x:v>
      </x:c>
      <x:c r="AA201" s="146" t="str">
        <x:v>high</x:v>
      </x:c>
      <x:c r="AB201" s="146" t="str">
        <x:v>high</x:v>
      </x:c>
      <x:c r="AC201" s="146"/>
      <x:c r="AD201" s="146"/>
      <x:c r="AE201" s="151" t="str">
        <x:v>PRIV.BAL</x:v>
      </x:c>
      <x:c r="AF201" s="151" t="str">
        <x:v>PRIV.BAL</x:v>
      </x:c>
      <x:c r="AG201" s="151" t="str">
        <x:v>proposal</x:v>
      </x:c>
      <x:c r="AH201" s="151" t="str">
        <x:v>proposal</x:v>
      </x:c>
      <x:c r="AI201" s="154" t="n">
        <x:f>IF(K201,0,1)</x:f>
        <x:v>1</x:v>
      </x:c>
      <x:c r="AJ201" s="154" t="n">
        <x:f>IF(L201="keep",1,0)</x:f>
        <x:v>1</x:v>
      </x:c>
      <x:c r="AK201" s="154" t="n">
        <x:f>IF(M201="keep",1,0)</x:f>
        <x:v>1</x:v>
      </x:c>
      <x:c r="AL201" s="154" t="n">
        <x:f>(AJ201+AK201)/2</x:f>
        <x:v>1</x:v>
      </x:c>
      <x:c r="AM201" s="154" t="n">
        <x:f>MIN(AJ201,AK201)</x:f>
        <x:v>1</x:v>
      </x:c>
      <x:c r="AN201" s="154" t="n">
        <x:f>MAX(AJ201,AK201)</x:f>
        <x:v>1</x:v>
      </x:c>
      <x:c r="AO201" s="154" t="n">
        <x:f>IF(L201=M201,1,0)</x:f>
        <x:v>1</x:v>
      </x:c>
    </x:row>
    <x:row r="202">
      <x:c r="A202" s="38" t="str">
        <x:v>SV-0201</x:v>
      </x:c>
      <x:c r="B202" s="38" t="str">
        <x:v>PC-01218</x:v>
      </x:c>
      <x:c r="C202" s="38" t="str">
        <x:v>en|openai_only</x:v>
      </x:c>
      <x:c r="D202" s="87" t="n">
        <x:v>19.21875</x:v>
      </x:c>
      <x:c r="E202" s="38" t="str">
        <x:v>openai_only</x:v>
      </x:c>
      <x:c r="F202" s="38" t="str">
        <x:v>CN_China_2021</x:v>
      </x:c>
      <x:c r="G202" s="38" t="n">
        <x:v>9</x:v>
      </x:c>
      <x:c r="H202" s="38" t="str">
        <x:v>en</x:v>
      </x:c>
      <x:c r="I202" s="38" t="str">
        <x:v>People's Bank of China (e-CNY)</x:v>
      </x:c>
      <x:c r="J202" s="38" t="str">
        <x:v>U
nde
r
t
he
pr
e
m
i
s
e
of
s
e
c
ur
i
t
y
a
nd
c
om
pl
i
a
nc
e
,
t
hi
s
f
e
a
t
ur
e
e
na
bl
e
s
s
e
l
f
-
e
xe
c
ut
i
ng
pa
y
m
e
nt
s
a
c
c
or
di
ng
t
o
pr
e
de
f
i
ne
d
c
ondi
t
i
ons
or
t
e
r
m
s
a
gr
e
e
d
be
t
w
e
e
n
t
w
o
s
i
de
s
,
s
o
a
s
t
o
f
a
c
i
l
i
t
a
t
e
bus
i
ne
s
s
m
ode
l
i
nnova
t
i
on.</x:v>
      </x:c>
      <x:c r="K202" s="142" t="b">
        <x:v>0</x:v>
      </x:c>
      <x:c r="L202" s="146" t="str">
        <x:v>keep</x:v>
      </x:c>
      <x:c r="M202" s="146" t="str">
        <x:v>exclude</x:v>
      </x:c>
      <x:c r="N202" s="147" t="b">
        <x:v>0</x:v>
      </x:c>
      <x:c r="O202" s="146" t="str">
        <x:v>PROG.generic</x:v>
      </x:c>
      <x:c r="P202" s="146"/>
      <x:c r="Q202" s="146" t="str">
        <x:v>PROG</x:v>
      </x:c>
      <x:c r="R202" s="146" t="str"/>
      <x:c r="S202" s="146" t="str">
        <x:v>finding</x:v>
      </x:c>
      <x:c r="T202" s="146"/>
      <x:c r="U202" s="146" t="str">
        <x:v>neutral</x:v>
      </x:c>
      <x:c r="V202" s="146"/>
      <x:c r="W202" s="146" t="str">
        <x:v>not_applicable</x:v>
      </x:c>
      <x:c r="X202" s="146"/>
      <x:c r="Y202" s="146" t="n">
        <x:v>3</x:v>
      </x:c>
      <x:c r="Z202" s="146"/>
      <x:c r="AA202" s="146" t="str">
        <x:v>high</x:v>
      </x:c>
      <x:c r="AB202" s="146" t="str">
        <x:v>high</x:v>
      </x:c>
      <x:c r="AC202" s="146"/>
      <x:c r="AD202" s="146"/>
      <x:c r="AE202" s="151" t="str">
        <x:v>PROG.generic</x:v>
      </x:c>
      <x:c r="AF202" s="151"/>
      <x:c r="AG202" s="151" t="str">
        <x:v>decision</x:v>
      </x:c>
      <x:c r="AH202" s="151"/>
      <x:c r="AI202" s="154" t="n">
        <x:f>IF(K202,0,1)</x:f>
        <x:v>1</x:v>
      </x:c>
      <x:c r="AJ202" s="154" t="n">
        <x:f>IF(L202="keep",1,0)</x:f>
        <x:v>1</x:v>
      </x:c>
      <x:c r="AK202" s="154" t="n">
        <x:f>IF(M202="keep",1,0)</x:f>
        <x:v>0</x:v>
      </x:c>
      <x:c r="AL202" s="154" t="n">
        <x:f>(AJ202+AK202)/2</x:f>
        <x:v>0.5</x:v>
      </x:c>
      <x:c r="AM202" s="154" t="n">
        <x:f>MIN(AJ202,AK202)</x:f>
        <x:v>0</x:v>
      </x:c>
      <x:c r="AN202" s="154" t="n">
        <x:f>MAX(AJ202,AK202)</x:f>
        <x:v>1</x:v>
      </x:c>
      <x:c r="AO202" s="154" t="n">
        <x:f>IF(L202=M202,1,0)</x:f>
        <x:v>0</x:v>
      </x:c>
    </x:row>
    <x:row r="203">
      <x:c r="A203" s="38" t="str">
        <x:v>SV-0202</x:v>
      </x:c>
      <x:c r="B203" s="38" t="str">
        <x:v>PC-03621</x:v>
      </x:c>
      <x:c r="C203" s="38" t="str">
        <x:v>en|claude_only</x:v>
      </x:c>
      <x:c r="D203" s="87" t="n">
        <x:v>19.375</x:v>
      </x:c>
      <x:c r="E203" s="38" t="str">
        <x:v>claude_only</x:v>
      </x:c>
      <x:c r="F203" s="38" t="str">
        <x:v>IT_BdI_MISP_2021</x:v>
      </x:c>
      <x:c r="G203" s="38" t="n">
        <x:v>54</x:v>
      </x:c>
      <x:c r="H203" s="38" t="str">
        <x:v>en</x:v>
      </x:c>
      <x:c r="I203" s="38" t="str">
        <x:v>Banca d'Italia research context</x:v>
      </x:c>
      <x:c r="J203" s="38" t="str">
        <x:v>The integrated solution is based on two models that rely on distributed 
technologies that can be configured to implement a resilient solution. 
For instance, the adoption of geographical distribution is a powerful 
mitigation measure for a cyber incident or natural disaster.</x:v>
      </x:c>
      <x:c r="K203" s="142" t="b">
        <x:v>0</x:v>
      </x:c>
      <x:c r="L203" s="146" t="str">
        <x:v>exclude</x:v>
      </x:c>
      <x:c r="M203" s="146" t="str">
        <x:v>keep</x:v>
      </x:c>
      <x:c r="N203" s="147" t="b">
        <x:v>0</x:v>
      </x:c>
      <x:c r="O203" s="146"/>
      <x:c r="P203" s="146" t="str">
        <x:v>OPS.resilience</x:v>
      </x:c>
      <x:c r="Q203" s="146" t="str"/>
      <x:c r="R203" s="146" t="str">
        <x:v>OPS</x:v>
      </x:c>
      <x:c r="S203" s="146"/>
      <x:c r="T203" s="146" t="str">
        <x:v>decision</x:v>
      </x:c>
      <x:c r="U203" s="146"/>
      <x:c r="V203" s="146" t="str">
        <x:v>neutral</x:v>
      </x:c>
      <x:c r="W203" s="146"/>
      <x:c r="X203" s="146" t="str">
        <x:v>not_applicable</x:v>
      </x:c>
      <x:c r="Y203" s="146"/>
      <x:c r="Z203" s="146" t="n">
        <x:v>2</x:v>
      </x:c>
      <x:c r="AA203" s="146" t="str">
        <x:v>high</x:v>
      </x:c>
      <x:c r="AB203" s="146" t="str">
        <x:v>high</x:v>
      </x:c>
      <x:c r="AC203" s="146"/>
      <x:c r="AD203" s="146"/>
      <x:c r="AE203" s="151"/>
      <x:c r="AF203" s="151" t="str">
        <x:v>OPS.resilience</x:v>
      </x:c>
      <x:c r="AG203" s="151"/>
      <x:c r="AH203" s="151" t="str">
        <x:v>decision</x:v>
      </x:c>
      <x:c r="AI203" s="154" t="n">
        <x:f>IF(K203,0,1)</x:f>
        <x:v>1</x:v>
      </x:c>
      <x:c r="AJ203" s="154" t="n">
        <x:f>IF(L203="keep",1,0)</x:f>
        <x:v>0</x:v>
      </x:c>
      <x:c r="AK203" s="154" t="n">
        <x:f>IF(M203="keep",1,0)</x:f>
        <x:v>1</x:v>
      </x:c>
      <x:c r="AL203" s="154" t="n">
        <x:f>(AJ203+AK203)/2</x:f>
        <x:v>0.5</x:v>
      </x:c>
      <x:c r="AM203" s="154" t="n">
        <x:f>MIN(AJ203,AK203)</x:f>
        <x:v>0</x:v>
      </x:c>
      <x:c r="AN203" s="154" t="n">
        <x:f>MAX(AJ203,AK203)</x:f>
        <x:v>1</x:v>
      </x:c>
      <x:c r="AO203" s="154" t="n">
        <x:f>IF(L203=M203,1,0)</x:f>
        <x:v>0</x:v>
      </x:c>
    </x:row>
    <x:row r="204">
      <x:c r="A204" s="38" t="str">
        <x:v>SV-0203</x:v>
      </x:c>
      <x:c r="B204" s="38" t="str">
        <x:v>PC-00346</x:v>
      </x:c>
      <x:c r="C204" s="38" t="str">
        <x:v>en|openai_only</x:v>
      </x:c>
      <x:c r="D204" s="87" t="n">
        <x:v>19.21875</x:v>
      </x:c>
      <x:c r="E204" s="38" t="str">
        <x:v>openai_only</x:v>
      </x:c>
      <x:c r="F204" s="38" t="str">
        <x:v>AU_RBA_003</x:v>
      </x:c>
      <x:c r="G204" s="38" t="n">
        <x:v>40</x:v>
      </x:c>
      <x:c r="H204" s="38" t="str">
        <x:v>en</x:v>
      </x:c>
      <x:c r="I204" s="38" t="str">
        <x:v>Reserve Bank of Australia and Digital Finance CRC (Project Acacia)</x:v>
      </x:c>
      <x:c r="J204" s="38" t="str">
        <x:v>Makes greater use of existing 
infrastructure (e.g. FSS, ESAs)</x:v>
      </x:c>
      <x:c r="K204" s="142" t="b">
        <x:v>0</x:v>
      </x:c>
      <x:c r="L204" s="146" t="str">
        <x:v>keep</x:v>
      </x:c>
      <x:c r="M204" s="146" t="str">
        <x:v>exclude</x:v>
      </x:c>
      <x:c r="N204" s="147" t="b">
        <x:v>0</x:v>
      </x:c>
      <x:c r="O204" s="146" t="str">
        <x:v>INTEROP.domestic</x:v>
      </x:c>
      <x:c r="P204" s="146"/>
      <x:c r="Q204" s="146" t="str">
        <x:v>INTEROP</x:v>
      </x:c>
      <x:c r="R204" s="146" t="str"/>
      <x:c r="S204" s="146" t="str">
        <x:v>finding</x:v>
      </x:c>
      <x:c r="T204" s="146"/>
      <x:c r="U204" s="146" t="str">
        <x:v>neutral</x:v>
      </x:c>
      <x:c r="V204" s="146"/>
      <x:c r="W204" s="146" t="str">
        <x:v>not_applicable</x:v>
      </x:c>
      <x:c r="X204" s="146"/>
      <x:c r="Y204" s="146" t="n">
        <x:v>2</x:v>
      </x:c>
      <x:c r="Z204" s="146"/>
      <x:c r="AA204" s="146" t="str">
        <x:v>high</x:v>
      </x:c>
      <x:c r="AB204" s="146" t="str">
        <x:v>high</x:v>
      </x:c>
      <x:c r="AC204" s="146"/>
      <x:c r="AD204" s="146"/>
      <x:c r="AE204" s="151" t="str">
        <x:v>INTEROP.domestic</x:v>
      </x:c>
      <x:c r="AF204" s="151"/>
      <x:c r="AG204" s="151" t="str">
        <x:v>finding</x:v>
      </x:c>
      <x:c r="AH204" s="151"/>
      <x:c r="AI204" s="154" t="n">
        <x:f>IF(K204,0,1)</x:f>
        <x:v>1</x:v>
      </x:c>
      <x:c r="AJ204" s="154" t="n">
        <x:f>IF(L204="keep",1,0)</x:f>
        <x:v>1</x:v>
      </x:c>
      <x:c r="AK204" s="154" t="n">
        <x:f>IF(M204="keep",1,0)</x:f>
        <x:v>0</x:v>
      </x:c>
      <x:c r="AL204" s="154" t="n">
        <x:f>(AJ204+AK204)/2</x:f>
        <x:v>0.5</x:v>
      </x:c>
      <x:c r="AM204" s="154" t="n">
        <x:f>MIN(AJ204,AK204)</x:f>
        <x:v>0</x:v>
      </x:c>
      <x:c r="AN204" s="154" t="n">
        <x:f>MAX(AJ204,AK204)</x:f>
        <x:v>1</x:v>
      </x:c>
      <x:c r="AO204" s="154" t="n">
        <x:f>IF(L204=M204,1,0)</x:f>
        <x:v>0</x:v>
      </x:c>
    </x:row>
    <x:row r="205">
      <x:c r="A205" s="38" t="str">
        <x:v>SV-0204</x:v>
      </x:c>
      <x:c r="B205" s="38" t="str">
        <x:v>PC-03465</x:v>
      </x:c>
      <x:c r="C205" s="38" t="str">
        <x:v>en|openai_only</x:v>
      </x:c>
      <x:c r="D205" s="87" t="n">
        <x:v>19.21875</x:v>
      </x:c>
      <x:c r="E205" s="38" t="str">
        <x:v>openai_only</x:v>
      </x:c>
      <x:c r="F205" s="38" t="str">
        <x:v>IS_CBI_2018</x:v>
      </x:c>
      <x:c r="G205" s="38" t="n">
        <x:v>24</x:v>
      </x:c>
      <x:c r="H205" s="38" t="str">
        <x:v>en</x:v>
      </x:c>
      <x:c r="I205" s="38" t="str">
        <x:v>Central Bank of Iceland</x:v>
      </x:c>
      <x:c r="J205" s="38" t="str">
        <x:v>On 
the other hand, it would be possible to impose a cap on individuals’ 
rafkróna account balances (a maximum balance). Such a provision 
could reduce the risk of a run on the banks, thereby mitigating the 
risk to financial stability, but it would also mean deviating from the 
custom of always satisfying demand for banknotes and coin.</x:v>
      </x:c>
      <x:c r="K205" s="142" t="b">
        <x:v>0</x:v>
      </x:c>
      <x:c r="L205" s="146" t="str">
        <x:v>keep</x:v>
      </x:c>
      <x:c r="M205" s="146" t="str">
        <x:v>exclude</x:v>
      </x:c>
      <x:c r="N205" s="147" t="b">
        <x:v>0</x:v>
      </x:c>
      <x:c r="O205" s="146" t="str">
        <x:v>AML.LIMIT</x:v>
      </x:c>
      <x:c r="P205" s="146"/>
      <x:c r="Q205" s="146" t="str">
        <x:v>AML</x:v>
      </x:c>
      <x:c r="R205" s="146" t="str"/>
      <x:c r="S205" s="146" t="str">
        <x:v>proposal</x:v>
      </x:c>
      <x:c r="T205" s="146"/>
      <x:c r="U205" s="146" t="str">
        <x:v>neutral</x:v>
      </x:c>
      <x:c r="V205" s="146"/>
      <x:c r="W205" s="146" t="str">
        <x:v>not_applicable</x:v>
      </x:c>
      <x:c r="X205" s="146"/>
      <x:c r="Y205" s="146" t="n">
        <x:v>2</x:v>
      </x:c>
      <x:c r="Z205" s="146"/>
      <x:c r="AA205" s="146" t="str">
        <x:v>high</x:v>
      </x:c>
      <x:c r="AB205" s="146" t="str">
        <x:v>high</x:v>
      </x:c>
      <x:c r="AC205" s="146"/>
      <x:c r="AD205" s="146"/>
      <x:c r="AE205" s="151" t="str">
        <x:v>AML.LIMIT</x:v>
      </x:c>
      <x:c r="AF205" s="151"/>
      <x:c r="AG205" s="151" t="str">
        <x:v>proposal</x:v>
      </x:c>
      <x:c r="AH205" s="151"/>
      <x:c r="AI205" s="154" t="n">
        <x:f>IF(K205,0,1)</x:f>
        <x:v>1</x:v>
      </x:c>
      <x:c r="AJ205" s="154" t="n">
        <x:f>IF(L205="keep",1,0)</x:f>
        <x:v>1</x:v>
      </x:c>
      <x:c r="AK205" s="154" t="n">
        <x:f>IF(M205="keep",1,0)</x:f>
        <x:v>0</x:v>
      </x:c>
      <x:c r="AL205" s="154" t="n">
        <x:f>(AJ205+AK205)/2</x:f>
        <x:v>0.5</x:v>
      </x:c>
      <x:c r="AM205" s="154" t="n">
        <x:f>MIN(AJ205,AK205)</x:f>
        <x:v>0</x:v>
      </x:c>
      <x:c r="AN205" s="154" t="n">
        <x:f>MAX(AJ205,AK205)</x:f>
        <x:v>1</x:v>
      </x:c>
      <x:c r="AO205" s="154" t="n">
        <x:f>IF(L205=M205,1,0)</x:f>
        <x:v>0</x:v>
      </x:c>
    </x:row>
    <x:row r="206">
      <x:c r="A206" s="38" t="str">
        <x:v>SV-0205</x:v>
      </x:c>
      <x:c r="B206" s="38" t="str">
        <x:v>PC-01672</x:v>
      </x:c>
      <x:c r="C206" s="38" t="str">
        <x:v>en|both</x:v>
      </x:c>
      <x:c r="D206" s="87" t="n">
        <x:v>19.069444444444443</x:v>
      </x:c>
      <x:c r="E206" s="38" t="str">
        <x:v>both</x:v>
      </x:c>
      <x:c r="F206" s="38" t="str">
        <x:v>GH_Ghana_2021</x:v>
      </x:c>
      <x:c r="G206" s="38" t="n">
        <x:v>28</x:v>
      </x:c>
      <x:c r="H206" s="38" t="str">
        <x:v>en</x:v>
      </x:c>
      <x:c r="I206" s="38" t="str">
        <x:v>Bank of Ghana (eCedi)</x:v>
      </x:c>
      <x:c r="J206" s="38" t="str">
        <x:v>One of the pillars of the eCedi interoperability is its 
interconnection with the GhIPSS</x:v>
      </x:c>
      <x:c r="K206" s="142" t="b">
        <x:v>0</x:v>
      </x:c>
      <x:c r="L206" s="146" t="str">
        <x:v>keep</x:v>
      </x:c>
      <x:c r="M206" s="146" t="str">
        <x:v>keep</x:v>
      </x:c>
      <x:c r="N206" s="147" t="b">
        <x:v>1</x:v>
      </x:c>
      <x:c r="O206" s="146" t="str">
        <x:v>ADOPT.experience</x:v>
      </x:c>
      <x:c r="P206" s="146" t="str">
        <x:v>INTEROP.domestic</x:v>
      </x:c>
      <x:c r="Q206" s="146" t="str">
        <x:v>ADOPT</x:v>
      </x:c>
      <x:c r="R206" s="146" t="str">
        <x:v>INTEROP</x:v>
      </x:c>
      <x:c r="S206" s="146" t="str">
        <x:v>decision</x:v>
      </x:c>
      <x:c r="T206" s="146" t="str">
        <x:v>decision</x:v>
      </x:c>
      <x:c r="U206" s="146" t="str">
        <x:v>neutral</x:v>
      </x:c>
      <x:c r="V206" s="146" t="str">
        <x:v>neutral</x:v>
      </x:c>
      <x:c r="W206" s="146" t="str">
        <x:v>not_applicable</x:v>
      </x:c>
      <x:c r="X206" s="146" t="str">
        <x:v>not_applicable</x:v>
      </x:c>
      <x:c r="Y206" s="146" t="n">
        <x:v>3</x:v>
      </x:c>
      <x:c r="Z206" s="146" t="n">
        <x:v>3</x:v>
      </x:c>
      <x:c r="AA206" s="146" t="str">
        <x:v>high</x:v>
      </x:c>
      <x:c r="AB206" s="146" t="str">
        <x:v>high</x:v>
      </x:c>
      <x:c r="AC206" s="146"/>
      <x:c r="AD206" s="146"/>
      <x:c r="AE206" s="151" t="str">
        <x:v>ADOPT.experience</x:v>
      </x:c>
      <x:c r="AF206" s="151" t="str">
        <x:v>INTEROP.domestic</x:v>
      </x:c>
      <x:c r="AG206" s="151" t="str">
        <x:v>decision</x:v>
      </x:c>
      <x:c r="AH206" s="151" t="str">
        <x:v>decision</x:v>
      </x:c>
      <x:c r="AI206" s="154" t="n">
        <x:f>IF(K206,0,1)</x:f>
        <x:v>1</x:v>
      </x:c>
      <x:c r="AJ206" s="154" t="n">
        <x:f>IF(L206="keep",1,0)</x:f>
        <x:v>1</x:v>
      </x:c>
      <x:c r="AK206" s="154" t="n">
        <x:f>IF(M206="keep",1,0)</x:f>
        <x:v>1</x:v>
      </x:c>
      <x:c r="AL206" s="154" t="n">
        <x:f>(AJ206+AK206)/2</x:f>
        <x:v>1</x:v>
      </x:c>
      <x:c r="AM206" s="154" t="n">
        <x:f>MIN(AJ206,AK206)</x:f>
        <x:v>1</x:v>
      </x:c>
      <x:c r="AN206" s="154" t="n">
        <x:f>MAX(AJ206,AK206)</x:f>
        <x:v>1</x:v>
      </x:c>
      <x:c r="AO206" s="154" t="n">
        <x:f>IF(L206=M206,1,0)</x:f>
        <x:v>1</x:v>
      </x:c>
    </x:row>
    <x:row r="207">
      <x:c r="A207" s="38" t="str">
        <x:v>SV-0206</x:v>
      </x:c>
      <x:c r="B207" s="38" t="str">
        <x:v>PC-01557</x:v>
      </x:c>
      <x:c r="C207" s="38" t="str">
        <x:v>fr|claude_only</x:v>
      </x:c>
      <x:c r="D207" s="87" t="n">
        <x:v>3</x:v>
      </x:c>
      <x:c r="E207" s="38" t="str">
        <x:v>claude_only</x:v>
      </x:c>
      <x:c r="F207" s="38" t="str">
        <x:v>FR_BdF_2022</x:v>
      </x:c>
      <x:c r="G207" s="38" t="n">
        <x:v>10</x:v>
      </x:c>
      <x:c r="H207" s="38" t="str">
        <x:v>fr</x:v>
      </x:c>
      <x:c r="I207" s="38" t="str">
        <x:v>Banque de France (wholesale CBDC programme)</x:v>
      </x:c>
      <x:c r="J207" s="38" t="str">
        <x:v>The programme showed how an interbank 
CBDC could help secure the development 
of tokenised financial markets by providing 
stakeholders with the benefits of distributed 
ledger technology, in particular distributed 
ledger-based end-to-end processing of 
tokenised securities settlement and 
payment-versus-payment transactions, 
including cross-border transactions, while 
benefiting from secure central bank money 
settlement for the transactions made in this 
manner.</x:v>
      </x:c>
      <x:c r="K207" s="142" t="b">
        <x:v>0</x:v>
      </x:c>
      <x:c r="L207" s="146" t="str">
        <x:v>keep</x:v>
      </x:c>
      <x:c r="M207" s="146" t="str">
        <x:v>keep</x:v>
      </x:c>
      <x:c r="N207" s="147" t="b">
        <x:v>1</x:v>
      </x:c>
      <x:c r="O207" s="146" t="str">
        <x:v>TECH.DLT</x:v>
      </x:c>
      <x:c r="P207" s="146" t="str">
        <x:v>TECH.DLT</x:v>
      </x:c>
      <x:c r="Q207" s="146" t="str">
        <x:v>TECH</x:v>
      </x:c>
      <x:c r="R207" s="146" t="str">
        <x:v>TECH</x:v>
      </x:c>
      <x:c r="S207" s="146" t="str">
        <x:v>finding</x:v>
      </x:c>
      <x:c r="T207" s="146" t="str">
        <x:v>finding</x:v>
      </x:c>
      <x:c r="U207" s="146" t="str">
        <x:v>neutral</x:v>
      </x:c>
      <x:c r="V207" s="146" t="str">
        <x:v>neutral</x:v>
      </x:c>
      <x:c r="W207" s="146" t="str">
        <x:v>not_applicable</x:v>
      </x:c>
      <x:c r="X207" s="146" t="str">
        <x:v>not_applicable</x:v>
      </x:c>
      <x:c r="Y207" s="146" t="n">
        <x:v>2</x:v>
      </x:c>
      <x:c r="Z207" s="146" t="n">
        <x:v>3</x:v>
      </x:c>
      <x:c r="AA207" s="146" t="str">
        <x:v>high</x:v>
      </x:c>
      <x:c r="AB207" s="146" t="str">
        <x:v>high</x:v>
      </x:c>
      <x:c r="AC207" s="146"/>
      <x:c r="AD207" s="146"/>
      <x:c r="AE207" s="151"/>
      <x:c r="AF207" s="151" t="str">
        <x:v>TECH.DLT</x:v>
      </x:c>
      <x:c r="AG207" s="151"/>
      <x:c r="AH207" s="151" t="str">
        <x:v>finding</x:v>
      </x:c>
      <x:c r="AI207" s="154" t="n">
        <x:f>IF(K207,0,1)</x:f>
        <x:v>1</x:v>
      </x:c>
      <x:c r="AJ207" s="154" t="n">
        <x:f>IF(L207="keep",1,0)</x:f>
        <x:v>1</x:v>
      </x:c>
      <x:c r="AK207" s="154" t="n">
        <x:f>IF(M207="keep",1,0)</x:f>
        <x:v>1</x:v>
      </x:c>
      <x:c r="AL207" s="154" t="n">
        <x:f>(AJ207+AK207)/2</x:f>
        <x:v>1</x:v>
      </x:c>
      <x:c r="AM207" s="154" t="n">
        <x:f>MIN(AJ207,AK207)</x:f>
        <x:v>1</x:v>
      </x:c>
      <x:c r="AN207" s="154" t="n">
        <x:f>MAX(AJ207,AK207)</x:f>
        <x:v>1</x:v>
      </x:c>
      <x:c r="AO207" s="154" t="n">
        <x:f>IF(L207=M207,1,0)</x:f>
        <x:v>1</x:v>
      </x:c>
    </x:row>
    <x:row r="208">
      <x:c r="A208" s="38" t="str">
        <x:v>SV-0207</x:v>
      </x:c>
      <x:c r="B208" s="38" t="str">
        <x:v>PC-02020</x:v>
      </x:c>
      <x:c r="C208" s="38" t="str">
        <x:v>en|openai_only</x:v>
      </x:c>
      <x:c r="D208" s="87" t="n">
        <x:v>19.21875</x:v>
      </x:c>
      <x:c r="E208" s="38" t="str">
        <x:v>openai_only</x:v>
      </x:c>
      <x:c r="F208" s="38" t="str">
        <x:v>HK_HKMA_eHKD_Phase2_2025</x:v>
      </x:c>
      <x:c r="G208" s="38" t="n">
        <x:v>25</x:v>
      </x:c>
      <x:c r="H208" s="38" t="str">
        <x:v>en</x:v>
      </x:c>
      <x:c r="I208" s="38" t="str">
        <x:v>Hong Kong Monetary Authority (e-HKD Phase 2 pilots)</x:v>
      </x:c>
      <x:c r="J208" s="38" t="str">
        <x:v>This mechanism ensures that 
funds are only released if merchants deliver on 
their obligations, thereby mitigating risks such as 
bankruptcy or malpractice.</x:v>
      </x:c>
      <x:c r="K208" s="142" t="b">
        <x:v>0</x:v>
      </x:c>
      <x:c r="L208" s="146" t="str">
        <x:v>keep</x:v>
      </x:c>
      <x:c r="M208" s="146" t="str">
        <x:v>exclude</x:v>
      </x:c>
      <x:c r="N208" s="147" t="b">
        <x:v>0</x:v>
      </x:c>
      <x:c r="O208" s="146" t="str">
        <x:v>PROG.generic</x:v>
      </x:c>
      <x:c r="P208" s="146"/>
      <x:c r="Q208" s="146" t="str">
        <x:v>PROG</x:v>
      </x:c>
      <x:c r="R208" s="146" t="str"/>
      <x:c r="S208" s="146" t="str">
        <x:v>finding</x:v>
      </x:c>
      <x:c r="T208" s="146"/>
      <x:c r="U208" s="146" t="str">
        <x:v>neutral</x:v>
      </x:c>
      <x:c r="V208" s="146"/>
      <x:c r="W208" s="146" t="str">
        <x:v>not_applicable</x:v>
      </x:c>
      <x:c r="X208" s="146"/>
      <x:c r="Y208" s="146" t="n">
        <x:v>3</x:v>
      </x:c>
      <x:c r="Z208" s="146"/>
      <x:c r="AA208" s="146" t="str">
        <x:v>high</x:v>
      </x:c>
      <x:c r="AB208" s="146" t="str">
        <x:v>high</x:v>
      </x:c>
      <x:c r="AC208" s="146"/>
      <x:c r="AD208" s="146"/>
      <x:c r="AE208" s="151" t="str">
        <x:v>PROG.generic</x:v>
      </x:c>
      <x:c r="AF208" s="151"/>
      <x:c r="AG208" s="151" t="str">
        <x:v>finding</x:v>
      </x:c>
      <x:c r="AH208" s="151"/>
      <x:c r="AI208" s="154" t="n">
        <x:f>IF(K208,0,1)</x:f>
        <x:v>1</x:v>
      </x:c>
      <x:c r="AJ208" s="154" t="n">
        <x:f>IF(L208="keep",1,0)</x:f>
        <x:v>1</x:v>
      </x:c>
      <x:c r="AK208" s="154" t="n">
        <x:f>IF(M208="keep",1,0)</x:f>
        <x:v>0</x:v>
      </x:c>
      <x:c r="AL208" s="154" t="n">
        <x:f>(AJ208+AK208)/2</x:f>
        <x:v>0.5</x:v>
      </x:c>
      <x:c r="AM208" s="154" t="n">
        <x:f>MIN(AJ208,AK208)</x:f>
        <x:v>0</x:v>
      </x:c>
      <x:c r="AN208" s="154" t="n">
        <x:f>MAX(AJ208,AK208)</x:f>
        <x:v>1</x:v>
      </x:c>
      <x:c r="AO208" s="154" t="n">
        <x:f>IF(L208=M208,1,0)</x:f>
        <x:v>0</x:v>
      </x:c>
    </x:row>
    <x:row r="209">
      <x:c r="A209" s="38" t="str">
        <x:v>SV-0208</x:v>
      </x:c>
      <x:c r="B209" s="38" t="str">
        <x:v>PC-01722</x:v>
      </x:c>
      <x:c r="C209" s="38" t="str">
        <x:v>en|claude_only</x:v>
      </x:c>
      <x:c r="D209" s="87" t="n">
        <x:v>19.375</x:v>
      </x:c>
      <x:c r="E209" s="38" t="str">
        <x:v>claude_only</x:v>
      </x:c>
      <x:c r="F209" s="38" t="str">
        <x:v>GH_Ghana_2023</x:v>
      </x:c>
      <x:c r="G209" s="38" t="n">
        <x:v>14</x:v>
      </x:c>
      <x:c r="H209" s="38" t="str">
        <x:v>en</x:v>
      </x:c>
      <x:c r="I209" s="38" t="str">
        <x:v>Bank of Ghana (eCedi)</x:v>
      </x:c>
      <x:c r="J209" s="38" t="str">
        <x:v>Over sight of the eCedi implementation is the 
responsibility of a Steering Committee chaired 
by the First Deputy Governor.</x:v>
      </x:c>
      <x:c r="K209" s="142" t="b">
        <x:v>0</x:v>
      </x:c>
      <x:c r="L209" s="146" t="str">
        <x:v>keep</x:v>
      </x:c>
      <x:c r="M209" s="146" t="str">
        <x:v>keep</x:v>
      </x:c>
      <x:c r="N209" s="147" t="b">
        <x:v>1</x:v>
      </x:c>
      <x:c r="O209" s="146" t="str">
        <x:v>INST.mandate</x:v>
      </x:c>
      <x:c r="P209" s="146" t="str">
        <x:v>INST.mandate</x:v>
      </x:c>
      <x:c r="Q209" s="146" t="str">
        <x:v>INST</x:v>
      </x:c>
      <x:c r="R209" s="146" t="str">
        <x:v>INST</x:v>
      </x:c>
      <x:c r="S209" s="146" t="str">
        <x:v>decision</x:v>
      </x:c>
      <x:c r="T209" s="146" t="str">
        <x:v>decision</x:v>
      </x:c>
      <x:c r="U209" s="146" t="str">
        <x:v>neutral</x:v>
      </x:c>
      <x:c r="V209" s="146" t="str">
        <x:v>neutral</x:v>
      </x:c>
      <x:c r="W209" s="146" t="str">
        <x:v>not_applicable</x:v>
      </x:c>
      <x:c r="X209" s="146" t="str">
        <x:v>not_applicable</x:v>
      </x:c>
      <x:c r="Y209" s="146" t="n">
        <x:v>3</x:v>
      </x:c>
      <x:c r="Z209" s="146" t="n">
        <x:v>2</x:v>
      </x:c>
      <x:c r="AA209" s="146" t="str">
        <x:v>high</x:v>
      </x:c>
      <x:c r="AB209" s="146" t="str">
        <x:v>high</x:v>
      </x:c>
      <x:c r="AC209" s="146"/>
      <x:c r="AD209" s="146"/>
      <x:c r="AE209" s="151"/>
      <x:c r="AF209" s="151" t="str">
        <x:v>INST.mandate</x:v>
      </x:c>
      <x:c r="AG209" s="151"/>
      <x:c r="AH209" s="151" t="str">
        <x:v>decision</x:v>
      </x:c>
      <x:c r="AI209" s="154" t="n">
        <x:f>IF(K209,0,1)</x:f>
        <x:v>1</x:v>
      </x:c>
      <x:c r="AJ209" s="154" t="n">
        <x:f>IF(L209="keep",1,0)</x:f>
        <x:v>1</x:v>
      </x:c>
      <x:c r="AK209" s="154" t="n">
        <x:f>IF(M209="keep",1,0)</x:f>
        <x:v>1</x:v>
      </x:c>
      <x:c r="AL209" s="154" t="n">
        <x:f>(AJ209+AK209)/2</x:f>
        <x:v>1</x:v>
      </x:c>
      <x:c r="AM209" s="154" t="n">
        <x:f>MIN(AJ209,AK209)</x:f>
        <x:v>1</x:v>
      </x:c>
      <x:c r="AN209" s="154" t="n">
        <x:f>MAX(AJ209,AK209)</x:f>
        <x:v>1</x:v>
      </x:c>
      <x:c r="AO209" s="154" t="n">
        <x:f>IF(L209=M209,1,0)</x:f>
        <x:v>1</x:v>
      </x:c>
    </x:row>
    <x:row r="210">
      <x:c r="A210" s="38" t="str">
        <x:v>SV-0209</x:v>
      </x:c>
      <x:c r="B210" s="38" t="str">
        <x:v>PC-04989</x:v>
      </x:c>
      <x:c r="C210" s="38" t="str">
        <x:v>en|both</x:v>
      </x:c>
      <x:c r="D210" s="87" t="n">
        <x:v>19.069444444444443</x:v>
      </x:c>
      <x:c r="E210" s="38" t="str">
        <x:v>both</x:v>
      </x:c>
      <x:c r="F210" s="38" t="str">
        <x:v>RU_Russia_consultation_paper_201013</x:v>
      </x:c>
      <x:c r="G210" s="38" t="n">
        <x:v>21</x:v>
      </x:c>
      <x:c r="H210" s="38" t="str">
        <x:v>en</x:v>
      </x:c>
      <x:c r="I210" s="38" t="str">
        <x:v>Bank of Russia (digital ruble)</x:v>
      </x:c>
      <x:c r="J210" s="38" t="str">
        <x:v>The Bank of Russia will take these changes into account when determining 
the parameters of its monetary policy operational procedure so that they do not interfere with the 
achievement of the Bank of Russia’s operational objective of maintaining overnight money market 
rates close to the Bank of Russia’s key rate.</x:v>
      </x:c>
      <x:c r="K210" s="142" t="b">
        <x:v>0</x:v>
      </x:c>
      <x:c r="L210" s="146" t="str">
        <x:v>keep</x:v>
      </x:c>
      <x:c r="M210" s="146" t="str">
        <x:v>keep</x:v>
      </x:c>
      <x:c r="N210" s="147" t="b">
        <x:v>1</x:v>
      </x:c>
      <x:c r="O210" s="146" t="str">
        <x:v>STAB.disintermediation</x:v>
      </x:c>
      <x:c r="P210" s="146" t="str">
        <x:v>STAB.disintermediation</x:v>
      </x:c>
      <x:c r="Q210" s="146" t="str">
        <x:v>STAB</x:v>
      </x:c>
      <x:c r="R210" s="146" t="str">
        <x:v>STAB</x:v>
      </x:c>
      <x:c r="S210" s="146" t="str">
        <x:v>finding</x:v>
      </x:c>
      <x:c r="T210" s="146" t="str">
        <x:v>proposal</x:v>
      </x:c>
      <x:c r="U210" s="146" t="str">
        <x:v>neutral</x:v>
      </x:c>
      <x:c r="V210" s="146" t="str">
        <x:v>neutral</x:v>
      </x:c>
      <x:c r="W210" s="146" t="str">
        <x:v>not_applicable</x:v>
      </x:c>
      <x:c r="X210" s="146" t="str">
        <x:v>not_applicable</x:v>
      </x:c>
      <x:c r="Y210" s="146" t="n">
        <x:v>2</x:v>
      </x:c>
      <x:c r="Z210" s="146" t="n">
        <x:v>2</x:v>
      </x:c>
      <x:c r="AA210" s="146" t="str">
        <x:v>high</x:v>
      </x:c>
      <x:c r="AB210" s="146" t="str">
        <x:v>high</x:v>
      </x:c>
      <x:c r="AC210" s="146"/>
      <x:c r="AD210" s="146"/>
      <x:c r="AE210" s="151" t="str">
        <x:v>STAB.disintermediation</x:v>
      </x:c>
      <x:c r="AF210" s="151" t="str">
        <x:v>STAB.disintermediation</x:v>
      </x:c>
      <x:c r="AG210" s="151" t="str">
        <x:v>finding</x:v>
      </x:c>
      <x:c r="AH210" s="151" t="str">
        <x:v>proposal</x:v>
      </x:c>
      <x:c r="AI210" s="154" t="n">
        <x:f>IF(K210,0,1)</x:f>
        <x:v>1</x:v>
      </x:c>
      <x:c r="AJ210" s="154" t="n">
        <x:f>IF(L210="keep",1,0)</x:f>
        <x:v>1</x:v>
      </x:c>
      <x:c r="AK210" s="154" t="n">
        <x:f>IF(M210="keep",1,0)</x:f>
        <x:v>1</x:v>
      </x:c>
      <x:c r="AL210" s="154" t="n">
        <x:f>(AJ210+AK210)/2</x:f>
        <x:v>1</x:v>
      </x:c>
      <x:c r="AM210" s="154" t="n">
        <x:f>MIN(AJ210,AK210)</x:f>
        <x:v>1</x:v>
      </x:c>
      <x:c r="AN210" s="154" t="n">
        <x:f>MAX(AJ210,AK210)</x:f>
        <x:v>1</x:v>
      </x:c>
      <x:c r="AO210" s="154" t="n">
        <x:f>IF(L210=M210,1,0)</x:f>
        <x:v>1</x:v>
      </x:c>
    </x:row>
    <x:row r="211">
      <x:c r="A211" s="38" t="str">
        <x:v>SV-0210</x:v>
      </x:c>
      <x:c r="B211" s="38" t="str">
        <x:v>PC-03403</x:v>
      </x:c>
      <x:c r="C211" s="38" t="str">
        <x:v>en|both</x:v>
      </x:c>
      <x:c r="D211" s="87" t="n">
        <x:v>19.069444444444443</x:v>
      </x:c>
      <x:c r="E211" s="38" t="str">
        <x:v>both</x:v>
      </x:c>
      <x:c r="F211" s="38" t="str">
        <x:v>IN_RBI_ConceptNote_2022</x:v>
      </x:c>
      <x:c r="G211" s="38" t="n">
        <x:v>34</x:v>
      </x:c>
      <x:c r="H211" s="38" t="str">
        <x:v>en</x:v>
      </x:c>
      <x:c r="I211" s="38" t="str">
        <x:v>Reserve Bank of India (digital rupee)</x:v>
      </x:c>
      <x:c r="J211" s="38" t="str">
        <x:v>In offline mode, the risk of “double-spending” 
will exist because it will be technically possible 
to use a  CBDC unit more than once without 
updating the common ledger of CBDC, 
however, the same can be mitigated to a larger 
extent by technical solutions  and appropriate 
business rules including monetary limi t on 
offline transactions.</x:v>
      </x:c>
      <x:c r="K211" s="142" t="b">
        <x:v>0</x:v>
      </x:c>
      <x:c r="L211" s="146" t="str">
        <x:v>keep</x:v>
      </x:c>
      <x:c r="M211" s="146" t="str">
        <x:v>keep</x:v>
      </x:c>
      <x:c r="N211" s="147" t="b">
        <x:v>1</x:v>
      </x:c>
      <x:c r="O211" s="146" t="str">
        <x:v>AML.LIMIT</x:v>
      </x:c>
      <x:c r="P211" s="146" t="str">
        <x:v>OPS.resilience</x:v>
      </x:c>
      <x:c r="Q211" s="146" t="str">
        <x:v>AML</x:v>
      </x:c>
      <x:c r="R211" s="146" t="str">
        <x:v>OPS</x:v>
      </x:c>
      <x:c r="S211" s="146" t="str">
        <x:v>proposal</x:v>
      </x:c>
      <x:c r="T211" s="146" t="str">
        <x:v>proposal</x:v>
      </x:c>
      <x:c r="U211" s="146" t="str">
        <x:v>neutral</x:v>
      </x:c>
      <x:c r="V211" s="146" t="str">
        <x:v>neutral</x:v>
      </x:c>
      <x:c r="W211" s="146" t="str">
        <x:v>not_applicable</x:v>
      </x:c>
      <x:c r="X211" s="146" t="str">
        <x:v>not_applicable</x:v>
      </x:c>
      <x:c r="Y211" s="146" t="n">
        <x:v>2</x:v>
      </x:c>
      <x:c r="Z211" s="146" t="n">
        <x:v>2</x:v>
      </x:c>
      <x:c r="AA211" s="146" t="str">
        <x:v>high</x:v>
      </x:c>
      <x:c r="AB211" s="146" t="str">
        <x:v>high</x:v>
      </x:c>
      <x:c r="AC211" s="146"/>
      <x:c r="AD211" s="146"/>
      <x:c r="AE211" s="151" t="str">
        <x:v>AML.LIMIT</x:v>
      </x:c>
      <x:c r="AF211" s="151" t="str">
        <x:v>OPS.resilience</x:v>
      </x:c>
      <x:c r="AG211" s="151" t="str">
        <x:v>proposal</x:v>
      </x:c>
      <x:c r="AH211" s="151" t="str">
        <x:v>proposal</x:v>
      </x:c>
      <x:c r="AI211" s="154" t="n">
        <x:f>IF(K211,0,1)</x:f>
        <x:v>1</x:v>
      </x:c>
      <x:c r="AJ211" s="154" t="n">
        <x:f>IF(L211="keep",1,0)</x:f>
        <x:v>1</x:v>
      </x:c>
      <x:c r="AK211" s="154" t="n">
        <x:f>IF(M211="keep",1,0)</x:f>
        <x:v>1</x:v>
      </x:c>
      <x:c r="AL211" s="154" t="n">
        <x:f>(AJ211+AK211)/2</x:f>
        <x:v>1</x:v>
      </x:c>
      <x:c r="AM211" s="154" t="n">
        <x:f>MIN(AJ211,AK211)</x:f>
        <x:v>1</x:v>
      </x:c>
      <x:c r="AN211" s="154" t="n">
        <x:f>MAX(AJ211,AK211)</x:f>
        <x:v>1</x:v>
      </x:c>
      <x:c r="AO211" s="154" t="n">
        <x:f>IF(L211=M211,1,0)</x:f>
        <x:v>1</x:v>
      </x:c>
    </x:row>
    <x:row r="212">
      <x:c r="A212" s="38" t="str">
        <x:v>SV-0211</x:v>
      </x:c>
      <x:c r="B212" s="38" t="str">
        <x:v>PC-00983</x:v>
      </x:c>
      <x:c r="C212" s="38" t="str">
        <x:v>en|openai_only</x:v>
      </x:c>
      <x:c r="D212" s="87" t="n">
        <x:v>19.21875</x:v>
      </x:c>
      <x:c r="E212" s="38" t="str">
        <x:v>openai_only</x:v>
      </x:c>
      <x:c r="F212" s="38" t="str">
        <x:v>CA_Jasper_Phase12_2017</x:v>
      </x:c>
      <x:c r="G212" s="38" t="n">
        <x:v>26</x:v>
      </x:c>
      <x:c r="H212" s="38" t="str">
        <x:v>en</x:v>
      </x:c>
      <x:c r="I212" s="38" t="str">
        <x:v>Bank of Canada and Payments Canada (Project Jasper)</x:v>
      </x:c>
      <x:c r="J212" s="38" t="str">
        <x:v>This has been dubbed the  
“inhale/exhale” procedure and represents a major  
innovation in thinking about how to enable an inher-
ently centralized process like queue operation on an  
inherently decentralized DLT platform.</x:v>
      </x:c>
      <x:c r="K212" s="142" t="b">
        <x:v>0</x:v>
      </x:c>
      <x:c r="L212" s="146" t="str">
        <x:v>keep</x:v>
      </x:c>
      <x:c r="M212" s="146" t="str">
        <x:v>exclude</x:v>
      </x:c>
      <x:c r="N212" s="147" t="b">
        <x:v>0</x:v>
      </x:c>
      <x:c r="O212" s="146" t="str">
        <x:v>TECH.DLT</x:v>
      </x:c>
      <x:c r="P212" s="146"/>
      <x:c r="Q212" s="146" t="str">
        <x:v>TECH</x:v>
      </x:c>
      <x:c r="R212" s="146" t="str"/>
      <x:c r="S212" s="146" t="str">
        <x:v>finding</x:v>
      </x:c>
      <x:c r="T212" s="146"/>
      <x:c r="U212" s="146" t="str">
        <x:v>neutral</x:v>
      </x:c>
      <x:c r="V212" s="146"/>
      <x:c r="W212" s="146" t="str">
        <x:v>not_applicable</x:v>
      </x:c>
      <x:c r="X212" s="146"/>
      <x:c r="Y212" s="146" t="n">
        <x:v>2</x:v>
      </x:c>
      <x:c r="Z212" s="146"/>
      <x:c r="AA212" s="146" t="str">
        <x:v>high</x:v>
      </x:c>
      <x:c r="AB212" s="146" t="str">
        <x:v>high</x:v>
      </x:c>
      <x:c r="AC212" s="146"/>
      <x:c r="AD212" s="146"/>
      <x:c r="AE212" s="151" t="str">
        <x:v>TECH.DLT</x:v>
      </x:c>
      <x:c r="AF212" s="151"/>
      <x:c r="AG212" s="151" t="str">
        <x:v>finding</x:v>
      </x:c>
      <x:c r="AH212" s="151"/>
      <x:c r="AI212" s="154" t="n">
        <x:f>IF(K212,0,1)</x:f>
        <x:v>1</x:v>
      </x:c>
      <x:c r="AJ212" s="154" t="n">
        <x:f>IF(L212="keep",1,0)</x:f>
        <x:v>1</x:v>
      </x:c>
      <x:c r="AK212" s="154" t="n">
        <x:f>IF(M212="keep",1,0)</x:f>
        <x:v>0</x:v>
      </x:c>
      <x:c r="AL212" s="154" t="n">
        <x:f>(AJ212+AK212)/2</x:f>
        <x:v>0.5</x:v>
      </x:c>
      <x:c r="AM212" s="154" t="n">
        <x:f>MIN(AJ212,AK212)</x:f>
        <x:v>0</x:v>
      </x:c>
      <x:c r="AN212" s="154" t="n">
        <x:f>MAX(AJ212,AK212)</x:f>
        <x:v>1</x:v>
      </x:c>
      <x:c r="AO212" s="154" t="n">
        <x:f>IF(L212=M212,1,0)</x:f>
        <x:v>0</x:v>
      </x:c>
    </x:row>
    <x:row r="213">
      <x:c r="A213" s="38" t="str">
        <x:v>SV-0212</x:v>
      </x:c>
      <x:c r="B213" s="38" t="str">
        <x:v>PC-02296</x:v>
      </x:c>
      <x:c r="C213" s="38" t="str">
        <x:v>en|claude_only</x:v>
      </x:c>
      <x:c r="D213" s="87" t="n">
        <x:v>19.375</x:v>
      </x:c>
      <x:c r="E213" s="38" t="str">
        <x:v>claude_only</x:v>
      </x:c>
      <x:c r="F213" s="38" t="str">
        <x:v>ID_Indonesia_2022</x:v>
      </x:c>
      <x:c r="G213" s="38" t="n">
        <x:v>29</x:v>
      </x:c>
      <x:c r="H213" s="38" t="str">
        <x:v>en</x:v>
      </x:c>
      <x:c r="I213" s="38" t="str">
        <x:v>Bank Indonesia (Digital Rupiah)</x:v>
      </x:c>
      <x:c r="J213" s="38" t="str">
        <x:v>these capabilities 
must also be present in the context 
of cross-border transactions through 
utilization of technology and simplification 
of distribution channels.</x:v>
      </x:c>
      <x:c r="K213" s="142" t="b">
        <x:v>0</x:v>
      </x:c>
      <x:c r="L213" s="146" t="str">
        <x:v>exclude</x:v>
      </x:c>
      <x:c r="M213" s="146" t="str">
        <x:v>keep</x:v>
      </x:c>
      <x:c r="N213" s="147" t="b">
        <x:v>0</x:v>
      </x:c>
      <x:c r="O213" s="146"/>
      <x:c r="P213" s="146" t="str">
        <x:v>INTEROP.crossborder</x:v>
      </x:c>
      <x:c r="Q213" s="146" t="str"/>
      <x:c r="R213" s="146" t="str">
        <x:v>INTEROP</x:v>
      </x:c>
      <x:c r="S213" s="146"/>
      <x:c r="T213" s="146" t="str">
        <x:v>proposal</x:v>
      </x:c>
      <x:c r="U213" s="146"/>
      <x:c r="V213" s="146" t="str">
        <x:v>neutral</x:v>
      </x:c>
      <x:c r="W213" s="146"/>
      <x:c r="X213" s="146" t="str">
        <x:v>not_applicable</x:v>
      </x:c>
      <x:c r="Y213" s="146"/>
      <x:c r="Z213" s="146" t="n">
        <x:v>2</x:v>
      </x:c>
      <x:c r="AA213" s="146" t="str">
        <x:v>high</x:v>
      </x:c>
      <x:c r="AB213" s="146" t="str">
        <x:v>high</x:v>
      </x:c>
      <x:c r="AC213" s="146"/>
      <x:c r="AD213" s="146"/>
      <x:c r="AE213" s="151"/>
      <x:c r="AF213" s="151" t="str">
        <x:v>INTEROP.crossborder</x:v>
      </x:c>
      <x:c r="AG213" s="151"/>
      <x:c r="AH213" s="151" t="str">
        <x:v>proposal</x:v>
      </x:c>
      <x:c r="AI213" s="154" t="n">
        <x:f>IF(K213,0,1)</x:f>
        <x:v>1</x:v>
      </x:c>
      <x:c r="AJ213" s="154" t="n">
        <x:f>IF(L213="keep",1,0)</x:f>
        <x:v>0</x:v>
      </x:c>
      <x:c r="AK213" s="154" t="n">
        <x:f>IF(M213="keep",1,0)</x:f>
        <x:v>1</x:v>
      </x:c>
      <x:c r="AL213" s="154" t="n">
        <x:f>(AJ213+AK213)/2</x:f>
        <x:v>0.5</x:v>
      </x:c>
      <x:c r="AM213" s="154" t="n">
        <x:f>MIN(AJ213,AK213)</x:f>
        <x:v>0</x:v>
      </x:c>
      <x:c r="AN213" s="154" t="n">
        <x:f>MAX(AJ213,AK213)</x:f>
        <x:v>1</x:v>
      </x:c>
      <x:c r="AO213" s="154" t="n">
        <x:f>IF(L213=M213,1,0)</x:f>
        <x:v>0</x:v>
      </x:c>
    </x:row>
    <x:row r="214">
      <x:c r="A214" s="38" t="str">
        <x:v>SV-0213</x:v>
      </x:c>
      <x:c r="B214" s="38" t="str">
        <x:v>PC-03553</x:v>
      </x:c>
      <x:c r="C214" s="38" t="str">
        <x:v>en|both</x:v>
      </x:c>
      <x:c r="D214" s="87" t="n">
        <x:v>19.069444444444443</x:v>
      </x:c>
      <x:c r="E214" s="38" t="str">
        <x:v>both</x:v>
      </x:c>
      <x:c r="F214" s="38" t="str">
        <x:v>IT_BdI_MISP_2021</x:v>
      </x:c>
      <x:c r="G214" s="38" t="n">
        <x:v>28</x:v>
      </x:c>
      <x:c r="H214" s="38" t="str">
        <x:v>en</x:v>
      </x:c>
      <x:c r="I214" s="38" t="str">
        <x:v>Banca d'Italia research context</x:v>
      </x:c>
      <x:c r="J214" s="38" t="str">
        <x:v>(iii) ownership of the funds is 
attested by means of knowledge of some secret cryptographic information 
(e.g. private keys); in order to transfer ownership, it is necessary and 
sufficient to prove this knowledge to the ledger</x:v>
      </x:c>
      <x:c r="K214" s="142" t="b">
        <x:v>0</x:v>
      </x:c>
      <x:c r="L214" s="146" t="str">
        <x:v>exclude</x:v>
      </x:c>
      <x:c r="M214" s="146" t="str">
        <x:v>keep</x:v>
      </x:c>
      <x:c r="N214" s="147" t="b">
        <x:v>0</x:v>
      </x:c>
      <x:c r="O214" s="146"/>
      <x:c r="P214" s="146" t="str">
        <x:v>TECH.TOKEN.decided_yes</x:v>
      </x:c>
      <x:c r="Q214" s="146" t="str"/>
      <x:c r="R214" s="146" t="str">
        <x:v>TECH</x:v>
      </x:c>
      <x:c r="S214" s="146"/>
      <x:c r="T214" s="146" t="str">
        <x:v>decision</x:v>
      </x:c>
      <x:c r="U214" s="146"/>
      <x:c r="V214" s="146" t="str">
        <x:v>neutral</x:v>
      </x:c>
      <x:c r="W214" s="146"/>
      <x:c r="X214" s="146" t="str">
        <x:v>not_applicable</x:v>
      </x:c>
      <x:c r="Y214" s="146"/>
      <x:c r="Z214" s="146" t="n">
        <x:v>3</x:v>
      </x:c>
      <x:c r="AA214" s="146" t="str">
        <x:v>high</x:v>
      </x:c>
      <x:c r="AB214" s="146" t="str">
        <x:v>high</x:v>
      </x:c>
      <x:c r="AC214" s="146"/>
      <x:c r="AD214" s="146"/>
      <x:c r="AE214" s="151" t="str">
        <x:v>PROG.remuneration_no</x:v>
      </x:c>
      <x:c r="AF214" s="151" t="str">
        <x:v>TECH.TOKEN.decided_yes</x:v>
      </x:c>
      <x:c r="AG214" s="151" t="str">
        <x:v>decision</x:v>
      </x:c>
      <x:c r="AH214" s="151" t="str">
        <x:v>decision</x:v>
      </x:c>
      <x:c r="AI214" s="154" t="n">
        <x:f>IF(K214,0,1)</x:f>
        <x:v>1</x:v>
      </x:c>
      <x:c r="AJ214" s="154" t="n">
        <x:f>IF(L214="keep",1,0)</x:f>
        <x:v>0</x:v>
      </x:c>
      <x:c r="AK214" s="154" t="n">
        <x:f>IF(M214="keep",1,0)</x:f>
        <x:v>1</x:v>
      </x:c>
      <x:c r="AL214" s="154" t="n">
        <x:f>(AJ214+AK214)/2</x:f>
        <x:v>0.5</x:v>
      </x:c>
      <x:c r="AM214" s="154" t="n">
        <x:f>MIN(AJ214,AK214)</x:f>
        <x:v>0</x:v>
      </x:c>
      <x:c r="AN214" s="154" t="n">
        <x:f>MAX(AJ214,AK214)</x:f>
        <x:v>1</x:v>
      </x:c>
      <x:c r="AO214" s="154" t="n">
        <x:f>IF(L214=M214,1,0)</x:f>
        <x:v>0</x:v>
      </x:c>
    </x:row>
    <x:row r="215">
      <x:c r="A215" s="38" t="str">
        <x:v>SV-0214</x:v>
      </x:c>
      <x:c r="B215" s="38" t="str">
        <x:v>PC-02963</x:v>
      </x:c>
      <x:c r="C215" s="38" t="str">
        <x:v>en|claude_only</x:v>
      </x:c>
      <x:c r="D215" s="87" t="n">
        <x:v>19.375</x:v>
      </x:c>
      <x:c r="E215" s="38" t="str">
        <x:v>claude_only</x:v>
      </x:c>
      <x:c r="F215" s="38" t="str">
        <x:v>IL_BoI_2024</x:v>
      </x:c>
      <x:c r="G215" s="38" t="n">
        <x:v>89</x:v>
      </x:c>
      <x:c r="H215" s="38" t="str">
        <x:v>en</x:v>
      </x:c>
      <x:c r="I215" s="38" t="str">
        <x:v>Bank of Israel (digital shekel)</x:v>
      </x:c>
      <x:c r="J215" s="38" t="str">
        <x:v>the digital shekel system will also offer advanced functionality at its core as a basis 
for supporting participants' ability to offer complex and advanced use cases, as detailed 
further below.</x:v>
      </x:c>
      <x:c r="K215" s="142" t="b">
        <x:v>0</x:v>
      </x:c>
      <x:c r="L215" s="146" t="str">
        <x:v>exclude</x:v>
      </x:c>
      <x:c r="M215" s="146" t="str">
        <x:v>keep</x:v>
      </x:c>
      <x:c r="N215" s="147" t="b">
        <x:v>0</x:v>
      </x:c>
      <x:c r="O215" s="146"/>
      <x:c r="P215" s="146" t="str">
        <x:v>SYS.design</x:v>
      </x:c>
      <x:c r="Q215" s="146" t="str"/>
      <x:c r="R215" s="146" t="str">
        <x:v>SYS</x:v>
      </x:c>
      <x:c r="S215" s="146"/>
      <x:c r="T215" s="146" t="str">
        <x:v>decision</x:v>
      </x:c>
      <x:c r="U215" s="146"/>
      <x:c r="V215" s="146" t="str">
        <x:v>neutral</x:v>
      </x:c>
      <x:c r="W215" s="146"/>
      <x:c r="X215" s="146" t="str">
        <x:v>not_applicable</x:v>
      </x:c>
      <x:c r="Y215" s="146"/>
      <x:c r="Z215" s="146" t="n">
        <x:v>3</x:v>
      </x:c>
      <x:c r="AA215" s="146" t="str">
        <x:v>high</x:v>
      </x:c>
      <x:c r="AB215" s="146" t="str">
        <x:v>high</x:v>
      </x:c>
      <x:c r="AC215" s="146"/>
      <x:c r="AD215" s="146"/>
      <x:c r="AE215" s="151"/>
      <x:c r="AF215" s="151" t="str">
        <x:v>SYS.design</x:v>
      </x:c>
      <x:c r="AG215" s="151"/>
      <x:c r="AH215" s="151" t="str">
        <x:v>decision</x:v>
      </x:c>
      <x:c r="AI215" s="154" t="n">
        <x:f>IF(K215,0,1)</x:f>
        <x:v>1</x:v>
      </x:c>
      <x:c r="AJ215" s="154" t="n">
        <x:f>IF(L215="keep",1,0)</x:f>
        <x:v>0</x:v>
      </x:c>
      <x:c r="AK215" s="154" t="n">
        <x:f>IF(M215="keep",1,0)</x:f>
        <x:v>1</x:v>
      </x:c>
      <x:c r="AL215" s="154" t="n">
        <x:f>(AJ215+AK215)/2</x:f>
        <x:v>0.5</x:v>
      </x:c>
      <x:c r="AM215" s="154" t="n">
        <x:f>MIN(AJ215,AK215)</x:f>
        <x:v>0</x:v>
      </x:c>
      <x:c r="AN215" s="154" t="n">
        <x:f>MAX(AJ215,AK215)</x:f>
        <x:v>1</x:v>
      </x:c>
      <x:c r="AO215" s="154" t="n">
        <x:f>IF(L215=M215,1,0)</x:f>
        <x:v>0</x:v>
      </x:c>
    </x:row>
    <x:row r="216">
      <x:c r="A216" s="38" t="str">
        <x:v>SV-0215</x:v>
      </x:c>
      <x:c r="B216" s="38" t="str">
        <x:v>PC-00076</x:v>
      </x:c>
      <x:c r="C216" s="38" t="str">
        <x:v>en|both</x:v>
      </x:c>
      <x:c r="D216" s="87" t="n">
        <x:v>19.069444444444443</x:v>
      </x:c>
      <x:c r="E216" s="38" t="str">
        <x:v>both</x:v>
      </x:c>
      <x:c r="F216" s="38" t="str">
        <x:v>AE_UAE_001</x:v>
      </x:c>
      <x:c r="G216" s="38" t="n">
        <x:v>13</x:v>
      </x:c>
      <x:c r="H216" s="38" t="str">
        <x:v>en</x:v>
      </x:c>
      <x:c r="I216" s="38" t="str">
        <x:v>Central Bank of the United Arab Emirates (Digital Dirham)</x:v>
      </x:c>
      <x:c r="J216" s="38" t="str">
        <x:v>Domestically, the CBUAE will be launching the Digital Dirham for retail and wholesale use, including 
fully implementing the four digital economy use cases.</x:v>
      </x:c>
      <x:c r="K216" s="142" t="b">
        <x:v>0</x:v>
      </x:c>
      <x:c r="L216" s="146" t="str">
        <x:v>exclude</x:v>
      </x:c>
      <x:c r="M216" s="146" t="str">
        <x:v>keep</x:v>
      </x:c>
      <x:c r="N216" s="147" t="b">
        <x:v>0</x:v>
      </x:c>
      <x:c r="O216" s="146"/>
      <x:c r="P216" s="146" t="str">
        <x:v>SYS.design</x:v>
      </x:c>
      <x:c r="Q216" s="146" t="str"/>
      <x:c r="R216" s="146" t="str">
        <x:v>SYS</x:v>
      </x:c>
      <x:c r="S216" s="146"/>
      <x:c r="T216" s="146" t="str">
        <x:v>proposal</x:v>
      </x:c>
      <x:c r="U216" s="146"/>
      <x:c r="V216" s="146" t="str">
        <x:v>neutral</x:v>
      </x:c>
      <x:c r="W216" s="146"/>
      <x:c r="X216" s="146" t="str">
        <x:v>not_applicable</x:v>
      </x:c>
      <x:c r="Y216" s="146"/>
      <x:c r="Z216" s="146" t="n">
        <x:v>2</x:v>
      </x:c>
      <x:c r="AA216" s="146" t="str">
        <x:v>high</x:v>
      </x:c>
      <x:c r="AB216" s="146" t="str">
        <x:v>high</x:v>
      </x:c>
      <x:c r="AC216" s="146"/>
      <x:c r="AD216" s="146"/>
      <x:c r="AE216" s="151" t="str">
        <x:v>PROG.generic</x:v>
      </x:c>
      <x:c r="AF216" s="151" t="str">
        <x:v>SYS.design</x:v>
      </x:c>
      <x:c r="AG216" s="151" t="str">
        <x:v>proposal</x:v>
      </x:c>
      <x:c r="AH216" s="151" t="str">
        <x:v>proposal</x:v>
      </x:c>
      <x:c r="AI216" s="154" t="n">
        <x:f>IF(K216,0,1)</x:f>
        <x:v>1</x:v>
      </x:c>
      <x:c r="AJ216" s="154" t="n">
        <x:f>IF(L216="keep",1,0)</x:f>
        <x:v>0</x:v>
      </x:c>
      <x:c r="AK216" s="154" t="n">
        <x:f>IF(M216="keep",1,0)</x:f>
        <x:v>1</x:v>
      </x:c>
      <x:c r="AL216" s="154" t="n">
        <x:f>(AJ216+AK216)/2</x:f>
        <x:v>0.5</x:v>
      </x:c>
      <x:c r="AM216" s="154" t="n">
        <x:f>MIN(AJ216,AK216)</x:f>
        <x:v>0</x:v>
      </x:c>
      <x:c r="AN216" s="154" t="n">
        <x:f>MAX(AJ216,AK216)</x:f>
        <x:v>1</x:v>
      </x:c>
      <x:c r="AO216" s="154" t="n">
        <x:f>IF(L216=M216,1,0)</x:f>
        <x:v>0</x:v>
      </x:c>
    </x:row>
    <x:row r="217">
      <x:c r="A217" s="38" t="str">
        <x:v>SV-0216</x:v>
      </x:c>
      <x:c r="B217" s="38" t="str">
        <x:v>PC-04434</x:v>
      </x:c>
      <x:c r="C217" s="38" t="str">
        <x:v>en|both</x:v>
      </x:c>
      <x:c r="D217" s="87" t="n">
        <x:v>19.069444444444443</x:v>
      </x:c>
      <x:c r="E217" s="38" t="str">
        <x:v>both</x:v>
      </x:c>
      <x:c r="F217" s="38" t="str">
        <x:v>NO_Norway_norges-bank-memo-1-2021</x:v>
      </x:c>
      <x:c r="G217" s="38" t="n">
        <x:v>59</x:v>
      </x:c>
      <x:c r="H217" s="38" t="str">
        <x:v>en</x:v>
      </x:c>
      <x:c r="I217" s="38" t="str">
        <x:v>Norges Bank (Norwegian CBDC work)</x:v>
      </x:c>
      <x:c r="J217" s="38" t="str">
        <x:v>Denne økte faren for løp mot bankene kan tilsi at bankene bør holde høyere 
likviditetsbuffere enn i dag.</x:v>
      </x:c>
      <x:c r="K217" s="142" t="b">
        <x:v>0</x:v>
      </x:c>
      <x:c r="L217" s="146" t="str">
        <x:v>keep</x:v>
      </x:c>
      <x:c r="M217" s="146" t="str">
        <x:v>keep</x:v>
      </x:c>
      <x:c r="N217" s="147" t="b">
        <x:v>1</x:v>
      </x:c>
      <x:c r="O217" s="146" t="str">
        <x:v>STAB.disintermediation</x:v>
      </x:c>
      <x:c r="P217" s="146" t="str">
        <x:v>STAB.disintermediation</x:v>
      </x:c>
      <x:c r="Q217" s="146" t="str">
        <x:v>STAB</x:v>
      </x:c>
      <x:c r="R217" s="146" t="str">
        <x:v>STAB</x:v>
      </x:c>
      <x:c r="S217" s="146" t="str">
        <x:v>proposal</x:v>
      </x:c>
      <x:c r="T217" s="146" t="str">
        <x:v>proposal</x:v>
      </x:c>
      <x:c r="U217" s="146" t="str">
        <x:v>neutral</x:v>
      </x:c>
      <x:c r="V217" s="146" t="str">
        <x:v>neutral</x:v>
      </x:c>
      <x:c r="W217" s="146" t="str">
        <x:v>not_applicable</x:v>
      </x:c>
      <x:c r="X217" s="146" t="str">
        <x:v>not_applicable</x:v>
      </x:c>
      <x:c r="Y217" s="146" t="n">
        <x:v>2</x:v>
      </x:c>
      <x:c r="Z217" s="146" t="n">
        <x:v>1</x:v>
      </x:c>
      <x:c r="AA217" s="146" t="str">
        <x:v>high</x:v>
      </x:c>
      <x:c r="AB217" s="146" t="str">
        <x:v>high</x:v>
      </x:c>
      <x:c r="AC217" s="146"/>
      <x:c r="AD217" s="146"/>
      <x:c r="AE217" s="151" t="str">
        <x:v>STAB.disintermediation</x:v>
      </x:c>
      <x:c r="AF217" s="151" t="str">
        <x:v>STAB.disintermediation</x:v>
      </x:c>
      <x:c r="AG217" s="151" t="str">
        <x:v>proposal</x:v>
      </x:c>
      <x:c r="AH217" s="151" t="str">
        <x:v>proposal</x:v>
      </x:c>
      <x:c r="AI217" s="154" t="n">
        <x:f>IF(K217,0,1)</x:f>
        <x:v>1</x:v>
      </x:c>
      <x:c r="AJ217" s="154" t="n">
        <x:f>IF(L217="keep",1,0)</x:f>
        <x:v>1</x:v>
      </x:c>
      <x:c r="AK217" s="154" t="n">
        <x:f>IF(M217="keep",1,0)</x:f>
        <x:v>1</x:v>
      </x:c>
      <x:c r="AL217" s="154" t="n">
        <x:f>(AJ217+AK217)/2</x:f>
        <x:v>1</x:v>
      </x:c>
      <x:c r="AM217" s="154" t="n">
        <x:f>MIN(AJ217,AK217)</x:f>
        <x:v>1</x:v>
      </x:c>
      <x:c r="AN217" s="154" t="n">
        <x:f>MAX(AJ217,AK217)</x:f>
        <x:v>1</x:v>
      </x:c>
      <x:c r="AO217" s="154" t="n">
        <x:f>IF(L217=M217,1,0)</x:f>
        <x:v>1</x:v>
      </x:c>
    </x:row>
    <x:row r="218">
      <x:c r="A218" s="38" t="str">
        <x:v>SV-0217</x:v>
      </x:c>
      <x:c r="B218" s="38" t="str">
        <x:v>PC-05920</x:v>
      </x:c>
      <x:c r="C218" s="38" t="str">
        <x:v>en|both</x:v>
      </x:c>
      <x:c r="D218" s="87" t="n">
        <x:v>19.069444444444443</x:v>
      </x:c>
      <x:c r="E218" s="38" t="str">
        <x:v>both</x:v>
      </x:c>
      <x:c r="F218" s="38" t="str">
        <x:v>UA_NBU_E-hryvnia_2019</x:v>
      </x:c>
      <x:c r="G218" s="38" t="n">
        <x:v>26</x:v>
      </x:c>
      <x:c r="H218" s="38" t="str">
        <x:v>en</x:v>
      </x:c>
      <x:c r="I218" s="38" t="str">
        <x:v>National Bank of Ukraine (e-hryvnia pilot)</x:v>
      </x:c>
      <x:c r="J218" s="38" t="str">
        <x:v>Since e-hryvnia is deemed to be the third form of the hryvnia, 
it should be exchanged for cash and noncash domestic 
currency without any restrictions.</x:v>
      </x:c>
      <x:c r="K218" s="142" t="b">
        <x:v>0</x:v>
      </x:c>
      <x:c r="L218" s="146" t="str">
        <x:v>keep</x:v>
      </x:c>
      <x:c r="M218" s="146" t="str">
        <x:v>keep</x:v>
      </x:c>
      <x:c r="N218" s="147" t="b">
        <x:v>1</x:v>
      </x:c>
      <x:c r="O218" s="146" t="str">
        <x:v>CASH.relation</x:v>
      </x:c>
      <x:c r="P218" s="146" t="str">
        <x:v>CASH.relation</x:v>
      </x:c>
      <x:c r="Q218" s="146" t="str">
        <x:v>CASH</x:v>
      </x:c>
      <x:c r="R218" s="146" t="str">
        <x:v>CASH</x:v>
      </x:c>
      <x:c r="S218" s="146" t="str">
        <x:v>proposal</x:v>
      </x:c>
      <x:c r="T218" s="146" t="str">
        <x:v>decision</x:v>
      </x:c>
      <x:c r="U218" s="146" t="str">
        <x:v>neutral</x:v>
      </x:c>
      <x:c r="V218" s="146" t="str">
        <x:v>neutral</x:v>
      </x:c>
      <x:c r="W218" s="146" t="str">
        <x:v>not_applicable</x:v>
      </x:c>
      <x:c r="X218" s="146" t="str">
        <x:v>not_applicable</x:v>
      </x:c>
      <x:c r="Y218" s="146" t="n">
        <x:v>3</x:v>
      </x:c>
      <x:c r="Z218" s="146" t="n">
        <x:v>2</x:v>
      </x:c>
      <x:c r="AA218" s="146" t="str">
        <x:v>high</x:v>
      </x:c>
      <x:c r="AB218" s="146" t="str">
        <x:v>high</x:v>
      </x:c>
      <x:c r="AC218" s="146"/>
      <x:c r="AD218" s="146" t="str">
        <x:v>x</x:v>
      </x:c>
      <x:c r="AE218" s="151" t="str">
        <x:v>CASH.relation</x:v>
      </x:c>
      <x:c r="AF218" s="151" t="str">
        <x:v>TECH.DLT</x:v>
      </x:c>
      <x:c r="AG218" s="151" t="str">
        <x:v>proposal</x:v>
      </x:c>
      <x:c r="AH218" s="151" t="str">
        <x:v>decision</x:v>
      </x:c>
      <x:c r="AI218" s="154" t="n">
        <x:f>IF(K218,0,1)</x:f>
        <x:v>1</x:v>
      </x:c>
      <x:c r="AJ218" s="154" t="n">
        <x:f>IF(L218="keep",1,0)</x:f>
        <x:v>1</x:v>
      </x:c>
      <x:c r="AK218" s="154" t="n">
        <x:f>IF(M218="keep",1,0)</x:f>
        <x:v>1</x:v>
      </x:c>
      <x:c r="AL218" s="154" t="n">
        <x:f>(AJ218+AK218)/2</x:f>
        <x:v>1</x:v>
      </x:c>
      <x:c r="AM218" s="154" t="n">
        <x:f>MIN(AJ218,AK218)</x:f>
        <x:v>1</x:v>
      </x:c>
      <x:c r="AN218" s="154" t="n">
        <x:f>MAX(AJ218,AK218)</x:f>
        <x:v>1</x:v>
      </x:c>
      <x:c r="AO218" s="154" t="n">
        <x:f>IF(L218=M218,1,0)</x:f>
        <x:v>1</x:v>
      </x:c>
    </x:row>
    <x:row r="219">
      <x:c r="A219" s="38" t="str">
        <x:v>SV-0218</x:v>
      </x:c>
      <x:c r="B219" s="38" t="str">
        <x:v>PC-00817</x:v>
      </x:c>
      <x:c r="C219" s="38" t="str">
        <x:v>en|both</x:v>
      </x:c>
      <x:c r="D219" s="87" t="n">
        <x:v>19.069444444444443</x:v>
      </x:c>
      <x:c r="E219" s="38" t="str">
        <x:v>both</x:v>
      </x:c>
      <x:c r="F219" s="38" t="str">
        <x:v>CA_Jasper_III_2018</x:v>
      </x:c>
      <x:c r="G219" s="38" t="n">
        <x:v>5</x:v>
      </x:c>
      <x:c r="H219" s="38" t="str">
        <x:v>en</x:v>
      </x:c>
      <x:c r="I219" s="38" t="str">
        <x:v>Bank of Canada and Payments Canada (Project Jasper)</x:v>
      </x:c>
      <x:c r="J219" s="38" t="str">
        <x:v>independent rules and conditions of token issuers were 
enforced on the ledger, allowing the DDR to be transferred “freely” in a shared 
ledger environment</x:v>
      </x:c>
      <x:c r="K219" s="142" t="b">
        <x:v>0</x:v>
      </x:c>
      <x:c r="L219" s="146" t="str">
        <x:v>keep</x:v>
      </x:c>
      <x:c r="M219" s="146" t="str">
        <x:v>exclude</x:v>
      </x:c>
      <x:c r="N219" s="147" t="b">
        <x:v>0</x:v>
      </x:c>
      <x:c r="O219" s="146" t="str">
        <x:v>PROG.generic</x:v>
      </x:c>
      <x:c r="P219" s="146" t="str">
        <x:v>PROG.generic</x:v>
      </x:c>
      <x:c r="Q219" s="146" t="str">
        <x:v>PROG</x:v>
      </x:c>
      <x:c r="R219" s="146" t="str">
        <x:v>PROG</x:v>
      </x:c>
      <x:c r="S219" s="146" t="str">
        <x:v>finding</x:v>
      </x:c>
      <x:c r="T219" s="146" t="str">
        <x:v>finding</x:v>
      </x:c>
      <x:c r="U219" s="146" t="str">
        <x:v>neutral</x:v>
      </x:c>
      <x:c r="V219" s="146" t="str">
        <x:v>neutral</x:v>
      </x:c>
      <x:c r="W219" s="146" t="str">
        <x:v>not_applicable</x:v>
      </x:c>
      <x:c r="X219" s="146" t="str">
        <x:v>not_applicable</x:v>
      </x:c>
      <x:c r="Y219" s="146" t="n">
        <x:v>2</x:v>
      </x:c>
      <x:c r="Z219" s="146" t="n">
        <x:v>2</x:v>
      </x:c>
      <x:c r="AA219" s="146" t="str">
        <x:v>high</x:v>
      </x:c>
      <x:c r="AB219" s="146" t="str">
        <x:v>high</x:v>
      </x:c>
      <x:c r="AC219" s="146"/>
      <x:c r="AD219" s="146" t="str">
        <x:v>x</x:v>
      </x:c>
      <x:c r="AE219" s="151" t="str">
        <x:v>PROG.generic</x:v>
      </x:c>
      <x:c r="AF219" s="151" t="str">
        <x:v>PROG.generic</x:v>
      </x:c>
      <x:c r="AG219" s="151" t="str">
        <x:v>finding</x:v>
      </x:c>
      <x:c r="AH219" s="151" t="str">
        <x:v>finding</x:v>
      </x:c>
      <x:c r="AI219" s="154" t="n">
        <x:f>IF(K219,0,1)</x:f>
        <x:v>1</x:v>
      </x:c>
      <x:c r="AJ219" s="154" t="n">
        <x:f>IF(L219="keep",1,0)</x:f>
        <x:v>1</x:v>
      </x:c>
      <x:c r="AK219" s="154" t="n">
        <x:f>IF(M219="keep",1,0)</x:f>
        <x:v>0</x:v>
      </x:c>
      <x:c r="AL219" s="154" t="n">
        <x:f>(AJ219+AK219)/2</x:f>
        <x:v>0.5</x:v>
      </x:c>
      <x:c r="AM219" s="154" t="n">
        <x:f>MIN(AJ219,AK219)</x:f>
        <x:v>0</x:v>
      </x:c>
      <x:c r="AN219" s="154" t="n">
        <x:f>MAX(AJ219,AK219)</x:f>
        <x:v>1</x:v>
      </x:c>
      <x:c r="AO219" s="154" t="n">
        <x:f>IF(L219=M219,1,0)</x:f>
        <x:v>0</x:v>
      </x:c>
    </x:row>
    <x:row r="220">
      <x:c r="A220" s="38" t="str">
        <x:v>SV-0219</x:v>
      </x:c>
      <x:c r="B220" s="38" t="str">
        <x:v>PC-05872</x:v>
      </x:c>
      <x:c r="C220" s="38" t="str">
        <x:v>en|both</x:v>
      </x:c>
      <x:c r="D220" s="87" t="n">
        <x:v>19.069444444444443</x:v>
      </x:c>
      <x:c r="E220" s="38" t="str">
        <x:v>both</x:v>
      </x:c>
      <x:c r="F220" s="38" t="str">
        <x:v>UA_NBU_E-hryvnia_2019</x:v>
      </x:c>
      <x:c r="G220" s="38" t="n">
        <x:v>6</x:v>
      </x:c>
      <x:c r="H220" s="38" t="str">
        <x:v>en</x:v>
      </x:c>
      <x:c r="I220" s="38" t="str">
        <x:v>National Bank of Ukraine (e-hryvnia pilot)</x:v>
      </x:c>
      <x:c r="J220" s="38" t="str">
        <x:v>From the technical point of view, the Platform’s  functioning 
was regular . After certain improvement based on identified  
bugs and features , it could  be used to service the issuance 
and circulation of the e-hryvnia, in case of proper monitoring 
and technical administration.</x:v>
      </x:c>
      <x:c r="K220" s="142" t="b">
        <x:v>0</x:v>
      </x:c>
      <x:c r="L220" s="146" t="str">
        <x:v>keep</x:v>
      </x:c>
      <x:c r="M220" s="146" t="str">
        <x:v>keep</x:v>
      </x:c>
      <x:c r="N220" s="147" t="b">
        <x:v>1</x:v>
      </x:c>
      <x:c r="O220" s="146" t="str">
        <x:v>ADOPT.experience</x:v>
      </x:c>
      <x:c r="P220" s="146" t="str">
        <x:v>OPS.resilience</x:v>
      </x:c>
      <x:c r="Q220" s="146" t="str">
        <x:v>ADOPT</x:v>
      </x:c>
      <x:c r="R220" s="146" t="str">
        <x:v>OPS</x:v>
      </x:c>
      <x:c r="S220" s="146" t="str">
        <x:v>decision</x:v>
      </x:c>
      <x:c r="T220" s="146" t="str">
        <x:v>finding</x:v>
      </x:c>
      <x:c r="U220" s="146" t="str">
        <x:v>neutral</x:v>
      </x:c>
      <x:c r="V220" s="146" t="str">
        <x:v>neutral</x:v>
      </x:c>
      <x:c r="W220" s="146" t="str">
        <x:v>not_applicable</x:v>
      </x:c>
      <x:c r="X220" s="146" t="str">
        <x:v>not_applicable</x:v>
      </x:c>
      <x:c r="Y220" s="146" t="n">
        <x:v>2</x:v>
      </x:c>
      <x:c r="Z220" s="146" t="n">
        <x:v>2</x:v>
      </x:c>
      <x:c r="AA220" s="146" t="str">
        <x:v>high</x:v>
      </x:c>
      <x:c r="AB220" s="146" t="str">
        <x:v>high</x:v>
      </x:c>
      <x:c r="AC220" s="146"/>
      <x:c r="AD220" s="146"/>
      <x:c r="AE220" s="151" t="str">
        <x:v>ADOPT.experience</x:v>
      </x:c>
      <x:c r="AF220" s="151" t="str">
        <x:v>OPS.resilience</x:v>
      </x:c>
      <x:c r="AG220" s="151" t="str">
        <x:v>decision</x:v>
      </x:c>
      <x:c r="AH220" s="151" t="str">
        <x:v>finding</x:v>
      </x:c>
      <x:c r="AI220" s="154" t="n">
        <x:f>IF(K220,0,1)</x:f>
        <x:v>1</x:v>
      </x:c>
      <x:c r="AJ220" s="154" t="n">
        <x:f>IF(L220="keep",1,0)</x:f>
        <x:v>1</x:v>
      </x:c>
      <x:c r="AK220" s="154" t="n">
        <x:f>IF(M220="keep",1,0)</x:f>
        <x:v>1</x:v>
      </x:c>
      <x:c r="AL220" s="154" t="n">
        <x:f>(AJ220+AK220)/2</x:f>
        <x:v>1</x:v>
      </x:c>
      <x:c r="AM220" s="154" t="n">
        <x:f>MIN(AJ220,AK220)</x:f>
        <x:v>1</x:v>
      </x:c>
      <x:c r="AN220" s="154" t="n">
        <x:f>MAX(AJ220,AK220)</x:f>
        <x:v>1</x:v>
      </x:c>
      <x:c r="AO220" s="154" t="n">
        <x:f>IF(L220=M220,1,0)</x:f>
        <x:v>1</x:v>
      </x:c>
    </x:row>
    <x:row r="221">
      <x:c r="A221" s="38" t="str">
        <x:v>SV-0220</x:v>
      </x:c>
      <x:c r="B221" s="38" t="str">
        <x:v>PC-06821</x:v>
      </x:c>
      <x:c r="C221" s="38" t="str">
        <x:v>en|both</x:v>
      </x:c>
      <x:c r="D221" s="87" t="n">
        <x:v>19.069444444444443</x:v>
      </x:c>
      <x:c r="E221" s="38" t="str">
        <x:v>both</x:v>
      </x:c>
      <x:c r="F221" s="38" t="str">
        <x:v>ZA_SARB_Project_Khokha_2_Report_media_release_6_April_2022</x:v>
      </x:c>
      <x:c r="G221" s="38" t="n">
        <x:v>1</x:v>
      </x:c>
      <x:c r="H221" s="38" t="str">
        <x:v>en</x:v>
      </x:c>
      <x:c r="I221" s="38" t="str">
        <x:v>South African Reserve Bank</x:v>
      </x:c>
      <x:c r="J221" s="38" t="str">
        <x:v>PK2 built on the SARB’s experimentation with distributed ledger technology (DLT) , 
trialling DLT for interbank payments settlement.</x:v>
      </x:c>
      <x:c r="K221" s="142" t="b">
        <x:v>0</x:v>
      </x:c>
      <x:c r="L221" s="146" t="str">
        <x:v>keep</x:v>
      </x:c>
      <x:c r="M221" s="146" t="str">
        <x:v>keep</x:v>
      </x:c>
      <x:c r="N221" s="147" t="b">
        <x:v>1</x:v>
      </x:c>
      <x:c r="O221" s="146" t="str">
        <x:v>TECH.DLT</x:v>
      </x:c>
      <x:c r="P221" s="146" t="str">
        <x:v>TECH.DLT</x:v>
      </x:c>
      <x:c r="Q221" s="146" t="str">
        <x:v>TECH</x:v>
      </x:c>
      <x:c r="R221" s="146" t="str">
        <x:v>TECH</x:v>
      </x:c>
      <x:c r="S221" s="146" t="str">
        <x:v>decision</x:v>
      </x:c>
      <x:c r="T221" s="146" t="str">
        <x:v>finding</x:v>
      </x:c>
      <x:c r="U221" s="146" t="str">
        <x:v>neutral</x:v>
      </x:c>
      <x:c r="V221" s="146" t="str">
        <x:v>neutral</x:v>
      </x:c>
      <x:c r="W221" s="146" t="str">
        <x:v>not_applicable</x:v>
      </x:c>
      <x:c r="X221" s="146" t="str">
        <x:v>not_applicable</x:v>
      </x:c>
      <x:c r="Y221" s="146" t="n">
        <x:v>2</x:v>
      </x:c>
      <x:c r="Z221" s="146" t="n">
        <x:v>3</x:v>
      </x:c>
      <x:c r="AA221" s="146" t="str">
        <x:v>high</x:v>
      </x:c>
      <x:c r="AB221" s="146" t="str">
        <x:v>high</x:v>
      </x:c>
      <x:c r="AC221" s="146"/>
      <x:c r="AD221" s="146"/>
      <x:c r="AE221" s="151" t="str">
        <x:v>TECH.DLT</x:v>
      </x:c>
      <x:c r="AF221" s="151" t="str">
        <x:v>TECH.DLT</x:v>
      </x:c>
      <x:c r="AG221" s="151" t="str">
        <x:v>decision</x:v>
      </x:c>
      <x:c r="AH221" s="151" t="str">
        <x:v>finding</x:v>
      </x:c>
      <x:c r="AI221" s="154" t="n">
        <x:f>IF(K221,0,1)</x:f>
        <x:v>1</x:v>
      </x:c>
      <x:c r="AJ221" s="154" t="n">
        <x:f>IF(L221="keep",1,0)</x:f>
        <x:v>1</x:v>
      </x:c>
      <x:c r="AK221" s="154" t="n">
        <x:f>IF(M221="keep",1,0)</x:f>
        <x:v>1</x:v>
      </x:c>
      <x:c r="AL221" s="154" t="n">
        <x:f>(AJ221+AK221)/2</x:f>
        <x:v>1</x:v>
      </x:c>
      <x:c r="AM221" s="154" t="n">
        <x:f>MIN(AJ221,AK221)</x:f>
        <x:v>1</x:v>
      </x:c>
      <x:c r="AN221" s="154" t="n">
        <x:f>MAX(AJ221,AK221)</x:f>
        <x:v>1</x:v>
      </x:c>
      <x:c r="AO221" s="154" t="n">
        <x:f>IF(L221=M221,1,0)</x:f>
        <x:v>1</x:v>
      </x:c>
    </x:row>
    <x:row r="222">
      <x:c r="A222" s="38" t="str">
        <x:v>SV-0221</x:v>
      </x:c>
      <x:c r="B222" s="38" t="str">
        <x:v>PC-03115</x:v>
      </x:c>
      <x:c r="C222" s="38" t="str">
        <x:v>en|both</x:v>
      </x:c>
      <x:c r="D222" s="87" t="n">
        <x:v>19.069444444444443</x:v>
      </x:c>
      <x:c r="E222" s="38" t="str">
        <x:v>both</x:v>
      </x:c>
      <x:c r="F222" s="38" t="str">
        <x:v>IL_BoI_2024</x:v>
      </x:c>
      <x:c r="G222" s="38" t="n">
        <x:v>118</x:v>
      </x:c>
      <x:c r="H222" s="38" t="str">
        <x:v>en</x:v>
      </x:c>
      <x:c r="I222" s="38" t="str">
        <x:v>Bank of Israel (digital shekel)</x:v>
      </x:c>
      <x:c r="J222" s="38" t="str">
        <x:v>PSPs will b ear the primary responsibility for consumer protection in the digital shekel  
system. They will be responsible for identifying and preventing fraud, as well as 
compensating users who have been harmed by misuse events.</x:v>
      </x:c>
      <x:c r="K222" s="142" t="b">
        <x:v>0</x:v>
      </x:c>
      <x:c r="L222" s="146" t="str">
        <x:v>keep</x:v>
      </x:c>
      <x:c r="M222" s="146" t="str">
        <x:v>keep</x:v>
      </x:c>
      <x:c r="N222" s="147" t="b">
        <x:v>1</x:v>
      </x:c>
      <x:c r="O222" s="146" t="str">
        <x:v>INST.mandate</x:v>
      </x:c>
      <x:c r="P222" s="146" t="str">
        <x:v>OPS.resilience</x:v>
      </x:c>
      <x:c r="Q222" s="146" t="str">
        <x:v>INST</x:v>
      </x:c>
      <x:c r="R222" s="146" t="str">
        <x:v>OPS</x:v>
      </x:c>
      <x:c r="S222" s="146" t="str">
        <x:v>decision</x:v>
      </x:c>
      <x:c r="T222" s="146" t="str">
        <x:v>decision</x:v>
      </x:c>
      <x:c r="U222" s="146" t="str">
        <x:v>neutral</x:v>
      </x:c>
      <x:c r="V222" s="146" t="str">
        <x:v>neutral</x:v>
      </x:c>
      <x:c r="W222" s="146" t="str">
        <x:v>not_applicable</x:v>
      </x:c>
      <x:c r="X222" s="146" t="str">
        <x:v>not_applicable</x:v>
      </x:c>
      <x:c r="Y222" s="146" t="n">
        <x:v>3</x:v>
      </x:c>
      <x:c r="Z222" s="146" t="n">
        <x:v>3</x:v>
      </x:c>
      <x:c r="AA222" s="146" t="str">
        <x:v>high</x:v>
      </x:c>
      <x:c r="AB222" s="146" t="str">
        <x:v>high</x:v>
      </x:c>
      <x:c r="AC222" s="146"/>
      <x:c r="AD222" s="146"/>
      <x:c r="AE222" s="151" t="str">
        <x:v>INST.mandate</x:v>
      </x:c>
      <x:c r="AF222" s="151" t="str">
        <x:v>OPS.resilience</x:v>
      </x:c>
      <x:c r="AG222" s="151" t="str">
        <x:v>decision</x:v>
      </x:c>
      <x:c r="AH222" s="151" t="str">
        <x:v>decision</x:v>
      </x:c>
      <x:c r="AI222" s="154" t="n">
        <x:f>IF(K222,0,1)</x:f>
        <x:v>1</x:v>
      </x:c>
      <x:c r="AJ222" s="154" t="n">
        <x:f>IF(L222="keep",1,0)</x:f>
        <x:v>1</x:v>
      </x:c>
      <x:c r="AK222" s="154" t="n">
        <x:f>IF(M222="keep",1,0)</x:f>
        <x:v>1</x:v>
      </x:c>
      <x:c r="AL222" s="154" t="n">
        <x:f>(AJ222+AK222)/2</x:f>
        <x:v>1</x:v>
      </x:c>
      <x:c r="AM222" s="154" t="n">
        <x:f>MIN(AJ222,AK222)</x:f>
        <x:v>1</x:v>
      </x:c>
      <x:c r="AN222" s="154" t="n">
        <x:f>MAX(AJ222,AK222)</x:f>
        <x:v>1</x:v>
      </x:c>
      <x:c r="AO222" s="154" t="n">
        <x:f>IF(L222=M222,1,0)</x:f>
        <x:v>1</x:v>
      </x:c>
    </x:row>
    <x:row r="223">
      <x:c r="A223" s="38" t="str">
        <x:v>SV-0222</x:v>
      </x:c>
      <x:c r="B223" s="38" t="str">
        <x:v>PC-00348</x:v>
      </x:c>
      <x:c r="C223" s="38" t="str">
        <x:v>en|openai_only</x:v>
      </x:c>
      <x:c r="D223" s="87" t="n">
        <x:v>19.21875</x:v>
      </x:c>
      <x:c r="E223" s="38" t="str">
        <x:v>openai_only</x:v>
      </x:c>
      <x:c r="F223" s="38" t="str">
        <x:v>AU_RBA_003</x:v>
      </x:c>
      <x:c r="G223" s="38" t="n">
        <x:v>40</x:v>
      </x:c>
      <x:c r="H223" s="38" t="str">
        <x:v>en</x:v>
      </x:c>
      <x:c r="I223" s="38" t="str">
        <x:v>Reserve Bank of Australia and Digital Finance CRC (Project Acacia)</x:v>
      </x:c>
      <x:c r="J223" s="38" t="str">
        <x:v>Rates less highly than Model B 
for settlement throughput and 
latency due to need for DT 
interchange</x:v>
      </x:c>
      <x:c r="K223" s="142" t="b">
        <x:v>0</x:v>
      </x:c>
      <x:c r="L223" s="146" t="str">
        <x:v>exclude</x:v>
      </x:c>
      <x:c r="M223" s="146" t="str">
        <x:v>exclude</x:v>
      </x:c>
      <x:c r="N223" s="147" t="b">
        <x:v>1</x:v>
      </x:c>
      <x:c r="O223" s="146"/>
      <x:c r="P223" s="146"/>
      <x:c r="Q223" s="146" t="str"/>
      <x:c r="R223" s="146" t="str"/>
      <x:c r="S223" s="146"/>
      <x:c r="T223" s="146"/>
      <x:c r="U223" s="146"/>
      <x:c r="V223" s="146"/>
      <x:c r="W223" s="146"/>
      <x:c r="X223" s="146"/>
      <x:c r="Y223" s="146"/>
      <x:c r="Z223" s="146"/>
      <x:c r="AA223" s="146" t="str">
        <x:v>high</x:v>
      </x:c>
      <x:c r="AB223" s="146" t="str">
        <x:v>high</x:v>
      </x:c>
      <x:c r="AC223" s="146"/>
      <x:c r="AD223" s="146"/>
      <x:c r="AE223" s="151" t="str">
        <x:v>OPS.resilience</x:v>
      </x:c>
      <x:c r="AF223" s="151"/>
      <x:c r="AG223" s="151" t="str">
        <x:v>finding</x:v>
      </x:c>
      <x:c r="AH223" s="151"/>
      <x:c r="AI223" s="154" t="n">
        <x:f>IF(K223,0,1)</x:f>
        <x:v>1</x:v>
      </x:c>
      <x:c r="AJ223" s="154" t="n">
        <x:f>IF(L223="keep",1,0)</x:f>
        <x:v>0</x:v>
      </x:c>
      <x:c r="AK223" s="154" t="n">
        <x:f>IF(M223="keep",1,0)</x:f>
        <x:v>0</x:v>
      </x:c>
      <x:c r="AL223" s="154" t="n">
        <x:f>(AJ223+AK223)/2</x:f>
        <x:v>0</x:v>
      </x:c>
      <x:c r="AM223" s="154" t="n">
        <x:f>MIN(AJ223,AK223)</x:f>
        <x:v>0</x:v>
      </x:c>
      <x:c r="AN223" s="154" t="n">
        <x:f>MAX(AJ223,AK223)</x:f>
        <x:v>0</x:v>
      </x:c>
      <x:c r="AO223" s="154" t="n">
        <x:f>IF(L223=M223,1,0)</x:f>
        <x:v>1</x:v>
      </x:c>
    </x:row>
    <x:row r="224">
      <x:c r="A224" s="38" t="str">
        <x:v>SV-0223</x:v>
      </x:c>
      <x:c r="B224" s="38" t="str">
        <x:v>PC-05073</x:v>
      </x:c>
      <x:c r="C224" s="38" t="str">
        <x:v>ru/uk|both</x:v>
      </x:c>
      <x:c r="D224" s="87" t="n">
        <x:v>20</x:v>
      </x:c>
      <x:c r="E224" s="38" t="str">
        <x:v>both</x:v>
      </x:c>
      <x:c r="F224" s="38" t="str">
        <x:v>RU_Russia_digital_ruble_30062025</x:v>
      </x:c>
      <x:c r="G224" s="38" t="n">
        <x:v>16</x:v>
      </x:c>
      <x:c r="H224" s="38" t="str">
        <x:v>ru/uk</x:v>
      </x:c>
      <x:c r="I224" s="38" t="str">
        <x:v>Bank of Russia (digital ruble)</x:v>
      </x:c>
      <x:c r="J224" s="38" t="str">
        <x:v>В 2024 г. совместно с Федеральным казначейством были успешно проведены тестовые 
операции в цифровых рублях по выплате стипендий из федерального бюджета и оплате штрафов 
в федеральный бюджет, для переводов использовались тестовые цифровые рубли.</x:v>
      </x:c>
      <x:c r="K224" s="142" t="b">
        <x:v>0</x:v>
      </x:c>
      <x:c r="L224" s="146" t="str">
        <x:v>keep</x:v>
      </x:c>
      <x:c r="M224" s="146" t="str">
        <x:v>keep</x:v>
      </x:c>
      <x:c r="N224" s="147" t="b">
        <x:v>1</x:v>
      </x:c>
      <x:c r="O224" s="146" t="str">
        <x:v>PROC.pilot_learning</x:v>
      </x:c>
      <x:c r="P224" s="146" t="str">
        <x:v>PROC.pilot_learning</x:v>
      </x:c>
      <x:c r="Q224" s="146" t="str">
        <x:v>PROC</x:v>
      </x:c>
      <x:c r="R224" s="146" t="str">
        <x:v>PROC</x:v>
      </x:c>
      <x:c r="S224" s="146" t="str">
        <x:v>finding</x:v>
      </x:c>
      <x:c r="T224" s="146" t="str">
        <x:v>finding</x:v>
      </x:c>
      <x:c r="U224" s="146" t="str">
        <x:v>neutral</x:v>
      </x:c>
      <x:c r="V224" s="146" t="str">
        <x:v>neutral</x:v>
      </x:c>
      <x:c r="W224" s="146" t="str">
        <x:v>not_applicable</x:v>
      </x:c>
      <x:c r="X224" s="146" t="str">
        <x:v>not_applicable</x:v>
      </x:c>
      <x:c r="Y224" s="146" t="n">
        <x:v>2</x:v>
      </x:c>
      <x:c r="Z224" s="146" t="n">
        <x:v>3</x:v>
      </x:c>
      <x:c r="AA224" s="146" t="str">
        <x:v>high</x:v>
      </x:c>
      <x:c r="AB224" s="146" t="str">
        <x:v>high</x:v>
      </x:c>
      <x:c r="AC224" s="146"/>
      <x:c r="AD224" s="146"/>
      <x:c r="AE224" s="151" t="str">
        <x:v>ADOPT.experience</x:v>
      </x:c>
      <x:c r="AF224" s="151" t="str">
        <x:v>PROC.pilot_learning</x:v>
      </x:c>
      <x:c r="AG224" s="151" t="str">
        <x:v>finding</x:v>
      </x:c>
      <x:c r="AH224" s="151" t="str">
        <x:v>finding</x:v>
      </x:c>
      <x:c r="AI224" s="154" t="n">
        <x:f>IF(K224,0,1)</x:f>
        <x:v>1</x:v>
      </x:c>
      <x:c r="AJ224" s="154" t="n">
        <x:f>IF(L224="keep",1,0)</x:f>
        <x:v>1</x:v>
      </x:c>
      <x:c r="AK224" s="154" t="n">
        <x:f>IF(M224="keep",1,0)</x:f>
        <x:v>1</x:v>
      </x:c>
      <x:c r="AL224" s="154" t="n">
        <x:f>(AJ224+AK224)/2</x:f>
        <x:v>1</x:v>
      </x:c>
      <x:c r="AM224" s="154" t="n">
        <x:f>MIN(AJ224,AK224)</x:f>
        <x:v>1</x:v>
      </x:c>
      <x:c r="AN224" s="154" t="n">
        <x:f>MAX(AJ224,AK224)</x:f>
        <x:v>1</x:v>
      </x:c>
      <x:c r="AO224" s="154" t="n">
        <x:f>IF(L224=M224,1,0)</x:f>
        <x:v>1</x:v>
      </x:c>
    </x:row>
    <x:row r="225">
      <x:c r="A225" s="38" t="str">
        <x:v>SV-0224</x:v>
      </x:c>
      <x:c r="B225" s="38" t="str">
        <x:v>PC-06941</x:v>
      </x:c>
      <x:c r="C225" s="38" t="str">
        <x:v>en|both</x:v>
      </x:c>
      <x:c r="D225" s="87" t="n">
        <x:v>19.069444444444443</x:v>
      </x:c>
      <x:c r="E225" s="38" t="str">
        <x:v>both</x:v>
      </x:c>
      <x:c r="F225" s="38" t="str">
        <x:v>ZA_SARB_SARB_ProjectKhokha-20180605</x:v>
      </x:c>
      <x:c r="G225" s="38" t="n">
        <x:v>62</x:v>
      </x:c>
      <x:c r="H225" s="38" t="str">
        <x:v>en</x:v>
      </x:c>
      <x:c r="I225" s="38" t="str">
        <x:v>South African Reserve Bank</x:v>
      </x:c>
      <x:c r="J225" s="38" t="str">
        <x:v>in a distributed system, there are elements of control that  
a regulator like the SARB may have to consider 
relinquishing in order to achieve some of the other benefits 
(such as distributed consensus), which would improve 
resilience by removing the single point of failure.</x:v>
      </x:c>
      <x:c r="K225" s="142" t="b">
        <x:v>0</x:v>
      </x:c>
      <x:c r="L225" s="146" t="str">
        <x:v>keep</x:v>
      </x:c>
      <x:c r="M225" s="146" t="str">
        <x:v>keep</x:v>
      </x:c>
      <x:c r="N225" s="147" t="b">
        <x:v>1</x:v>
      </x:c>
      <x:c r="O225" s="146" t="str">
        <x:v>TECH.DLT</x:v>
      </x:c>
      <x:c r="P225" s="146" t="str">
        <x:v>OPS.resilience</x:v>
      </x:c>
      <x:c r="Q225" s="146" t="str">
        <x:v>TECH</x:v>
      </x:c>
      <x:c r="R225" s="146" t="str">
        <x:v>OPS</x:v>
      </x:c>
      <x:c r="S225" s="146" t="str">
        <x:v>finding</x:v>
      </x:c>
      <x:c r="T225" s="146" t="str">
        <x:v>finding</x:v>
      </x:c>
      <x:c r="U225" s="146" t="str">
        <x:v>neutral</x:v>
      </x:c>
      <x:c r="V225" s="146" t="str">
        <x:v>neutral</x:v>
      </x:c>
      <x:c r="W225" s="146" t="str">
        <x:v>not_applicable</x:v>
      </x:c>
      <x:c r="X225" s="146" t="str">
        <x:v>not_applicable</x:v>
      </x:c>
      <x:c r="Y225" s="146" t="n">
        <x:v>2</x:v>
      </x:c>
      <x:c r="Z225" s="146" t="n">
        <x:v>2</x:v>
      </x:c>
      <x:c r="AA225" s="146" t="str">
        <x:v>high</x:v>
      </x:c>
      <x:c r="AB225" s="146" t="str">
        <x:v>high</x:v>
      </x:c>
      <x:c r="AC225" s="146"/>
      <x:c r="AD225" s="146"/>
      <x:c r="AE225" s="151" t="str">
        <x:v>TECH.DLT</x:v>
      </x:c>
      <x:c r="AF225" s="151" t="str">
        <x:v>OPS.resilience</x:v>
      </x:c>
      <x:c r="AG225" s="151" t="str">
        <x:v>finding</x:v>
      </x:c>
      <x:c r="AH225" s="151" t="str">
        <x:v>finding</x:v>
      </x:c>
      <x:c r="AI225" s="154" t="n">
        <x:f>IF(K225,0,1)</x:f>
        <x:v>1</x:v>
      </x:c>
      <x:c r="AJ225" s="154" t="n">
        <x:f>IF(L225="keep",1,0)</x:f>
        <x:v>1</x:v>
      </x:c>
      <x:c r="AK225" s="154" t="n">
        <x:f>IF(M225="keep",1,0)</x:f>
        <x:v>1</x:v>
      </x:c>
      <x:c r="AL225" s="154" t="n">
        <x:f>(AJ225+AK225)/2</x:f>
        <x:v>1</x:v>
      </x:c>
      <x:c r="AM225" s="154" t="n">
        <x:f>MIN(AJ225,AK225)</x:f>
        <x:v>1</x:v>
      </x:c>
      <x:c r="AN225" s="154" t="n">
        <x:f>MAX(AJ225,AK225)</x:f>
        <x:v>1</x:v>
      </x:c>
      <x:c r="AO225" s="154" t="n">
        <x:f>IF(L225=M225,1,0)</x:f>
        <x:v>1</x:v>
      </x:c>
    </x:row>
    <x:row r="226">
      <x:c r="A226" s="38" t="str">
        <x:v>SV-0225</x:v>
      </x:c>
      <x:c r="B226" s="38" t="str">
        <x:v>PC-05962</x:v>
      </x:c>
      <x:c r="C226" s="38" t="str">
        <x:v>en|both</x:v>
      </x:c>
      <x:c r="D226" s="87" t="n">
        <x:v>19.069444444444443</x:v>
      </x:c>
      <x:c r="E226" s="38" t="str">
        <x:v>both</x:v>
      </x:c>
      <x:c r="F226" s="38" t="str">
        <x:v>UA_NBU_E-hryvnia_2019</x:v>
      </x:c>
      <x:c r="G226" s="38" t="n">
        <x:v>33</x:v>
      </x:c>
      <x:c r="H226" s="38" t="str">
        <x:v>en</x:v>
      </x:c>
      <x:c r="I226" s="38" t="str">
        <x:v>National Bank of Ukraine (e-hryvnia pilot)</x:v>
      </x:c>
      <x:c r="J226" s="38" t="str">
        <x:v>Considering that the Pilot Project had a limited list of transaction types and a limited range of users, as well as the minor 
quantity and volumes of executed transactions, the project did not fully uncover the instrument’s attractiveness and the 
potential level of involvement of Ukraine's population in using it.</x:v>
      </x:c>
      <x:c r="K226" s="142" t="b">
        <x:v>0</x:v>
      </x:c>
      <x:c r="L226" s="146" t="str">
        <x:v>keep</x:v>
      </x:c>
      <x:c r="M226" s="146" t="str">
        <x:v>keep</x:v>
      </x:c>
      <x:c r="N226" s="147" t="b">
        <x:v>1</x:v>
      </x:c>
      <x:c r="O226" s="146" t="str">
        <x:v>PROC.pilot_learning</x:v>
      </x:c>
      <x:c r="P226" s="146" t="str">
        <x:v>ADOPT.experience</x:v>
      </x:c>
      <x:c r="Q226" s="146" t="str">
        <x:v>PROC</x:v>
      </x:c>
      <x:c r="R226" s="146" t="str">
        <x:v>ADOPT</x:v>
      </x:c>
      <x:c r="S226" s="146" t="str">
        <x:v>finding</x:v>
      </x:c>
      <x:c r="T226" s="146" t="str">
        <x:v>finding</x:v>
      </x:c>
      <x:c r="U226" s="146" t="str">
        <x:v>neutral</x:v>
      </x:c>
      <x:c r="V226" s="146" t="str">
        <x:v>neutral</x:v>
      </x:c>
      <x:c r="W226" s="146" t="str">
        <x:v>not_applicable</x:v>
      </x:c>
      <x:c r="X226" s="146" t="str">
        <x:v>not_applicable</x:v>
      </x:c>
      <x:c r="Y226" s="146" t="n">
        <x:v>2</x:v>
      </x:c>
      <x:c r="Z226" s="146" t="n">
        <x:v>2</x:v>
      </x:c>
      <x:c r="AA226" s="146" t="str">
        <x:v>high</x:v>
      </x:c>
      <x:c r="AB226" s="146" t="str">
        <x:v>high</x:v>
      </x:c>
      <x:c r="AC226" s="146"/>
      <x:c r="AD226" s="146"/>
      <x:c r="AE226" s="151" t="str">
        <x:v>CASH.relation</x:v>
      </x:c>
      <x:c r="AF226" s="151" t="str">
        <x:v>ADOPT.experience</x:v>
      </x:c>
      <x:c r="AG226" s="151" t="str">
        <x:v>finding</x:v>
      </x:c>
      <x:c r="AH226" s="151" t="str">
        <x:v>finding</x:v>
      </x:c>
      <x:c r="AI226" s="154" t="n">
        <x:f>IF(K226,0,1)</x:f>
        <x:v>1</x:v>
      </x:c>
      <x:c r="AJ226" s="154" t="n">
        <x:f>IF(L226="keep",1,0)</x:f>
        <x:v>1</x:v>
      </x:c>
      <x:c r="AK226" s="154" t="n">
        <x:f>IF(M226="keep",1,0)</x:f>
        <x:v>1</x:v>
      </x:c>
      <x:c r="AL226" s="154" t="n">
        <x:f>(AJ226+AK226)/2</x:f>
        <x:v>1</x:v>
      </x:c>
      <x:c r="AM226" s="154" t="n">
        <x:f>MIN(AJ226,AK226)</x:f>
        <x:v>1</x:v>
      </x:c>
      <x:c r="AN226" s="154" t="n">
        <x:f>MAX(AJ226,AK226)</x:f>
        <x:v>1</x:v>
      </x:c>
      <x:c r="AO226" s="154" t="n">
        <x:f>IF(L226=M226,1,0)</x:f>
        <x:v>1</x:v>
      </x:c>
    </x:row>
    <x:row r="227">
      <x:c r="A227" s="38" t="str">
        <x:v>SV-0226</x:v>
      </x:c>
      <x:c r="B227" s="38" t="str">
        <x:v>PC-02873</x:v>
      </x:c>
      <x:c r="C227" s="38" t="str">
        <x:v>en|both</x:v>
      </x:c>
      <x:c r="D227" s="87" t="n">
        <x:v>19.069444444444443</x:v>
      </x:c>
      <x:c r="E227" s="38" t="str">
        <x:v>both</x:v>
      </x:c>
      <x:c r="F227" s="38" t="str">
        <x:v>IL_BoI_2024</x:v>
      </x:c>
      <x:c r="G227" s="38" t="n">
        <x:v>63</x:v>
      </x:c>
      <x:c r="H227" s="38" t="str">
        <x:v>en</x:v>
      </x:c>
      <x:c r="I227" s="38" t="str">
        <x:v>Bank of Israel (digital shekel)</x:v>
      </x:c>
      <x:c r="J227" s="38" t="str">
        <x:v>In a case where, following a payment received into the wallet, 
the balance exceeds the allowed balance according to the holding limit39 (or a balance set by 
the user according to their preference), the waterfall mechanism will be activated, and an 
automatic defunding will be performed to bring the wallet balance back to the allowed 
balance.</x:v>
      </x:c>
      <x:c r="K227" s="142" t="b">
        <x:v>0</x:v>
      </x:c>
      <x:c r="L227" s="146" t="str">
        <x:v>keep</x:v>
      </x:c>
      <x:c r="M227" s="146" t="str">
        <x:v>keep</x:v>
      </x:c>
      <x:c r="N227" s="147" t="b">
        <x:v>1</x:v>
      </x:c>
      <x:c r="O227" s="146" t="str">
        <x:v>AML.LIMIT</x:v>
      </x:c>
      <x:c r="P227" s="146" t="str">
        <x:v>SYS.design</x:v>
      </x:c>
      <x:c r="Q227" s="146" t="str">
        <x:v>AML</x:v>
      </x:c>
      <x:c r="R227" s="146" t="str">
        <x:v>SYS</x:v>
      </x:c>
      <x:c r="S227" s="146" t="str">
        <x:v>proposal</x:v>
      </x:c>
      <x:c r="T227" s="146" t="str">
        <x:v>decision</x:v>
      </x:c>
      <x:c r="U227" s="146" t="str">
        <x:v>neutral</x:v>
      </x:c>
      <x:c r="V227" s="146" t="str">
        <x:v>neutral</x:v>
      </x:c>
      <x:c r="W227" s="146" t="str">
        <x:v>not_applicable</x:v>
      </x:c>
      <x:c r="X227" s="146" t="str">
        <x:v>not_applicable</x:v>
      </x:c>
      <x:c r="Y227" s="146" t="n">
        <x:v>2</x:v>
      </x:c>
      <x:c r="Z227" s="146" t="n">
        <x:v>2</x:v>
      </x:c>
      <x:c r="AA227" s="146" t="str">
        <x:v>high</x:v>
      </x:c>
      <x:c r="AB227" s="146" t="str">
        <x:v>high</x:v>
      </x:c>
      <x:c r="AC227" s="146"/>
      <x:c r="AD227" s="146"/>
      <x:c r="AE227" s="151" t="str">
        <x:v>AML.LIMIT</x:v>
      </x:c>
      <x:c r="AF227" s="151" t="str">
        <x:v>SYS.design</x:v>
      </x:c>
      <x:c r="AG227" s="151" t="str">
        <x:v>proposal</x:v>
      </x:c>
      <x:c r="AH227" s="151" t="str">
        <x:v>decision</x:v>
      </x:c>
      <x:c r="AI227" s="154" t="n">
        <x:f>IF(K227,0,1)</x:f>
        <x:v>1</x:v>
      </x:c>
      <x:c r="AJ227" s="154" t="n">
        <x:f>IF(L227="keep",1,0)</x:f>
        <x:v>1</x:v>
      </x:c>
      <x:c r="AK227" s="154" t="n">
        <x:f>IF(M227="keep",1,0)</x:f>
        <x:v>1</x:v>
      </x:c>
      <x:c r="AL227" s="154" t="n">
        <x:f>(AJ227+AK227)/2</x:f>
        <x:v>1</x:v>
      </x:c>
      <x:c r="AM227" s="154" t="n">
        <x:f>MIN(AJ227,AK227)</x:f>
        <x:v>1</x:v>
      </x:c>
      <x:c r="AN227" s="154" t="n">
        <x:f>MAX(AJ227,AK227)</x:f>
        <x:v>1</x:v>
      </x:c>
      <x:c r="AO227" s="154" t="n">
        <x:f>IF(L227=M227,1,0)</x:f>
        <x:v>1</x:v>
      </x:c>
    </x:row>
    <x:row r="228">
      <x:c r="A228" s="38" t="str">
        <x:v>SV-0227</x:v>
      </x:c>
      <x:c r="B228" s="38" t="str">
        <x:v>PC-03502</x:v>
      </x:c>
      <x:c r="C228" s="38" t="str">
        <x:v>en|both</x:v>
      </x:c>
      <x:c r="D228" s="87" t="n">
        <x:v>19.069444444444443</x:v>
      </x:c>
      <x:c r="E228" s="38" t="str">
        <x:v>both</x:v>
      </x:c>
      <x:c r="F228" s="38" t="str">
        <x:v>IT_BdI_MISP_2021</x:v>
      </x:c>
      <x:c r="G228" s="38" t="n">
        <x:v>20</x:v>
      </x:c>
      <x:c r="H228" s="38" t="str">
        <x:v>en</x:v>
      </x:c>
      <x:c r="I228" s="38" t="str">
        <x:v>Banca d'Italia research context</x:v>
      </x:c>
      <x:c r="J228" s="38" t="str">
        <x:v>The design of the D€ should strike the right 
balance between privacy and AML/CFT compliance.</x:v>
      </x:c>
      <x:c r="K228" s="142" t="b">
        <x:v>0</x:v>
      </x:c>
      <x:c r="L228" s="146" t="str">
        <x:v>keep</x:v>
      </x:c>
      <x:c r="M228" s="146" t="str">
        <x:v>keep</x:v>
      </x:c>
      <x:c r="N228" s="147" t="b">
        <x:v>1</x:v>
      </x:c>
      <x:c r="O228" s="146" t="str">
        <x:v>PRIV.BAL</x:v>
      </x:c>
      <x:c r="P228" s="146" t="str">
        <x:v>PRIV.BAL</x:v>
      </x:c>
      <x:c r="Q228" s="146" t="str">
        <x:v>PRIV</x:v>
      </x:c>
      <x:c r="R228" s="146" t="str">
        <x:v>PRIV</x:v>
      </x:c>
      <x:c r="S228" s="146" t="str">
        <x:v>proposal</x:v>
      </x:c>
      <x:c r="T228" s="146" t="str">
        <x:v>proposal</x:v>
      </x:c>
      <x:c r="U228" s="146" t="str">
        <x:v>conditional</x:v>
      </x:c>
      <x:c r="V228" s="146" t="str">
        <x:v>neutral</x:v>
      </x:c>
      <x:c r="W228" s="146" t="str">
        <x:v>from_state</x:v>
      </x:c>
      <x:c r="X228" s="146" t="str">
        <x:v>not_applicable</x:v>
      </x:c>
      <x:c r="Y228" s="146" t="n">
        <x:v>3</x:v>
      </x:c>
      <x:c r="Z228" s="146" t="n">
        <x:v>2</x:v>
      </x:c>
      <x:c r="AA228" s="146" t="str">
        <x:v>high</x:v>
      </x:c>
      <x:c r="AB228" s="146" t="str">
        <x:v>high</x:v>
      </x:c>
      <x:c r="AC228" s="146"/>
      <x:c r="AD228" s="146" t="str">
        <x:v>x</x:v>
      </x:c>
      <x:c r="AE228" s="151" t="str">
        <x:v>PRIV.BAL</x:v>
      </x:c>
      <x:c r="AF228" s="151" t="str">
        <x:v>TECH.DLT</x:v>
      </x:c>
      <x:c r="AG228" s="151" t="str">
        <x:v>proposal</x:v>
      </x:c>
      <x:c r="AH228" s="151" t="str">
        <x:v>proposal</x:v>
      </x:c>
      <x:c r="AI228" s="154" t="n">
        <x:f>IF(K228,0,1)</x:f>
        <x:v>1</x:v>
      </x:c>
      <x:c r="AJ228" s="154" t="n">
        <x:f>IF(L228="keep",1,0)</x:f>
        <x:v>1</x:v>
      </x:c>
      <x:c r="AK228" s="154" t="n">
        <x:f>IF(M228="keep",1,0)</x:f>
        <x:v>1</x:v>
      </x:c>
      <x:c r="AL228" s="154" t="n">
        <x:f>(AJ228+AK228)/2</x:f>
        <x:v>1</x:v>
      </x:c>
      <x:c r="AM228" s="154" t="n">
        <x:f>MIN(AJ228,AK228)</x:f>
        <x:v>1</x:v>
      </x:c>
      <x:c r="AN228" s="154" t="n">
        <x:f>MAX(AJ228,AK228)</x:f>
        <x:v>1</x:v>
      </x:c>
      <x:c r="AO228" s="154" t="n">
        <x:f>IF(L228=M228,1,0)</x:f>
        <x:v>1</x:v>
      </x:c>
    </x:row>
    <x:row r="229">
      <x:c r="A229" s="38" t="str">
        <x:v>SV-0228</x:v>
      </x:c>
      <x:c r="B229" s="38" t="str">
        <x:v>PC-04789</x:v>
      </x:c>
      <x:c r="C229" s="38" t="str">
        <x:v>ru/uk|both</x:v>
      </x:c>
      <x:c r="D229" s="87" t="n">
        <x:v>20</x:v>
      </x:c>
      <x:c r="E229" s="38" t="str">
        <x:v>both</x:v>
      </x:c>
      <x:c r="F229" s="38" t="str">
        <x:v>RU_Russia_concept_08042021</x:v>
      </x:c>
      <x:c r="G229" s="38" t="n">
        <x:v>8</x:v>
      </x:c>
      <x:c r="H229" s="38" t="str">
        <x:v>ru/uk</x:v>
      </x:c>
      <x:c r="I229" s="38" t="str">
        <x:v>Bank of Russia (digital ruble)</x:v>
      </x:c>
      <x:c r="J229" s="38" t="str">
        <x:v>Повышение уровня безопасности за счет наличия уникальных номеров цифровых рублей, 
позволяющих отследить их движение и упростить восстановление нарушенных прав вла -
дельца в случае их утраты или хищения.</x:v>
      </x:c>
      <x:c r="K229" s="142" t="b">
        <x:v>0</x:v>
      </x:c>
      <x:c r="L229" s="146" t="str">
        <x:v>keep</x:v>
      </x:c>
      <x:c r="M229" s="146" t="str">
        <x:v>keep</x:v>
      </x:c>
      <x:c r="N229" s="147" t="b">
        <x:v>1</x:v>
      </x:c>
      <x:c r="O229" s="146" t="str">
        <x:v>OPS.resilience</x:v>
      </x:c>
      <x:c r="P229" s="146" t="str">
        <x:v>PRIV.ANON</x:v>
      </x:c>
      <x:c r="Q229" s="146" t="str">
        <x:v>OPS</x:v>
      </x:c>
      <x:c r="R229" s="146" t="str">
        <x:v>PRIV</x:v>
      </x:c>
      <x:c r="S229" s="146" t="str">
        <x:v>proposal</x:v>
      </x:c>
      <x:c r="T229" s="146" t="str">
        <x:v>decision</x:v>
      </x:c>
      <x:c r="U229" s="146" t="str">
        <x:v>neutral</x:v>
      </x:c>
      <x:c r="V229" s="146" t="str">
        <x:v>decreases</x:v>
      </x:c>
      <x:c r="W229" s="146" t="str">
        <x:v>not_applicable</x:v>
      </x:c>
      <x:c r="X229" s="146" t="str">
        <x:v>from_state</x:v>
      </x:c>
      <x:c r="Y229" s="146" t="n">
        <x:v>2</x:v>
      </x:c>
      <x:c r="Z229" s="146" t="n">
        <x:v>2</x:v>
      </x:c>
      <x:c r="AA229" s="146" t="str">
        <x:v>high</x:v>
      </x:c>
      <x:c r="AB229" s="146" t="str">
        <x:v>high</x:v>
      </x:c>
      <x:c r="AC229" s="146"/>
      <x:c r="AD229" s="146"/>
      <x:c r="AE229" s="151" t="str">
        <x:v>OPS.resilience</x:v>
      </x:c>
      <x:c r="AF229" s="151" t="str">
        <x:v>PRIV.ANON</x:v>
      </x:c>
      <x:c r="AG229" s="151" t="str">
        <x:v>proposal</x:v>
      </x:c>
      <x:c r="AH229" s="151" t="str">
        <x:v>decision</x:v>
      </x:c>
      <x:c r="AI229" s="154" t="n">
        <x:f>IF(K229,0,1)</x:f>
        <x:v>1</x:v>
      </x:c>
      <x:c r="AJ229" s="154" t="n">
        <x:f>IF(L229="keep",1,0)</x:f>
        <x:v>1</x:v>
      </x:c>
      <x:c r="AK229" s="154" t="n">
        <x:f>IF(M229="keep",1,0)</x:f>
        <x:v>1</x:v>
      </x:c>
      <x:c r="AL229" s="154" t="n">
        <x:f>(AJ229+AK229)/2</x:f>
        <x:v>1</x:v>
      </x:c>
      <x:c r="AM229" s="154" t="n">
        <x:f>MIN(AJ229,AK229)</x:f>
        <x:v>1</x:v>
      </x:c>
      <x:c r="AN229" s="154" t="n">
        <x:f>MAX(AJ229,AK229)</x:f>
        <x:v>1</x:v>
      </x:c>
      <x:c r="AO229" s="154" t="n">
        <x:f>IF(L229=M229,1,0)</x:f>
        <x:v>1</x:v>
      </x:c>
    </x:row>
    <x:row r="230">
      <x:c r="A230" s="38" t="str">
        <x:v>SV-0229</x:v>
      </x:c>
      <x:c r="B230" s="38" t="str">
        <x:v>PC-05479</x:v>
      </x:c>
      <x:c r="C230" s="38" t="str">
        <x:v>en|claude_only</x:v>
      </x:c>
      <x:c r="D230" s="87" t="n">
        <x:v>19.375</x:v>
      </x:c>
      <x:c r="E230" s="38" t="str">
        <x:v>claude_only</x:v>
      </x:c>
      <x:c r="F230" s="38" t="str">
        <x:v>SZ_Eswatini_2024-Fintech-Digital-Lilangeni-Design-Paper</x:v>
      </x:c>
      <x:c r="G230" s="38" t="n">
        <x:v>25</x:v>
      </x:c>
      <x:c r="H230" s="38" t="str">
        <x:v>en</x:v>
      </x:c>
      <x:c r="I230" s="38" t="str">
        <x:v>Central Bank of Eswatini (Digital Lilangeni)</x:v>
      </x:c>
      <x:c r="J230" s="38" t="str">
        <x:v>Therefore, partial pseudo-anonymity is a preferred design choice which enables a 
level of privacy between cash and e -money.</x:v>
      </x:c>
      <x:c r="K230" s="142" t="b">
        <x:v>0</x:v>
      </x:c>
      <x:c r="L230" s="146" t="str">
        <x:v>keep</x:v>
      </x:c>
      <x:c r="M230" s="146" t="str">
        <x:v>keep</x:v>
      </x:c>
      <x:c r="N230" s="147" t="b">
        <x:v>1</x:v>
      </x:c>
      <x:c r="O230" s="146" t="str">
        <x:v>PRIV.ANON</x:v>
      </x:c>
      <x:c r="P230" s="146" t="str">
        <x:v>PRIV.ANON</x:v>
      </x:c>
      <x:c r="Q230" s="146" t="str">
        <x:v>PRIV</x:v>
      </x:c>
      <x:c r="R230" s="146" t="str">
        <x:v>PRIV</x:v>
      </x:c>
      <x:c r="S230" s="146" t="str">
        <x:v>decision</x:v>
      </x:c>
      <x:c r="T230" s="146" t="str">
        <x:v>proposal</x:v>
      </x:c>
      <x:c r="U230" s="146" t="str">
        <x:v>increases</x:v>
      </x:c>
      <x:c r="V230" s="146" t="str">
        <x:v>increases</x:v>
      </x:c>
      <x:c r="W230" s="146" t="str">
        <x:v>from_state</x:v>
      </x:c>
      <x:c r="X230" s="146" t="str">
        <x:v>not_applicable</x:v>
      </x:c>
      <x:c r="Y230" s="146" t="n">
        <x:v>2</x:v>
      </x:c>
      <x:c r="Z230" s="146" t="n">
        <x:v>3</x:v>
      </x:c>
      <x:c r="AA230" s="146" t="str">
        <x:v>high</x:v>
      </x:c>
      <x:c r="AB230" s="146" t="str">
        <x:v>high</x:v>
      </x:c>
      <x:c r="AC230" s="146"/>
      <x:c r="AD230" s="146" t="str">
        <x:v>x</x:v>
      </x:c>
      <x:c r="AE230" s="151"/>
      <x:c r="AF230" s="151" t="str">
        <x:v>PRIV.ANON</x:v>
      </x:c>
      <x:c r="AG230" s="151"/>
      <x:c r="AH230" s="151" t="str">
        <x:v>proposal</x:v>
      </x:c>
      <x:c r="AI230" s="154" t="n">
        <x:f>IF(K230,0,1)</x:f>
        <x:v>1</x:v>
      </x:c>
      <x:c r="AJ230" s="154" t="n">
        <x:f>IF(L230="keep",1,0)</x:f>
        <x:v>1</x:v>
      </x:c>
      <x:c r="AK230" s="154" t="n">
        <x:f>IF(M230="keep",1,0)</x:f>
        <x:v>1</x:v>
      </x:c>
      <x:c r="AL230" s="154" t="n">
        <x:f>(AJ230+AK230)/2</x:f>
        <x:v>1</x:v>
      </x:c>
      <x:c r="AM230" s="154" t="n">
        <x:f>MIN(AJ230,AK230)</x:f>
        <x:v>1</x:v>
      </x:c>
      <x:c r="AN230" s="154" t="n">
        <x:f>MAX(AJ230,AK230)</x:f>
        <x:v>1</x:v>
      </x:c>
      <x:c r="AO230" s="154" t="n">
        <x:f>IF(L230=M230,1,0)</x:f>
        <x:v>1</x:v>
      </x:c>
    </x:row>
    <x:row r="231">
      <x:c r="A231" s="38" t="str">
        <x:v>SV-0230</x:v>
      </x:c>
      <x:c r="B231" s="38" t="str">
        <x:v>PC-06611</x:v>
      </x:c>
      <x:c r="C231" s="38" t="str">
        <x:v>en|openai_only</x:v>
      </x:c>
      <x:c r="D231" s="87" t="n">
        <x:v>19.21875</x:v>
      </x:c>
      <x:c r="E231" s="38" t="str">
        <x:v>openai_only</x:v>
      </x:c>
      <x:c r="F231" s="38" t="str">
        <x:v>US_WhiteHouse_TechEval_2022</x:v>
      </x:c>
      <x:c r="G231" s="38" t="n">
        <x:v>47</x:v>
      </x:c>
      <x:c r="H231" s="38" t="str">
        <x:v>en</x:v>
      </x:c>
      <x:c r="I231" s="38" t="str">
        <x:v>United States federal interagency CBDC technical evaluation</x:v>
      </x:c>
      <x:c r="J231" s="38" t="str">
        <x:v>Of particular note, there are cybersecurity and privacy risks related to the collection, storage, and 
transmission of payment information and associated business identifiable and personally 
identifiable information.</x:v>
      </x:c>
      <x:c r="K231" s="142" t="b">
        <x:v>0</x:v>
      </x:c>
      <x:c r="L231" s="146" t="str">
        <x:v>keep</x:v>
      </x:c>
      <x:c r="M231" s="146" t="str">
        <x:v>exclude</x:v>
      </x:c>
      <x:c r="N231" s="147" t="b">
        <x:v>0</x:v>
      </x:c>
      <x:c r="O231" s="146" t="str">
        <x:v>OPS.resilience</x:v>
      </x:c>
      <x:c r="P231" s="146"/>
      <x:c r="Q231" s="146" t="str">
        <x:v>OPS</x:v>
      </x:c>
      <x:c r="R231" s="146" t="str"/>
      <x:c r="S231" s="146" t="str">
        <x:v>finding</x:v>
      </x:c>
      <x:c r="T231" s="146"/>
      <x:c r="U231" s="146" t="str">
        <x:v>neutral</x:v>
      </x:c>
      <x:c r="V231" s="146"/>
      <x:c r="W231" s="146" t="str">
        <x:v>not_applicable</x:v>
      </x:c>
      <x:c r="X231" s="146"/>
      <x:c r="Y231" s="146" t="n">
        <x:v>2</x:v>
      </x:c>
      <x:c r="Z231" s="146"/>
      <x:c r="AA231" s="146" t="str">
        <x:v>high</x:v>
      </x:c>
      <x:c r="AB231" s="146" t="str">
        <x:v>high</x:v>
      </x:c>
      <x:c r="AC231" s="146"/>
      <x:c r="AD231" s="146"/>
      <x:c r="AE231" s="151" t="str">
        <x:v>OPS.resilience</x:v>
      </x:c>
      <x:c r="AF231" s="151"/>
      <x:c r="AG231" s="151" t="str">
        <x:v>finding</x:v>
      </x:c>
      <x:c r="AH231" s="151"/>
      <x:c r="AI231" s="154" t="n">
        <x:f>IF(K231,0,1)</x:f>
        <x:v>1</x:v>
      </x:c>
      <x:c r="AJ231" s="154" t="n">
        <x:f>IF(L231="keep",1,0)</x:f>
        <x:v>1</x:v>
      </x:c>
      <x:c r="AK231" s="154" t="n">
        <x:f>IF(M231="keep",1,0)</x:f>
        <x:v>0</x:v>
      </x:c>
      <x:c r="AL231" s="154" t="n">
        <x:f>(AJ231+AK231)/2</x:f>
        <x:v>0.5</x:v>
      </x:c>
      <x:c r="AM231" s="154" t="n">
        <x:f>MIN(AJ231,AK231)</x:f>
        <x:v>0</x:v>
      </x:c>
      <x:c r="AN231" s="154" t="n">
        <x:f>MAX(AJ231,AK231)</x:f>
        <x:v>1</x:v>
      </x:c>
      <x:c r="AO231" s="154" t="n">
        <x:f>IF(L231=M231,1,0)</x:f>
        <x:v>0</x:v>
      </x:c>
    </x:row>
    <x:row r="232">
      <x:c r="A232" s="38" t="str">
        <x:v>SV-0231</x:v>
      </x:c>
      <x:c r="B232" s="38" t="str">
        <x:v>PC-05710</x:v>
      </x:c>
      <x:c r="C232" s="38" t="str">
        <x:v>en|both</x:v>
      </x:c>
      <x:c r="D232" s="87" t="n">
        <x:v>19.069444444444443</x:v>
      </x:c>
      <x:c r="E232" s="38" t="str">
        <x:v>both</x:v>
      </x:c>
      <x:c r="F232" s="38" t="str">
        <x:v>TR_Turkey_Digital_Turkish_Lira_First_Phase_Evaluation_Report</x:v>
      </x:c>
      <x:c r="G232" s="38" t="n">
        <x:v>11</x:v>
      </x:c>
      <x:c r="H232" s="38" t="str">
        <x:v>en</x:v>
      </x:c>
      <x:c r="I232" s="38" t="str">
        <x:v>Central Bank of the Republic of Turkiye (Digital Turkish Lira)</x:v>
      </x:c>
      <x:c r="J232" s="38" t="str">
        <x:v>Once circulated, the digital Turkish lira is expected to make various 
contributions such as enhanced financial inclusion, development 
of a complementary payment channel in line with the principle of 
uninterrupted and continuous operation of payments</x:v>
      </x:c>
      <x:c r="K232" s="142" t="b">
        <x:v>0</x:v>
      </x:c>
      <x:c r="L232" s="146" t="str">
        <x:v>exclude</x:v>
      </x:c>
      <x:c r="M232" s="146" t="str">
        <x:v>keep</x:v>
      </x:c>
      <x:c r="N232" s="147" t="b">
        <x:v>0</x:v>
      </x:c>
      <x:c r="O232" s="146"/>
      <x:c r="P232" s="146" t="str">
        <x:v>CASH.relation</x:v>
      </x:c>
      <x:c r="Q232" s="146" t="str"/>
      <x:c r="R232" s="146" t="str">
        <x:v>CASH</x:v>
      </x:c>
      <x:c r="S232" s="146"/>
      <x:c r="T232" s="146" t="str">
        <x:v>proposal</x:v>
      </x:c>
      <x:c r="U232" s="146"/>
      <x:c r="V232" s="146" t="str">
        <x:v>neutral</x:v>
      </x:c>
      <x:c r="W232" s="146"/>
      <x:c r="X232" s="146" t="str">
        <x:v>not_applicable</x:v>
      </x:c>
      <x:c r="Y232" s="146"/>
      <x:c r="Z232" s="146" t="n">
        <x:v>2</x:v>
      </x:c>
      <x:c r="AA232" s="146" t="str">
        <x:v>high</x:v>
      </x:c>
      <x:c r="AB232" s="146" t="str">
        <x:v>high</x:v>
      </x:c>
      <x:c r="AC232" s="146"/>
      <x:c r="AD232" s="146"/>
      <x:c r="AE232" s="151" t="str">
        <x:v>OPS.resilience</x:v>
      </x:c>
      <x:c r="AF232" s="151" t="str">
        <x:v>CASH.relation</x:v>
      </x:c>
      <x:c r="AG232" s="151" t="str">
        <x:v>proposal</x:v>
      </x:c>
      <x:c r="AH232" s="151" t="str">
        <x:v>proposal</x:v>
      </x:c>
      <x:c r="AI232" s="154" t="n">
        <x:f>IF(K232,0,1)</x:f>
        <x:v>1</x:v>
      </x:c>
      <x:c r="AJ232" s="154" t="n">
        <x:f>IF(L232="keep",1,0)</x:f>
        <x:v>0</x:v>
      </x:c>
      <x:c r="AK232" s="154" t="n">
        <x:f>IF(M232="keep",1,0)</x:f>
        <x:v>1</x:v>
      </x:c>
      <x:c r="AL232" s="154" t="n">
        <x:f>(AJ232+AK232)/2</x:f>
        <x:v>0.5</x:v>
      </x:c>
      <x:c r="AM232" s="154" t="n">
        <x:f>MIN(AJ232,AK232)</x:f>
        <x:v>0</x:v>
      </x:c>
      <x:c r="AN232" s="154" t="n">
        <x:f>MAX(AJ232,AK232)</x:f>
        <x:v>1</x:v>
      </x:c>
      <x:c r="AO232" s="154" t="n">
        <x:f>IF(L232=M232,1,0)</x:f>
        <x:v>0</x:v>
      </x:c>
    </x:row>
    <x:row r="233">
      <x:c r="A233" s="38" t="str">
        <x:v>SV-0232</x:v>
      </x:c>
      <x:c r="B233" s="38" t="str">
        <x:v>PC-03369</x:v>
      </x:c>
      <x:c r="C233" s="38" t="str">
        <x:v>en|both</x:v>
      </x:c>
      <x:c r="D233" s="87" t="n">
        <x:v>19.069444444444443</x:v>
      </x:c>
      <x:c r="E233" s="38" t="str">
        <x:v>both</x:v>
      </x:c>
      <x:c r="F233" s="38" t="str">
        <x:v>IN_RBI_ConceptNote_2022</x:v>
      </x:c>
      <x:c r="G233" s="38" t="n">
        <x:v>28</x:v>
      </x:c>
      <x:c r="H233" s="38" t="str">
        <x:v>en</x:v>
      </x:c>
      <x:c r="I233" s="38" t="str">
        <x:v>Reserve Bank of India (digital rupee)</x:v>
      </x:c>
      <x:c r="J233" s="38" t="str">
        <x:v>Under a token-
based CBDC-R regime, users would be able to 
withdraw digital tokens from banks in the same 
way they can withdraw physical cash.</x:v>
      </x:c>
      <x:c r="K233" s="142" t="b">
        <x:v>0</x:v>
      </x:c>
      <x:c r="L233" s="146" t="str">
        <x:v>keep</x:v>
      </x:c>
      <x:c r="M233" s="146" t="str">
        <x:v>keep</x:v>
      </x:c>
      <x:c r="N233" s="147" t="b">
        <x:v>1</x:v>
      </x:c>
      <x:c r="O233" s="146" t="str">
        <x:v>CASH.relation</x:v>
      </x:c>
      <x:c r="P233" s="146" t="str">
        <x:v>ACCESS.universal</x:v>
      </x:c>
      <x:c r="Q233" s="146" t="str">
        <x:v>CASH</x:v>
      </x:c>
      <x:c r="R233" s="146" t="str">
        <x:v>ACCESS</x:v>
      </x:c>
      <x:c r="S233" s="146" t="str">
        <x:v>proposal</x:v>
      </x:c>
      <x:c r="T233" s="146" t="str">
        <x:v>proposal</x:v>
      </x:c>
      <x:c r="U233" s="146" t="str">
        <x:v>neutral</x:v>
      </x:c>
      <x:c r="V233" s="146" t="str">
        <x:v>neutral</x:v>
      </x:c>
      <x:c r="W233" s="146" t="str">
        <x:v>not_applicable</x:v>
      </x:c>
      <x:c r="X233" s="146" t="str">
        <x:v>not_applicable</x:v>
      </x:c>
      <x:c r="Y233" s="146" t="n">
        <x:v>2</x:v>
      </x:c>
      <x:c r="Z233" s="146" t="n">
        <x:v>2</x:v>
      </x:c>
      <x:c r="AA233" s="146" t="str">
        <x:v>high</x:v>
      </x:c>
      <x:c r="AB233" s="146" t="str">
        <x:v>high</x:v>
      </x:c>
      <x:c r="AC233" s="146"/>
      <x:c r="AD233" s="146"/>
      <x:c r="AE233" s="151" t="str">
        <x:v>CASH.relation</x:v>
      </x:c>
      <x:c r="AF233" s="151" t="str">
        <x:v>ACCESS.universal</x:v>
      </x:c>
      <x:c r="AG233" s="151" t="str">
        <x:v>proposal</x:v>
      </x:c>
      <x:c r="AH233" s="151" t="str">
        <x:v>proposal</x:v>
      </x:c>
      <x:c r="AI233" s="154" t="n">
        <x:f>IF(K233,0,1)</x:f>
        <x:v>1</x:v>
      </x:c>
      <x:c r="AJ233" s="154" t="n">
        <x:f>IF(L233="keep",1,0)</x:f>
        <x:v>1</x:v>
      </x:c>
      <x:c r="AK233" s="154" t="n">
        <x:f>IF(M233="keep",1,0)</x:f>
        <x:v>1</x:v>
      </x:c>
      <x:c r="AL233" s="154" t="n">
        <x:f>(AJ233+AK233)/2</x:f>
        <x:v>1</x:v>
      </x:c>
      <x:c r="AM233" s="154" t="n">
        <x:f>MIN(AJ233,AK233)</x:f>
        <x:v>1</x:v>
      </x:c>
      <x:c r="AN233" s="154" t="n">
        <x:f>MAX(AJ233,AK233)</x:f>
        <x:v>1</x:v>
      </x:c>
      <x:c r="AO233" s="154" t="n">
        <x:f>IF(L233=M233,1,0)</x:f>
        <x:v>1</x:v>
      </x:c>
    </x:row>
    <x:row r="234">
      <x:c r="A234" s="38" t="str">
        <x:v>SV-0233</x:v>
      </x:c>
      <x:c r="B234" s="38" t="str">
        <x:v>PC-00143</x:v>
      </x:c>
      <x:c r="C234" s="38" t="str">
        <x:v>en|both</x:v>
      </x:c>
      <x:c r="D234" s="87" t="n">
        <x:v>19.069444444444443</x:v>
      </x:c>
      <x:c r="E234" s="38" t="str">
        <x:v>both</x:v>
      </x:c>
      <x:c r="F234" s="38" t="str">
        <x:v>AU_RBA_001</x:v>
      </x:c>
      <x:c r="G234" s="38" t="n">
        <x:v>13</x:v>
      </x:c>
      <x:c r="H234" s="38" t="str">
        <x:v>en</x:v>
      </x:c>
      <x:c r="I234" s="38" t="str">
        <x:v>Reserve Bank of Australia and Digital Finance CRC (Australian CBDC pilot)</x:v>
      </x:c>
      <x:c r="J234" s="38" t="str">
        <x:v>Individual holdings of pilot CBDC on the platform were only associated with a blockchain address, which is a random alphanumeric string that 
contains no personal information.</x:v>
      </x:c>
      <x:c r="K234" s="142" t="b">
        <x:v>0</x:v>
      </x:c>
      <x:c r="L234" s="146" t="str">
        <x:v>keep</x:v>
      </x:c>
      <x:c r="M234" s="146" t="str">
        <x:v>keep</x:v>
      </x:c>
      <x:c r="N234" s="147" t="b">
        <x:v>1</x:v>
      </x:c>
      <x:c r="O234" s="146" t="str">
        <x:v>PRIV.ANON</x:v>
      </x:c>
      <x:c r="P234" s="146" t="str">
        <x:v>PRIV.ANON</x:v>
      </x:c>
      <x:c r="Q234" s="146" t="str">
        <x:v>PRIV</x:v>
      </x:c>
      <x:c r="R234" s="146" t="str">
        <x:v>PRIV</x:v>
      </x:c>
      <x:c r="S234" s="146" t="str">
        <x:v>decision</x:v>
      </x:c>
      <x:c r="T234" s="146" t="str">
        <x:v>decision</x:v>
      </x:c>
      <x:c r="U234" s="146" t="str">
        <x:v>increases</x:v>
      </x:c>
      <x:c r="V234" s="146" t="str">
        <x:v>increases</x:v>
      </x:c>
      <x:c r="W234" s="146" t="str">
        <x:v>from_state</x:v>
      </x:c>
      <x:c r="X234" s="146" t="str">
        <x:v>from_state</x:v>
      </x:c>
      <x:c r="Y234" s="146" t="n">
        <x:v>2</x:v>
      </x:c>
      <x:c r="Z234" s="146" t="n">
        <x:v>2</x:v>
      </x:c>
      <x:c r="AA234" s="146" t="str">
        <x:v>high</x:v>
      </x:c>
      <x:c r="AB234" s="146" t="str">
        <x:v>high</x:v>
      </x:c>
      <x:c r="AC234" s="146"/>
      <x:c r="AD234" s="146"/>
      <x:c r="AE234" s="151" t="str">
        <x:v>SYS.design</x:v>
      </x:c>
      <x:c r="AF234" s="151" t="str">
        <x:v>PRIV.ANON</x:v>
      </x:c>
      <x:c r="AG234" s="151" t="str">
        <x:v>decision</x:v>
      </x:c>
      <x:c r="AH234" s="151" t="str">
        <x:v>decision</x:v>
      </x:c>
      <x:c r="AI234" s="154" t="n">
        <x:f>IF(K234,0,1)</x:f>
        <x:v>1</x:v>
      </x:c>
      <x:c r="AJ234" s="154" t="n">
        <x:f>IF(L234="keep",1,0)</x:f>
        <x:v>1</x:v>
      </x:c>
      <x:c r="AK234" s="154" t="n">
        <x:f>IF(M234="keep",1,0)</x:f>
        <x:v>1</x:v>
      </x:c>
      <x:c r="AL234" s="154" t="n">
        <x:f>(AJ234+AK234)/2</x:f>
        <x:v>1</x:v>
      </x:c>
      <x:c r="AM234" s="154" t="n">
        <x:f>MIN(AJ234,AK234)</x:f>
        <x:v>1</x:v>
      </x:c>
      <x:c r="AN234" s="154" t="n">
        <x:f>MAX(AJ234,AK234)</x:f>
        <x:v>1</x:v>
      </x:c>
      <x:c r="AO234" s="154" t="n">
        <x:f>IF(L234=M234,1,0)</x:f>
        <x:v>1</x:v>
      </x:c>
    </x:row>
    <x:row r="235">
      <x:c r="A235" s="38" t="str">
        <x:v>SV-0234</x:v>
      </x:c>
      <x:c r="B235" s="38" t="str">
        <x:v>PC-04010</x:v>
      </x:c>
      <x:c r="C235" s="38" t="str">
        <x:v>en|both</x:v>
      </x:c>
      <x:c r="D235" s="87" t="n">
        <x:v>19.069444444444443</x:v>
      </x:c>
      <x:c r="E235" s="38" t="str">
        <x:v>both</x:v>
      </x:c>
      <x:c r="F235" s="38" t="str">
        <x:v>MO_AMCM_eMOP_WP</x:v>
      </x:c>
      <x:c r="G235" s="38" t="n">
        <x:v>55</x:v>
      </x:c>
      <x:c r="H235" s="38" t="str">
        <x:v>en</x:v>
      </x:c>
      <x:c r="I235" s="38" t="str">
        <x:v>Monetary Authority of Macao (e-MOP)</x:v>
      </x:c>
      <x:c r="J235" s="38" t="str">
        <x:v>a study on wholesale e-MOP will be launched to investigate extending 
its adoption to cross-border payments.</x:v>
      </x:c>
      <x:c r="K235" s="142" t="b">
        <x:v>0</x:v>
      </x:c>
      <x:c r="L235" s="146" t="str">
        <x:v>keep</x:v>
      </x:c>
      <x:c r="M235" s="146" t="str">
        <x:v>keep</x:v>
      </x:c>
      <x:c r="N235" s="147" t="b">
        <x:v>1</x:v>
      </x:c>
      <x:c r="O235" s="146" t="str">
        <x:v>SYS.design</x:v>
      </x:c>
      <x:c r="P235" s="146" t="str">
        <x:v>INTEROP.crossborder</x:v>
      </x:c>
      <x:c r="Q235" s="146" t="str">
        <x:v>SYS</x:v>
      </x:c>
      <x:c r="R235" s="146" t="str">
        <x:v>INTEROP</x:v>
      </x:c>
      <x:c r="S235" s="146" t="str">
        <x:v>finding</x:v>
      </x:c>
      <x:c r="T235" s="146" t="str">
        <x:v>proposal</x:v>
      </x:c>
      <x:c r="U235" s="146" t="str">
        <x:v>neutral</x:v>
      </x:c>
      <x:c r="V235" s="146" t="str">
        <x:v>neutral</x:v>
      </x:c>
      <x:c r="W235" s="146" t="str">
        <x:v>not_applicable</x:v>
      </x:c>
      <x:c r="X235" s="146" t="str">
        <x:v>not_applicable</x:v>
      </x:c>
      <x:c r="Y235" s="146" t="n">
        <x:v>2</x:v>
      </x:c>
      <x:c r="Z235" s="146" t="n">
        <x:v>2</x:v>
      </x:c>
      <x:c r="AA235" s="146" t="str">
        <x:v>high</x:v>
      </x:c>
      <x:c r="AB235" s="146" t="str">
        <x:v>high</x:v>
      </x:c>
      <x:c r="AC235" s="146"/>
      <x:c r="AD235" s="146"/>
      <x:c r="AE235" s="151" t="str">
        <x:v>SYS.design</x:v>
      </x:c>
      <x:c r="AF235" s="151" t="str">
        <x:v>INTEROP.crossborder</x:v>
      </x:c>
      <x:c r="AG235" s="151" t="str">
        <x:v>finding</x:v>
      </x:c>
      <x:c r="AH235" s="151" t="str">
        <x:v>proposal</x:v>
      </x:c>
      <x:c r="AI235" s="154" t="n">
        <x:f>IF(K235,0,1)</x:f>
        <x:v>1</x:v>
      </x:c>
      <x:c r="AJ235" s="154" t="n">
        <x:f>IF(L235="keep",1,0)</x:f>
        <x:v>1</x:v>
      </x:c>
      <x:c r="AK235" s="154" t="n">
        <x:f>IF(M235="keep",1,0)</x:f>
        <x:v>1</x:v>
      </x:c>
      <x:c r="AL235" s="154" t="n">
        <x:f>(AJ235+AK235)/2</x:f>
        <x:v>1</x:v>
      </x:c>
      <x:c r="AM235" s="154" t="n">
        <x:f>MIN(AJ235,AK235)</x:f>
        <x:v>1</x:v>
      </x:c>
      <x:c r="AN235" s="154" t="n">
        <x:f>MAX(AJ235,AK235)</x:f>
        <x:v>1</x:v>
      </x:c>
      <x:c r="AO235" s="154" t="n">
        <x:f>IF(L235=M235,1,0)</x:f>
        <x:v>1</x:v>
      </x:c>
    </x:row>
    <x:row r="236">
      <x:c r="A236" s="38" t="str">
        <x:v>SV-0235</x:v>
      </x:c>
      <x:c r="B236" s="38" t="str">
        <x:v>PC-00535</x:v>
      </x:c>
      <x:c r="C236" s="38" t="str">
        <x:v>en|both</x:v>
      </x:c>
      <x:c r="D236" s="87" t="n">
        <x:v>19.069444444444443</x:v>
      </x:c>
      <x:c r="E236" s="38" t="str">
        <x:v>both</x:v>
      </x:c>
      <x:c r="F236" s="38" t="str">
        <x:v>BS_Bahamas_SandDollar_2019</x:v>
      </x:c>
      <x:c r="G236" s="38" t="n">
        <x:v>9</x:v>
      </x:c>
      <x:c r="H236" s="38" t="str">
        <x:v>en</x:v>
      </x:c>
      <x:c r="I236" s="38" t="str">
        <x:v>Central Bank of The Bahamas (Sand Dollar)</x:v>
      </x:c>
      <x:c r="J236" s="38" t="str">
        <x:v>The anonymity feature of cash is not being replicated,  although the Sand 
Dollar infrastructure would incorporate strict attention to confidentiality and data protection.</x:v>
      </x:c>
      <x:c r="K236" s="142" t="b">
        <x:v>0</x:v>
      </x:c>
      <x:c r="L236" s="146" t="str">
        <x:v>keep</x:v>
      </x:c>
      <x:c r="M236" s="146" t="str">
        <x:v>keep</x:v>
      </x:c>
      <x:c r="N236" s="147" t="b">
        <x:v>1</x:v>
      </x:c>
      <x:c r="O236" s="146" t="str">
        <x:v>PRIV.BAL</x:v>
      </x:c>
      <x:c r="P236" s="146" t="str">
        <x:v>PRIV.ANON</x:v>
      </x:c>
      <x:c r="Q236" s="146" t="str">
        <x:v>PRIV</x:v>
      </x:c>
      <x:c r="R236" s="146" t="str">
        <x:v>PRIV</x:v>
      </x:c>
      <x:c r="S236" s="146" t="str">
        <x:v>proposal</x:v>
      </x:c>
      <x:c r="T236" s="146" t="str">
        <x:v>decision</x:v>
      </x:c>
      <x:c r="U236" s="146" t="str">
        <x:v>increases</x:v>
      </x:c>
      <x:c r="V236" s="146" t="str">
        <x:v>decreases</x:v>
      </x:c>
      <x:c r="W236" s="146" t="str">
        <x:v>from_state</x:v>
      </x:c>
      <x:c r="X236" s="146" t="str">
        <x:v>from_state</x:v>
      </x:c>
      <x:c r="Y236" s="146" t="n">
        <x:v>1</x:v>
      </x:c>
      <x:c r="Z236" s="146" t="n">
        <x:v>3</x:v>
      </x:c>
      <x:c r="AA236" s="146" t="str">
        <x:v>high</x:v>
      </x:c>
      <x:c r="AB236" s="146" t="str">
        <x:v>high</x:v>
      </x:c>
      <x:c r="AC236" s="146"/>
      <x:c r="AD236" s="146"/>
      <x:c r="AE236" s="151" t="str">
        <x:v>ACCESS.universal</x:v>
      </x:c>
      <x:c r="AF236" s="151" t="str">
        <x:v>PRIV.ANON</x:v>
      </x:c>
      <x:c r="AG236" s="151" t="str">
        <x:v>proposal</x:v>
      </x:c>
      <x:c r="AH236" s="151" t="str">
        <x:v>decision</x:v>
      </x:c>
      <x:c r="AI236" s="154" t="n">
        <x:f>IF(K236,0,1)</x:f>
        <x:v>1</x:v>
      </x:c>
      <x:c r="AJ236" s="154" t="n">
        <x:f>IF(L236="keep",1,0)</x:f>
        <x:v>1</x:v>
      </x:c>
      <x:c r="AK236" s="154" t="n">
        <x:f>IF(M236="keep",1,0)</x:f>
        <x:v>1</x:v>
      </x:c>
      <x:c r="AL236" s="154" t="n">
        <x:f>(AJ236+AK236)/2</x:f>
        <x:v>1</x:v>
      </x:c>
      <x:c r="AM236" s="154" t="n">
        <x:f>MIN(AJ236,AK236)</x:f>
        <x:v>1</x:v>
      </x:c>
      <x:c r="AN236" s="154" t="n">
        <x:f>MAX(AJ236,AK236)</x:f>
        <x:v>1</x:v>
      </x:c>
      <x:c r="AO236" s="154" t="n">
        <x:f>IF(L236=M236,1,0)</x:f>
        <x:v>1</x:v>
      </x:c>
    </x:row>
    <x:row r="237">
      <x:c r="A237" s="38" t="str">
        <x:v>SV-0236</x:v>
      </x:c>
      <x:c r="B237" s="38" t="str">
        <x:v>PC-00113</x:v>
      </x:c>
      <x:c r="C237" s="38" t="str">
        <x:v>en|claude_only</x:v>
      </x:c>
      <x:c r="D237" s="87" t="n">
        <x:v>19.375</x:v>
      </x:c>
      <x:c r="E237" s="38" t="str">
        <x:v>claude_only</x:v>
      </x:c>
      <x:c r="F237" s="38" t="str">
        <x:v>AM_ARM_001</x:v>
      </x:c>
      <x:c r="G237" s="38" t="n">
        <x:v>21</x:v>
      </x:c>
      <x:c r="H237" s="38" t="str">
        <x:v>en</x:v>
      </x:c>
      <x:c r="I237" s="38" t="str">
        <x:v>Central Bank of Armenia / Armenian CBDC study</x:v>
      </x:c>
      <x:c r="J237" s="38" t="str">
        <x:v>it was concluded that, given the current level
of payment infrastructure development in Armenia, the introduction of a CBDC as an
alternative payment instrument would have limited implication for Armenian society.</x:v>
      </x:c>
      <x:c r="K237" s="142" t="b">
        <x:v>0</x:v>
      </x:c>
      <x:c r="L237" s="146" t="str">
        <x:v>exclude</x:v>
      </x:c>
      <x:c r="M237" s="146" t="str">
        <x:v>keep</x:v>
      </x:c>
      <x:c r="N237" s="147" t="b">
        <x:v>0</x:v>
      </x:c>
      <x:c r="O237" s="146"/>
      <x:c r="P237" s="146" t="str">
        <x:v>SYS.design</x:v>
      </x:c>
      <x:c r="Q237" s="146" t="str"/>
      <x:c r="R237" s="146" t="str">
        <x:v>SYS</x:v>
      </x:c>
      <x:c r="S237" s="146"/>
      <x:c r="T237" s="146" t="str">
        <x:v>finding</x:v>
      </x:c>
      <x:c r="U237" s="146"/>
      <x:c r="V237" s="146" t="str">
        <x:v>neutral</x:v>
      </x:c>
      <x:c r="W237" s="146"/>
      <x:c r="X237" s="146" t="str">
        <x:v>not_applicable</x:v>
      </x:c>
      <x:c r="Y237" s="146"/>
      <x:c r="Z237" s="146" t="n">
        <x:v>3</x:v>
      </x:c>
      <x:c r="AA237" s="146" t="str">
        <x:v>high</x:v>
      </x:c>
      <x:c r="AB237" s="146" t="str">
        <x:v>high</x:v>
      </x:c>
      <x:c r="AC237" s="146"/>
      <x:c r="AD237" s="146"/>
      <x:c r="AE237" s="151"/>
      <x:c r="AF237" s="151" t="str">
        <x:v>SYS.design</x:v>
      </x:c>
      <x:c r="AG237" s="151"/>
      <x:c r="AH237" s="151" t="str">
        <x:v>finding</x:v>
      </x:c>
      <x:c r="AI237" s="154" t="n">
        <x:f>IF(K237,0,1)</x:f>
        <x:v>1</x:v>
      </x:c>
      <x:c r="AJ237" s="154" t="n">
        <x:f>IF(L237="keep",1,0)</x:f>
        <x:v>0</x:v>
      </x:c>
      <x:c r="AK237" s="154" t="n">
        <x:f>IF(M237="keep",1,0)</x:f>
        <x:v>1</x:v>
      </x:c>
      <x:c r="AL237" s="154" t="n">
        <x:f>(AJ237+AK237)/2</x:f>
        <x:v>0.5</x:v>
      </x:c>
      <x:c r="AM237" s="154" t="n">
        <x:f>MIN(AJ237,AK237)</x:f>
        <x:v>0</x:v>
      </x:c>
      <x:c r="AN237" s="154" t="n">
        <x:f>MAX(AJ237,AK237)</x:f>
        <x:v>1</x:v>
      </x:c>
      <x:c r="AO237" s="154" t="n">
        <x:f>IF(L237=M237,1,0)</x:f>
        <x:v>0</x:v>
      </x:c>
    </x:row>
    <x:row r="238">
      <x:c r="A238" s="38" t="str">
        <x:v>SV-0237</x:v>
      </x:c>
      <x:c r="B238" s="38" t="str">
        <x:v>PC-05139</x:v>
      </x:c>
      <x:c r="C238" s="38" t="str">
        <x:v>en|both</x:v>
      </x:c>
      <x:c r="D238" s="87" t="n">
        <x:v>19.069444444444443</x:v>
      </x:c>
      <x:c r="E238" s="38" t="str">
        <x:v>both</x:v>
      </x:c>
      <x:c r="F238" s="38" t="str">
        <x:v>SE_Riksbank_2017</x:v>
      </x:c>
      <x:c r="G238" s="38" t="n">
        <x:v>17</x:v>
      </x:c>
      <x:c r="H238" s="38" t="str">
        <x:v>en</x:v>
      </x:c>
      <x:c r="I238" s="38" t="str">
        <x:v>Sveriges Riksbank (e-krona)</x:v>
      </x:c>
      <x:c r="J238" s="38" t="str">
        <x:v>Like cash, an e-krona is a direct claim on the Riksbank, and both a means of payment and a 
form of savings.</x:v>
      </x:c>
      <x:c r="K238" s="142" t="b">
        <x:v>0</x:v>
      </x:c>
      <x:c r="L238" s="146" t="str">
        <x:v>keep</x:v>
      </x:c>
      <x:c r="M238" s="146" t="str">
        <x:v>keep</x:v>
      </x:c>
      <x:c r="N238" s="147" t="b">
        <x:v>1</x:v>
      </x:c>
      <x:c r="O238" s="146" t="str">
        <x:v>STAB.disintermediation</x:v>
      </x:c>
      <x:c r="P238" s="146" t="str">
        <x:v>CASH.relation</x:v>
      </x:c>
      <x:c r="Q238" s="146" t="str">
        <x:v>STAB</x:v>
      </x:c>
      <x:c r="R238" s="146" t="str">
        <x:v>CASH</x:v>
      </x:c>
      <x:c r="S238" s="146" t="str">
        <x:v>proposal</x:v>
      </x:c>
      <x:c r="T238" s="146" t="str">
        <x:v>proposal</x:v>
      </x:c>
      <x:c r="U238" s="146" t="str">
        <x:v>neutral</x:v>
      </x:c>
      <x:c r="V238" s="146" t="str">
        <x:v>neutral</x:v>
      </x:c>
      <x:c r="W238" s="146" t="str">
        <x:v>not_applicable</x:v>
      </x:c>
      <x:c r="X238" s="146" t="str">
        <x:v>not_applicable</x:v>
      </x:c>
      <x:c r="Y238" s="146" t="n">
        <x:v>2</x:v>
      </x:c>
      <x:c r="Z238" s="146" t="n">
        <x:v>2</x:v>
      </x:c>
      <x:c r="AA238" s="146" t="str">
        <x:v>high</x:v>
      </x:c>
      <x:c r="AB238" s="146" t="str">
        <x:v>high</x:v>
      </x:c>
      <x:c r="AC238" s="146"/>
      <x:c r="AD238" s="146"/>
      <x:c r="AE238" s="151" t="str">
        <x:v>SYS.design</x:v>
      </x:c>
      <x:c r="AF238" s="151" t="str">
        <x:v>CASH.relation</x:v>
      </x:c>
      <x:c r="AG238" s="151" t="str">
        <x:v>proposal</x:v>
      </x:c>
      <x:c r="AH238" s="151" t="str">
        <x:v>proposal</x:v>
      </x:c>
      <x:c r="AI238" s="154" t="n">
        <x:f>IF(K238,0,1)</x:f>
        <x:v>1</x:v>
      </x:c>
      <x:c r="AJ238" s="154" t="n">
        <x:f>IF(L238="keep",1,0)</x:f>
        <x:v>1</x:v>
      </x:c>
      <x:c r="AK238" s="154" t="n">
        <x:f>IF(M238="keep",1,0)</x:f>
        <x:v>1</x:v>
      </x:c>
      <x:c r="AL238" s="154" t="n">
        <x:f>(AJ238+AK238)/2</x:f>
        <x:v>1</x:v>
      </x:c>
      <x:c r="AM238" s="154" t="n">
        <x:f>MIN(AJ238,AK238)</x:f>
        <x:v>1</x:v>
      </x:c>
      <x:c r="AN238" s="154" t="n">
        <x:f>MAX(AJ238,AK238)</x:f>
        <x:v>1</x:v>
      </x:c>
      <x:c r="AO238" s="154" t="n">
        <x:f>IF(L238=M238,1,0)</x:f>
        <x:v>1</x:v>
      </x:c>
    </x:row>
    <x:row r="239">
      <x:c r="A239" s="38" t="str">
        <x:v>SV-0238</x:v>
      </x:c>
      <x:c r="B239" s="38" t="str">
        <x:v>PC-01369</x:v>
      </x:c>
      <x:c r="C239" s="38" t="str">
        <x:v>es|claude_only</x:v>
      </x:c>
      <x:c r="D239" s="87" t="n">
        <x:v>21.5</x:v>
      </x:c>
      <x:c r="E239" s="38" t="str">
        <x:v>claude_only</x:v>
      </x:c>
      <x:c r="F239" s="38" t="str">
        <x:v>ES_Spain_2024a</x:v>
      </x:c>
      <x:c r="G239" s="38" t="n">
        <x:v>3</x:v>
      </x:c>
      <x:c r="H239" s="38" t="str">
        <x:v>es</x:v>
      </x:c>
      <x:c r="I239" s="38" t="str">
        <x:v>Banco de Espana</x:v>
      </x:c>
      <x:c r="J239" s="38" t="str">
        <x:v>la experimentación a desarrollar se centre, principalmente, en dos dimensiones: (i) 
probar la integración de una CBDC mayorista con la liquidación de activos financieros, y 
(ii) proporcionar evidencias prácticas acerca de las posibles ventajas y desventajas de la 
introducción de una CBDC mayorista respecto a procesos, procedimientos e 
infraestructuras tradicionales;</x:v>
      </x:c>
      <x:c r="K239" s="142" t="b">
        <x:v>0</x:v>
      </x:c>
      <x:c r="L239" s="146" t="str">
        <x:v>exclude</x:v>
      </x:c>
      <x:c r="M239" s="146" t="str">
        <x:v>keep</x:v>
      </x:c>
      <x:c r="N239" s="147" t="b">
        <x:v>0</x:v>
      </x:c>
      <x:c r="O239" s="146"/>
      <x:c r="P239" s="146" t="str">
        <x:v>SYS.design</x:v>
      </x:c>
      <x:c r="Q239" s="146" t="str"/>
      <x:c r="R239" s="146" t="str">
        <x:v>SYS</x:v>
      </x:c>
      <x:c r="S239" s="146"/>
      <x:c r="T239" s="146" t="str">
        <x:v>proposal</x:v>
      </x:c>
      <x:c r="U239" s="146"/>
      <x:c r="V239" s="146" t="str">
        <x:v>neutral</x:v>
      </x:c>
      <x:c r="W239" s="146"/>
      <x:c r="X239" s="146" t="str">
        <x:v>not_applicable</x:v>
      </x:c>
      <x:c r="Y239" s="146"/>
      <x:c r="Z239" s="146" t="n">
        <x:v>3</x:v>
      </x:c>
      <x:c r="AA239" s="146" t="str">
        <x:v>high</x:v>
      </x:c>
      <x:c r="AB239" s="146" t="str">
        <x:v>high</x:v>
      </x:c>
      <x:c r="AC239" s="146"/>
      <x:c r="AD239" s="146"/>
      <x:c r="AE239" s="151"/>
      <x:c r="AF239" s="151" t="str">
        <x:v>SYS.design</x:v>
      </x:c>
      <x:c r="AG239" s="151"/>
      <x:c r="AH239" s="151" t="str">
        <x:v>proposal</x:v>
      </x:c>
      <x:c r="AI239" s="154" t="n">
        <x:f>IF(K239,0,1)</x:f>
        <x:v>1</x:v>
      </x:c>
      <x:c r="AJ239" s="154" t="n">
        <x:f>IF(L239="keep",1,0)</x:f>
        <x:v>0</x:v>
      </x:c>
      <x:c r="AK239" s="154" t="n">
        <x:f>IF(M239="keep",1,0)</x:f>
        <x:v>1</x:v>
      </x:c>
      <x:c r="AL239" s="154" t="n">
        <x:f>(AJ239+AK239)/2</x:f>
        <x:v>0.5</x:v>
      </x:c>
      <x:c r="AM239" s="154" t="n">
        <x:f>MIN(AJ239,AK239)</x:f>
        <x:v>0</x:v>
      </x:c>
      <x:c r="AN239" s="154" t="n">
        <x:f>MAX(AJ239,AK239)</x:f>
        <x:v>1</x:v>
      </x:c>
      <x:c r="AO239" s="154" t="n">
        <x:f>IF(L239=M239,1,0)</x:f>
        <x:v>0</x:v>
      </x:c>
    </x:row>
    <x:row r="240">
      <x:c r="A240" s="38" t="str">
        <x:v>SV-0239</x:v>
      </x:c>
      <x:c r="B240" s="38" t="str">
        <x:v>PC-01402</x:v>
      </x:c>
      <x:c r="C240" s="38" t="str">
        <x:v>en|both</x:v>
      </x:c>
      <x:c r="D240" s="87" t="n">
        <x:v>19.069444444444443</x:v>
      </x:c>
      <x:c r="E240" s="38" t="str">
        <x:v>both</x:v>
      </x:c>
      <x:c r="F240" s="38" t="str">
        <x:v>EU_ECB_2024</x:v>
      </x:c>
      <x:c r="G240" s="38" t="n">
        <x:v>10</x:v>
      </x:c>
      <x:c r="H240" s="38" t="str">
        <x:v>en</x:v>
      </x:c>
      <x:c r="I240" s="38" t="str">
        <x:v>European Central Bank / Eurosystem (digital euro)</x:v>
      </x:c>
      <x:c r="J240" s="38" t="str">
        <x:v>consumers would have access to public 
money in digital form, which would provide a high level of privacy in their everyday 
payments and ultimately increase competition in the payments market</x:v>
      </x:c>
      <x:c r="K240" s="142" t="b">
        <x:v>0</x:v>
      </x:c>
      <x:c r="L240" s="146" t="str">
        <x:v>exclude</x:v>
      </x:c>
      <x:c r="M240" s="146" t="str">
        <x:v>keep</x:v>
      </x:c>
      <x:c r="N240" s="147" t="b">
        <x:v>0</x:v>
      </x:c>
      <x:c r="O240" s="146"/>
      <x:c r="P240" s="146" t="str">
        <x:v>PRIV.ANON</x:v>
      </x:c>
      <x:c r="Q240" s="146" t="str"/>
      <x:c r="R240" s="146" t="str">
        <x:v>PRIV</x:v>
      </x:c>
      <x:c r="S240" s="146"/>
      <x:c r="T240" s="146" t="str">
        <x:v>finding</x:v>
      </x:c>
      <x:c r="U240" s="146"/>
      <x:c r="V240" s="146" t="str">
        <x:v>increases</x:v>
      </x:c>
      <x:c r="W240" s="146"/>
      <x:c r="X240" s="146" t="str">
        <x:v>not_applicable</x:v>
      </x:c>
      <x:c r="Y240" s="146"/>
      <x:c r="Z240" s="146" t="n">
        <x:v>2</x:v>
      </x:c>
      <x:c r="AA240" s="146" t="str">
        <x:v>high</x:v>
      </x:c>
      <x:c r="AB240" s="146" t="str">
        <x:v>high</x:v>
      </x:c>
      <x:c r="AC240" s="146"/>
      <x:c r="AD240" s="146"/>
      <x:c r="AE240" s="151" t="str">
        <x:v>ADOPT.experience</x:v>
      </x:c>
      <x:c r="AF240" s="151" t="str">
        <x:v>PRIV.ANON</x:v>
      </x:c>
      <x:c r="AG240" s="151" t="str">
        <x:v>proposal</x:v>
      </x:c>
      <x:c r="AH240" s="151" t="str">
        <x:v>finding</x:v>
      </x:c>
      <x:c r="AI240" s="154" t="n">
        <x:f>IF(K240,0,1)</x:f>
        <x:v>1</x:v>
      </x:c>
      <x:c r="AJ240" s="154" t="n">
        <x:f>IF(L240="keep",1,0)</x:f>
        <x:v>0</x:v>
      </x:c>
      <x:c r="AK240" s="154" t="n">
        <x:f>IF(M240="keep",1,0)</x:f>
        <x:v>1</x:v>
      </x:c>
      <x:c r="AL240" s="154" t="n">
        <x:f>(AJ240+AK240)/2</x:f>
        <x:v>0.5</x:v>
      </x:c>
      <x:c r="AM240" s="154" t="n">
        <x:f>MIN(AJ240,AK240)</x:f>
        <x:v>0</x:v>
      </x:c>
      <x:c r="AN240" s="154" t="n">
        <x:f>MAX(AJ240,AK240)</x:f>
        <x:v>1</x:v>
      </x:c>
      <x:c r="AO240" s="154" t="n">
        <x:f>IF(L240=M240,1,0)</x:f>
        <x:v>0</x:v>
      </x:c>
    </x:row>
    <x:row r="241">
      <x:c r="A241" s="38" t="str">
        <x:v>SV-0240</x:v>
      </x:c>
      <x:c r="B241" s="38" t="str">
        <x:v>PC-03687</x:v>
      </x:c>
      <x:c r="C241" s="38" t="str">
        <x:v>en|openai_only</x:v>
      </x:c>
      <x:c r="D241" s="87" t="n">
        <x:v>19.21875</x:v>
      </x:c>
      <x:c r="E241" s="38" t="str">
        <x:v>openai_only</x:v>
      </x:c>
      <x:c r="F241" s="38" t="str">
        <x:v>JP_BoJ_2022</x:v>
      </x:c>
      <x:c r="G241" s="38" t="n">
        <x:v>10</x:v>
      </x:c>
      <x:c r="H241" s="38" t="str">
        <x:v>en</x:v>
      </x:c>
      <x:c r="I241" s="38" t="str">
        <x:v>Bank of Japan</x:v>
      </x:c>
      <x:c r="J241" s="38" t="str">
        <x:v>One possible strategy for mitigating the impact of record locking is “record splitting,” where 
the account -balance data recorded in the CBDC ledger are split into multiple parts.</x:v>
      </x:c>
      <x:c r="K241" s="142" t="b">
        <x:v>0</x:v>
      </x:c>
      <x:c r="L241" s="146" t="str">
        <x:v>keep</x:v>
      </x:c>
      <x:c r="M241" s="146" t="str">
        <x:v>exclude</x:v>
      </x:c>
      <x:c r="N241" s="147" t="b">
        <x:v>0</x:v>
      </x:c>
      <x:c r="O241" s="146" t="str">
        <x:v>SYS.design</x:v>
      </x:c>
      <x:c r="P241" s="146"/>
      <x:c r="Q241" s="146" t="str">
        <x:v>SYS</x:v>
      </x:c>
      <x:c r="R241" s="146" t="str"/>
      <x:c r="S241" s="146" t="str">
        <x:v>proposal</x:v>
      </x:c>
      <x:c r="T241" s="146"/>
      <x:c r="U241" s="146" t="str">
        <x:v>neutral</x:v>
      </x:c>
      <x:c r="V241" s="146"/>
      <x:c r="W241" s="146" t="str">
        <x:v>not_applicable</x:v>
      </x:c>
      <x:c r="X241" s="146"/>
      <x:c r="Y241" s="146" t="n">
        <x:v>2</x:v>
      </x:c>
      <x:c r="Z241" s="146"/>
      <x:c r="AA241" s="146" t="str">
        <x:v>high</x:v>
      </x:c>
      <x:c r="AB241" s="146" t="str">
        <x:v>high</x:v>
      </x:c>
      <x:c r="AC241" s="146"/>
      <x:c r="AD241" s="146"/>
      <x:c r="AE241" s="151" t="str">
        <x:v>SYS.design</x:v>
      </x:c>
      <x:c r="AF241" s="151"/>
      <x:c r="AG241" s="151" t="str">
        <x:v>proposal</x:v>
      </x:c>
      <x:c r="AH241" s="151"/>
      <x:c r="AI241" s="154" t="n">
        <x:f>IF(K241,0,1)</x:f>
        <x:v>1</x:v>
      </x:c>
      <x:c r="AJ241" s="154" t="n">
        <x:f>IF(L241="keep",1,0)</x:f>
        <x:v>1</x:v>
      </x:c>
      <x:c r="AK241" s="154" t="n">
        <x:f>IF(M241="keep",1,0)</x:f>
        <x:v>0</x:v>
      </x:c>
      <x:c r="AL241" s="154" t="n">
        <x:f>(AJ241+AK241)/2</x:f>
        <x:v>0.5</x:v>
      </x:c>
      <x:c r="AM241" s="154" t="n">
        <x:f>MIN(AJ241,AK241)</x:f>
        <x:v>0</x:v>
      </x:c>
      <x:c r="AN241" s="154" t="n">
        <x:f>MAX(AJ241,AK241)</x:f>
        <x:v>1</x:v>
      </x:c>
      <x:c r="AO241" s="154" t="n">
        <x:f>IF(L241=M241,1,0)</x:f>
        <x:v>0</x:v>
      </x:c>
    </x:row>
    <x:row r="242">
      <x:c r="A242" s="38" t="str">
        <x:v>SV-0241</x:v>
      </x:c>
      <x:c r="B242" s="38" t="str">
        <x:v>PC-00606</x:v>
      </x:c>
      <x:c r="C242" s="38" t="str">
        <x:v>en|both</x:v>
      </x:c>
      <x:c r="D242" s="87" t="n">
        <x:v>19.069444444444443</x:v>
      </x:c>
      <x:c r="E242" s="38" t="str">
        <x:v>both</x:v>
      </x:c>
      <x:c r="F242" s="38" t="str">
        <x:v>BS_Bahamas_SandDollar_2019</x:v>
      </x:c>
      <x:c r="G242" s="38" t="n">
        <x:v>25</x:v>
      </x:c>
      <x:c r="H242" s="38" t="str">
        <x:v>en</x:v>
      </x:c>
      <x:c r="I242" s="38" t="str">
        <x:v>Central Bank of The Bahamas (Sand Dollar)</x:v>
      </x:c>
      <x:c r="J242" s="38" t="str">
        <x:v>Deposits can be made 
by account holder and 
3rd parties, but 
withdrawals must be 
made by account holder 
only.</x:v>
      </x:c>
      <x:c r="K242" s="142" t="b">
        <x:v>0</x:v>
      </x:c>
      <x:c r="L242" s="146" t="str">
        <x:v>keep</x:v>
      </x:c>
      <x:c r="M242" s="146" t="str">
        <x:v>keep</x:v>
      </x:c>
      <x:c r="N242" s="147" t="b">
        <x:v>1</x:v>
      </x:c>
      <x:c r="O242" s="146" t="str">
        <x:v>SYS.design</x:v>
      </x:c>
      <x:c r="P242" s="146" t="str">
        <x:v>SYS.design</x:v>
      </x:c>
      <x:c r="Q242" s="146" t="str">
        <x:v>SYS</x:v>
      </x:c>
      <x:c r="R242" s="146" t="str">
        <x:v>SYS</x:v>
      </x:c>
      <x:c r="S242" s="146" t="str">
        <x:v>decision</x:v>
      </x:c>
      <x:c r="T242" s="146" t="str">
        <x:v>decision</x:v>
      </x:c>
      <x:c r="U242" s="146" t="str">
        <x:v>neutral</x:v>
      </x:c>
      <x:c r="V242" s="146" t="str">
        <x:v>neutral</x:v>
      </x:c>
      <x:c r="W242" s="146" t="str">
        <x:v>not_applicable</x:v>
      </x:c>
      <x:c r="X242" s="146" t="str">
        <x:v>not_applicable</x:v>
      </x:c>
      <x:c r="Y242" s="146" t="n">
        <x:v>3</x:v>
      </x:c>
      <x:c r="Z242" s="146" t="n">
        <x:v>2</x:v>
      </x:c>
      <x:c r="AA242" s="146" t="str">
        <x:v>high</x:v>
      </x:c>
      <x:c r="AB242" s="146" t="str">
        <x:v>high</x:v>
      </x:c>
      <x:c r="AC242" s="146"/>
      <x:c r="AD242" s="146"/>
      <x:c r="AE242" s="151" t="str">
        <x:v>PROG.remuneration_no</x:v>
      </x:c>
      <x:c r="AF242" s="151" t="str">
        <x:v>SYS.design</x:v>
      </x:c>
      <x:c r="AG242" s="151" t="str">
        <x:v>decision</x:v>
      </x:c>
      <x:c r="AH242" s="151" t="str">
        <x:v>decision</x:v>
      </x:c>
      <x:c r="AI242" s="154" t="n">
        <x:f>IF(K242,0,1)</x:f>
        <x:v>1</x:v>
      </x:c>
      <x:c r="AJ242" s="154" t="n">
        <x:f>IF(L242="keep",1,0)</x:f>
        <x:v>1</x:v>
      </x:c>
      <x:c r="AK242" s="154" t="n">
        <x:f>IF(M242="keep",1,0)</x:f>
        <x:v>1</x:v>
      </x:c>
      <x:c r="AL242" s="154" t="n">
        <x:f>(AJ242+AK242)/2</x:f>
        <x:v>1</x:v>
      </x:c>
      <x:c r="AM242" s="154" t="n">
        <x:f>MIN(AJ242,AK242)</x:f>
        <x:v>1</x:v>
      </x:c>
      <x:c r="AN242" s="154" t="n">
        <x:f>MAX(AJ242,AK242)</x:f>
        <x:v>1</x:v>
      </x:c>
      <x:c r="AO242" s="154" t="n">
        <x:f>IF(L242=M242,1,0)</x:f>
        <x:v>1</x:v>
      </x:c>
    </x:row>
    <x:row r="243">
      <x:c r="A243" s="38" t="str">
        <x:v>SV-0242</x:v>
      </x:c>
      <x:c r="B243" s="38" t="str">
        <x:v>PC-00859</x:v>
      </x:c>
      <x:c r="C243" s="38" t="str">
        <x:v>en|both</x:v>
      </x:c>
      <x:c r="D243" s="87" t="n">
        <x:v>19.069444444444443</x:v>
      </x:c>
      <x:c r="E243" s="38" t="str">
        <x:v>both</x:v>
      </x:c>
      <x:c r="F243" s="38" t="str">
        <x:v>CA_Jasper_III_2018</x:v>
      </x:c>
      <x:c r="G243" s="38" t="n">
        <x:v>14</x:v>
      </x:c>
      <x:c r="H243" s="38" t="str">
        <x:v>en</x:v>
      </x:c>
      <x:c r="I243" s="38" t="str">
        <x:v>Bank of Canada and Payments Canada (Project Jasper)</x:v>
      </x:c>
      <x:c r="J243" s="38" t="str">
        <x:v>The positions are 
ordered by the International Securities Identification Number (ISIN) and then by 
decreasing value. The process tries to settle each of these positions in order, 
skipping any position where a counterparty has insufficient cash or equity DDR 
for that ISIN on-ledger.</x:v>
      </x:c>
      <x:c r="K243" s="142" t="b">
        <x:v>0</x:v>
      </x:c>
      <x:c r="L243" s="146" t="str">
        <x:v>keep</x:v>
      </x:c>
      <x:c r="M243" s="146" t="str">
        <x:v>keep</x:v>
      </x:c>
      <x:c r="N243" s="147" t="b">
        <x:v>1</x:v>
      </x:c>
      <x:c r="O243" s="146" t="str">
        <x:v>SYS.design</x:v>
      </x:c>
      <x:c r="P243" s="146" t="str">
        <x:v>SYS.design</x:v>
      </x:c>
      <x:c r="Q243" s="146" t="str">
        <x:v>SYS</x:v>
      </x:c>
      <x:c r="R243" s="146" t="str">
        <x:v>SYS</x:v>
      </x:c>
      <x:c r="S243" s="146" t="str">
        <x:v>decision</x:v>
      </x:c>
      <x:c r="T243" s="146" t="str">
        <x:v>decision</x:v>
      </x:c>
      <x:c r="U243" s="146" t="str">
        <x:v>neutral</x:v>
      </x:c>
      <x:c r="V243" s="146" t="str">
        <x:v>neutral</x:v>
      </x:c>
      <x:c r="W243" s="146" t="str">
        <x:v>not_applicable</x:v>
      </x:c>
      <x:c r="X243" s="146" t="str">
        <x:v>not_applicable</x:v>
      </x:c>
      <x:c r="Y243" s="146" t="n">
        <x:v>3</x:v>
      </x:c>
      <x:c r="Z243" s="146" t="n">
        <x:v>2</x:v>
      </x:c>
      <x:c r="AA243" s="146" t="str">
        <x:v>high</x:v>
      </x:c>
      <x:c r="AB243" s="146" t="str">
        <x:v>high</x:v>
      </x:c>
      <x:c r="AC243" s="146"/>
      <x:c r="AD243" s="146"/>
      <x:c r="AE243" s="151" t="str">
        <x:v>SYS.design</x:v>
      </x:c>
      <x:c r="AF243" s="151" t="str">
        <x:v>SYS.design</x:v>
      </x:c>
      <x:c r="AG243" s="151" t="str">
        <x:v>decision</x:v>
      </x:c>
      <x:c r="AH243" s="151" t="str">
        <x:v>decision</x:v>
      </x:c>
      <x:c r="AI243" s="154" t="n">
        <x:f>IF(K243,0,1)</x:f>
        <x:v>1</x:v>
      </x:c>
      <x:c r="AJ243" s="154" t="n">
        <x:f>IF(L243="keep",1,0)</x:f>
        <x:v>1</x:v>
      </x:c>
      <x:c r="AK243" s="154" t="n">
        <x:f>IF(M243="keep",1,0)</x:f>
        <x:v>1</x:v>
      </x:c>
      <x:c r="AL243" s="154" t="n">
        <x:f>(AJ243+AK243)/2</x:f>
        <x:v>1</x:v>
      </x:c>
      <x:c r="AM243" s="154" t="n">
        <x:f>MIN(AJ243,AK243)</x:f>
        <x:v>1</x:v>
      </x:c>
      <x:c r="AN243" s="154" t="n">
        <x:f>MAX(AJ243,AK243)</x:f>
        <x:v>1</x:v>
      </x:c>
      <x:c r="AO243" s="154" t="n">
        <x:f>IF(L243=M243,1,0)</x:f>
        <x:v>1</x:v>
      </x:c>
    </x:row>
    <x:row r="244">
      <x:c r="A244" s="38" t="str">
        <x:v>SV-0243</x:v>
      </x:c>
      <x:c r="B244" s="38" t="str">
        <x:v>PC-05453</x:v>
      </x:c>
      <x:c r="C244" s="38" t="str">
        <x:v>en|both</x:v>
      </x:c>
      <x:c r="D244" s="87" t="n">
        <x:v>19.069444444444443</x:v>
      </x:c>
      <x:c r="E244" s="38" t="str">
        <x:v>both</x:v>
      </x:c>
      <x:c r="F244" s="38" t="str">
        <x:v>SZ_Eswatini_2024-Fintech-Digital-Lilangeni-Design-Paper</x:v>
      </x:c>
      <x:c r="G244" s="38" t="n">
        <x:v>20</x:v>
      </x:c>
      <x:c r="H244" s="38" t="str">
        <x:v>en</x:v>
      </x:c>
      <x:c r="I244" s="38" t="str">
        <x:v>Central Bank of Eswatini (Digital Lilangeni)</x:v>
      </x:c>
      <x:c r="J244" s="38" t="str">
        <x:v>An important insight that the CBE gained from this test process was an understanding 
of the requirements as well as limitations of consecutive offline payments. While 
multiple offline transactions can be completed with a smart card, it was realised that at 
some point the smart card needs to go online to reconcile the transaction history and 
“clean up” the card.</x:v>
      </x:c>
      <x:c r="K244" s="142" t="b">
        <x:v>0</x:v>
      </x:c>
      <x:c r="L244" s="146" t="str">
        <x:v>keep</x:v>
      </x:c>
      <x:c r="M244" s="146" t="str">
        <x:v>keep</x:v>
      </x:c>
      <x:c r="N244" s="147" t="b">
        <x:v>1</x:v>
      </x:c>
      <x:c r="O244" s="146" t="str">
        <x:v>OPS.resilience</x:v>
      </x:c>
      <x:c r="P244" s="146" t="str">
        <x:v>PROC.pilot_learning</x:v>
      </x:c>
      <x:c r="Q244" s="146" t="str">
        <x:v>OPS</x:v>
      </x:c>
      <x:c r="R244" s="146" t="str">
        <x:v>PROC</x:v>
      </x:c>
      <x:c r="S244" s="146" t="str">
        <x:v>finding</x:v>
      </x:c>
      <x:c r="T244" s="146" t="str">
        <x:v>finding</x:v>
      </x:c>
      <x:c r="U244" s="146" t="str">
        <x:v>neutral</x:v>
      </x:c>
      <x:c r="V244" s="146" t="str">
        <x:v>neutral</x:v>
      </x:c>
      <x:c r="W244" s="146" t="str">
        <x:v>not_applicable</x:v>
      </x:c>
      <x:c r="X244" s="146" t="str">
        <x:v>not_applicable</x:v>
      </x:c>
      <x:c r="Y244" s="146" t="n">
        <x:v>3</x:v>
      </x:c>
      <x:c r="Z244" s="146" t="n">
        <x:v>3</x:v>
      </x:c>
      <x:c r="AA244" s="146" t="str">
        <x:v>high</x:v>
      </x:c>
      <x:c r="AB244" s="146" t="str">
        <x:v>high</x:v>
      </x:c>
      <x:c r="AC244" s="146"/>
      <x:c r="AD244" s="146"/>
      <x:c r="AE244" s="151" t="str">
        <x:v>OPS.resilience</x:v>
      </x:c>
      <x:c r="AF244" s="151" t="str">
        <x:v>PROC.pilot_learning</x:v>
      </x:c>
      <x:c r="AG244" s="151" t="str">
        <x:v>finding</x:v>
      </x:c>
      <x:c r="AH244" s="151" t="str">
        <x:v>finding</x:v>
      </x:c>
      <x:c r="AI244" s="154" t="n">
        <x:f>IF(K244,0,1)</x:f>
        <x:v>1</x:v>
      </x:c>
      <x:c r="AJ244" s="154" t="n">
        <x:f>IF(L244="keep",1,0)</x:f>
        <x:v>1</x:v>
      </x:c>
      <x:c r="AK244" s="154" t="n">
        <x:f>IF(M244="keep",1,0)</x:f>
        <x:v>1</x:v>
      </x:c>
      <x:c r="AL244" s="154" t="n">
        <x:f>(AJ244+AK244)/2</x:f>
        <x:v>1</x:v>
      </x:c>
      <x:c r="AM244" s="154" t="n">
        <x:f>MIN(AJ244,AK244)</x:f>
        <x:v>1</x:v>
      </x:c>
      <x:c r="AN244" s="154" t="n">
        <x:f>MAX(AJ244,AK244)</x:f>
        <x:v>1</x:v>
      </x:c>
      <x:c r="AO244" s="154" t="n">
        <x:f>IF(L244=M244,1,0)</x:f>
        <x:v>1</x:v>
      </x:c>
    </x:row>
    <x:row r="245">
      <x:c r="A245" s="38" t="str">
        <x:v>SV-0244</x:v>
      </x:c>
      <x:c r="B245" s="38" t="str">
        <x:v>PC-02134</x:v>
      </x:c>
      <x:c r="C245" s="38" t="str">
        <x:v>en|both</x:v>
      </x:c>
      <x:c r="D245" s="87" t="n">
        <x:v>19.069444444444443</x:v>
      </x:c>
      <x:c r="E245" s="38" t="str">
        <x:v>both</x:v>
      </x:c>
      <x:c r="F245" s="38" t="str">
        <x:v>HK_HKMA_eHKD_PolicyDesign</x:v>
      </x:c>
      <x:c r="G245" s="38" t="n">
        <x:v>33</x:v>
      </x:c>
      <x:c r="H245" s="38" t="str">
        <x:v>en</x:v>
      </x:c>
      <x:c r="I245" s="38" t="str">
        <x:v>Hong Kong Monetary Authority (e-HKD)</x:v>
      </x:c>
      <x:c r="J245" s="38" t="str">
        <x:v>In comparing the Banknote approach with the Coins approach, the HKMA is inclined 
towards the Coins approach under which e-HKD would be solely issued by one single 
authority, but would still have the advantage of tasking agent banks to handle all 
customer-facing activities relating to the distribution of e-HKD.</x:v>
      </x:c>
      <x:c r="K245" s="142" t="b">
        <x:v>0</x:v>
      </x:c>
      <x:c r="L245" s="146" t="str">
        <x:v>keep</x:v>
      </x:c>
      <x:c r="M245" s="146" t="str">
        <x:v>keep</x:v>
      </x:c>
      <x:c r="N245" s="147" t="b">
        <x:v>1</x:v>
      </x:c>
      <x:c r="O245" s="146" t="str">
        <x:v>SYS.design</x:v>
      </x:c>
      <x:c r="P245" s="146" t="str">
        <x:v>INTEROP.domestic</x:v>
      </x:c>
      <x:c r="Q245" s="146" t="str">
        <x:v>SYS</x:v>
      </x:c>
      <x:c r="R245" s="146" t="str">
        <x:v>INTEROP</x:v>
      </x:c>
      <x:c r="S245" s="146" t="str">
        <x:v>proposal</x:v>
      </x:c>
      <x:c r="T245" s="146" t="str">
        <x:v>proposal</x:v>
      </x:c>
      <x:c r="U245" s="146" t="str">
        <x:v>neutral</x:v>
      </x:c>
      <x:c r="V245" s="146" t="str">
        <x:v>neutral</x:v>
      </x:c>
      <x:c r="W245" s="146" t="str">
        <x:v>not_applicable</x:v>
      </x:c>
      <x:c r="X245" s="146" t="str">
        <x:v>not_applicable</x:v>
      </x:c>
      <x:c r="Y245" s="146" t="n">
        <x:v>3</x:v>
      </x:c>
      <x:c r="Z245" s="146" t="n">
        <x:v>2</x:v>
      </x:c>
      <x:c r="AA245" s="146" t="str">
        <x:v>high</x:v>
      </x:c>
      <x:c r="AB245" s="146" t="str">
        <x:v>high</x:v>
      </x:c>
      <x:c r="AC245" s="146"/>
      <x:c r="AD245" s="146"/>
      <x:c r="AE245" s="151" t="str">
        <x:v>SYS.design</x:v>
      </x:c>
      <x:c r="AF245" s="151" t="str">
        <x:v>INTEROP.domestic</x:v>
      </x:c>
      <x:c r="AG245" s="151" t="str">
        <x:v>proposal</x:v>
      </x:c>
      <x:c r="AH245" s="151" t="str">
        <x:v>proposal</x:v>
      </x:c>
      <x:c r="AI245" s="154" t="n">
        <x:f>IF(K245,0,1)</x:f>
        <x:v>1</x:v>
      </x:c>
      <x:c r="AJ245" s="154" t="n">
        <x:f>IF(L245="keep",1,0)</x:f>
        <x:v>1</x:v>
      </x:c>
      <x:c r="AK245" s="154" t="n">
        <x:f>IF(M245="keep",1,0)</x:f>
        <x:v>1</x:v>
      </x:c>
      <x:c r="AL245" s="154" t="n">
        <x:f>(AJ245+AK245)/2</x:f>
        <x:v>1</x:v>
      </x:c>
      <x:c r="AM245" s="154" t="n">
        <x:f>MIN(AJ245,AK245)</x:f>
        <x:v>1</x:v>
      </x:c>
      <x:c r="AN245" s="154" t="n">
        <x:f>MAX(AJ245,AK245)</x:f>
        <x:v>1</x:v>
      </x:c>
      <x:c r="AO245" s="154" t="n">
        <x:f>IF(L245=M245,1,0)</x:f>
        <x:v>1</x:v>
      </x:c>
    </x:row>
    <x:row r="246">
      <x:c r="A246" s="38" t="str">
        <x:v>SV-0245</x:v>
      </x:c>
      <x:c r="B246" s="38" t="str">
        <x:v>PC-05465</x:v>
      </x:c>
      <x:c r="C246" s="38" t="str">
        <x:v>en|claude_only</x:v>
      </x:c>
      <x:c r="D246" s="87" t="n">
        <x:v>19.375</x:v>
      </x:c>
      <x:c r="E246" s="38" t="str">
        <x:v>claude_only</x:v>
      </x:c>
      <x:c r="F246" s="38" t="str">
        <x:v>SZ_Eswatini_2024-Fintech-Digital-Lilangeni-Design-Paper</x:v>
      </x:c>
      <x:c r="G246" s="38" t="n">
        <x:v>23</x:v>
      </x:c>
      <x:c r="H246" s="38" t="str">
        <x:v>en</x:v>
      </x:c>
      <x:c r="I246" s="38" t="str">
        <x:v>Central Bank of Eswatini (Digital Lilangeni)</x:v>
      </x:c>
      <x:c r="J246" s="38" t="str">
        <x:v>The integration of Digital Lilangeni into the USS D system can also serve 
as a significant driver for financial inclusion.</x:v>
      </x:c>
      <x:c r="K246" s="142" t="b">
        <x:v>0</x:v>
      </x:c>
      <x:c r="L246" s="146" t="str">
        <x:v>exclude</x:v>
      </x:c>
      <x:c r="M246" s="146" t="str">
        <x:v>keep</x:v>
      </x:c>
      <x:c r="N246" s="147" t="b">
        <x:v>0</x:v>
      </x:c>
      <x:c r="O246" s="146"/>
      <x:c r="P246" s="146" t="str">
        <x:v>ACCESS.universal</x:v>
      </x:c>
      <x:c r="Q246" s="146" t="str"/>
      <x:c r="R246" s="146" t="str">
        <x:v>ACCESS</x:v>
      </x:c>
      <x:c r="S246" s="146"/>
      <x:c r="T246" s="146" t="str">
        <x:v>proposal</x:v>
      </x:c>
      <x:c r="U246" s="146"/>
      <x:c r="V246" s="146" t="str">
        <x:v>neutral</x:v>
      </x:c>
      <x:c r="W246" s="146"/>
      <x:c r="X246" s="146" t="str">
        <x:v>not_applicable</x:v>
      </x:c>
      <x:c r="Y246" s="146"/>
      <x:c r="Z246" s="146" t="n">
        <x:v>2</x:v>
      </x:c>
      <x:c r="AA246" s="146" t="str">
        <x:v>high</x:v>
      </x:c>
      <x:c r="AB246" s="146" t="str">
        <x:v>high</x:v>
      </x:c>
      <x:c r="AC246" s="146"/>
      <x:c r="AD246" s="146"/>
      <x:c r="AE246" s="151"/>
      <x:c r="AF246" s="151" t="str">
        <x:v>ACCESS.universal</x:v>
      </x:c>
      <x:c r="AG246" s="151"/>
      <x:c r="AH246" s="151" t="str">
        <x:v>proposal</x:v>
      </x:c>
      <x:c r="AI246" s="154" t="n">
        <x:f>IF(K246,0,1)</x:f>
        <x:v>1</x:v>
      </x:c>
      <x:c r="AJ246" s="154" t="n">
        <x:f>IF(L246="keep",1,0)</x:f>
        <x:v>0</x:v>
      </x:c>
      <x:c r="AK246" s="154" t="n">
        <x:f>IF(M246="keep",1,0)</x:f>
        <x:v>1</x:v>
      </x:c>
      <x:c r="AL246" s="154" t="n">
        <x:f>(AJ246+AK246)/2</x:f>
        <x:v>0.5</x:v>
      </x:c>
      <x:c r="AM246" s="154" t="n">
        <x:f>MIN(AJ246,AK246)</x:f>
        <x:v>0</x:v>
      </x:c>
      <x:c r="AN246" s="154" t="n">
        <x:f>MAX(AJ246,AK246)</x:f>
        <x:v>1</x:v>
      </x:c>
      <x:c r="AO246" s="154" t="n">
        <x:f>IF(L246=M246,1,0)</x:f>
        <x:v>0</x:v>
      </x:c>
    </x:row>
    <x:row r="247">
      <x:c r="A247" s="38" t="str">
        <x:v>SV-0246</x:v>
      </x:c>
      <x:c r="B247" s="38" t="str">
        <x:v>PC-02381</x:v>
      </x:c>
      <x:c r="C247" s="38" t="str">
        <x:v>en|both</x:v>
      </x:c>
      <x:c r="D247" s="87" t="n">
        <x:v>19.069444444444443</x:v>
      </x:c>
      <x:c r="E247" s="38" t="str">
        <x:v>both</x:v>
      </x:c>
      <x:c r="F247" s="38" t="str">
        <x:v>ID_Indonesia_2022</x:v>
      </x:c>
      <x:c r="G247" s="38" t="n">
        <x:v>44</x:v>
      </x:c>
      <x:c r="H247" s="38" t="str">
        <x:v>en</x:v>
      </x:c>
      <x:c r="I247" s="38" t="str">
        <x:v>Bank Indonesia (Digital Rupiah)</x:v>
      </x:c>
      <x:c r="J247" s="38" t="str">
        <x:v>Digital Rupiah will be designed 
to have the quality in mitigating 
those unique risks, including 
cybersecurity. Assessment and 
identification of risks will be 
done accordingly to produce 
safe, reliable, and resilient Digital 
Rupiah technology design.</x:v>
      </x:c>
      <x:c r="K247" s="142" t="b">
        <x:v>0</x:v>
      </x:c>
      <x:c r="L247" s="146" t="str">
        <x:v>keep</x:v>
      </x:c>
      <x:c r="M247" s="146" t="str">
        <x:v>keep</x:v>
      </x:c>
      <x:c r="N247" s="147" t="b">
        <x:v>1</x:v>
      </x:c>
      <x:c r="O247" s="146" t="str">
        <x:v>OPS.resilience</x:v>
      </x:c>
      <x:c r="P247" s="146" t="str">
        <x:v>OPS.resilience</x:v>
      </x:c>
      <x:c r="Q247" s="146" t="str">
        <x:v>OPS</x:v>
      </x:c>
      <x:c r="R247" s="146" t="str">
        <x:v>OPS</x:v>
      </x:c>
      <x:c r="S247" s="146" t="str">
        <x:v>finding</x:v>
      </x:c>
      <x:c r="T247" s="146" t="str">
        <x:v>decision</x:v>
      </x:c>
      <x:c r="U247" s="146" t="str">
        <x:v>neutral</x:v>
      </x:c>
      <x:c r="V247" s="146" t="str">
        <x:v>neutral</x:v>
      </x:c>
      <x:c r="W247" s="146" t="str">
        <x:v>not_applicable</x:v>
      </x:c>
      <x:c r="X247" s="146" t="str">
        <x:v>not_applicable</x:v>
      </x:c>
      <x:c r="Y247" s="146" t="n">
        <x:v>2</x:v>
      </x:c>
      <x:c r="Z247" s="146" t="n">
        <x:v>2</x:v>
      </x:c>
      <x:c r="AA247" s="146" t="str">
        <x:v>high</x:v>
      </x:c>
      <x:c r="AB247" s="146" t="str">
        <x:v>high</x:v>
      </x:c>
      <x:c r="AC247" s="146"/>
      <x:c r="AD247" s="146"/>
      <x:c r="AE247" s="151" t="str">
        <x:v>OPS.resilience</x:v>
      </x:c>
      <x:c r="AF247" s="151" t="str">
        <x:v>OPS.resilience</x:v>
      </x:c>
      <x:c r="AG247" s="151" t="str">
        <x:v>finding</x:v>
      </x:c>
      <x:c r="AH247" s="151" t="str">
        <x:v>decision</x:v>
      </x:c>
      <x:c r="AI247" s="154" t="n">
        <x:f>IF(K247,0,1)</x:f>
        <x:v>1</x:v>
      </x:c>
      <x:c r="AJ247" s="154" t="n">
        <x:f>IF(L247="keep",1,0)</x:f>
        <x:v>1</x:v>
      </x:c>
      <x:c r="AK247" s="154" t="n">
        <x:f>IF(M247="keep",1,0)</x:f>
        <x:v>1</x:v>
      </x:c>
      <x:c r="AL247" s="154" t="n">
        <x:f>(AJ247+AK247)/2</x:f>
        <x:v>1</x:v>
      </x:c>
      <x:c r="AM247" s="154" t="n">
        <x:f>MIN(AJ247,AK247)</x:f>
        <x:v>1</x:v>
      </x:c>
      <x:c r="AN247" s="154" t="n">
        <x:f>MAX(AJ247,AK247)</x:f>
        <x:v>1</x:v>
      </x:c>
      <x:c r="AO247" s="154" t="n">
        <x:f>IF(L247=M247,1,0)</x:f>
        <x:v>1</x:v>
      </x:c>
    </x:row>
    <x:row r="248">
      <x:c r="A248" s="38" t="str">
        <x:v>SV-0247</x:v>
      </x:c>
      <x:c r="B248" s="38" t="str">
        <x:v>PC-03681</x:v>
      </x:c>
      <x:c r="C248" s="38" t="str">
        <x:v>en|claude_only</x:v>
      </x:c>
      <x:c r="D248" s="87" t="n">
        <x:v>19.375</x:v>
      </x:c>
      <x:c r="E248" s="38" t="str">
        <x:v>claude_only</x:v>
      </x:c>
      <x:c r="F248" s="38" t="str">
        <x:v>JP_BoJ_2022</x:v>
      </x:c>
      <x:c r="G248" s="38" t="n">
        <x:v>9</x:v>
      </x:c>
      <x:c r="H248" s="38" t="str">
        <x:v>en</x:v>
      </x:c>
      <x:c r="I248" s="38" t="str">
        <x:v>Bank of Japan</x:v>
      </x:c>
      <x:c r="J248" s="38" t="str">
        <x:v>This means that the CPU utilization rate increases with the number of processes on hold 
for a single record.</x:v>
      </x:c>
      <x:c r="K248" s="142" t="b">
        <x:v>0</x:v>
      </x:c>
      <x:c r="L248" s="146" t="str">
        <x:v>exclude</x:v>
      </x:c>
      <x:c r="M248" s="146" t="str">
        <x:v>exclude</x:v>
      </x:c>
      <x:c r="N248" s="147" t="b">
        <x:v>1</x:v>
      </x:c>
      <x:c r="O248" s="146"/>
      <x:c r="P248" s="146" t="str">
        <x:v>PROC.pilot_learning</x:v>
      </x:c>
      <x:c r="Q248" s="146" t="str"/>
      <x:c r="R248" s="146" t="str">
        <x:v>PROC</x:v>
      </x:c>
      <x:c r="S248" s="146"/>
      <x:c r="T248" s="146" t="str">
        <x:v>finding</x:v>
      </x:c>
      <x:c r="U248" s="146"/>
      <x:c r="V248" s="146" t="str">
        <x:v>neutral</x:v>
      </x:c>
      <x:c r="W248" s="146"/>
      <x:c r="X248" s="146" t="str">
        <x:v>not_applicable</x:v>
      </x:c>
      <x:c r="Y248" s="146"/>
      <x:c r="Z248" s="146" t="n">
        <x:v>1</x:v>
      </x:c>
      <x:c r="AA248" s="146" t="str">
        <x:v>high</x:v>
      </x:c>
      <x:c r="AB248" s="146" t="str">
        <x:v>high</x:v>
      </x:c>
      <x:c r="AC248" s="146"/>
      <x:c r="AD248" s="146" t="str">
        <x:v>x</x:v>
      </x:c>
      <x:c r="AE248" s="151"/>
      <x:c r="AF248" s="151" t="str">
        <x:v>PROC.pilot_learning</x:v>
      </x:c>
      <x:c r="AG248" s="151"/>
      <x:c r="AH248" s="151" t="str">
        <x:v>finding</x:v>
      </x:c>
      <x:c r="AI248" s="154" t="n">
        <x:f>IF(K248,0,1)</x:f>
        <x:v>1</x:v>
      </x:c>
      <x:c r="AJ248" s="154" t="n">
        <x:f>IF(L248="keep",1,0)</x:f>
        <x:v>0</x:v>
      </x:c>
      <x:c r="AK248" s="154" t="n">
        <x:f>IF(M248="keep",1,0)</x:f>
        <x:v>0</x:v>
      </x:c>
      <x:c r="AL248" s="154" t="n">
        <x:f>(AJ248+AK248)/2</x:f>
        <x:v>0</x:v>
      </x:c>
      <x:c r="AM248" s="154" t="n">
        <x:f>MIN(AJ248,AK248)</x:f>
        <x:v>0</x:v>
      </x:c>
      <x:c r="AN248" s="154" t="n">
        <x:f>MAX(AJ248,AK248)</x:f>
        <x:v>0</x:v>
      </x:c>
      <x:c r="AO248" s="154" t="n">
        <x:f>IF(L248=M248,1,0)</x:f>
        <x:v>1</x:v>
      </x:c>
    </x:row>
    <x:row r="249">
      <x:c r="A249" s="38" t="str">
        <x:v>SV-0248</x:v>
      </x:c>
      <x:c r="B249" s="38" t="str">
        <x:v>PC-06040</x:v>
      </x:c>
      <x:c r="C249" s="38" t="str">
        <x:v>en|openai_only</x:v>
      </x:c>
      <x:c r="D249" s="87" t="n">
        <x:v>19.21875</x:v>
      </x:c>
      <x:c r="E249" s="38" t="str">
        <x:v>openai_only</x:v>
      </x:c>
      <x:c r="F249" s="38" t="str">
        <x:v>UK_BoE_2020_OpportChall</x:v>
      </x:c>
      <x:c r="G249" s="38" t="n">
        <x:v>24</x:v>
      </x:c>
      <x:c r="H249" s="38" t="str">
        <x:v>en</x:v>
      </x:c>
      <x:c r="I249" s="38" t="str">
        <x:v>Bank of England and HM Treasury (digital pound)</x:v>
      </x:c>
      <x:c r="J249" s="38" t="str">
        <x:v>Inclusive: CBDC payment systems should be designed to minimise barriers to use from (a) technical literacy, 
(b) disabilities, and (c) access to hardware (eg avoiding reliance on latest smartphones) or (d) access to mobile 
data networks (eg in rural areas).</x:v>
      </x:c>
      <x:c r="K249" s="142" t="b">
        <x:v>0</x:v>
      </x:c>
      <x:c r="L249" s="146" t="str">
        <x:v>keep</x:v>
      </x:c>
      <x:c r="M249" s="146" t="str">
        <x:v>exclude</x:v>
      </x:c>
      <x:c r="N249" s="147" t="b">
        <x:v>0</x:v>
      </x:c>
      <x:c r="O249" s="146" t="str">
        <x:v>ACCESS.universal</x:v>
      </x:c>
      <x:c r="P249" s="146"/>
      <x:c r="Q249" s="146" t="str">
        <x:v>ACCESS</x:v>
      </x:c>
      <x:c r="R249" s="146" t="str"/>
      <x:c r="S249" s="146" t="str">
        <x:v>proposal</x:v>
      </x:c>
      <x:c r="T249" s="146"/>
      <x:c r="U249" s="146" t="str">
        <x:v>neutral</x:v>
      </x:c>
      <x:c r="V249" s="146"/>
      <x:c r="W249" s="146" t="str">
        <x:v>not_applicable</x:v>
      </x:c>
      <x:c r="X249" s="146"/>
      <x:c r="Y249" s="146" t="n">
        <x:v>3</x:v>
      </x:c>
      <x:c r="Z249" s="146"/>
      <x:c r="AA249" s="146" t="str">
        <x:v>high</x:v>
      </x:c>
      <x:c r="AB249" s="146" t="str">
        <x:v>high</x:v>
      </x:c>
      <x:c r="AC249" s="146"/>
      <x:c r="AD249" s="146"/>
      <x:c r="AE249" s="151" t="str">
        <x:v>ACCESS.universal</x:v>
      </x:c>
      <x:c r="AF249" s="151"/>
      <x:c r="AG249" s="151" t="str">
        <x:v>proposal</x:v>
      </x:c>
      <x:c r="AH249" s="151"/>
      <x:c r="AI249" s="154" t="n">
        <x:f>IF(K249,0,1)</x:f>
        <x:v>1</x:v>
      </x:c>
      <x:c r="AJ249" s="154" t="n">
        <x:f>IF(L249="keep",1,0)</x:f>
        <x:v>1</x:v>
      </x:c>
      <x:c r="AK249" s="154" t="n">
        <x:f>IF(M249="keep",1,0)</x:f>
        <x:v>0</x:v>
      </x:c>
      <x:c r="AL249" s="154" t="n">
        <x:f>(AJ249+AK249)/2</x:f>
        <x:v>0.5</x:v>
      </x:c>
      <x:c r="AM249" s="154" t="n">
        <x:f>MIN(AJ249,AK249)</x:f>
        <x:v>0</x:v>
      </x:c>
      <x:c r="AN249" s="154" t="n">
        <x:f>MAX(AJ249,AK249)</x:f>
        <x:v>1</x:v>
      </x:c>
      <x:c r="AO249" s="154" t="n">
        <x:f>IF(L249=M249,1,0)</x:f>
        <x:v>0</x:v>
      </x:c>
    </x:row>
    <x:row r="250">
      <x:c r="A250" s="38" t="str">
        <x:v>SV-0249</x:v>
      </x:c>
      <x:c r="B250" s="38" t="str">
        <x:v>PC-01750</x:v>
      </x:c>
      <x:c r="C250" s="38" t="str">
        <x:v>en|openai_only</x:v>
      </x:c>
      <x:c r="D250" s="87" t="n">
        <x:v>19.21875</x:v>
      </x:c>
      <x:c r="E250" s="38" t="str">
        <x:v>openai_only</x:v>
      </x:c>
      <x:c r="F250" s="38" t="str">
        <x:v>GH_Ghana_2023</x:v>
      </x:c>
      <x:c r="G250" s="38" t="n">
        <x:v>29</x:v>
      </x:c>
      <x:c r="H250" s="38" t="str">
        <x:v>en</x:v>
      </x:c>
      <x:c r="I250" s="38" t="str">
        <x:v>Bank of Ghana (eCedi)</x:v>
      </x:c>
      <x:c r="J250" s="38" t="str">
        <x:v>The POS and merchant acceptance apps 
were found useful for record keeping and 
reconciliation of transactions as they stored 
records of receipts and payments.</x:v>
      </x:c>
      <x:c r="K250" s="142" t="b">
        <x:v>0</x:v>
      </x:c>
      <x:c r="L250" s="146" t="str">
        <x:v>exclude</x:v>
      </x:c>
      <x:c r="M250" s="146" t="str">
        <x:v>exclude</x:v>
      </x:c>
      <x:c r="N250" s="147" t="b">
        <x:v>1</x:v>
      </x:c>
      <x:c r="O250" s="146"/>
      <x:c r="P250" s="146"/>
      <x:c r="Q250" s="146" t="str"/>
      <x:c r="R250" s="146" t="str"/>
      <x:c r="S250" s="146"/>
      <x:c r="T250" s="146"/>
      <x:c r="U250" s="146"/>
      <x:c r="V250" s="146"/>
      <x:c r="W250" s="146"/>
      <x:c r="X250" s="146"/>
      <x:c r="Y250" s="146"/>
      <x:c r="Z250" s="146"/>
      <x:c r="AA250" s="146" t="str">
        <x:v>high</x:v>
      </x:c>
      <x:c r="AB250" s="146" t="str">
        <x:v>high</x:v>
      </x:c>
      <x:c r="AC250" s="146"/>
      <x:c r="AD250" s="146"/>
      <x:c r="AE250" s="151" t="str">
        <x:v>SYS.design</x:v>
      </x:c>
      <x:c r="AF250" s="151"/>
      <x:c r="AG250" s="151" t="str">
        <x:v>finding</x:v>
      </x:c>
      <x:c r="AH250" s="151"/>
      <x:c r="AI250" s="154" t="n">
        <x:f>IF(K250,0,1)</x:f>
        <x:v>1</x:v>
      </x:c>
      <x:c r="AJ250" s="154" t="n">
        <x:f>IF(L250="keep",1,0)</x:f>
        <x:v>0</x:v>
      </x:c>
      <x:c r="AK250" s="154" t="n">
        <x:f>IF(M250="keep",1,0)</x:f>
        <x:v>0</x:v>
      </x:c>
      <x:c r="AL250" s="154" t="n">
        <x:f>(AJ250+AK250)/2</x:f>
        <x:v>0</x:v>
      </x:c>
      <x:c r="AM250" s="154" t="n">
        <x:f>MIN(AJ250,AK250)</x:f>
        <x:v>0</x:v>
      </x:c>
      <x:c r="AN250" s="154" t="n">
        <x:f>MAX(AJ250,AK250)</x:f>
        <x:v>0</x:v>
      </x:c>
      <x:c r="AO250" s="154" t="n">
        <x:f>IF(L250=M250,1,0)</x:f>
        <x:v>1</x:v>
      </x:c>
    </x:row>
    <x:row r="251">
      <x:c r="A251" s="38" t="str">
        <x:v>SV-0250</x:v>
      </x:c>
      <x:c r="B251" s="38" t="str">
        <x:v>PC-00017</x:v>
      </x:c>
      <x:c r="C251" s="38" t="str">
        <x:v>en|claude_only</x:v>
      </x:c>
      <x:c r="D251" s="87" t="n">
        <x:v>19.375</x:v>
      </x:c>
      <x:c r="E251" s="38" t="str">
        <x:v>claude_only</x:v>
      </x:c>
      <x:c r="F251" s="38" t="str">
        <x:v>AE_UAE_001</x:v>
      </x:c>
      <x:c r="G251" s="38" t="n">
        <x:v>4</x:v>
      </x:c>
      <x:c r="H251" s="38" t="str">
        <x:v>en</x:v>
      </x:c>
      <x:c r="I251" s="38" t="str">
        <x:v>Central Bank of the United Arab Emirates (Digital Dirham)</x:v>
      </x:c>
      <x:c r="J251" s="38" t="str">
        <x:v>ﺗــﻢ إﻋــﺪاد ﻣﻨﺼــﺔ اﻹﺻــﺪار ﺑﺎﺳــﺘﺨﺪام ﺗﻘﻨﻴــﺔ دﻓﺘــﺮ اﻷﺳــﺘﺎذ اﻟﻤــﻮزع</x:v>
      </x:c>
      <x:c r="K251" s="142" t="b">
        <x:v>1</x:v>
      </x:c>
      <x:c r="L251" s="146" t="str">
        <x:v>exclude</x:v>
      </x:c>
      <x:c r="M251" s="146" t="str">
        <x:v>keep</x:v>
      </x:c>
      <x:c r="N251" s="147" t="b">
        <x:v>0</x:v>
      </x:c>
      <x:c r="O251" s="146"/>
      <x:c r="P251" s="146" t="str">
        <x:v>TECH.DLT</x:v>
      </x:c>
      <x:c r="Q251" s="146" t="str"/>
      <x:c r="R251" s="146" t="str">
        <x:v>TECH</x:v>
      </x:c>
      <x:c r="S251" s="146"/>
      <x:c r="T251" s="146" t="str">
        <x:v>decision</x:v>
      </x:c>
      <x:c r="U251" s="146"/>
      <x:c r="V251" s="146" t="str">
        <x:v>neutral</x:v>
      </x:c>
      <x:c r="W251" s="146"/>
      <x:c r="X251" s="146" t="str">
        <x:v>not_applicable</x:v>
      </x:c>
      <x:c r="Y251" s="146"/>
      <x:c r="Z251" s="146" t="n">
        <x:v>3</x:v>
      </x:c>
      <x:c r="AA251" s="146" t="str">
        <x:v>high</x:v>
      </x:c>
      <x:c r="AB251" s="146" t="str">
        <x:v>high</x:v>
      </x:c>
      <x:c r="AC251" s="146"/>
      <x:c r="AD251" s="146"/>
      <x:c r="AE251" s="151"/>
      <x:c r="AF251" s="151" t="str">
        <x:v>TECH.DLT</x:v>
      </x:c>
      <x:c r="AG251" s="151"/>
      <x:c r="AH251" s="151" t="str">
        <x:v>decision</x:v>
      </x:c>
      <x:c r="AI251" s="154" t="n">
        <x:f>IF(K251,0,1)</x:f>
        <x:v>0</x:v>
      </x:c>
      <x:c r="AJ251" s="154" t="n">
        <x:f>IF(L251="keep",1,0)</x:f>
        <x:v>0</x:v>
      </x:c>
      <x:c r="AK251" s="154" t="n">
        <x:f>IF(M251="keep",1,0)</x:f>
        <x:v>1</x:v>
      </x:c>
      <x:c r="AL251" s="154" t="n">
        <x:f>(AJ251+AK251)/2</x:f>
        <x:v>0.5</x:v>
      </x:c>
      <x:c r="AM251" s="154" t="n">
        <x:f>MIN(AJ251,AK251)</x:f>
        <x:v>0</x:v>
      </x:c>
      <x:c r="AN251" s="154" t="n">
        <x:f>MAX(AJ251,AK251)</x:f>
        <x:v>1</x:v>
      </x:c>
      <x:c r="AO251" s="154" t="n">
        <x:f>IF(L251=M251,1,0)</x:f>
        <x:v>0</x:v>
      </x:c>
    </x:row>
    <x:row r="252">
      <x:c r="A252" s="38" t="str">
        <x:v>SV-0251</x:v>
      </x:c>
      <x:c r="B252" s="38" t="str">
        <x:v>PC-02595</x:v>
      </x:c>
      <x:c r="C252" s="38" t="str">
        <x:v>en|both</x:v>
      </x:c>
      <x:c r="D252" s="87" t="n">
        <x:v>19.069444444444443</x:v>
      </x:c>
      <x:c r="E252" s="38" t="str">
        <x:v>both</x:v>
      </x:c>
      <x:c r="F252" s="38" t="str">
        <x:v>ID_Indonesia_2024</x:v>
      </x:c>
      <x:c r="G252" s="38" t="n">
        <x:v>32</x:v>
      </x:c>
      <x:c r="H252" s="38" t="str">
        <x:v>en</x:v>
      </x:c>
      <x:c r="I252" s="38" t="str">
        <x:v>Bank Indonesia (Digital Rupiah)</x:v>
      </x:c>
      <x:c r="J252" s="38" t="str">
        <x:v>R3 Corda uses a unique consensus method 
called ‘Notary,’ which acts as a central authority to 
verify the uniqueness of transactions (uniqueness 
consensus). Kaleido Hyperledger Besu uses a 
proof of authority (PoA) consensus method, where 
several validators pre-determined by participants are 
authorized to validate transactions.</x:v>
      </x:c>
      <x:c r="K252" s="142" t="b">
        <x:v>0</x:v>
      </x:c>
      <x:c r="L252" s="146" t="str">
        <x:v>keep</x:v>
      </x:c>
      <x:c r="M252" s="146" t="str">
        <x:v>keep</x:v>
      </x:c>
      <x:c r="N252" s="147" t="b">
        <x:v>1</x:v>
      </x:c>
      <x:c r="O252" s="146" t="str">
        <x:v>TECH.TOKEN.considered</x:v>
      </x:c>
      <x:c r="P252" s="146" t="str">
        <x:v>SYS.design</x:v>
      </x:c>
      <x:c r="Q252" s="146" t="str">
        <x:v>TECH</x:v>
      </x:c>
      <x:c r="R252" s="146" t="str">
        <x:v>SYS</x:v>
      </x:c>
      <x:c r="S252" s="146" t="str">
        <x:v>decision</x:v>
      </x:c>
      <x:c r="T252" s="146" t="str">
        <x:v>finding</x:v>
      </x:c>
      <x:c r="U252" s="146" t="str">
        <x:v>neutral</x:v>
      </x:c>
      <x:c r="V252" s="146" t="str">
        <x:v>neutral</x:v>
      </x:c>
      <x:c r="W252" s="146" t="str">
        <x:v>not_applicable</x:v>
      </x:c>
      <x:c r="X252" s="146" t="str">
        <x:v>not_applicable</x:v>
      </x:c>
      <x:c r="Y252" s="146" t="n">
        <x:v>2</x:v>
      </x:c>
      <x:c r="Z252" s="146" t="n">
        <x:v>2</x:v>
      </x:c>
      <x:c r="AA252" s="146" t="str">
        <x:v>high</x:v>
      </x:c>
      <x:c r="AB252" s="146" t="str">
        <x:v>high</x:v>
      </x:c>
      <x:c r="AC252" s="146"/>
      <x:c r="AD252" s="146"/>
      <x:c r="AE252" s="151" t="str">
        <x:v>TECH.TOKEN.considered</x:v>
      </x:c>
      <x:c r="AF252" s="151" t="str">
        <x:v>SYS.design</x:v>
      </x:c>
      <x:c r="AG252" s="151" t="str">
        <x:v>decision</x:v>
      </x:c>
      <x:c r="AH252" s="151" t="str">
        <x:v>finding</x:v>
      </x:c>
      <x:c r="AI252" s="154" t="n">
        <x:f>IF(K252,0,1)</x:f>
        <x:v>1</x:v>
      </x:c>
      <x:c r="AJ252" s="154" t="n">
        <x:f>IF(L252="keep",1,0)</x:f>
        <x:v>1</x:v>
      </x:c>
      <x:c r="AK252" s="154" t="n">
        <x:f>IF(M252="keep",1,0)</x:f>
        <x:v>1</x:v>
      </x:c>
      <x:c r="AL252" s="154" t="n">
        <x:f>(AJ252+AK252)/2</x:f>
        <x:v>1</x:v>
      </x:c>
      <x:c r="AM252" s="154" t="n">
        <x:f>MIN(AJ252,AK252)</x:f>
        <x:v>1</x:v>
      </x:c>
      <x:c r="AN252" s="154" t="n">
        <x:f>MAX(AJ252,AK252)</x:f>
        <x:v>1</x:v>
      </x:c>
      <x:c r="AO252" s="154" t="n">
        <x:f>IF(L252=M252,1,0)</x:f>
        <x:v>1</x:v>
      </x:c>
    </x:row>
    <x:row r="253">
      <x:c r="A253" s="38" t="str">
        <x:v>SV-0252</x:v>
      </x:c>
      <x:c r="B253" s="38" t="str">
        <x:v>PC-05103</x:v>
      </x:c>
      <x:c r="C253" s="38" t="str">
        <x:v>ru/uk|both</x:v>
      </x:c>
      <x:c r="D253" s="87" t="n">
        <x:v>20</x:v>
      </x:c>
      <x:c r="E253" s="38" t="str">
        <x:v>both</x:v>
      </x:c>
      <x:c r="F253" s="38" t="str">
        <x:v>RU_Russia_digital_ruble_30062025</x:v>
      </x:c>
      <x:c r="G253" s="38" t="n">
        <x:v>23</x:v>
      </x:c>
      <x:c r="H253" s="38" t="str">
        <x:v>ru/uk</x:v>
      </x:c>
      <x:c r="I253" s="38" t="str">
        <x:v>Bank of Russia (digital ruble)</x:v>
      </x:c>
      <x:c r="J253" s="38" t="str">
        <x:v>Для подготовки инфраструктуры участников платформы к обеспечению защиты информации 
при совершении операций с цифровыми рублями Банк России издал Положение № 833-П2, 
исполнение которого проверяется при подключении участника к платформе цифрового рубля 
в соответствии с Условиями по защите информации для участников платформы цифрового рубля, 
опубликованными на официальном сайте Банка России.</x:v>
      </x:c>
      <x:c r="K253" s="142" t="b">
        <x:v>0</x:v>
      </x:c>
      <x:c r="L253" s="146" t="str">
        <x:v>keep</x:v>
      </x:c>
      <x:c r="M253" s="146" t="str">
        <x:v>keep</x:v>
      </x:c>
      <x:c r="N253" s="147" t="b">
        <x:v>1</x:v>
      </x:c>
      <x:c r="O253" s="146" t="str">
        <x:v>OPS.resilience</x:v>
      </x:c>
      <x:c r="P253" s="146" t="str">
        <x:v>OPS.resilience</x:v>
      </x:c>
      <x:c r="Q253" s="146" t="str">
        <x:v>OPS</x:v>
      </x:c>
      <x:c r="R253" s="146" t="str">
        <x:v>OPS</x:v>
      </x:c>
      <x:c r="S253" s="146" t="str">
        <x:v>decision</x:v>
      </x:c>
      <x:c r="T253" s="146" t="str">
        <x:v>decision</x:v>
      </x:c>
      <x:c r="U253" s="146" t="str">
        <x:v>neutral</x:v>
      </x:c>
      <x:c r="V253" s="146" t="str">
        <x:v>neutral</x:v>
      </x:c>
      <x:c r="W253" s="146" t="str">
        <x:v>not_applicable</x:v>
      </x:c>
      <x:c r="X253" s="146" t="str">
        <x:v>not_applicable</x:v>
      </x:c>
      <x:c r="Y253" s="146" t="n">
        <x:v>3</x:v>
      </x:c>
      <x:c r="Z253" s="146" t="n">
        <x:v>2</x:v>
      </x:c>
      <x:c r="AA253" s="146" t="str">
        <x:v>high</x:v>
      </x:c>
      <x:c r="AB253" s="146" t="str">
        <x:v>high</x:v>
      </x:c>
      <x:c r="AC253" s="146"/>
      <x:c r="AD253" s="146"/>
      <x:c r="AE253" s="151" t="str">
        <x:v>OPS.resilience</x:v>
      </x:c>
      <x:c r="AF253" s="151" t="str">
        <x:v>OPS.resilience</x:v>
      </x:c>
      <x:c r="AG253" s="151" t="str">
        <x:v>decision</x:v>
      </x:c>
      <x:c r="AH253" s="151" t="str">
        <x:v>decision</x:v>
      </x:c>
      <x:c r="AI253" s="154" t="n">
        <x:f>IF(K253,0,1)</x:f>
        <x:v>1</x:v>
      </x:c>
      <x:c r="AJ253" s="154" t="n">
        <x:f>IF(L253="keep",1,0)</x:f>
        <x:v>1</x:v>
      </x:c>
      <x:c r="AK253" s="154" t="n">
        <x:f>IF(M253="keep",1,0)</x:f>
        <x:v>1</x:v>
      </x:c>
      <x:c r="AL253" s="154" t="n">
        <x:f>(AJ253+AK253)/2</x:f>
        <x:v>1</x:v>
      </x:c>
      <x:c r="AM253" s="154" t="n">
        <x:f>MIN(AJ253,AK253)</x:f>
        <x:v>1</x:v>
      </x:c>
      <x:c r="AN253" s="154" t="n">
        <x:f>MAX(AJ253,AK253)</x:f>
        <x:v>1</x:v>
      </x:c>
      <x:c r="AO253" s="154" t="n">
        <x:f>IF(L253=M253,1,0)</x:f>
        <x:v>1</x:v>
      </x:c>
    </x:row>
    <x:row r="254">
      <x:c r="A254" s="38" t="str">
        <x:v>SV-0253</x:v>
      </x:c>
      <x:c r="B254" s="38" t="str">
        <x:v>PC-02996</x:v>
      </x:c>
      <x:c r="C254" s="38" t="str">
        <x:v>en|both</x:v>
      </x:c>
      <x:c r="D254" s="87" t="n">
        <x:v>19.069444444444443</x:v>
      </x:c>
      <x:c r="E254" s="38" t="str">
        <x:v>both</x:v>
      </x:c>
      <x:c r="F254" s="38" t="str">
        <x:v>IL_BoI_2024</x:v>
      </x:c>
      <x:c r="G254" s="38" t="n">
        <x:v>96</x:v>
      </x:c>
      <x:c r="H254" s="38" t="str">
        <x:v>en</x:v>
      </x:c>
      <x:c r="I254" s="38" t="str">
        <x:v>Bank of Israel (digital shekel)</x:v>
      </x:c>
      <x:c r="J254" s="38" t="str">
        <x:v>Expanding accessibility to these areas increases the usability and certainty of using 
the digital shekel  for the entire potential user population, enhancing its 
attractiveness.</x:v>
      </x:c>
      <x:c r="K254" s="142" t="b">
        <x:v>0</x:v>
      </x:c>
      <x:c r="L254" s="146" t="str">
        <x:v>keep</x:v>
      </x:c>
      <x:c r="M254" s="146" t="str">
        <x:v>keep</x:v>
      </x:c>
      <x:c r="N254" s="147" t="b">
        <x:v>1</x:v>
      </x:c>
      <x:c r="O254" s="146" t="str">
        <x:v>ADOPT.experience</x:v>
      </x:c>
      <x:c r="P254" s="146" t="str">
        <x:v>ADOPT.experience</x:v>
      </x:c>
      <x:c r="Q254" s="146" t="str">
        <x:v>ADOPT</x:v>
      </x:c>
      <x:c r="R254" s="146" t="str">
        <x:v>ADOPT</x:v>
      </x:c>
      <x:c r="S254" s="146" t="str">
        <x:v>proposal</x:v>
      </x:c>
      <x:c r="T254" s="146" t="str">
        <x:v>finding</x:v>
      </x:c>
      <x:c r="U254" s="146" t="str">
        <x:v>neutral</x:v>
      </x:c>
      <x:c r="V254" s="146" t="str">
        <x:v>neutral</x:v>
      </x:c>
      <x:c r="W254" s="146" t="str">
        <x:v>not_applicable</x:v>
      </x:c>
      <x:c r="X254" s="146" t="str">
        <x:v>not_applicable</x:v>
      </x:c>
      <x:c r="Y254" s="146" t="n">
        <x:v>2</x:v>
      </x:c>
      <x:c r="Z254" s="146" t="n">
        <x:v>2</x:v>
      </x:c>
      <x:c r="AA254" s="146" t="str">
        <x:v>high</x:v>
      </x:c>
      <x:c r="AB254" s="146" t="str">
        <x:v>high</x:v>
      </x:c>
      <x:c r="AC254" s="146"/>
      <x:c r="AD254" s="146" t="str">
        <x:v>x</x:v>
      </x:c>
      <x:c r="AE254" s="151" t="str">
        <x:v>ADOPT.experience</x:v>
      </x:c>
      <x:c r="AF254" s="151" t="str">
        <x:v>AML.LIMIT</x:v>
      </x:c>
      <x:c r="AG254" s="151" t="str">
        <x:v>proposal</x:v>
      </x:c>
      <x:c r="AH254" s="151" t="str">
        <x:v>finding</x:v>
      </x:c>
      <x:c r="AI254" s="154" t="n">
        <x:f>IF(K254,0,1)</x:f>
        <x:v>1</x:v>
      </x:c>
      <x:c r="AJ254" s="154" t="n">
        <x:f>IF(L254="keep",1,0)</x:f>
        <x:v>1</x:v>
      </x:c>
      <x:c r="AK254" s="154" t="n">
        <x:f>IF(M254="keep",1,0)</x:f>
        <x:v>1</x:v>
      </x:c>
      <x:c r="AL254" s="154" t="n">
        <x:f>(AJ254+AK254)/2</x:f>
        <x:v>1</x:v>
      </x:c>
      <x:c r="AM254" s="154" t="n">
        <x:f>MIN(AJ254,AK254)</x:f>
        <x:v>1</x:v>
      </x:c>
      <x:c r="AN254" s="154" t="n">
        <x:f>MAX(AJ254,AK254)</x:f>
        <x:v>1</x:v>
      </x:c>
      <x:c r="AO254" s="154" t="n">
        <x:f>IF(L254=M254,1,0)</x:f>
        <x:v>1</x:v>
      </x:c>
    </x:row>
    <x:row r="255">
      <x:c r="A255" s="38" t="str">
        <x:v>SV-0254</x:v>
      </x:c>
      <x:c r="B255" s="38" t="str">
        <x:v>PC-01624</x:v>
      </x:c>
      <x:c r="C255" s="38" t="str">
        <x:v>en|claude_only</x:v>
      </x:c>
      <x:c r="D255" s="87" t="n">
        <x:v>19.375</x:v>
      </x:c>
      <x:c r="E255" s="38" t="str">
        <x:v>claude_only</x:v>
      </x:c>
      <x:c r="F255" s="38" t="str">
        <x:v>GH_Ghana_2021</x:v>
      </x:c>
      <x:c r="G255" s="38" t="n">
        <x:v>25</x:v>
      </x:c>
      <x:c r="H255" s="38" t="str">
        <x:v>en</x:v>
      </x:c>
      <x:c r="I255" s="38" t="str">
        <x:v>Bank of Ghana (eCedi)</x:v>
      </x:c>
      <x:c r="J255" s="38" t="str">
        <x:v>the eCedi has to be under full control of 
BoG, being the only entity to create and destroy 
digital cash.</x:v>
      </x:c>
      <x:c r="K255" s="142" t="b">
        <x:v>0</x:v>
      </x:c>
      <x:c r="L255" s="146" t="str">
        <x:v>keep</x:v>
      </x:c>
      <x:c r="M255" s="146" t="str">
        <x:v>keep</x:v>
      </x:c>
      <x:c r="N255" s="147" t="b">
        <x:v>1</x:v>
      </x:c>
      <x:c r="O255" s="146" t="str">
        <x:v>INST.mandate</x:v>
      </x:c>
      <x:c r="P255" s="146" t="str">
        <x:v>INST.mandate</x:v>
      </x:c>
      <x:c r="Q255" s="146" t="str">
        <x:v>INST</x:v>
      </x:c>
      <x:c r="R255" s="146" t="str">
        <x:v>INST</x:v>
      </x:c>
      <x:c r="S255" s="146" t="str">
        <x:v>decision</x:v>
      </x:c>
      <x:c r="T255" s="146" t="str">
        <x:v>decision</x:v>
      </x:c>
      <x:c r="U255" s="146" t="str">
        <x:v>neutral</x:v>
      </x:c>
      <x:c r="V255" s="146" t="str">
        <x:v>neutral</x:v>
      </x:c>
      <x:c r="W255" s="146" t="str">
        <x:v>not_applicable</x:v>
      </x:c>
      <x:c r="X255" s="146" t="str">
        <x:v>not_applicable</x:v>
      </x:c>
      <x:c r="Y255" s="146" t="n">
        <x:v>3</x:v>
      </x:c>
      <x:c r="Z255" s="146" t="n">
        <x:v>3</x:v>
      </x:c>
      <x:c r="AA255" s="146" t="str">
        <x:v>high</x:v>
      </x:c>
      <x:c r="AB255" s="146" t="str">
        <x:v>high</x:v>
      </x:c>
      <x:c r="AC255" s="146"/>
      <x:c r="AD255" s="146"/>
      <x:c r="AE255" s="151"/>
      <x:c r="AF255" s="151" t="str">
        <x:v>INST.mandate</x:v>
      </x:c>
      <x:c r="AG255" s="151"/>
      <x:c r="AH255" s="151" t="str">
        <x:v>decision</x:v>
      </x:c>
      <x:c r="AI255" s="154" t="n">
        <x:f>IF(K255,0,1)</x:f>
        <x:v>1</x:v>
      </x:c>
      <x:c r="AJ255" s="154" t="n">
        <x:f>IF(L255="keep",1,0)</x:f>
        <x:v>1</x:v>
      </x:c>
      <x:c r="AK255" s="154" t="n">
        <x:f>IF(M255="keep",1,0)</x:f>
        <x:v>1</x:v>
      </x:c>
      <x:c r="AL255" s="154" t="n">
        <x:f>(AJ255+AK255)/2</x:f>
        <x:v>1</x:v>
      </x:c>
      <x:c r="AM255" s="154" t="n">
        <x:f>MIN(AJ255,AK255)</x:f>
        <x:v>1</x:v>
      </x:c>
      <x:c r="AN255" s="154" t="n">
        <x:f>MAX(AJ255,AK255)</x:f>
        <x:v>1</x:v>
      </x:c>
      <x:c r="AO255" s="154" t="n">
        <x:f>IF(L255=M255,1,0)</x:f>
        <x:v>1</x:v>
      </x:c>
    </x:row>
    <x:row r="256">
      <x:c r="A256" s="38" t="str">
        <x:v>SV-0255</x:v>
      </x:c>
      <x:c r="B256" s="38" t="str">
        <x:v>PC-03876</x:v>
      </x:c>
      <x:c r="C256" s="38" t="str">
        <x:v>es|claude_only</x:v>
      </x:c>
      <x:c r="D256" s="87" t="n">
        <x:v>21.5</x:v>
      </x:c>
      <x:c r="E256" s="38" t="str">
        <x:v>claude_only</x:v>
      </x:c>
      <x:c r="F256" s="38" t="str">
        <x:v>MG_BFM_OP_2023</x:v>
      </x:c>
      <x:c r="G256" s="38" t="n">
        <x:v>1</x:v>
      </x:c>
      <x:c r="H256" s="38" t="str">
        <x:v>es</x:v>
      </x:c>
      <x:c r="I256" s="38" t="str">
        <x:v>Banky Foiben'i Madagasikara (e-Ariary)</x:v>
      </x:c>
      <x:c r="J256" s="38" t="str">
        <x:v>accessible</x:v>
      </x:c>
      <x:c r="K256" s="142" t="b">
        <x:v>0</x:v>
      </x:c>
      <x:c r="L256" s="146" t="str">
        <x:v>exclude</x:v>
      </x:c>
      <x:c r="M256" s="146" t="str">
        <x:v>exclude</x:v>
      </x:c>
      <x:c r="N256" s="147" t="b">
        <x:v>1</x:v>
      </x:c>
      <x:c r="O256" s="146"/>
      <x:c r="P256" s="146" t="str">
        <x:v>ACCESS.universal</x:v>
      </x:c>
      <x:c r="Q256" s="146" t="str"/>
      <x:c r="R256" s="146" t="str">
        <x:v>ACCESS</x:v>
      </x:c>
      <x:c r="S256" s="146"/>
      <x:c r="T256" s="146" t="str">
        <x:v>proposal</x:v>
      </x:c>
      <x:c r="U256" s="146"/>
      <x:c r="V256" s="146" t="str">
        <x:v>neutral</x:v>
      </x:c>
      <x:c r="W256" s="146"/>
      <x:c r="X256" s="146" t="str">
        <x:v>not_applicable</x:v>
      </x:c>
      <x:c r="Y256" s="146"/>
      <x:c r="Z256" s="146" t="n">
        <x:v>1</x:v>
      </x:c>
      <x:c r="AA256" s="146" t="str">
        <x:v>high</x:v>
      </x:c>
      <x:c r="AB256" s="146" t="str">
        <x:v>high</x:v>
      </x:c>
      <x:c r="AC256" s="146"/>
      <x:c r="AD256" s="146" t="str">
        <x:v>x</x:v>
      </x:c>
      <x:c r="AE256" s="151"/>
      <x:c r="AF256" s="151" t="str">
        <x:v>ACCESS.universal</x:v>
      </x:c>
      <x:c r="AG256" s="151"/>
      <x:c r="AH256" s="151" t="str">
        <x:v>proposal</x:v>
      </x:c>
      <x:c r="AI256" s="154" t="n">
        <x:f>IF(K256,0,1)</x:f>
        <x:v>1</x:v>
      </x:c>
      <x:c r="AJ256" s="154" t="n">
        <x:f>IF(L256="keep",1,0)</x:f>
        <x:v>0</x:v>
      </x:c>
      <x:c r="AK256" s="154" t="n">
        <x:f>IF(M256="keep",1,0)</x:f>
        <x:v>0</x:v>
      </x:c>
      <x:c r="AL256" s="154" t="n">
        <x:f>(AJ256+AK256)/2</x:f>
        <x:v>0</x:v>
      </x:c>
      <x:c r="AM256" s="154" t="n">
        <x:f>MIN(AJ256,AK256)</x:f>
        <x:v>0</x:v>
      </x:c>
      <x:c r="AN256" s="154" t="n">
        <x:f>MAX(AJ256,AK256)</x:f>
        <x:v>0</x:v>
      </x:c>
      <x:c r="AO256" s="154" t="n">
        <x:f>IF(L256=M256,1,0)</x:f>
        <x:v>1</x:v>
      </x:c>
    </x:row>
    <x:row r="257">
      <x:c r="A257" s="38" t="str">
        <x:v>SV-0256</x:v>
      </x:c>
      <x:c r="B257" s="38" t="str">
        <x:v>PC-00461</x:v>
      </x:c>
      <x:c r="C257" s="38" t="str">
        <x:v>es|both</x:v>
      </x:c>
      <x:c r="D257" s="87" t="n">
        <x:v>26.5</x:v>
      </x:c>
      <x:c r="E257" s="38" t="str">
        <x:v>both</x:v>
      </x:c>
      <x:c r="F257" s="38" t="str">
        <x:v>BO_BCB_Boliviano_Digital_2025</x:v>
      </x:c>
      <x:c r="G257" s="38" t="n">
        <x:v>49</x:v>
      </x:c>
      <x:c r="H257" s="38" t="str">
        <x:v>es</x:v>
      </x:c>
      <x:c r="I257" s="38" t="str">
        <x:v>Banco Central de Bolivia (Boliviano Digital)</x:v>
      </x:c>
      <x:c r="J257" s="38" t="str">
        <x:v>Esta arquitectura deberá 
garantizar la continuidad operativa a toda hora, todos los días con latencias mínimas y 
tolerancia a ataques de denegación de servicio o accesos no autorizados.</x:v>
      </x:c>
      <x:c r="K257" s="142" t="b">
        <x:v>0</x:v>
      </x:c>
      <x:c r="L257" s="146" t="str">
        <x:v>keep</x:v>
      </x:c>
      <x:c r="M257" s="146" t="str">
        <x:v>keep</x:v>
      </x:c>
      <x:c r="N257" s="147" t="b">
        <x:v>1</x:v>
      </x:c>
      <x:c r="O257" s="146" t="str">
        <x:v>OPS.resilience</x:v>
      </x:c>
      <x:c r="P257" s="146" t="str">
        <x:v>OPS.resilience</x:v>
      </x:c>
      <x:c r="Q257" s="146" t="str">
        <x:v>OPS</x:v>
      </x:c>
      <x:c r="R257" s="146" t="str">
        <x:v>OPS</x:v>
      </x:c>
      <x:c r="S257" s="146" t="str">
        <x:v>proposal</x:v>
      </x:c>
      <x:c r="T257" s="146" t="str">
        <x:v>proposal</x:v>
      </x:c>
      <x:c r="U257" s="146" t="str">
        <x:v>neutral</x:v>
      </x:c>
      <x:c r="V257" s="146" t="str">
        <x:v>neutral</x:v>
      </x:c>
      <x:c r="W257" s="146" t="str">
        <x:v>not_applicable</x:v>
      </x:c>
      <x:c r="X257" s="146" t="str">
        <x:v>not_applicable</x:v>
      </x:c>
      <x:c r="Y257" s="146" t="n">
        <x:v>3</x:v>
      </x:c>
      <x:c r="Z257" s="146" t="n">
        <x:v>2</x:v>
      </x:c>
      <x:c r="AA257" s="146" t="str">
        <x:v>high</x:v>
      </x:c>
      <x:c r="AB257" s="146" t="str">
        <x:v>high</x:v>
      </x:c>
      <x:c r="AC257" s="146"/>
      <x:c r="AD257" s="146"/>
      <x:c r="AE257" s="151" t="str">
        <x:v>OPS.resilience</x:v>
      </x:c>
      <x:c r="AF257" s="151" t="str">
        <x:v>OPS.resilience</x:v>
      </x:c>
      <x:c r="AG257" s="151" t="str">
        <x:v>proposal</x:v>
      </x:c>
      <x:c r="AH257" s="151" t="str">
        <x:v>proposal</x:v>
      </x:c>
      <x:c r="AI257" s="154" t="n">
        <x:f>IF(K257,0,1)</x:f>
        <x:v>1</x:v>
      </x:c>
      <x:c r="AJ257" s="154" t="n">
        <x:f>IF(L257="keep",1,0)</x:f>
        <x:v>1</x:v>
      </x:c>
      <x:c r="AK257" s="154" t="n">
        <x:f>IF(M257="keep",1,0)</x:f>
        <x:v>1</x:v>
      </x:c>
      <x:c r="AL257" s="154" t="n">
        <x:f>(AJ257+AK257)/2</x:f>
        <x:v>1</x:v>
      </x:c>
      <x:c r="AM257" s="154" t="n">
        <x:f>MIN(AJ257,AK257)</x:f>
        <x:v>1</x:v>
      </x:c>
      <x:c r="AN257" s="154" t="n">
        <x:f>MAX(AJ257,AK257)</x:f>
        <x:v>1</x:v>
      </x:c>
      <x:c r="AO257" s="154" t="n">
        <x:f>IF(L257=M257,1,0)</x:f>
        <x:v>1</x:v>
      </x:c>
    </x:row>
    <x:row r="258">
      <x:c r="A258" s="38" t="str">
        <x:v>SV-0257</x:v>
      </x:c>
      <x:c r="B258" s="38" t="str">
        <x:v>PC-04015</x:v>
      </x:c>
      <x:c r="C258" s="38" t="str">
        <x:v>en|both</x:v>
      </x:c>
      <x:c r="D258" s="87" t="n">
        <x:v>19.069444444444443</x:v>
      </x:c>
      <x:c r="E258" s="38" t="str">
        <x:v>both</x:v>
      </x:c>
      <x:c r="F258" s="38" t="str">
        <x:v>MO_AMCM_eMOP_WP</x:v>
      </x:c>
      <x:c r="G258" s="38" t="n">
        <x:v>58</x:v>
      </x:c>
      <x:c r="H258" s="38" t="str">
        <x:v>en</x:v>
      </x:c>
      <x:c r="I258" s="38" t="str">
        <x:v>Monetary Authority of Macao (e-MOP)</x:v>
      </x:c>
      <x:c r="J258" s="38" t="str">
        <x:v>the AMCM will prioritise initiating trials of cross-
border payments between Macao and the Mainland in the In-Depth 
Cooperation Zone.  This endeavour aims to explore the use of e-MOP 
in Hengqin, creating a financial environment facilitating Macao 
residents to live and work in the In-Depth Cooperation Zone.</x:v>
      </x:c>
      <x:c r="K258" s="142" t="b">
        <x:v>0</x:v>
      </x:c>
      <x:c r="L258" s="146" t="str">
        <x:v>keep</x:v>
      </x:c>
      <x:c r="M258" s="146" t="str">
        <x:v>keep</x:v>
      </x:c>
      <x:c r="N258" s="147" t="b">
        <x:v>1</x:v>
      </x:c>
      <x:c r="O258" s="146" t="str">
        <x:v>INTEROP.crossborder</x:v>
      </x:c>
      <x:c r="P258" s="146" t="str">
        <x:v>INTEROP.crossborder</x:v>
      </x:c>
      <x:c r="Q258" s="146" t="str">
        <x:v>INTEROP</x:v>
      </x:c>
      <x:c r="R258" s="146" t="str">
        <x:v>INTEROP</x:v>
      </x:c>
      <x:c r="S258" s="146" t="str">
        <x:v>proposal</x:v>
      </x:c>
      <x:c r="T258" s="146" t="str">
        <x:v>proposal</x:v>
      </x:c>
      <x:c r="U258" s="146" t="str">
        <x:v>neutral</x:v>
      </x:c>
      <x:c r="V258" s="146" t="str">
        <x:v>neutral</x:v>
      </x:c>
      <x:c r="W258" s="146" t="str">
        <x:v>not_applicable</x:v>
      </x:c>
      <x:c r="X258" s="146" t="str">
        <x:v>not_applicable</x:v>
      </x:c>
      <x:c r="Y258" s="146" t="n">
        <x:v>3</x:v>
      </x:c>
      <x:c r="Z258" s="146" t="n">
        <x:v>2</x:v>
      </x:c>
      <x:c r="AA258" s="146" t="str">
        <x:v>high</x:v>
      </x:c>
      <x:c r="AB258" s="146" t="str">
        <x:v>high</x:v>
      </x:c>
      <x:c r="AC258" s="146"/>
      <x:c r="AD258" s="146"/>
      <x:c r="AE258" s="151" t="str">
        <x:v>INTEROP.crossborder</x:v>
      </x:c>
      <x:c r="AF258" s="151" t="str">
        <x:v>INTEROP.crossborder</x:v>
      </x:c>
      <x:c r="AG258" s="151" t="str">
        <x:v>proposal</x:v>
      </x:c>
      <x:c r="AH258" s="151" t="str">
        <x:v>proposal</x:v>
      </x:c>
      <x:c r="AI258" s="154" t="n">
        <x:f>IF(K258,0,1)</x:f>
        <x:v>1</x:v>
      </x:c>
      <x:c r="AJ258" s="154" t="n">
        <x:f>IF(L258="keep",1,0)</x:f>
        <x:v>1</x:v>
      </x:c>
      <x:c r="AK258" s="154" t="n">
        <x:f>IF(M258="keep",1,0)</x:f>
        <x:v>1</x:v>
      </x:c>
      <x:c r="AL258" s="154" t="n">
        <x:f>(AJ258+AK258)/2</x:f>
        <x:v>1</x:v>
      </x:c>
      <x:c r="AM258" s="154" t="n">
        <x:f>MIN(AJ258,AK258)</x:f>
        <x:v>1</x:v>
      </x:c>
      <x:c r="AN258" s="154" t="n">
        <x:f>MAX(AJ258,AK258)</x:f>
        <x:v>1</x:v>
      </x:c>
      <x:c r="AO258" s="154" t="n">
        <x:f>IF(L258=M258,1,0)</x:f>
        <x:v>1</x:v>
      </x:c>
    </x:row>
    <x:row r="259">
      <x:c r="A259" s="38" t="str">
        <x:v>SV-0258</x:v>
      </x:c>
      <x:c r="B259" s="38" t="str">
        <x:v>PC-06033</x:v>
      </x:c>
      <x:c r="C259" s="38" t="str">
        <x:v>en|both</x:v>
      </x:c>
      <x:c r="D259" s="87" t="n">
        <x:v>19.069444444444443</x:v>
      </x:c>
      <x:c r="E259" s="38" t="str">
        <x:v>both</x:v>
      </x:c>
      <x:c r="F259" s="38" t="str">
        <x:v>UK_BoE_2020_OpportChall</x:v>
      </x:c>
      <x:c r="G259" s="38" t="n">
        <x:v>23</x:v>
      </x:c>
      <x:c r="H259" s="38" t="str">
        <x:v>en</x:v>
      </x:c>
      <x:c r="I259" s="38" t="str">
        <x:v>Bank of England and HM Treasury (digital pound)</x:v>
      </x:c>
      <x:c r="J259" s="38" t="str">
        <x:v>Resilient: any CBDC payment system must be able to recover from operational disruption, for example from 
hardware or software failures. It is also important to minimise any credit and liquidity risk arising in the wider 
CBDC ecosystem.</x:v>
      </x:c>
      <x:c r="K259" s="142" t="b">
        <x:v>0</x:v>
      </x:c>
      <x:c r="L259" s="146" t="str">
        <x:v>keep</x:v>
      </x:c>
      <x:c r="M259" s="146" t="str">
        <x:v>keep</x:v>
      </x:c>
      <x:c r="N259" s="147" t="b">
        <x:v>1</x:v>
      </x:c>
      <x:c r="O259" s="146" t="str">
        <x:v>OPS.resilience</x:v>
      </x:c>
      <x:c r="P259" s="146" t="str">
        <x:v>OPS.resilience</x:v>
      </x:c>
      <x:c r="Q259" s="146" t="str">
        <x:v>OPS</x:v>
      </x:c>
      <x:c r="R259" s="146" t="str">
        <x:v>OPS</x:v>
      </x:c>
      <x:c r="S259" s="146" t="str">
        <x:v>proposal</x:v>
      </x:c>
      <x:c r="T259" s="146" t="str">
        <x:v>proposal</x:v>
      </x:c>
      <x:c r="U259" s="146" t="str">
        <x:v>neutral</x:v>
      </x:c>
      <x:c r="V259" s="146" t="str">
        <x:v>neutral</x:v>
      </x:c>
      <x:c r="W259" s="146" t="str">
        <x:v>not_applicable</x:v>
      </x:c>
      <x:c r="X259" s="146" t="str">
        <x:v>not_applicable</x:v>
      </x:c>
      <x:c r="Y259" s="146" t="n">
        <x:v>2</x:v>
      </x:c>
      <x:c r="Z259" s="146" t="n">
        <x:v>2</x:v>
      </x:c>
      <x:c r="AA259" s="146" t="str">
        <x:v>high</x:v>
      </x:c>
      <x:c r="AB259" s="146" t="str">
        <x:v>high</x:v>
      </x:c>
      <x:c r="AC259" s="146"/>
      <x:c r="AD259" s="146"/>
      <x:c r="AE259" s="151" t="str">
        <x:v>PRIV.MIN</x:v>
      </x:c>
      <x:c r="AF259" s="151" t="str">
        <x:v>OPS.resilience</x:v>
      </x:c>
      <x:c r="AG259" s="151" t="str">
        <x:v>proposal</x:v>
      </x:c>
      <x:c r="AH259" s="151" t="str">
        <x:v>proposal</x:v>
      </x:c>
      <x:c r="AI259" s="154" t="n">
        <x:f>IF(K259,0,1)</x:f>
        <x:v>1</x:v>
      </x:c>
      <x:c r="AJ259" s="154" t="n">
        <x:f>IF(L259="keep",1,0)</x:f>
        <x:v>1</x:v>
      </x:c>
      <x:c r="AK259" s="154" t="n">
        <x:f>IF(M259="keep",1,0)</x:f>
        <x:v>1</x:v>
      </x:c>
      <x:c r="AL259" s="154" t="n">
        <x:f>(AJ259+AK259)/2</x:f>
        <x:v>1</x:v>
      </x:c>
      <x:c r="AM259" s="154" t="n">
        <x:f>MIN(AJ259,AK259)</x:f>
        <x:v>1</x:v>
      </x:c>
      <x:c r="AN259" s="154" t="n">
        <x:f>MAX(AJ259,AK259)</x:f>
        <x:v>1</x:v>
      </x:c>
      <x:c r="AO259" s="154" t="n">
        <x:f>IF(L259=M259,1,0)</x:f>
        <x:v>1</x:v>
      </x:c>
    </x:row>
    <x:row r="260">
      <x:c r="A260" s="38" t="str">
        <x:v>SV-0259</x:v>
      </x:c>
      <x:c r="B260" s="38" t="str">
        <x:v>PC-02158</x:v>
      </x:c>
      <x:c r="C260" s="38" t="str">
        <x:v>en|claude_only</x:v>
      </x:c>
      <x:c r="D260" s="87" t="n">
        <x:v>19.375</x:v>
      </x:c>
      <x:c r="E260" s="38" t="str">
        <x:v>claude_only</x:v>
      </x:c>
      <x:c r="F260" s="38" t="str">
        <x:v>HU_Hungary_2025</x:v>
      </x:c>
      <x:c r="G260" s="38" t="n">
        <x:v>7</x:v>
      </x:c>
      <x:c r="H260" s="38" t="str">
        <x:v>en</x:v>
      </x:c>
      <x:c r="I260" s="38" t="str">
        <x:v>Magyar Nemzeti Bank (Student Safe / retail CBDC pilot context)</x:v>
      </x:c>
      <x:c r="J260" s="38" t="str">
        <x:v>The MNB learns and gathers experience through fully fledged tests, involving real consumers.</x:v>
      </x:c>
      <x:c r="K260" s="142" t="b">
        <x:v>0</x:v>
      </x:c>
      <x:c r="L260" s="146" t="str">
        <x:v>exclude</x:v>
      </x:c>
      <x:c r="M260" s="146" t="str">
        <x:v>keep</x:v>
      </x:c>
      <x:c r="N260" s="147" t="b">
        <x:v>0</x:v>
      </x:c>
      <x:c r="O260" s="146"/>
      <x:c r="P260" s="146" t="str">
        <x:v>SYS.design</x:v>
      </x:c>
      <x:c r="Q260" s="146" t="str"/>
      <x:c r="R260" s="146" t="str">
        <x:v>SYS</x:v>
      </x:c>
      <x:c r="S260" s="146"/>
      <x:c r="T260" s="146" t="str">
        <x:v>decision</x:v>
      </x:c>
      <x:c r="U260" s="146"/>
      <x:c r="V260" s="146" t="str">
        <x:v>neutral</x:v>
      </x:c>
      <x:c r="W260" s="146"/>
      <x:c r="X260" s="146" t="str">
        <x:v>not_applicable</x:v>
      </x:c>
      <x:c r="Y260" s="146"/>
      <x:c r="Z260" s="146" t="n">
        <x:v>2</x:v>
      </x:c>
      <x:c r="AA260" s="146" t="str">
        <x:v>high</x:v>
      </x:c>
      <x:c r="AB260" s="146" t="str">
        <x:v>high</x:v>
      </x:c>
      <x:c r="AC260" s="146"/>
      <x:c r="AD260" s="146"/>
      <x:c r="AE260" s="151"/>
      <x:c r="AF260" s="151" t="str">
        <x:v>SYS.design</x:v>
      </x:c>
      <x:c r="AG260" s="151"/>
      <x:c r="AH260" s="151" t="str">
        <x:v>decision</x:v>
      </x:c>
      <x:c r="AI260" s="154" t="n">
        <x:f>IF(K260,0,1)</x:f>
        <x:v>1</x:v>
      </x:c>
      <x:c r="AJ260" s="154" t="n">
        <x:f>IF(L260="keep",1,0)</x:f>
        <x:v>0</x:v>
      </x:c>
      <x:c r="AK260" s="154" t="n">
        <x:f>IF(M260="keep",1,0)</x:f>
        <x:v>1</x:v>
      </x:c>
      <x:c r="AL260" s="154" t="n">
        <x:f>(AJ260+AK260)/2</x:f>
        <x:v>0.5</x:v>
      </x:c>
      <x:c r="AM260" s="154" t="n">
        <x:f>MIN(AJ260,AK260)</x:f>
        <x:v>0</x:v>
      </x:c>
      <x:c r="AN260" s="154" t="n">
        <x:f>MAX(AJ260,AK260)</x:f>
        <x:v>1</x:v>
      </x:c>
      <x:c r="AO260" s="154" t="n">
        <x:f>IF(L260=M260,1,0)</x:f>
        <x:v>0</x:v>
      </x:c>
    </x:row>
    <x:row r="261">
      <x:c r="A261" s="38" t="str">
        <x:v>SV-0260</x:v>
      </x:c>
      <x:c r="B261" s="38" t="str">
        <x:v>PC-05233</x:v>
      </x:c>
      <x:c r="C261" s="38" t="str">
        <x:v>en|claude_only</x:v>
      </x:c>
      <x:c r="D261" s="87" t="n">
        <x:v>19.375</x:v>
      </x:c>
      <x:c r="E261" s="38" t="str">
        <x:v>claude_only</x:v>
      </x:c>
      <x:c r="F261" s="38" t="str">
        <x:v>SE_Riksbank_PaymentsReport_2025</x:v>
      </x:c>
      <x:c r="G261" s="38" t="n">
        <x:v>42</x:v>
      </x:c>
      <x:c r="H261" s="38" t="str">
        <x:v>en</x:v>
      </x:c>
      <x:c r="I261" s="38" t="str">
        <x:v>Sveriges Riksbank</x:v>
      </x:c>
      <x:c r="J261" s="38" t="str">
        <x:v>By the Riksbank requiring participants in RIX-INST to accept more 
types of instant payments from the autumn of 2024, users in Sweden can have 
greater choice.</x:v>
      </x:c>
      <x:c r="K261" s="142" t="b">
        <x:v>0</x:v>
      </x:c>
      <x:c r="L261" s="146" t="str">
        <x:v>exclude</x:v>
      </x:c>
      <x:c r="M261" s="146" t="str">
        <x:v>keep</x:v>
      </x:c>
      <x:c r="N261" s="147" t="b">
        <x:v>0</x:v>
      </x:c>
      <x:c r="O261" s="146"/>
      <x:c r="P261" s="146" t="str">
        <x:v>SYS.design</x:v>
      </x:c>
      <x:c r="Q261" s="146" t="str"/>
      <x:c r="R261" s="146" t="str">
        <x:v>SYS</x:v>
      </x:c>
      <x:c r="S261" s="146"/>
      <x:c r="T261" s="146" t="str">
        <x:v>decision</x:v>
      </x:c>
      <x:c r="U261" s="146"/>
      <x:c r="V261" s="146" t="str">
        <x:v>neutral</x:v>
      </x:c>
      <x:c r="W261" s="146"/>
      <x:c r="X261" s="146" t="str">
        <x:v>not_applicable</x:v>
      </x:c>
      <x:c r="Y261" s="146"/>
      <x:c r="Z261" s="146" t="n">
        <x:v>2</x:v>
      </x:c>
      <x:c r="AA261" s="146" t="str">
        <x:v>high</x:v>
      </x:c>
      <x:c r="AB261" s="146" t="str">
        <x:v>high</x:v>
      </x:c>
      <x:c r="AC261" s="146"/>
      <x:c r="AD261" s="146"/>
      <x:c r="AE261" s="151"/>
      <x:c r="AF261" s="151" t="str">
        <x:v>SYS.design</x:v>
      </x:c>
      <x:c r="AG261" s="151"/>
      <x:c r="AH261" s="151" t="str">
        <x:v>decision</x:v>
      </x:c>
      <x:c r="AI261" s="154" t="n">
        <x:f>IF(K261,0,1)</x:f>
        <x:v>1</x:v>
      </x:c>
      <x:c r="AJ261" s="154" t="n">
        <x:f>IF(L261="keep",1,0)</x:f>
        <x:v>0</x:v>
      </x:c>
      <x:c r="AK261" s="154" t="n">
        <x:f>IF(M261="keep",1,0)</x:f>
        <x:v>1</x:v>
      </x:c>
      <x:c r="AL261" s="154" t="n">
        <x:f>(AJ261+AK261)/2</x:f>
        <x:v>0.5</x:v>
      </x:c>
      <x:c r="AM261" s="154" t="n">
        <x:f>MIN(AJ261,AK261)</x:f>
        <x:v>0</x:v>
      </x:c>
      <x:c r="AN261" s="154" t="n">
        <x:f>MAX(AJ261,AK261)</x:f>
        <x:v>1</x:v>
      </x:c>
      <x:c r="AO261" s="154" t="n">
        <x:f>IF(L261=M261,1,0)</x:f>
        <x:v>0</x:v>
      </x:c>
    </x:row>
    <x:row r="262">
      <x:c r="A262" s="38" t="str">
        <x:v>SV-0261</x:v>
      </x:c>
      <x:c r="B262" s="38" t="str">
        <x:v>PC-05720</x:v>
      </x:c>
      <x:c r="C262" s="38" t="str">
        <x:v>en|both</x:v>
      </x:c>
      <x:c r="D262" s="87" t="n">
        <x:v>19.069444444444443</x:v>
      </x:c>
      <x:c r="E262" s="38" t="str">
        <x:v>both</x:v>
      </x:c>
      <x:c r="F262" s="38" t="str">
        <x:v>TR_Turkey_Digital_Turkish_Lira_First_Phase_Evaluation_Report</x:v>
      </x:c>
      <x:c r="G262" s="38" t="n">
        <x:v>18</x:v>
      </x:c>
      <x:c r="H262" s="38" t="str">
        <x:v>en</x:v>
      </x:c>
      <x:c r="I262" s="38" t="str">
        <x:v>Central Bank of the Republic of Turkiye (Digital Turkish Lira)</x:v>
      </x:c>
      <x:c r="J262" s="38" t="str">
        <x:v>End user should be able to use the system safely and with ease.</x:v>
      </x:c>
      <x:c r="K262" s="142" t="b">
        <x:v>0</x:v>
      </x:c>
      <x:c r="L262" s="146" t="str">
        <x:v>keep</x:v>
      </x:c>
      <x:c r="M262" s="146" t="str">
        <x:v>keep</x:v>
      </x:c>
      <x:c r="N262" s="147" t="b">
        <x:v>1</x:v>
      </x:c>
      <x:c r="O262" s="146" t="str">
        <x:v>ADOPT.experience</x:v>
      </x:c>
      <x:c r="P262" s="146" t="str">
        <x:v>ADOPT.experience</x:v>
      </x:c>
      <x:c r="Q262" s="146" t="str">
        <x:v>ADOPT</x:v>
      </x:c>
      <x:c r="R262" s="146" t="str">
        <x:v>ADOPT</x:v>
      </x:c>
      <x:c r="S262" s="146" t="str">
        <x:v>proposal</x:v>
      </x:c>
      <x:c r="T262" s="146" t="str">
        <x:v>proposal</x:v>
      </x:c>
      <x:c r="U262" s="146" t="str">
        <x:v>neutral</x:v>
      </x:c>
      <x:c r="V262" s="146" t="str">
        <x:v>neutral</x:v>
      </x:c>
      <x:c r="W262" s="146" t="str">
        <x:v>not_applicable</x:v>
      </x:c>
      <x:c r="X262" s="146" t="str">
        <x:v>not_applicable</x:v>
      </x:c>
      <x:c r="Y262" s="146" t="n">
        <x:v>3</x:v>
      </x:c>
      <x:c r="Z262" s="146" t="n">
        <x:v>2</x:v>
      </x:c>
      <x:c r="AA262" s="146" t="str">
        <x:v>high</x:v>
      </x:c>
      <x:c r="AB262" s="146" t="str">
        <x:v>high</x:v>
      </x:c>
      <x:c r="AC262" s="146"/>
      <x:c r="AD262" s="146"/>
      <x:c r="AE262" s="151" t="str">
        <x:v>ADOPT.experience</x:v>
      </x:c>
      <x:c r="AF262" s="151" t="str">
        <x:v>ADOPT.experience</x:v>
      </x:c>
      <x:c r="AG262" s="151" t="str">
        <x:v>proposal</x:v>
      </x:c>
      <x:c r="AH262" s="151" t="str">
        <x:v>proposal</x:v>
      </x:c>
      <x:c r="AI262" s="154" t="n">
        <x:f>IF(K262,0,1)</x:f>
        <x:v>1</x:v>
      </x:c>
      <x:c r="AJ262" s="154" t="n">
        <x:f>IF(L262="keep",1,0)</x:f>
        <x:v>1</x:v>
      </x:c>
      <x:c r="AK262" s="154" t="n">
        <x:f>IF(M262="keep",1,0)</x:f>
        <x:v>1</x:v>
      </x:c>
      <x:c r="AL262" s="154" t="n">
        <x:f>(AJ262+AK262)/2</x:f>
        <x:v>1</x:v>
      </x:c>
      <x:c r="AM262" s="154" t="n">
        <x:f>MIN(AJ262,AK262)</x:f>
        <x:v>1</x:v>
      </x:c>
      <x:c r="AN262" s="154" t="n">
        <x:f>MAX(AJ262,AK262)</x:f>
        <x:v>1</x:v>
      </x:c>
      <x:c r="AO262" s="154" t="n">
        <x:f>IF(L262=M262,1,0)</x:f>
        <x:v>1</x:v>
      </x:c>
    </x:row>
    <x:row r="263">
      <x:c r="A263" s="38" t="str">
        <x:v>SV-0262</x:v>
      </x:c>
      <x:c r="B263" s="38" t="str">
        <x:v>PC-06629</x:v>
      </x:c>
      <x:c r="C263" s="38" t="str">
        <x:v>en|both</x:v>
      </x:c>
      <x:c r="D263" s="87" t="n">
        <x:v>19.069444444444443</x:v>
      </x:c>
      <x:c r="E263" s="38" t="str">
        <x:v>both</x:v>
      </x:c>
      <x:c r="F263" s="38" t="str">
        <x:v>UY_BCU_Seven_Lessons_2022</x:v>
      </x:c>
      <x:c r="G263" s="38" t="n">
        <x:v>2</x:v>
      </x:c>
      <x:c r="H263" s="38" t="str">
        <x:v>en</x:v>
      </x:c>
      <x:c r="I263" s="38" t="str">
        <x:v>Banco Central del Uruguay (e-Peso pilot)</x:v>
      </x:c>
      <x:c r="J263" s="38" t="str">
        <x:v>digital money was used for small payments and transfers as a 
complement to existing means of payment.</x:v>
      </x:c>
      <x:c r="K263" s="142" t="b">
        <x:v>0</x:v>
      </x:c>
      <x:c r="L263" s="146" t="str">
        <x:v>keep</x:v>
      </x:c>
      <x:c r="M263" s="146" t="str">
        <x:v>keep</x:v>
      </x:c>
      <x:c r="N263" s="147" t="b">
        <x:v>1</x:v>
      </x:c>
      <x:c r="O263" s="146" t="str">
        <x:v>CASH.relation</x:v>
      </x:c>
      <x:c r="P263" s="146" t="str">
        <x:v>OPS.resilience</x:v>
      </x:c>
      <x:c r="Q263" s="146" t="str">
        <x:v>CASH</x:v>
      </x:c>
      <x:c r="R263" s="146" t="str">
        <x:v>OPS</x:v>
      </x:c>
      <x:c r="S263" s="146" t="str">
        <x:v>finding</x:v>
      </x:c>
      <x:c r="T263" s="146" t="str">
        <x:v>finding</x:v>
      </x:c>
      <x:c r="U263" s="146" t="str">
        <x:v>neutral</x:v>
      </x:c>
      <x:c r="V263" s="146" t="str">
        <x:v>neutral</x:v>
      </x:c>
      <x:c r="W263" s="146" t="str">
        <x:v>not_applicable</x:v>
      </x:c>
      <x:c r="X263" s="146" t="str">
        <x:v>not_applicable</x:v>
      </x:c>
      <x:c r="Y263" s="146" t="n">
        <x:v>2</x:v>
      </x:c>
      <x:c r="Z263" s="146" t="n">
        <x:v>2</x:v>
      </x:c>
      <x:c r="AA263" s="146" t="str">
        <x:v>high</x:v>
      </x:c>
      <x:c r="AB263" s="146" t="str">
        <x:v>high</x:v>
      </x:c>
      <x:c r="AC263" s="146"/>
      <x:c r="AD263" s="146"/>
      <x:c r="AE263" s="151" t="str">
        <x:v>CASH.relation</x:v>
      </x:c>
      <x:c r="AF263" s="151" t="str">
        <x:v>OPS.resilience</x:v>
      </x:c>
      <x:c r="AG263" s="151" t="str">
        <x:v>finding</x:v>
      </x:c>
      <x:c r="AH263" s="151" t="str">
        <x:v>finding</x:v>
      </x:c>
      <x:c r="AI263" s="154" t="n">
        <x:f>IF(K263,0,1)</x:f>
        <x:v>1</x:v>
      </x:c>
      <x:c r="AJ263" s="154" t="n">
        <x:f>IF(L263="keep",1,0)</x:f>
        <x:v>1</x:v>
      </x:c>
      <x:c r="AK263" s="154" t="n">
        <x:f>IF(M263="keep",1,0)</x:f>
        <x:v>1</x:v>
      </x:c>
      <x:c r="AL263" s="154" t="n">
        <x:f>(AJ263+AK263)/2</x:f>
        <x:v>1</x:v>
      </x:c>
      <x:c r="AM263" s="154" t="n">
        <x:f>MIN(AJ263,AK263)</x:f>
        <x:v>1</x:v>
      </x:c>
      <x:c r="AN263" s="154" t="n">
        <x:f>MAX(AJ263,AK263)</x:f>
        <x:v>1</x:v>
      </x:c>
      <x:c r="AO263" s="154" t="n">
        <x:f>IF(L263=M263,1,0)</x:f>
        <x:v>1</x:v>
      </x:c>
    </x:row>
    <x:row r="264">
      <x:c r="A264" s="38" t="str">
        <x:v>SV-0263</x:v>
      </x:c>
      <x:c r="B264" s="38" t="str">
        <x:v>PC-05289</x:v>
      </x:c>
      <x:c r="C264" s="38" t="str">
        <x:v>en|openai_only</x:v>
      </x:c>
      <x:c r="D264" s="87" t="n">
        <x:v>19.21875</x:v>
      </x:c>
      <x:c r="E264" s="38" t="str">
        <x:v>openai_only</x:v>
      </x:c>
      <x:c r="F264" s="38" t="str">
        <x:v>SG_MAS_mas-project-orchid-report</x:v>
      </x:c>
      <x:c r="G264" s="38" t="n">
        <x:v>22</x:v>
      </x:c>
      <x:c r="H264" s="38" t="str">
        <x:v>en</x:v>
      </x:c>
      <x:c r="I264" s="38" t="str">
        <x:v>Monetary Authority of Singapore (Project Orchid / purpose-bound money)</x:v>
      </x:c>
      <x:c r="J264" s="38" t="str">
        <x:v>PBM smart contracts, if deployed onto public 
ledgers, offer greater transparency for government 
social programmes.</x:v>
      </x:c>
      <x:c r="K264" s="142" t="b">
        <x:v>0</x:v>
      </x:c>
      <x:c r="L264" s="146" t="str">
        <x:v>keep</x:v>
      </x:c>
      <x:c r="M264" s="146" t="str">
        <x:v>exclude</x:v>
      </x:c>
      <x:c r="N264" s="147" t="b">
        <x:v>0</x:v>
      </x:c>
      <x:c r="O264" s="146" t="str">
        <x:v>PRIV.CB.visibility.transparent</x:v>
      </x:c>
      <x:c r="P264" s="146"/>
      <x:c r="Q264" s="146" t="str">
        <x:v>PRIV</x:v>
      </x:c>
      <x:c r="R264" s="146" t="str"/>
      <x:c r="S264" s="146" t="str">
        <x:v>proposal</x:v>
      </x:c>
      <x:c r="T264" s="146"/>
      <x:c r="U264" s="146" t="str">
        <x:v>decreases</x:v>
      </x:c>
      <x:c r="V264" s="146"/>
      <x:c r="W264" s="146" t="str">
        <x:v>from_state</x:v>
      </x:c>
      <x:c r="X264" s="146"/>
      <x:c r="Y264" s="146" t="n">
        <x:v>3</x:v>
      </x:c>
      <x:c r="Z264" s="146"/>
      <x:c r="AA264" s="146" t="str">
        <x:v>high</x:v>
      </x:c>
      <x:c r="AB264" s="146" t="str">
        <x:v>high</x:v>
      </x:c>
      <x:c r="AC264" s="146"/>
      <x:c r="AD264" s="146"/>
      <x:c r="AE264" s="151" t="str">
        <x:v>PRIV.CB.visibility.transparent</x:v>
      </x:c>
      <x:c r="AF264" s="151"/>
      <x:c r="AG264" s="151" t="str">
        <x:v>proposal</x:v>
      </x:c>
      <x:c r="AH264" s="151"/>
      <x:c r="AI264" s="154" t="n">
        <x:f>IF(K264,0,1)</x:f>
        <x:v>1</x:v>
      </x:c>
      <x:c r="AJ264" s="154" t="n">
        <x:f>IF(L264="keep",1,0)</x:f>
        <x:v>1</x:v>
      </x:c>
      <x:c r="AK264" s="154" t="n">
        <x:f>IF(M264="keep",1,0)</x:f>
        <x:v>0</x:v>
      </x:c>
      <x:c r="AL264" s="154" t="n">
        <x:f>(AJ264+AK264)/2</x:f>
        <x:v>0.5</x:v>
      </x:c>
      <x:c r="AM264" s="154" t="n">
        <x:f>MIN(AJ264,AK264)</x:f>
        <x:v>0</x:v>
      </x:c>
      <x:c r="AN264" s="154" t="n">
        <x:f>MAX(AJ264,AK264)</x:f>
        <x:v>1</x:v>
      </x:c>
      <x:c r="AO264" s="154" t="n">
        <x:f>IF(L264=M264,1,0)</x:f>
        <x:v>0</x:v>
      </x:c>
    </x:row>
    <x:row r="265">
      <x:c r="A265" s="38" t="str">
        <x:v>SV-0264</x:v>
      </x:c>
      <x:c r="B265" s="38" t="str">
        <x:v>PC-04610</x:v>
      </x:c>
      <x:c r="C265" s="38" t="str">
        <x:v>en|both</x:v>
      </x:c>
      <x:c r="D265" s="87" t="n">
        <x:v>19.069444444444443</x:v>
      </x:c>
      <x:c r="E265" s="38" t="str">
        <x:v>both</x:v>
      </x:c>
      <x:c r="F265" s="38" t="str">
        <x:v>NZ_RBNZ_cbdc-insights-dossier-for-public-1</x:v>
      </x:c>
      <x:c r="G265" s="38" t="n">
        <x:v>52</x:v>
      </x:c>
      <x:c r="H265" s="38" t="str">
        <x:v>en</x:v>
      </x:c>
      <x:c r="I265" s="38" t="str">
        <x:v>Reserve Bank of New Zealand (digital cash/CBDC)</x:v>
      </x:c>
      <x:c r="J265" s="38" t="str">
        <x:v>RBNZ’s initial preference is for CBDC users to use proxy identities to protect their privacy in the system.A balance between strong data control of proxy identities whilst allowing the option for the user to manage their proxy identities themselves.</x:v>
      </x:c>
      <x:c r="K265" s="142" t="b">
        <x:v>0</x:v>
      </x:c>
      <x:c r="L265" s="146" t="str">
        <x:v>keep</x:v>
      </x:c>
      <x:c r="M265" s="146" t="str">
        <x:v>keep</x:v>
      </x:c>
      <x:c r="N265" s="147" t="b">
        <x:v>1</x:v>
      </x:c>
      <x:c r="O265" s="146" t="str">
        <x:v>PRIV.ANON</x:v>
      </x:c>
      <x:c r="P265" s="146" t="str">
        <x:v>PRIV.PET</x:v>
      </x:c>
      <x:c r="Q265" s="146" t="str">
        <x:v>PRIV</x:v>
      </x:c>
      <x:c r="R265" s="146" t="str">
        <x:v>PRIV</x:v>
      </x:c>
      <x:c r="S265" s="146" t="str">
        <x:v>proposal</x:v>
      </x:c>
      <x:c r="T265" s="146" t="str">
        <x:v>proposal</x:v>
      </x:c>
      <x:c r="U265" s="146" t="str">
        <x:v>increases</x:v>
      </x:c>
      <x:c r="V265" s="146" t="str">
        <x:v>increases</x:v>
      </x:c>
      <x:c r="W265" s="146" t="str">
        <x:v>from_state</x:v>
      </x:c>
      <x:c r="X265" s="146" t="str">
        <x:v>from_state</x:v>
      </x:c>
      <x:c r="Y265" s="146" t="n">
        <x:v>2</x:v>
      </x:c>
      <x:c r="Z265" s="146" t="n">
        <x:v>3</x:v>
      </x:c>
      <x:c r="AA265" s="146" t="str">
        <x:v>high</x:v>
      </x:c>
      <x:c r="AB265" s="146" t="str">
        <x:v>high</x:v>
      </x:c>
      <x:c r="AC265" s="146"/>
      <x:c r="AD265" s="146"/>
      <x:c r="AE265" s="151" t="str">
        <x:v>PRIV.ANON</x:v>
      </x:c>
      <x:c r="AF265" s="151" t="str">
        <x:v>PRIV.PET</x:v>
      </x:c>
      <x:c r="AG265" s="151" t="str">
        <x:v>proposal</x:v>
      </x:c>
      <x:c r="AH265" s="151" t="str">
        <x:v>proposal</x:v>
      </x:c>
      <x:c r="AI265" s="154" t="n">
        <x:f>IF(K265,0,1)</x:f>
        <x:v>1</x:v>
      </x:c>
      <x:c r="AJ265" s="154" t="n">
        <x:f>IF(L265="keep",1,0)</x:f>
        <x:v>1</x:v>
      </x:c>
      <x:c r="AK265" s="154" t="n">
        <x:f>IF(M265="keep",1,0)</x:f>
        <x:v>1</x:v>
      </x:c>
      <x:c r="AL265" s="154" t="n">
        <x:f>(AJ265+AK265)/2</x:f>
        <x:v>1</x:v>
      </x:c>
      <x:c r="AM265" s="154" t="n">
        <x:f>MIN(AJ265,AK265)</x:f>
        <x:v>1</x:v>
      </x:c>
      <x:c r="AN265" s="154" t="n">
        <x:f>MAX(AJ265,AK265)</x:f>
        <x:v>1</x:v>
      </x:c>
      <x:c r="AO265" s="154" t="n">
        <x:f>IF(L265=M265,1,0)</x:f>
        <x:v>1</x:v>
      </x:c>
    </x:row>
    <x:row r="266">
      <x:c r="A266" s="38" t="str">
        <x:v>SV-0265</x:v>
      </x:c>
      <x:c r="B266" s="38" t="str">
        <x:v>PC-04885</x:v>
      </x:c>
      <x:c r="C266" s="38" t="str">
        <x:v>ru/uk|claude_only</x:v>
      </x:c>
      <x:c r="D266" s="87" t="n">
        <x:v>37</x:v>
      </x:c>
      <x:c r="E266" s="38" t="str">
        <x:v>claude_only</x:v>
      </x:c>
      <x:c r="F266" s="38" t="str">
        <x:v>RU_Russia_concept_08042021</x:v>
      </x:c>
      <x:c r="G266" s="38" t="n">
        <x:v>26</x:v>
      </x:c>
      <x:c r="H266" s="38" t="str">
        <x:v>ru/uk</x:v>
      </x:c>
      <x:c r="I266" s="38" t="str">
        <x:v>Bank of Russia (digital ruble)</x:v>
      </x:c>
      <x:c r="J266" s="38" t="str">
        <x:v>Однако возможное влияние на  ликвидность банков будет постепенным и  растянутым 
во времени по мере распространения в обращении цифрового рубля.</x:v>
      </x:c>
      <x:c r="K266" s="142" t="b">
        <x:v>0</x:v>
      </x:c>
      <x:c r="L266" s="146" t="str">
        <x:v>exclude</x:v>
      </x:c>
      <x:c r="M266" s="146" t="str">
        <x:v>keep</x:v>
      </x:c>
      <x:c r="N266" s="147" t="b">
        <x:v>0</x:v>
      </x:c>
      <x:c r="O266" s="146"/>
      <x:c r="P266" s="146" t="str">
        <x:v>STAB.disintermediation</x:v>
      </x:c>
      <x:c r="Q266" s="146" t="str"/>
      <x:c r="R266" s="146" t="str">
        <x:v>STAB</x:v>
      </x:c>
      <x:c r="S266" s="146"/>
      <x:c r="T266" s="146" t="str">
        <x:v>finding</x:v>
      </x:c>
      <x:c r="U266" s="146"/>
      <x:c r="V266" s="146" t="str">
        <x:v>neutral</x:v>
      </x:c>
      <x:c r="W266" s="146"/>
      <x:c r="X266" s="146" t="str">
        <x:v>not_applicable</x:v>
      </x:c>
      <x:c r="Y266" s="146"/>
      <x:c r="Z266" s="146" t="n">
        <x:v>2</x:v>
      </x:c>
      <x:c r="AA266" s="146" t="str">
        <x:v>high</x:v>
      </x:c>
      <x:c r="AB266" s="146" t="str">
        <x:v>high</x:v>
      </x:c>
      <x:c r="AC266" s="146"/>
      <x:c r="AD266" s="146"/>
      <x:c r="AE266" s="151"/>
      <x:c r="AF266" s="151" t="str">
        <x:v>STAB.disintermediation</x:v>
      </x:c>
      <x:c r="AG266" s="151"/>
      <x:c r="AH266" s="151" t="str">
        <x:v>finding</x:v>
      </x:c>
      <x:c r="AI266" s="154" t="n">
        <x:f>IF(K266,0,1)</x:f>
        <x:v>1</x:v>
      </x:c>
      <x:c r="AJ266" s="154" t="n">
        <x:f>IF(L266="keep",1,0)</x:f>
        <x:v>0</x:v>
      </x:c>
      <x:c r="AK266" s="154" t="n">
        <x:f>IF(M266="keep",1,0)</x:f>
        <x:v>1</x:v>
      </x:c>
      <x:c r="AL266" s="154" t="n">
        <x:f>(AJ266+AK266)/2</x:f>
        <x:v>0.5</x:v>
      </x:c>
      <x:c r="AM266" s="154" t="n">
        <x:f>MIN(AJ266,AK266)</x:f>
        <x:v>0</x:v>
      </x:c>
      <x:c r="AN266" s="154" t="n">
        <x:f>MAX(AJ266,AK266)</x:f>
        <x:v>1</x:v>
      </x:c>
      <x:c r="AO266" s="154" t="n">
        <x:f>IF(L266=M266,1,0)</x:f>
        <x:v>0</x:v>
      </x:c>
    </x:row>
    <x:row r="267">
      <x:c r="A267" s="38" t="str">
        <x:v>SV-0266</x:v>
      </x:c>
      <x:c r="B267" s="38" t="str">
        <x:v>PC-05306</x:v>
      </x:c>
      <x:c r="C267" s="38" t="str">
        <x:v>en|both</x:v>
      </x:c>
      <x:c r="D267" s="87" t="n">
        <x:v>19.069444444444443</x:v>
      </x:c>
      <x:c r="E267" s="38" t="str">
        <x:v>both</x:v>
      </x:c>
      <x:c r="F267" s="38" t="str">
        <x:v>SG_MAS_mas-project-orchid-report</x:v>
      </x:c>
      <x:c r="G267" s="38" t="n">
        <x:v>28</x:v>
      </x:c>
      <x:c r="H267" s="38" t="str">
        <x:v>en</x:v>
      </x:c>
      <x:c r="I267" s="38" t="str">
        <x:v>Monetary Authority of Singapore (Project Orchid / purpose-bound money)</x:v>
      </x:c>
      <x:c r="J267" s="38" t="str">
        <x:v>PBM technology could be used to mitigate the 
unilateral and unauthorised use of funds. Transactions 
are recorded on an immutable append only ledger with 
the possibility of aiding investigators with appropriate 
access to uncover the occurrence of malicious acts 
such as the modifications of terms of use of a PBM.</x:v>
      </x:c>
      <x:c r="K267" s="142" t="b">
        <x:v>0</x:v>
      </x:c>
      <x:c r="L267" s="146" t="str">
        <x:v>keep</x:v>
      </x:c>
      <x:c r="M267" s="146" t="str">
        <x:v>keep</x:v>
      </x:c>
      <x:c r="N267" s="147" t="b">
        <x:v>1</x:v>
      </x:c>
      <x:c r="O267" s="146" t="str">
        <x:v>OPS.resilience</x:v>
      </x:c>
      <x:c r="P267" s="146" t="str">
        <x:v>OPS.resilience</x:v>
      </x:c>
      <x:c r="Q267" s="146" t="str">
        <x:v>OPS</x:v>
      </x:c>
      <x:c r="R267" s="146" t="str">
        <x:v>OPS</x:v>
      </x:c>
      <x:c r="S267" s="146" t="str">
        <x:v>proposal</x:v>
      </x:c>
      <x:c r="T267" s="146" t="str">
        <x:v>proposal</x:v>
      </x:c>
      <x:c r="U267" s="146" t="str">
        <x:v>neutral</x:v>
      </x:c>
      <x:c r="V267" s="146" t="str">
        <x:v>neutral</x:v>
      </x:c>
      <x:c r="W267" s="146" t="str">
        <x:v>not_applicable</x:v>
      </x:c>
      <x:c r="X267" s="146" t="str">
        <x:v>not_applicable</x:v>
      </x:c>
      <x:c r="Y267" s="146" t="n">
        <x:v>2</x:v>
      </x:c>
      <x:c r="Z267" s="146" t="n">
        <x:v>2</x:v>
      </x:c>
      <x:c r="AA267" s="146" t="str">
        <x:v>high</x:v>
      </x:c>
      <x:c r="AB267" s="146" t="str">
        <x:v>high</x:v>
      </x:c>
      <x:c r="AC267" s="146"/>
      <x:c r="AD267" s="146"/>
      <x:c r="AE267" s="151" t="str">
        <x:v>OPS.resilience</x:v>
      </x:c>
      <x:c r="AF267" s="151" t="str">
        <x:v>OPS.resilience</x:v>
      </x:c>
      <x:c r="AG267" s="151" t="str">
        <x:v>proposal</x:v>
      </x:c>
      <x:c r="AH267" s="151" t="str">
        <x:v>proposal</x:v>
      </x:c>
      <x:c r="AI267" s="154" t="n">
        <x:f>IF(K267,0,1)</x:f>
        <x:v>1</x:v>
      </x:c>
      <x:c r="AJ267" s="154" t="n">
        <x:f>IF(L267="keep",1,0)</x:f>
        <x:v>1</x:v>
      </x:c>
      <x:c r="AK267" s="154" t="n">
        <x:f>IF(M267="keep",1,0)</x:f>
        <x:v>1</x:v>
      </x:c>
      <x:c r="AL267" s="154" t="n">
        <x:f>(AJ267+AK267)/2</x:f>
        <x:v>1</x:v>
      </x:c>
      <x:c r="AM267" s="154" t="n">
        <x:f>MIN(AJ267,AK267)</x:f>
        <x:v>1</x:v>
      </x:c>
      <x:c r="AN267" s="154" t="n">
        <x:f>MAX(AJ267,AK267)</x:f>
        <x:v>1</x:v>
      </x:c>
      <x:c r="AO267" s="154" t="n">
        <x:f>IF(L267=M267,1,0)</x:f>
        <x:v>1</x:v>
      </x:c>
    </x:row>
    <x:row r="268">
      <x:c r="A268" s="38" t="str">
        <x:v>SV-0267</x:v>
      </x:c>
      <x:c r="B268" s="38" t="str">
        <x:v>PC-06945</x:v>
      </x:c>
      <x:c r="C268" s="38" t="str">
        <x:v>en|both</x:v>
      </x:c>
      <x:c r="D268" s="87" t="n">
        <x:v>19.069444444444443</x:v>
      </x:c>
      <x:c r="E268" s="38" t="str">
        <x:v>both</x:v>
      </x:c>
      <x:c r="F268" s="38" t="str">
        <x:v>ZA_SARB_SARB_ProjectKhokha-20180605</x:v>
      </x:c>
      <x:c r="G268" s="38" t="n">
        <x:v>73</x:v>
      </x:c>
      <x:c r="H268" s="38" t="str">
        <x:v>en</x:v>
      </x:c>
      <x:c r="I268" s="38" t="str">
        <x:v>South African Reserve Bank</x:v>
      </x:c>
      <x:c r="J268" s="38" t="str">
        <x:v>The amounts and balances were shielded, with the network only seeing the Pedersen commitment  
for each transaction. The SARB still approved the transfer.</x:v>
      </x:c>
      <x:c r="K268" s="142" t="b">
        <x:v>0</x:v>
      </x:c>
      <x:c r="L268" s="146" t="str">
        <x:v>keep</x:v>
      </x:c>
      <x:c r="M268" s="146" t="str">
        <x:v>keep</x:v>
      </x:c>
      <x:c r="N268" s="147" t="b">
        <x:v>1</x:v>
      </x:c>
      <x:c r="O268" s="146" t="str">
        <x:v>PRIV.PET</x:v>
      </x:c>
      <x:c r="P268" s="146" t="str">
        <x:v>PRIV.PET</x:v>
      </x:c>
      <x:c r="Q268" s="146" t="str">
        <x:v>PRIV</x:v>
      </x:c>
      <x:c r="R268" s="146" t="str">
        <x:v>PRIV</x:v>
      </x:c>
      <x:c r="S268" s="146" t="str">
        <x:v>finding</x:v>
      </x:c>
      <x:c r="T268" s="146" t="str">
        <x:v>finding</x:v>
      </x:c>
      <x:c r="U268" s="146" t="str">
        <x:v>increases</x:v>
      </x:c>
      <x:c r="V268" s="146" t="str">
        <x:v>increases</x:v>
      </x:c>
      <x:c r="W268" s="146" t="str">
        <x:v>from_counterparty</x:v>
      </x:c>
      <x:c r="X268" s="146" t="str">
        <x:v>from_counterparty</x:v>
      </x:c>
      <x:c r="Y268" s="146" t="n">
        <x:v>2</x:v>
      </x:c>
      <x:c r="Z268" s="146" t="n">
        <x:v>3</x:v>
      </x:c>
      <x:c r="AA268" s="146" t="str">
        <x:v>high</x:v>
      </x:c>
      <x:c r="AB268" s="146" t="str">
        <x:v>high</x:v>
      </x:c>
      <x:c r="AC268" s="146"/>
      <x:c r="AD268" s="146"/>
      <x:c r="AE268" s="151" t="str">
        <x:v>PRIV.PET</x:v>
      </x:c>
      <x:c r="AF268" s="151" t="str">
        <x:v>PRIV.PET</x:v>
      </x:c>
      <x:c r="AG268" s="151" t="str">
        <x:v>finding</x:v>
      </x:c>
      <x:c r="AH268" s="151" t="str">
        <x:v>finding</x:v>
      </x:c>
      <x:c r="AI268" s="154" t="n">
        <x:f>IF(K268,0,1)</x:f>
        <x:v>1</x:v>
      </x:c>
      <x:c r="AJ268" s="154" t="n">
        <x:f>IF(L268="keep",1,0)</x:f>
        <x:v>1</x:v>
      </x:c>
      <x:c r="AK268" s="154" t="n">
        <x:f>IF(M268="keep",1,0)</x:f>
        <x:v>1</x:v>
      </x:c>
      <x:c r="AL268" s="154" t="n">
        <x:f>(AJ268+AK268)/2</x:f>
        <x:v>1</x:v>
      </x:c>
      <x:c r="AM268" s="154" t="n">
        <x:f>MIN(AJ268,AK268)</x:f>
        <x:v>1</x:v>
      </x:c>
      <x:c r="AN268" s="154" t="n">
        <x:f>MAX(AJ268,AK268)</x:f>
        <x:v>1</x:v>
      </x:c>
      <x:c r="AO268" s="154" t="n">
        <x:f>IF(L268=M268,1,0)</x:f>
        <x:v>1</x:v>
      </x:c>
    </x:row>
    <x:row r="269">
      <x:c r="A269" s="38" t="str">
        <x:v>SV-0268</x:v>
      </x:c>
      <x:c r="B269" s="38" t="str">
        <x:v>PC-01242</x:v>
      </x:c>
      <x:c r="C269" s="38" t="str">
        <x:v>en|openai_only</x:v>
      </x:c>
      <x:c r="D269" s="87" t="n">
        <x:v>19.21875</x:v>
      </x:c>
      <x:c r="E269" s="38" t="str">
        <x:v>openai_only</x:v>
      </x:c>
      <x:c r="F269" s="38" t="str">
        <x:v>CN_China_2021</x:v>
      </x:c>
      <x:c r="G269" s="38" t="n">
        <x:v>13</x:v>
      </x:c>
      <x:c r="H269" s="38" t="str">
        <x:v>en</x:v>
      </x:c>
      <x:c r="I269" s="38" t="str">
        <x:v>People's Bank of China (e-CNY)</x:v>
      </x:c>
      <x:c r="J269" s="38" t="str">
        <x:v>A
ddi
t
i
ona
l
l
y
,
t
he
P
B
O
C
ha
s
s
e
t
up
a
f
r
a
m
e
w
or
k
of
bi
g
da
t
a
a
na
l
y
s
i
s
,
r
i
s
k
m
oni
t
or
i
ng
a
nd
e
a
r
l
y
w
a
r
ni
ng
f
or
e
-
C
N
Y
t
o
e
nha
nc
e
t
he
f
or
e
s
i
ght
e
dne
s
s
,
a
c
c
ur
a
c
y
a
nd
e
f
f
e
c
t
i
ve
ne
s
s
of
e
-
C
N
Y
m
a
na
ge
m
e
nt
.</x:v>
      </x:c>
      <x:c r="K269" s="142" t="b">
        <x:v>0</x:v>
      </x:c>
      <x:c r="L269" s="146" t="str">
        <x:v>keep</x:v>
      </x:c>
      <x:c r="M269" s="146" t="str">
        <x:v>exclude</x:v>
      </x:c>
      <x:c r="N269" s="147" t="b">
        <x:v>0</x:v>
      </x:c>
      <x:c r="O269" s="146" t="str">
        <x:v>SYS.design</x:v>
      </x:c>
      <x:c r="P269" s="146"/>
      <x:c r="Q269" s="146" t="str">
        <x:v>SYS</x:v>
      </x:c>
      <x:c r="R269" s="146" t="str"/>
      <x:c r="S269" s="146" t="str">
        <x:v>decision</x:v>
      </x:c>
      <x:c r="T269" s="146"/>
      <x:c r="U269" s="146" t="str">
        <x:v>neutral</x:v>
      </x:c>
      <x:c r="V269" s="146"/>
      <x:c r="W269" s="146" t="str">
        <x:v>not_applicable</x:v>
      </x:c>
      <x:c r="X269" s="146"/>
      <x:c r="Y269" s="146" t="n">
        <x:v>2</x:v>
      </x:c>
      <x:c r="Z269" s="146"/>
      <x:c r="AA269" s="146" t="str">
        <x:v>high</x:v>
      </x:c>
      <x:c r="AB269" s="146" t="str">
        <x:v>high</x:v>
      </x:c>
      <x:c r="AC269" s="146"/>
      <x:c r="AD269" s="146"/>
      <x:c r="AE269" s="151" t="str">
        <x:v>SYS.design</x:v>
      </x:c>
      <x:c r="AF269" s="151"/>
      <x:c r="AG269" s="151" t="str">
        <x:v>decision</x:v>
      </x:c>
      <x:c r="AH269" s="151"/>
      <x:c r="AI269" s="154" t="n">
        <x:f>IF(K269,0,1)</x:f>
        <x:v>1</x:v>
      </x:c>
      <x:c r="AJ269" s="154" t="n">
        <x:f>IF(L269="keep",1,0)</x:f>
        <x:v>1</x:v>
      </x:c>
      <x:c r="AK269" s="154" t="n">
        <x:f>IF(M269="keep",1,0)</x:f>
        <x:v>0</x:v>
      </x:c>
      <x:c r="AL269" s="154" t="n">
        <x:f>(AJ269+AK269)/2</x:f>
        <x:v>0.5</x:v>
      </x:c>
      <x:c r="AM269" s="154" t="n">
        <x:f>MIN(AJ269,AK269)</x:f>
        <x:v>0</x:v>
      </x:c>
      <x:c r="AN269" s="154" t="n">
        <x:f>MAX(AJ269,AK269)</x:f>
        <x:v>1</x:v>
      </x:c>
      <x:c r="AO269" s="154" t="n">
        <x:f>IF(L269=M269,1,0)</x:f>
        <x:v>0</x:v>
      </x:c>
    </x:row>
    <x:row r="270">
      <x:c r="A270" s="38" t="str">
        <x:v>SV-0269</x:v>
      </x:c>
      <x:c r="B270" s="38" t="str">
        <x:v>PC-02054</x:v>
      </x:c>
      <x:c r="C270" s="38" t="str">
        <x:v>en|both</x:v>
      </x:c>
      <x:c r="D270" s="87" t="n">
        <x:v>19.069444444444443</x:v>
      </x:c>
      <x:c r="E270" s="38" t="str">
        <x:v>both</x:v>
      </x:c>
      <x:c r="F270" s="38" t="str">
        <x:v>HK_HKMA_eHKD_Phase2_2025</x:v>
      </x:c>
      <x:c r="G270" s="38" t="n">
        <x:v>33</x:v>
      </x:c>
      <x:c r="H270" s="38" t="str">
        <x:v>en</x:v>
      </x:c>
      <x:c r="I270" s="38" t="str">
        <x:v>Hong Kong Monetary Authority (e-HKD Phase 2 pilots)</x:v>
      </x:c>
      <x:c r="J270" s="38" t="str">
        <x:v>The pilots demonstrated the feasibility of these 
mechanisms, showing that interoperability 
can enhance the security and integrity of 
asset transfers while positioning an e-HKD as 
a versatile settlement instrument within the 
expanding tokenised asset and DeFi landscape.</x:v>
      </x:c>
      <x:c r="K270" s="142" t="b">
        <x:v>0</x:v>
      </x:c>
      <x:c r="L270" s="146" t="str">
        <x:v>keep</x:v>
      </x:c>
      <x:c r="M270" s="146" t="str">
        <x:v>keep</x:v>
      </x:c>
      <x:c r="N270" s="147" t="b">
        <x:v>1</x:v>
      </x:c>
      <x:c r="O270" s="146" t="str">
        <x:v>INTEROP.domestic</x:v>
      </x:c>
      <x:c r="P270" s="146" t="str">
        <x:v>INTEROP.domestic</x:v>
      </x:c>
      <x:c r="Q270" s="146" t="str">
        <x:v>INTEROP</x:v>
      </x:c>
      <x:c r="R270" s="146" t="str">
        <x:v>INTEROP</x:v>
      </x:c>
      <x:c r="S270" s="146" t="str">
        <x:v>finding</x:v>
      </x:c>
      <x:c r="T270" s="146" t="str">
        <x:v>finding</x:v>
      </x:c>
      <x:c r="U270" s="146" t="str">
        <x:v>neutral</x:v>
      </x:c>
      <x:c r="V270" s="146" t="str">
        <x:v>neutral</x:v>
      </x:c>
      <x:c r="W270" s="146" t="str">
        <x:v>not_applicable</x:v>
      </x:c>
      <x:c r="X270" s="146" t="str">
        <x:v>not_applicable</x:v>
      </x:c>
      <x:c r="Y270" s="146" t="n">
        <x:v>3</x:v>
      </x:c>
      <x:c r="Z270" s="146" t="n">
        <x:v>2</x:v>
      </x:c>
      <x:c r="AA270" s="146" t="str">
        <x:v>high</x:v>
      </x:c>
      <x:c r="AB270" s="146" t="str">
        <x:v>high</x:v>
      </x:c>
      <x:c r="AC270" s="146"/>
      <x:c r="AD270" s="146"/>
      <x:c r="AE270" s="151" t="str">
        <x:v>INTEROP.domestic</x:v>
      </x:c>
      <x:c r="AF270" s="151" t="str">
        <x:v>INTEROP.domestic</x:v>
      </x:c>
      <x:c r="AG270" s="151" t="str">
        <x:v>finding</x:v>
      </x:c>
      <x:c r="AH270" s="151" t="str">
        <x:v>finding</x:v>
      </x:c>
      <x:c r="AI270" s="154" t="n">
        <x:f>IF(K270,0,1)</x:f>
        <x:v>1</x:v>
      </x:c>
      <x:c r="AJ270" s="154" t="n">
        <x:f>IF(L270="keep",1,0)</x:f>
        <x:v>1</x:v>
      </x:c>
      <x:c r="AK270" s="154" t="n">
        <x:f>IF(M270="keep",1,0)</x:f>
        <x:v>1</x:v>
      </x:c>
      <x:c r="AL270" s="154" t="n">
        <x:f>(AJ270+AK270)/2</x:f>
        <x:v>1</x:v>
      </x:c>
      <x:c r="AM270" s="154" t="n">
        <x:f>MIN(AJ270,AK270)</x:f>
        <x:v>1</x:v>
      </x:c>
      <x:c r="AN270" s="154" t="n">
        <x:f>MAX(AJ270,AK270)</x:f>
        <x:v>1</x:v>
      </x:c>
      <x:c r="AO270" s="154" t="n">
        <x:f>IF(L270=M270,1,0)</x:f>
        <x:v>1</x:v>
      </x:c>
    </x:row>
    <x:row r="271">
      <x:c r="A271" s="38" t="str">
        <x:v>SV-0270</x:v>
      </x:c>
      <x:c r="B271" s="38" t="str">
        <x:v>PC-01878</x:v>
      </x:c>
      <x:c r="C271" s="38" t="str">
        <x:v>en|openai_only</x:v>
      </x:c>
      <x:c r="D271" s="87" t="n">
        <x:v>19.21875</x:v>
      </x:c>
      <x:c r="E271" s="38" t="str">
        <x:v>openai_only</x:v>
      </x:c>
      <x:c r="F271" s="38" t="str">
        <x:v>HK_HKMA_2021</x:v>
      </x:c>
      <x:c r="G271" s="38" t="n">
        <x:v>34</x:v>
      </x:c>
      <x:c r="H271" s="38" t="str">
        <x:v>en</x:v>
      </x:c>
      <x:c r="I271" s="38" t="str">
        <x:v>Hong Kong Monetary Authority (e-HKD)</x:v>
      </x:c>
      <x:c r="J271" s="38" t="str">
        <x:v>Similarly, a bank may need 
to access transaction data of customers of other banks while processing a transaction for its customer.</x:v>
      </x:c>
      <x:c r="K271" s="142" t="b">
        <x:v>0</x:v>
      </x:c>
      <x:c r="L271" s="146" t="str">
        <x:v>keep</x:v>
      </x:c>
      <x:c r="M271" s="146" t="str">
        <x:v>exclude</x:v>
      </x:c>
      <x:c r="N271" s="147" t="b">
        <x:v>0</x:v>
      </x:c>
      <x:c r="O271" s="146" t="str">
        <x:v>PRIV.ANON</x:v>
      </x:c>
      <x:c r="P271" s="146"/>
      <x:c r="Q271" s="146" t="str">
        <x:v>PRIV</x:v>
      </x:c>
      <x:c r="R271" s="146" t="str"/>
      <x:c r="S271" s="146" t="str">
        <x:v>proposal</x:v>
      </x:c>
      <x:c r="T271" s="146"/>
      <x:c r="U271" s="146" t="str">
        <x:v>decreases</x:v>
      </x:c>
      <x:c r="V271" s="146"/>
      <x:c r="W271" s="146" t="str">
        <x:v>from_intermediary</x:v>
      </x:c>
      <x:c r="X271" s="146"/>
      <x:c r="Y271" s="146" t="n">
        <x:v>2</x:v>
      </x:c>
      <x:c r="Z271" s="146"/>
      <x:c r="AA271" s="146" t="str">
        <x:v>high</x:v>
      </x:c>
      <x:c r="AB271" s="146" t="str">
        <x:v>high</x:v>
      </x:c>
      <x:c r="AC271" s="146"/>
      <x:c r="AD271" s="146"/>
      <x:c r="AE271" s="151" t="str">
        <x:v>PRIV.ANON</x:v>
      </x:c>
      <x:c r="AF271" s="151"/>
      <x:c r="AG271" s="151" t="str">
        <x:v>proposal</x:v>
      </x:c>
      <x:c r="AH271" s="151"/>
      <x:c r="AI271" s="154" t="n">
        <x:f>IF(K271,0,1)</x:f>
        <x:v>1</x:v>
      </x:c>
      <x:c r="AJ271" s="154" t="n">
        <x:f>IF(L271="keep",1,0)</x:f>
        <x:v>1</x:v>
      </x:c>
      <x:c r="AK271" s="154" t="n">
        <x:f>IF(M271="keep",1,0)</x:f>
        <x:v>0</x:v>
      </x:c>
      <x:c r="AL271" s="154" t="n">
        <x:f>(AJ271+AK271)/2</x:f>
        <x:v>0.5</x:v>
      </x:c>
      <x:c r="AM271" s="154" t="n">
        <x:f>MIN(AJ271,AK271)</x:f>
        <x:v>0</x:v>
      </x:c>
      <x:c r="AN271" s="154" t="n">
        <x:f>MAX(AJ271,AK271)</x:f>
        <x:v>1</x:v>
      </x:c>
      <x:c r="AO271" s="154" t="n">
        <x:f>IF(L271=M271,1,0)</x:f>
        <x:v>0</x:v>
      </x:c>
    </x:row>
    <x:row r="272">
      <x:c r="A272" s="38" t="str">
        <x:v>SV-0271</x:v>
      </x:c>
      <x:c r="B272" s="38" t="str">
        <x:v>PC-06523</x:v>
      </x:c>
      <x:c r="C272" s="38" t="str">
        <x:v>en|both</x:v>
      </x:c>
      <x:c r="D272" s="87" t="n">
        <x:v>19.069444444444443</x:v>
      </x:c>
      <x:c r="E272" s="38" t="str">
        <x:v>both</x:v>
      </x:c>
      <x:c r="F272" s="38" t="str">
        <x:v>US_NYFed_CedarPhaseOne_2022</x:v>
      </x:c>
      <x:c r="G272" s="38" t="n">
        <x:v>7</x:v>
      </x:c>
      <x:c r="H272" s="38" t="str">
        <x:v>en</x:v>
      </x:c>
      <x:c r="I272" s="38" t="str">
        <x:v>Federal Reserve Bank of New York (Project Cedar Phase I)</x:v>
      </x:c>
      <x:c r="J272" s="38" t="str">
        <x:v>Phase I was a successful twelve-week undertaking demonstrating the viability 
of this technology to enable instant and atomic settlement in a simulated foreign 
exchange (FX) spot transaction between the New York Fed and counterparties 
across separate, homogeneous ledgers.</x:v>
      </x:c>
      <x:c r="K272" s="142" t="b">
        <x:v>0</x:v>
      </x:c>
      <x:c r="L272" s="146" t="str">
        <x:v>keep</x:v>
      </x:c>
      <x:c r="M272" s="146" t="str">
        <x:v>keep</x:v>
      </x:c>
      <x:c r="N272" s="147" t="b">
        <x:v>1</x:v>
      </x:c>
      <x:c r="O272" s="146" t="str">
        <x:v>INTEROP.crossborder</x:v>
      </x:c>
      <x:c r="P272" s="146" t="str">
        <x:v>TECH.DLT</x:v>
      </x:c>
      <x:c r="Q272" s="146" t="str">
        <x:v>INTEROP</x:v>
      </x:c>
      <x:c r="R272" s="146" t="str">
        <x:v>TECH</x:v>
      </x:c>
      <x:c r="S272" s="146" t="str">
        <x:v>finding</x:v>
      </x:c>
      <x:c r="T272" s="146" t="str">
        <x:v>decision</x:v>
      </x:c>
      <x:c r="U272" s="146" t="str">
        <x:v>neutral</x:v>
      </x:c>
      <x:c r="V272" s="146" t="str">
        <x:v>neutral</x:v>
      </x:c>
      <x:c r="W272" s="146" t="str">
        <x:v>not_applicable</x:v>
      </x:c>
      <x:c r="X272" s="146" t="str">
        <x:v>not_applicable</x:v>
      </x:c>
      <x:c r="Y272" s="146" t="n">
        <x:v>3</x:v>
      </x:c>
      <x:c r="Z272" s="146" t="n">
        <x:v>2</x:v>
      </x:c>
      <x:c r="AA272" s="146" t="str">
        <x:v>high</x:v>
      </x:c>
      <x:c r="AB272" s="146" t="str">
        <x:v>high</x:v>
      </x:c>
      <x:c r="AC272" s="146"/>
      <x:c r="AD272" s="146"/>
      <x:c r="AE272" s="151" t="str">
        <x:v>INTEROP.crossborder</x:v>
      </x:c>
      <x:c r="AF272" s="151" t="str">
        <x:v>TECH.DLT</x:v>
      </x:c>
      <x:c r="AG272" s="151" t="str">
        <x:v>finding</x:v>
      </x:c>
      <x:c r="AH272" s="151" t="str">
        <x:v>decision</x:v>
      </x:c>
      <x:c r="AI272" s="154" t="n">
        <x:f>IF(K272,0,1)</x:f>
        <x:v>1</x:v>
      </x:c>
      <x:c r="AJ272" s="154" t="n">
        <x:f>IF(L272="keep",1,0)</x:f>
        <x:v>1</x:v>
      </x:c>
      <x:c r="AK272" s="154" t="n">
        <x:f>IF(M272="keep",1,0)</x:f>
        <x:v>1</x:v>
      </x:c>
      <x:c r="AL272" s="154" t="n">
        <x:f>(AJ272+AK272)/2</x:f>
        <x:v>1</x:v>
      </x:c>
      <x:c r="AM272" s="154" t="n">
        <x:f>MIN(AJ272,AK272)</x:f>
        <x:v>1</x:v>
      </x:c>
      <x:c r="AN272" s="154" t="n">
        <x:f>MAX(AJ272,AK272)</x:f>
        <x:v>1</x:v>
      </x:c>
      <x:c r="AO272" s="154" t="n">
        <x:f>IF(L272=M272,1,0)</x:f>
        <x:v>1</x:v>
      </x:c>
    </x:row>
    <x:row r="273">
      <x:c r="A273" s="38" t="str">
        <x:v>SV-0272</x:v>
      </x:c>
      <x:c r="B273" s="38" t="str">
        <x:v>PC-06706</x:v>
      </x:c>
      <x:c r="C273" s="38" t="str">
        <x:v>es|openai_only</x:v>
      </x:c>
      <x:c r="D273" s="87" t="n">
        <x:v>21</x:v>
      </x:c>
      <x:c r="E273" s="38" t="str">
        <x:v>openai_only</x:v>
      </x:c>
      <x:c r="F273" s="38" t="str">
        <x:v>UY_Uruguay_BCU_BilleteDigital_2017</x:v>
      </x:c>
      <x:c r="G273" s="38" t="n">
        <x:v>9</x:v>
      </x:c>
      <x:c r="H273" s="38" t="str">
        <x:v>es</x:v>
      </x:c>
      <x:c r="I273" s="38" t="str">
        <x:v>Banco Central del Uruguay (e-Peso pilot)</x:v>
      </x:c>
      <x:c r="J273" s="38" t="str">
        <x:v>Realizar en RedPagos la primera carga a efectos 
de crear la billetera digital (Cash In)</x:v>
      </x:c>
      <x:c r="K273" s="142" t="b">
        <x:v>0</x:v>
      </x:c>
      <x:c r="L273" s="146" t="str">
        <x:v>keep</x:v>
      </x:c>
      <x:c r="M273" s="146" t="str">
        <x:v>exclude</x:v>
      </x:c>
      <x:c r="N273" s="147" t="b">
        <x:v>0</x:v>
      </x:c>
      <x:c r="O273" s="146" t="str">
        <x:v>INTEROP.domestic</x:v>
      </x:c>
      <x:c r="P273" s="146"/>
      <x:c r="Q273" s="146" t="str">
        <x:v>INTEROP</x:v>
      </x:c>
      <x:c r="R273" s="146" t="str"/>
      <x:c r="S273" s="146" t="str">
        <x:v>decision</x:v>
      </x:c>
      <x:c r="T273" s="146"/>
      <x:c r="U273" s="146" t="str">
        <x:v>neutral</x:v>
      </x:c>
      <x:c r="V273" s="146"/>
      <x:c r="W273" s="146" t="str">
        <x:v>not_applicable</x:v>
      </x:c>
      <x:c r="X273" s="146"/>
      <x:c r="Y273" s="146" t="n">
        <x:v>2</x:v>
      </x:c>
      <x:c r="Z273" s="146"/>
      <x:c r="AA273" s="146" t="str">
        <x:v>high</x:v>
      </x:c>
      <x:c r="AB273" s="146" t="str">
        <x:v>high</x:v>
      </x:c>
      <x:c r="AC273" s="146"/>
      <x:c r="AD273" s="146"/>
      <x:c r="AE273" s="151" t="str">
        <x:v>INTEROP.domestic</x:v>
      </x:c>
      <x:c r="AF273" s="151"/>
      <x:c r="AG273" s="151" t="str">
        <x:v>decision</x:v>
      </x:c>
      <x:c r="AH273" s="151"/>
      <x:c r="AI273" s="154" t="n">
        <x:f>IF(K273,0,1)</x:f>
        <x:v>1</x:v>
      </x:c>
      <x:c r="AJ273" s="154" t="n">
        <x:f>IF(L273="keep",1,0)</x:f>
        <x:v>1</x:v>
      </x:c>
      <x:c r="AK273" s="154" t="n">
        <x:f>IF(M273="keep",1,0)</x:f>
        <x:v>0</x:v>
      </x:c>
      <x:c r="AL273" s="154" t="n">
        <x:f>(AJ273+AK273)/2</x:f>
        <x:v>0.5</x:v>
      </x:c>
      <x:c r="AM273" s="154" t="n">
        <x:f>MIN(AJ273,AK273)</x:f>
        <x:v>0</x:v>
      </x:c>
      <x:c r="AN273" s="154" t="n">
        <x:f>MAX(AJ273,AK273)</x:f>
        <x:v>1</x:v>
      </x:c>
      <x:c r="AO273" s="154" t="n">
        <x:f>IF(L273=M273,1,0)</x:f>
        <x:v>0</x:v>
      </x:c>
    </x:row>
    <x:row r="274">
      <x:c r="A274" s="38" t="str">
        <x:v>SV-0273</x:v>
      </x:c>
      <x:c r="B274" s="38" t="str">
        <x:v>PC-03840</x:v>
      </x:c>
      <x:c r="C274" s="38" t="str">
        <x:v>en|both</x:v>
      </x:c>
      <x:c r="D274" s="87" t="n">
        <x:v>19.069444444444443</x:v>
      </x:c>
      <x:c r="E274" s="38" t="str">
        <x:v>both</x:v>
      </x:c>
      <x:c r="F274" s="38" t="str">
        <x:v>JP_BoJ_PoC2</x:v>
      </x:c>
      <x:c r="G274" s="38" t="n">
        <x:v>25</x:v>
      </x:c>
      <x:c r="H274" s="38" t="str">
        <x:v>en</x:v>
      </x:c>
      <x:c r="I274" s="38" t="str">
        <x:v>Bank of Japan</x:v>
      </x:c>
      <x:c r="J274" s="38" t="str">
        <x:v>The architecture evaluation based on the test results suggests the possibility that some databases 
could maintain high-performance scalability even under the load expected in the possible event of 
social implementation, implying that they could be used in ledger systems.</x:v>
      </x:c>
      <x:c r="K274" s="142" t="b">
        <x:v>0</x:v>
      </x:c>
      <x:c r="L274" s="146" t="str">
        <x:v>keep</x:v>
      </x:c>
      <x:c r="M274" s="146" t="str">
        <x:v>keep</x:v>
      </x:c>
      <x:c r="N274" s="147" t="b">
        <x:v>1</x:v>
      </x:c>
      <x:c r="O274" s="146" t="str">
        <x:v>SYS.design</x:v>
      </x:c>
      <x:c r="P274" s="146" t="str">
        <x:v>TECH.TOKEN.considered</x:v>
      </x:c>
      <x:c r="Q274" s="146" t="str">
        <x:v>SYS</x:v>
      </x:c>
      <x:c r="R274" s="146" t="str">
        <x:v>TECH</x:v>
      </x:c>
      <x:c r="S274" s="146" t="str">
        <x:v>finding</x:v>
      </x:c>
      <x:c r="T274" s="146" t="str">
        <x:v>finding</x:v>
      </x:c>
      <x:c r="U274" s="146" t="str">
        <x:v>neutral</x:v>
      </x:c>
      <x:c r="V274" s="146" t="str">
        <x:v>neutral</x:v>
      </x:c>
      <x:c r="W274" s="146" t="str">
        <x:v>not_applicable</x:v>
      </x:c>
      <x:c r="X274" s="146" t="str">
        <x:v>not_applicable</x:v>
      </x:c>
      <x:c r="Y274" s="146" t="n">
        <x:v>2</x:v>
      </x:c>
      <x:c r="Z274" s="146" t="n">
        <x:v>2</x:v>
      </x:c>
      <x:c r="AA274" s="146" t="str">
        <x:v>high</x:v>
      </x:c>
      <x:c r="AB274" s="146" t="str">
        <x:v>high</x:v>
      </x:c>
      <x:c r="AC274" s="146"/>
      <x:c r="AD274" s="146"/>
      <x:c r="AE274" s="151" t="str">
        <x:v>SYS.design</x:v>
      </x:c>
      <x:c r="AF274" s="151" t="str">
        <x:v>TECH.TOKEN.considered</x:v>
      </x:c>
      <x:c r="AG274" s="151" t="str">
        <x:v>finding</x:v>
      </x:c>
      <x:c r="AH274" s="151" t="str">
        <x:v>finding</x:v>
      </x:c>
      <x:c r="AI274" s="154" t="n">
        <x:f>IF(K274,0,1)</x:f>
        <x:v>1</x:v>
      </x:c>
      <x:c r="AJ274" s="154" t="n">
        <x:f>IF(L274="keep",1,0)</x:f>
        <x:v>1</x:v>
      </x:c>
      <x:c r="AK274" s="154" t="n">
        <x:f>IF(M274="keep",1,0)</x:f>
        <x:v>1</x:v>
      </x:c>
      <x:c r="AL274" s="154" t="n">
        <x:f>(AJ274+AK274)/2</x:f>
        <x:v>1</x:v>
      </x:c>
      <x:c r="AM274" s="154" t="n">
        <x:f>MIN(AJ274,AK274)</x:f>
        <x:v>1</x:v>
      </x:c>
      <x:c r="AN274" s="154" t="n">
        <x:f>MAX(AJ274,AK274)</x:f>
        <x:v>1</x:v>
      </x:c>
      <x:c r="AO274" s="154" t="n">
        <x:f>IF(L274=M274,1,0)</x:f>
        <x:v>1</x:v>
      </x:c>
    </x:row>
    <x:row r="275">
      <x:c r="A275" s="38" t="str">
        <x:v>SV-0274</x:v>
      </x:c>
      <x:c r="B275" s="38" t="str">
        <x:v>PC-01856</x:v>
      </x:c>
      <x:c r="C275" s="38" t="str">
        <x:v>en|both</x:v>
      </x:c>
      <x:c r="D275" s="87" t="n">
        <x:v>19.069444444444443</x:v>
      </x:c>
      <x:c r="E275" s="38" t="str">
        <x:v>both</x:v>
      </x:c>
      <x:c r="F275" s="38" t="str">
        <x:v>HK_HKMA_2021</x:v>
      </x:c>
      <x:c r="G275" s="38" t="n">
        <x:v>25</x:v>
      </x:c>
      <x:c r="H275" s="38" t="str">
        <x:v>en</x:v>
      </x:c>
      <x:c r="I275" s="38" t="str">
        <x:v>Hong Kong Monetary Authority (e-HKD)</x:v>
      </x:c>
      <x:c r="J275" s="38" t="str">
        <x:v>In other words, cross -ledger asset recognition is achieved through signed 
transactions.</x:v>
      </x:c>
      <x:c r="K275" s="142" t="b">
        <x:v>0</x:v>
      </x:c>
      <x:c r="L275" s="146" t="str">
        <x:v>keep</x:v>
      </x:c>
      <x:c r="M275" s="146" t="str">
        <x:v>keep</x:v>
      </x:c>
      <x:c r="N275" s="147" t="b">
        <x:v>1</x:v>
      </x:c>
      <x:c r="O275" s="146" t="str">
        <x:v>TECH.DLT</x:v>
      </x:c>
      <x:c r="P275" s="146" t="str">
        <x:v>SYS.design</x:v>
      </x:c>
      <x:c r="Q275" s="146" t="str">
        <x:v>TECH</x:v>
      </x:c>
      <x:c r="R275" s="146" t="str">
        <x:v>SYS</x:v>
      </x:c>
      <x:c r="S275" s="146" t="str">
        <x:v>proposal</x:v>
      </x:c>
      <x:c r="T275" s="146" t="str">
        <x:v>decision</x:v>
      </x:c>
      <x:c r="U275" s="146" t="str">
        <x:v>neutral</x:v>
      </x:c>
      <x:c r="V275" s="146" t="str">
        <x:v>neutral</x:v>
      </x:c>
      <x:c r="W275" s="146" t="str">
        <x:v>not_applicable</x:v>
      </x:c>
      <x:c r="X275" s="146" t="str">
        <x:v>not_applicable</x:v>
      </x:c>
      <x:c r="Y275" s="146" t="n">
        <x:v>2</x:v>
      </x:c>
      <x:c r="Z275" s="146" t="n">
        <x:v>2</x:v>
      </x:c>
      <x:c r="AA275" s="146" t="str">
        <x:v>high</x:v>
      </x:c>
      <x:c r="AB275" s="146" t="str">
        <x:v>high</x:v>
      </x:c>
      <x:c r="AC275" s="146"/>
      <x:c r="AD275" s="146"/>
      <x:c r="AE275" s="151" t="str">
        <x:v>SYS.design</x:v>
      </x:c>
      <x:c r="AF275" s="151" t="str">
        <x:v>SYS.design</x:v>
      </x:c>
      <x:c r="AG275" s="151" t="str">
        <x:v>proposal</x:v>
      </x:c>
      <x:c r="AH275" s="151" t="str">
        <x:v>decision</x:v>
      </x:c>
      <x:c r="AI275" s="154" t="n">
        <x:f>IF(K275,0,1)</x:f>
        <x:v>1</x:v>
      </x:c>
      <x:c r="AJ275" s="154" t="n">
        <x:f>IF(L275="keep",1,0)</x:f>
        <x:v>1</x:v>
      </x:c>
      <x:c r="AK275" s="154" t="n">
        <x:f>IF(M275="keep",1,0)</x:f>
        <x:v>1</x:v>
      </x:c>
      <x:c r="AL275" s="154" t="n">
        <x:f>(AJ275+AK275)/2</x:f>
        <x:v>1</x:v>
      </x:c>
      <x:c r="AM275" s="154" t="n">
        <x:f>MIN(AJ275,AK275)</x:f>
        <x:v>1</x:v>
      </x:c>
      <x:c r="AN275" s="154" t="n">
        <x:f>MAX(AJ275,AK275)</x:f>
        <x:v>1</x:v>
      </x:c>
      <x:c r="AO275" s="154" t="n">
        <x:f>IF(L275=M275,1,0)</x:f>
        <x:v>1</x:v>
      </x:c>
    </x:row>
    <x:row r="276">
      <x:c r="A276" s="38" t="str">
        <x:v>SV-0275</x:v>
      </x:c>
      <x:c r="B276" s="38" t="str">
        <x:v>PC-04624</x:v>
      </x:c>
      <x:c r="C276" s="38" t="str">
        <x:v>en|both</x:v>
      </x:c>
      <x:c r="D276" s="87" t="n">
        <x:v>19.069444444444443</x:v>
      </x:c>
      <x:c r="E276" s="38" t="str">
        <x:v>both</x:v>
      </x:c>
      <x:c r="F276" s="38" t="str">
        <x:v>PE_Peru_cbdc-presentation</x:v>
      </x:c>
      <x:c r="G276" s="38" t="n">
        <x:v>6</x:v>
      </x:c>
      <x:c r="H276" s="38" t="str">
        <x:v>en</x:v>
      </x:c>
      <x:c r="I276" s="38" t="str">
        <x:v>Banco Central de Reserva del Peru</x:v>
      </x:c>
      <x:c r="J276" s="38" t="str">
        <x:v>• Multiple use cases, allow ing person-to-person (P2P), person-to- business (P2B) , and 
government-to-person (G2P) payments, and vice versa.</x:v>
      </x:c>
      <x:c r="K276" s="142" t="b">
        <x:v>0</x:v>
      </x:c>
      <x:c r="L276" s="146" t="str">
        <x:v>keep</x:v>
      </x:c>
      <x:c r="M276" s="146" t="str">
        <x:v>keep</x:v>
      </x:c>
      <x:c r="N276" s="147" t="b">
        <x:v>1</x:v>
      </x:c>
      <x:c r="O276" s="146" t="str">
        <x:v>LEGAL.basis</x:v>
      </x:c>
      <x:c r="P276" s="146" t="str">
        <x:v>SYS.design</x:v>
      </x:c>
      <x:c r="Q276" s="146" t="str">
        <x:v>LEGAL</x:v>
      </x:c>
      <x:c r="R276" s="146" t="str">
        <x:v>SYS</x:v>
      </x:c>
      <x:c r="S276" s="146" t="str">
        <x:v>finding</x:v>
      </x:c>
      <x:c r="T276" s="146" t="str">
        <x:v>proposal</x:v>
      </x:c>
      <x:c r="U276" s="146" t="str">
        <x:v>neutral</x:v>
      </x:c>
      <x:c r="V276" s="146" t="str">
        <x:v>neutral</x:v>
      </x:c>
      <x:c r="W276" s="146" t="str">
        <x:v>not_applicable</x:v>
      </x:c>
      <x:c r="X276" s="146" t="str">
        <x:v>not_applicable</x:v>
      </x:c>
      <x:c r="Y276" s="146" t="n">
        <x:v>2</x:v>
      </x:c>
      <x:c r="Z276" s="146" t="n">
        <x:v>2</x:v>
      </x:c>
      <x:c r="AA276" s="146" t="str">
        <x:v>high</x:v>
      </x:c>
      <x:c r="AB276" s="146" t="str">
        <x:v>high</x:v>
      </x:c>
      <x:c r="AC276" s="146"/>
      <x:c r="AD276" s="146"/>
      <x:c r="AE276" s="151" t="str">
        <x:v>LEGAL.basis</x:v>
      </x:c>
      <x:c r="AF276" s="151" t="str">
        <x:v>SYS.design</x:v>
      </x:c>
      <x:c r="AG276" s="151" t="str">
        <x:v>finding</x:v>
      </x:c>
      <x:c r="AH276" s="151" t="str">
        <x:v>proposal</x:v>
      </x:c>
      <x:c r="AI276" s="154" t="n">
        <x:f>IF(K276,0,1)</x:f>
        <x:v>1</x:v>
      </x:c>
      <x:c r="AJ276" s="154" t="n">
        <x:f>IF(L276="keep",1,0)</x:f>
        <x:v>1</x:v>
      </x:c>
      <x:c r="AK276" s="154" t="n">
        <x:f>IF(M276="keep",1,0)</x:f>
        <x:v>1</x:v>
      </x:c>
      <x:c r="AL276" s="154" t="n">
        <x:f>(AJ276+AK276)/2</x:f>
        <x:v>1</x:v>
      </x:c>
      <x:c r="AM276" s="154" t="n">
        <x:f>MIN(AJ276,AK276)</x:f>
        <x:v>1</x:v>
      </x:c>
      <x:c r="AN276" s="154" t="n">
        <x:f>MAX(AJ276,AK276)</x:f>
        <x:v>1</x:v>
      </x:c>
      <x:c r="AO276" s="154" t="n">
        <x:f>IF(L276=M276,1,0)</x:f>
        <x:v>1</x:v>
      </x:c>
    </x:row>
    <x:row r="277">
      <x:c r="A277" s="38" t="str">
        <x:v>SV-0276</x:v>
      </x:c>
      <x:c r="B277" s="38" t="str">
        <x:v>PC-05832</x:v>
      </x:c>
      <x:c r="C277" s="38" t="str">
        <x:v>en|both</x:v>
      </x:c>
      <x:c r="D277" s="87" t="n">
        <x:v>19.069444444444443</x:v>
      </x:c>
      <x:c r="E277" s="38" t="str">
        <x:v>both</x:v>
      </x:c>
      <x:c r="F277" s="38" t="str">
        <x:v>TR_Turkey_Digital_Turkish_Lira_First_Phase_Evaluation_Report</x:v>
      </x:c>
      <x:c r="G277" s="38" t="n">
        <x:v>49</x:v>
      </x:c>
      <x:c r="H277" s="38" t="str">
        <x:v>en</x:v>
      </x:c>
      <x:c r="I277" s="38" t="str">
        <x:v>Central Bank of the Republic of Turkiye (Digital Turkish Lira)</x:v>
      </x:c>
      <x:c r="J277" s="38" t="str">
        <x:v>it has been found that the digital currency system can be 
integrated into the distributed asset systems that are likely to be included in our lives in the future, 
but the methods of integration can create new dependencies.</x:v>
      </x:c>
      <x:c r="K277" s="142" t="b">
        <x:v>0</x:v>
      </x:c>
      <x:c r="L277" s="146" t="str">
        <x:v>keep</x:v>
      </x:c>
      <x:c r="M277" s="146" t="str">
        <x:v>keep</x:v>
      </x:c>
      <x:c r="N277" s="147" t="b">
        <x:v>1</x:v>
      </x:c>
      <x:c r="O277" s="146" t="str">
        <x:v>TECH.DLT</x:v>
      </x:c>
      <x:c r="P277" s="146" t="str">
        <x:v>PROC.pilot_learning</x:v>
      </x:c>
      <x:c r="Q277" s="146" t="str">
        <x:v>TECH</x:v>
      </x:c>
      <x:c r="R277" s="146" t="str">
        <x:v>PROC</x:v>
      </x:c>
      <x:c r="S277" s="146" t="str">
        <x:v>decision</x:v>
      </x:c>
      <x:c r="T277" s="146" t="str">
        <x:v>finding</x:v>
      </x:c>
      <x:c r="U277" s="146" t="str">
        <x:v>neutral</x:v>
      </x:c>
      <x:c r="V277" s="146" t="str">
        <x:v>neutral</x:v>
      </x:c>
      <x:c r="W277" s="146" t="str">
        <x:v>not_applicable</x:v>
      </x:c>
      <x:c r="X277" s="146" t="str">
        <x:v>not_applicable</x:v>
      </x:c>
      <x:c r="Y277" s="146" t="n">
        <x:v>3</x:v>
      </x:c>
      <x:c r="Z277" s="146" t="n">
        <x:v>2</x:v>
      </x:c>
      <x:c r="AA277" s="146" t="str">
        <x:v>high</x:v>
      </x:c>
      <x:c r="AB277" s="146" t="str">
        <x:v>high</x:v>
      </x:c>
      <x:c r="AC277" s="146"/>
      <x:c r="AD277" s="146"/>
      <x:c r="AE277" s="151" t="str">
        <x:v>TECH.DLT</x:v>
      </x:c>
      <x:c r="AF277" s="151" t="str">
        <x:v>PROC.pilot_learning</x:v>
      </x:c>
      <x:c r="AG277" s="151" t="str">
        <x:v>decision</x:v>
      </x:c>
      <x:c r="AH277" s="151" t="str">
        <x:v>finding</x:v>
      </x:c>
      <x:c r="AI277" s="154" t="n">
        <x:f>IF(K277,0,1)</x:f>
        <x:v>1</x:v>
      </x:c>
      <x:c r="AJ277" s="154" t="n">
        <x:f>IF(L277="keep",1,0)</x:f>
        <x:v>1</x:v>
      </x:c>
      <x:c r="AK277" s="154" t="n">
        <x:f>IF(M277="keep",1,0)</x:f>
        <x:v>1</x:v>
      </x:c>
      <x:c r="AL277" s="154" t="n">
        <x:f>(AJ277+AK277)/2</x:f>
        <x:v>1</x:v>
      </x:c>
      <x:c r="AM277" s="154" t="n">
        <x:f>MIN(AJ277,AK277)</x:f>
        <x:v>1</x:v>
      </x:c>
      <x:c r="AN277" s="154" t="n">
        <x:f>MAX(AJ277,AK277)</x:f>
        <x:v>1</x:v>
      </x:c>
      <x:c r="AO277" s="154" t="n">
        <x:f>IF(L277=M277,1,0)</x:f>
        <x:v>1</x:v>
      </x:c>
    </x:row>
    <x:row r="278">
      <x:c r="A278" s="38" t="str">
        <x:v>SV-0277</x:v>
      </x:c>
      <x:c r="B278" s="38" t="str">
        <x:v>PC-04090</x:v>
      </x:c>
      <x:c r="C278" s="38" t="str">
        <x:v>en|both</x:v>
      </x:c>
      <x:c r="D278" s="87" t="n">
        <x:v>19.069444444444443</x:v>
      </x:c>
      <x:c r="E278" s="38" t="str">
        <x:v>both</x:v>
      </x:c>
      <x:c r="F278" s="38" t="str">
        <x:v>NO_Norway_nb_memo_2_19_dsp</x:v>
      </x:c>
      <x:c r="G278" s="38" t="n">
        <x:v>17</x:v>
      </x:c>
      <x:c r="H278" s="38" t="str">
        <x:v>en</x:v>
      </x:c>
      <x:c r="I278" s="38" t="str">
        <x:v>Norges Bank (Norwegian CBDC work)</x:v>
      </x:c>
      <x:c r="J278" s="38" t="str">
        <x:v>DSP må utformes i samsvar med gode IT-arkitekturprinsipper. Overordnet 
innebærer dette krav om skalerbarhet, tilgjengelighet, sikkerhet, teknologinøytralitet 
og tilpasningsdyktighet.</x:v>
      </x:c>
      <x:c r="K278" s="142" t="b">
        <x:v>0</x:v>
      </x:c>
      <x:c r="L278" s="146" t="str">
        <x:v>keep</x:v>
      </x:c>
      <x:c r="M278" s="146" t="str">
        <x:v>keep</x:v>
      </x:c>
      <x:c r="N278" s="147" t="b">
        <x:v>1</x:v>
      </x:c>
      <x:c r="O278" s="146" t="str">
        <x:v>OPS.resilience</x:v>
      </x:c>
      <x:c r="P278" s="146" t="str">
        <x:v>SYS.design</x:v>
      </x:c>
      <x:c r="Q278" s="146" t="str">
        <x:v>OPS</x:v>
      </x:c>
      <x:c r="R278" s="146" t="str">
        <x:v>SYS</x:v>
      </x:c>
      <x:c r="S278" s="146" t="str">
        <x:v>proposal</x:v>
      </x:c>
      <x:c r="T278" s="146" t="str">
        <x:v>decision</x:v>
      </x:c>
      <x:c r="U278" s="146" t="str">
        <x:v>neutral</x:v>
      </x:c>
      <x:c r="V278" s="146" t="str">
        <x:v>neutral</x:v>
      </x:c>
      <x:c r="W278" s="146" t="str">
        <x:v>not_applicable</x:v>
      </x:c>
      <x:c r="X278" s="146" t="str">
        <x:v>not_applicable</x:v>
      </x:c>
      <x:c r="Y278" s="146" t="n">
        <x:v>2</x:v>
      </x:c>
      <x:c r="Z278" s="146" t="n">
        <x:v>2</x:v>
      </x:c>
      <x:c r="AA278" s="146" t="str">
        <x:v>high</x:v>
      </x:c>
      <x:c r="AB278" s="146" t="str">
        <x:v>high</x:v>
      </x:c>
      <x:c r="AC278" s="146"/>
      <x:c r="AD278" s="146"/>
      <x:c r="AE278" s="151" t="str">
        <x:v>OPS.resilience</x:v>
      </x:c>
      <x:c r="AF278" s="151" t="str">
        <x:v>SYS.design</x:v>
      </x:c>
      <x:c r="AG278" s="151" t="str">
        <x:v>proposal</x:v>
      </x:c>
      <x:c r="AH278" s="151" t="str">
        <x:v>decision</x:v>
      </x:c>
      <x:c r="AI278" s="154" t="n">
        <x:f>IF(K278,0,1)</x:f>
        <x:v>1</x:v>
      </x:c>
      <x:c r="AJ278" s="154" t="n">
        <x:f>IF(L278="keep",1,0)</x:f>
        <x:v>1</x:v>
      </x:c>
      <x:c r="AK278" s="154" t="n">
        <x:f>IF(M278="keep",1,0)</x:f>
        <x:v>1</x:v>
      </x:c>
      <x:c r="AL278" s="154" t="n">
        <x:f>(AJ278+AK278)/2</x:f>
        <x:v>1</x:v>
      </x:c>
      <x:c r="AM278" s="154" t="n">
        <x:f>MIN(AJ278,AK278)</x:f>
        <x:v>1</x:v>
      </x:c>
      <x:c r="AN278" s="154" t="n">
        <x:f>MAX(AJ278,AK278)</x:f>
        <x:v>1</x:v>
      </x:c>
      <x:c r="AO278" s="154" t="n">
        <x:f>IF(L278=M278,1,0)</x:f>
        <x:v>1</x:v>
      </x:c>
    </x:row>
    <x:row r="279">
      <x:c r="A279" s="38" t="str">
        <x:v>SV-0278</x:v>
      </x:c>
      <x:c r="B279" s="38" t="str">
        <x:v>PC-01714</x:v>
      </x:c>
      <x:c r="C279" s="38" t="str">
        <x:v>en|claude_only</x:v>
      </x:c>
      <x:c r="D279" s="87" t="n">
        <x:v>19.375</x:v>
      </x:c>
      <x:c r="E279" s="38" t="str">
        <x:v>claude_only</x:v>
      </x:c>
      <x:c r="F279" s="38" t="str">
        <x:v>GH_Ghana_2023</x:v>
      </x:c>
      <x:c r="G279" s="38" t="n">
        <x:v>10</x:v>
      </x:c>
      <x:c r="H279" s="38" t="str">
        <x:v>en</x:v>
      </x:c>
      <x:c r="I279" s="38" t="str">
        <x:v>Bank of Ghana (eCedi)</x:v>
      </x:c>
      <x:c r="J279" s="38" t="str">
        <x:v>This preserves the existing architecture that 
provides consumers the desired level of privacy 
without limiting the central bank or any state 
mandated agency’s legal access to wallet or 
transaction related information.</x:v>
      </x:c>
      <x:c r="K279" s="142" t="b">
        <x:v>0</x:v>
      </x:c>
      <x:c r="L279" s="146" t="str">
        <x:v>exclude</x:v>
      </x:c>
      <x:c r="M279" s="146" t="str">
        <x:v>keep</x:v>
      </x:c>
      <x:c r="N279" s="147" t="b">
        <x:v>0</x:v>
      </x:c>
      <x:c r="O279" s="146"/>
      <x:c r="P279" s="146" t="str">
        <x:v>PRIV.BAL</x:v>
      </x:c>
      <x:c r="Q279" s="146" t="str"/>
      <x:c r="R279" s="146" t="str">
        <x:v>PRIV</x:v>
      </x:c>
      <x:c r="S279" s="146"/>
      <x:c r="T279" s="146" t="str">
        <x:v>decision</x:v>
      </x:c>
      <x:c r="U279" s="146"/>
      <x:c r="V279" s="146" t="str">
        <x:v>conditional</x:v>
      </x:c>
      <x:c r="W279" s="146"/>
      <x:c r="X279" s="146" t="str">
        <x:v>from_state</x:v>
      </x:c>
      <x:c r="Y279" s="146"/>
      <x:c r="Z279" s="146" t="n">
        <x:v>3</x:v>
      </x:c>
      <x:c r="AA279" s="146" t="str">
        <x:v>high</x:v>
      </x:c>
      <x:c r="AB279" s="146" t="str">
        <x:v>high</x:v>
      </x:c>
      <x:c r="AC279" s="146"/>
      <x:c r="AD279" s="146"/>
      <x:c r="AE279" s="151"/>
      <x:c r="AF279" s="151" t="str">
        <x:v>PRIV.BAL</x:v>
      </x:c>
      <x:c r="AG279" s="151"/>
      <x:c r="AH279" s="151" t="str">
        <x:v>decision</x:v>
      </x:c>
      <x:c r="AI279" s="154" t="n">
        <x:f>IF(K279,0,1)</x:f>
        <x:v>1</x:v>
      </x:c>
      <x:c r="AJ279" s="154" t="n">
        <x:f>IF(L279="keep",1,0)</x:f>
        <x:v>0</x:v>
      </x:c>
      <x:c r="AK279" s="154" t="n">
        <x:f>IF(M279="keep",1,0)</x:f>
        <x:v>1</x:v>
      </x:c>
      <x:c r="AL279" s="154" t="n">
        <x:f>(AJ279+AK279)/2</x:f>
        <x:v>0.5</x:v>
      </x:c>
      <x:c r="AM279" s="154" t="n">
        <x:f>MIN(AJ279,AK279)</x:f>
        <x:v>0</x:v>
      </x:c>
      <x:c r="AN279" s="154" t="n">
        <x:f>MAX(AJ279,AK279)</x:f>
        <x:v>1</x:v>
      </x:c>
      <x:c r="AO279" s="154" t="n">
        <x:f>IF(L279=M279,1,0)</x:f>
        <x:v>0</x:v>
      </x:c>
    </x:row>
    <x:row r="280">
      <x:c r="A280" s="38" t="str">
        <x:v>SV-0279</x:v>
      </x:c>
      <x:c r="B280" s="38" t="str">
        <x:v>PC-05615</x:v>
      </x:c>
      <x:c r="C280" s="38" t="str">
        <x:v>en|claude_only</x:v>
      </x:c>
      <x:c r="D280" s="87" t="n">
        <x:v>19.375</x:v>
      </x:c>
      <x:c r="E280" s="38" t="str">
        <x:v>claude_only</x:v>
      </x:c>
      <x:c r="F280" s="38" t="str">
        <x:v>TH_Thailand_rCBDC_Conclusion_Report</x:v>
      </x:c>
      <x:c r="G280" s="38" t="n">
        <x:v>19</x:v>
      </x:c>
      <x:c r="H280" s="38" t="str">
        <x:v>en</x:v>
      </x:c>
      <x:c r="I280" s="38" t="str">
        <x:v>Bank of Thailand (retail CBDC pilot)</x:v>
      </x:c>
      <x:c r="J280" s="38" t="str">
        <x:v>The tests indicated that the CBDC design 
functioned well for minting, distribution, and 
melting of CBDC</x:v>
      </x:c>
      <x:c r="K280" s="142" t="b">
        <x:v>0</x:v>
      </x:c>
      <x:c r="L280" s="146" t="str">
        <x:v>exclude</x:v>
      </x:c>
      <x:c r="M280" s="146" t="str">
        <x:v>keep</x:v>
      </x:c>
      <x:c r="N280" s="147" t="b">
        <x:v>0</x:v>
      </x:c>
      <x:c r="O280" s="146"/>
      <x:c r="P280" s="146" t="str">
        <x:v>SYS.design</x:v>
      </x:c>
      <x:c r="Q280" s="146" t="str"/>
      <x:c r="R280" s="146" t="str">
        <x:v>SYS</x:v>
      </x:c>
      <x:c r="S280" s="146"/>
      <x:c r="T280" s="146" t="str">
        <x:v>finding</x:v>
      </x:c>
      <x:c r="U280" s="146"/>
      <x:c r="V280" s="146" t="str">
        <x:v>neutral</x:v>
      </x:c>
      <x:c r="W280" s="146"/>
      <x:c r="X280" s="146" t="str">
        <x:v>not_applicable</x:v>
      </x:c>
      <x:c r="Y280" s="146"/>
      <x:c r="Z280" s="146" t="n">
        <x:v>3</x:v>
      </x:c>
      <x:c r="AA280" s="146" t="str">
        <x:v>high</x:v>
      </x:c>
      <x:c r="AB280" s="146" t="str">
        <x:v>high</x:v>
      </x:c>
      <x:c r="AC280" s="146"/>
      <x:c r="AD280" s="146"/>
      <x:c r="AE280" s="151"/>
      <x:c r="AF280" s="151" t="str">
        <x:v>SYS.design</x:v>
      </x:c>
      <x:c r="AG280" s="151"/>
      <x:c r="AH280" s="151" t="str">
        <x:v>finding</x:v>
      </x:c>
      <x:c r="AI280" s="154" t="n">
        <x:f>IF(K280,0,1)</x:f>
        <x:v>1</x:v>
      </x:c>
      <x:c r="AJ280" s="154" t="n">
        <x:f>IF(L280="keep",1,0)</x:f>
        <x:v>0</x:v>
      </x:c>
      <x:c r="AK280" s="154" t="n">
        <x:f>IF(M280="keep",1,0)</x:f>
        <x:v>1</x:v>
      </x:c>
      <x:c r="AL280" s="154" t="n">
        <x:f>(AJ280+AK280)/2</x:f>
        <x:v>0.5</x:v>
      </x:c>
      <x:c r="AM280" s="154" t="n">
        <x:f>MIN(AJ280,AK280)</x:f>
        <x:v>0</x:v>
      </x:c>
      <x:c r="AN280" s="154" t="n">
        <x:f>MAX(AJ280,AK280)</x:f>
        <x:v>1</x:v>
      </x:c>
      <x:c r="AO280" s="154" t="n">
        <x:f>IF(L280=M280,1,0)</x:f>
        <x:v>0</x:v>
      </x:c>
    </x:row>
    <x:row r="281">
      <x:c r="A281" s="38" t="str">
        <x:v>SV-0280</x:v>
      </x:c>
      <x:c r="B281" s="38" t="str">
        <x:v>PC-00538</x:v>
      </x:c>
      <x:c r="C281" s="38" t="str">
        <x:v>en|both</x:v>
      </x:c>
      <x:c r="D281" s="87" t="n">
        <x:v>19.069444444444443</x:v>
      </x:c>
      <x:c r="E281" s="38" t="str">
        <x:v>both</x:v>
      </x:c>
      <x:c r="F281" s="38" t="str">
        <x:v>BS_Bahamas_SandDollar_2019</x:v>
      </x:c>
      <x:c r="G281" s="38" t="n">
        <x:v>10</x:v>
      </x:c>
      <x:c r="H281" s="38" t="str">
        <x:v>en</x:v>
      </x:c>
      <x:c r="I281" s="38" t="str">
        <x:v>Central Bank of The Bahamas (Sand Dollar)</x:v>
      </x:c>
      <x:c r="J281" s="38" t="str">
        <x:v>Monitoring for fraud detection.</x:v>
      </x:c>
      <x:c r="K281" s="142" t="b">
        <x:v>0</x:v>
      </x:c>
      <x:c r="L281" s="146" t="str">
        <x:v>exclude</x:v>
      </x:c>
      <x:c r="M281" s="146" t="str">
        <x:v>keep</x:v>
      </x:c>
      <x:c r="N281" s="147" t="b">
        <x:v>0</x:v>
      </x:c>
      <x:c r="O281" s="146"/>
      <x:c r="P281" s="146" t="str">
        <x:v>OPS.resilience</x:v>
      </x:c>
      <x:c r="Q281" s="146" t="str"/>
      <x:c r="R281" s="146" t="str">
        <x:v>OPS</x:v>
      </x:c>
      <x:c r="S281" s="146"/>
      <x:c r="T281" s="146" t="str">
        <x:v>decision</x:v>
      </x:c>
      <x:c r="U281" s="146"/>
      <x:c r="V281" s="146" t="str">
        <x:v>neutral</x:v>
      </x:c>
      <x:c r="W281" s="146"/>
      <x:c r="X281" s="146" t="str">
        <x:v>not_applicable</x:v>
      </x:c>
      <x:c r="Y281" s="146"/>
      <x:c r="Z281" s="146" t="n">
        <x:v>1</x:v>
      </x:c>
      <x:c r="AA281" s="146" t="str">
        <x:v>high</x:v>
      </x:c>
      <x:c r="AB281" s="146" t="str">
        <x:v>high</x:v>
      </x:c>
      <x:c r="AC281" s="146"/>
      <x:c r="AD281" s="146"/>
      <x:c r="AE281" s="151" t="str">
        <x:v>OPS.resilience</x:v>
      </x:c>
      <x:c r="AF281" s="151" t="str">
        <x:v>OPS.resilience</x:v>
      </x:c>
      <x:c r="AG281" s="151" t="str">
        <x:v>proposal</x:v>
      </x:c>
      <x:c r="AH281" s="151" t="str">
        <x:v>decision</x:v>
      </x:c>
      <x:c r="AI281" s="154" t="n">
        <x:f>IF(K281,0,1)</x:f>
        <x:v>1</x:v>
      </x:c>
      <x:c r="AJ281" s="154" t="n">
        <x:f>IF(L281="keep",1,0)</x:f>
        <x:v>0</x:v>
      </x:c>
      <x:c r="AK281" s="154" t="n">
        <x:f>IF(M281="keep",1,0)</x:f>
        <x:v>1</x:v>
      </x:c>
      <x:c r="AL281" s="154" t="n">
        <x:f>(AJ281+AK281)/2</x:f>
        <x:v>0.5</x:v>
      </x:c>
      <x:c r="AM281" s="154" t="n">
        <x:f>MIN(AJ281,AK281)</x:f>
        <x:v>0</x:v>
      </x:c>
      <x:c r="AN281" s="154" t="n">
        <x:f>MAX(AJ281,AK281)</x:f>
        <x:v>1</x:v>
      </x:c>
      <x:c r="AO281" s="154" t="n">
        <x:f>IF(L281=M281,1,0)</x:f>
        <x:v>0</x:v>
      </x:c>
    </x:row>
    <x:row r="282">
      <x:c r="A282" s="38" t="str">
        <x:v>SV-0281</x:v>
      </x:c>
      <x:c r="B282" s="38" t="str">
        <x:v>PC-06339</x:v>
      </x:c>
      <x:c r="C282" s="38" t="str">
        <x:v>en|both</x:v>
      </x:c>
      <x:c r="D282" s="87" t="n">
        <x:v>19.069444444444443</x:v>
      </x:c>
      <x:c r="E282" s="38" t="str">
        <x:v>both</x:v>
      </x:c>
      <x:c r="F282" s="38" t="str">
        <x:v>UK_BoE_2023_TechWP</x:v>
      </x:c>
      <x:c r="G282" s="38" t="n">
        <x:v>64</x:v>
      </x:c>
      <x:c r="H282" s="38" t="str">
        <x:v>en</x:v>
      </x:c>
      <x:c r="I282" s="38" t="str">
        <x:v>Bank of England and HM Treasury (digital pound)</x:v>
      </x:c>
      <x:c r="J282" s="38" t="str">
        <x:v>it is likely that the CBDC system would be designed to allow merchants to use 
existing PoS terminals to accept CBDC payments.</x:v>
      </x:c>
      <x:c r="K282" s="142" t="b">
        <x:v>0</x:v>
      </x:c>
      <x:c r="L282" s="146" t="str">
        <x:v>keep</x:v>
      </x:c>
      <x:c r="M282" s="146" t="str">
        <x:v>keep</x:v>
      </x:c>
      <x:c r="N282" s="147" t="b">
        <x:v>1</x:v>
      </x:c>
      <x:c r="O282" s="146" t="str">
        <x:v>INTEROP.domestic</x:v>
      </x:c>
      <x:c r="P282" s="146" t="str">
        <x:v>SYS.design</x:v>
      </x:c>
      <x:c r="Q282" s="146" t="str">
        <x:v>INTEROP</x:v>
      </x:c>
      <x:c r="R282" s="146" t="str">
        <x:v>SYS</x:v>
      </x:c>
      <x:c r="S282" s="146" t="str">
        <x:v>proposal</x:v>
      </x:c>
      <x:c r="T282" s="146" t="str">
        <x:v>proposal</x:v>
      </x:c>
      <x:c r="U282" s="146" t="str">
        <x:v>neutral</x:v>
      </x:c>
      <x:c r="V282" s="146" t="str">
        <x:v>neutral</x:v>
      </x:c>
      <x:c r="W282" s="146" t="str">
        <x:v>not_applicable</x:v>
      </x:c>
      <x:c r="X282" s="146" t="str">
        <x:v>not_applicable</x:v>
      </x:c>
      <x:c r="Y282" s="146" t="n">
        <x:v>2</x:v>
      </x:c>
      <x:c r="Z282" s="146" t="n">
        <x:v>2</x:v>
      </x:c>
      <x:c r="AA282" s="146" t="str">
        <x:v>high</x:v>
      </x:c>
      <x:c r="AB282" s="146" t="str">
        <x:v>high</x:v>
      </x:c>
      <x:c r="AC282" s="146"/>
      <x:c r="AD282" s="146"/>
      <x:c r="AE282" s="151" t="str">
        <x:v>INTEROP.domestic</x:v>
      </x:c>
      <x:c r="AF282" s="151" t="str">
        <x:v>SYS.design</x:v>
      </x:c>
      <x:c r="AG282" s="151" t="str">
        <x:v>proposal</x:v>
      </x:c>
      <x:c r="AH282" s="151" t="str">
        <x:v>proposal</x:v>
      </x:c>
      <x:c r="AI282" s="154" t="n">
        <x:f>IF(K282,0,1)</x:f>
        <x:v>1</x:v>
      </x:c>
      <x:c r="AJ282" s="154" t="n">
        <x:f>IF(L282="keep",1,0)</x:f>
        <x:v>1</x:v>
      </x:c>
      <x:c r="AK282" s="154" t="n">
        <x:f>IF(M282="keep",1,0)</x:f>
        <x:v>1</x:v>
      </x:c>
      <x:c r="AL282" s="154" t="n">
        <x:f>(AJ282+AK282)/2</x:f>
        <x:v>1</x:v>
      </x:c>
      <x:c r="AM282" s="154" t="n">
        <x:f>MIN(AJ282,AK282)</x:f>
        <x:v>1</x:v>
      </x:c>
      <x:c r="AN282" s="154" t="n">
        <x:f>MAX(AJ282,AK282)</x:f>
        <x:v>1</x:v>
      </x:c>
      <x:c r="AO282" s="154" t="n">
        <x:f>IF(L282=M282,1,0)</x:f>
        <x:v>1</x:v>
      </x:c>
    </x:row>
    <x:row r="283">
      <x:c r="A283" s="38" t="str">
        <x:v>SV-0282</x:v>
      </x:c>
      <x:c r="B283" s="38" t="str">
        <x:v>PC-04339</x:v>
      </x:c>
      <x:c r="C283" s="38" t="str">
        <x:v>en|both</x:v>
      </x:c>
      <x:c r="D283" s="87" t="n">
        <x:v>19.069444444444443</x:v>
      </x:c>
      <x:c r="E283" s="38" t="str">
        <x:v>both</x:v>
      </x:c>
      <x:c r="F283" s="38" t="str">
        <x:v>NO_Norway_norges-bank-memo-1-2021</x:v>
      </x:c>
      <x:c r="G283" s="38" t="n">
        <x:v>24</x:v>
      </x:c>
      <x:c r="H283" s="38" t="str">
        <x:v>en</x:v>
      </x:c>
      <x:c r="I283" s="38" t="str">
        <x:v>Norges Bank (Norwegian CBDC work)</x:v>
      </x:c>
      <x:c r="J283" s="38" t="str">
        <x:v>Krav til kundekontroll19 vil likevel innebære at det må gjøres koblinger mellom 
«tokens» og identitet, for eksempel ved on-boarding av nye brukere, store 
transaksjoner og mistenkelige transaksjoner.</x:v>
      </x:c>
      <x:c r="K283" s="142" t="b">
        <x:v>0</x:v>
      </x:c>
      <x:c r="L283" s="146" t="str">
        <x:v>keep</x:v>
      </x:c>
      <x:c r="M283" s="146" t="str">
        <x:v>keep</x:v>
      </x:c>
      <x:c r="N283" s="147" t="b">
        <x:v>1</x:v>
      </x:c>
      <x:c r="O283" s="146" t="str">
        <x:v>PRIV.MIN</x:v>
      </x:c>
      <x:c r="P283" s="146" t="str">
        <x:v>KYC.TIER</x:v>
      </x:c>
      <x:c r="Q283" s="146" t="str">
        <x:v>PRIV</x:v>
      </x:c>
      <x:c r="R283" s="146" t="str">
        <x:v>KYC</x:v>
      </x:c>
      <x:c r="S283" s="146" t="str">
        <x:v>proposal</x:v>
      </x:c>
      <x:c r="T283" s="146" t="str">
        <x:v>decision</x:v>
      </x:c>
      <x:c r="U283" s="146" t="str">
        <x:v>increases</x:v>
      </x:c>
      <x:c r="V283" s="146" t="str">
        <x:v>decreases</x:v>
      </x:c>
      <x:c r="W283" s="146" t="str">
        <x:v>from_state</x:v>
      </x:c>
      <x:c r="X283" s="146" t="str">
        <x:v>from_state</x:v>
      </x:c>
      <x:c r="Y283" s="146" t="n">
        <x:v>2</x:v>
      </x:c>
      <x:c r="Z283" s="146" t="n">
        <x:v>2</x:v>
      </x:c>
      <x:c r="AA283" s="146" t="str">
        <x:v>high</x:v>
      </x:c>
      <x:c r="AB283" s="146" t="str">
        <x:v>high</x:v>
      </x:c>
      <x:c r="AC283" s="146"/>
      <x:c r="AD283" s="146"/>
      <x:c r="AE283" s="151" t="str">
        <x:v>PRIV.MIN</x:v>
      </x:c>
      <x:c r="AF283" s="151" t="str">
        <x:v>KYC.TIER</x:v>
      </x:c>
      <x:c r="AG283" s="151" t="str">
        <x:v>proposal</x:v>
      </x:c>
      <x:c r="AH283" s="151" t="str">
        <x:v>decision</x:v>
      </x:c>
      <x:c r="AI283" s="154" t="n">
        <x:f>IF(K283,0,1)</x:f>
        <x:v>1</x:v>
      </x:c>
      <x:c r="AJ283" s="154" t="n">
        <x:f>IF(L283="keep",1,0)</x:f>
        <x:v>1</x:v>
      </x:c>
      <x:c r="AK283" s="154" t="n">
        <x:f>IF(M283="keep",1,0)</x:f>
        <x:v>1</x:v>
      </x:c>
      <x:c r="AL283" s="154" t="n">
        <x:f>(AJ283+AK283)/2</x:f>
        <x:v>1</x:v>
      </x:c>
      <x:c r="AM283" s="154" t="n">
        <x:f>MIN(AJ283,AK283)</x:f>
        <x:v>1</x:v>
      </x:c>
      <x:c r="AN283" s="154" t="n">
        <x:f>MAX(AJ283,AK283)</x:f>
        <x:v>1</x:v>
      </x:c>
      <x:c r="AO283" s="154" t="n">
        <x:f>IF(L283=M283,1,0)</x:f>
        <x:v>1</x:v>
      </x:c>
    </x:row>
    <x:row r="284">
      <x:c r="A284" s="38" t="str">
        <x:v>SV-0283</x:v>
      </x:c>
      <x:c r="B284" s="38" t="str">
        <x:v>PC-03564</x:v>
      </x:c>
      <x:c r="C284" s="38" t="str">
        <x:v>en|claude_only</x:v>
      </x:c>
      <x:c r="D284" s="87" t="n">
        <x:v>19.375</x:v>
      </x:c>
      <x:c r="E284" s="38" t="str">
        <x:v>claude_only</x:v>
      </x:c>
      <x:c r="F284" s="38" t="str">
        <x:v>IT_BdI_MISP_2021</x:v>
      </x:c>
      <x:c r="G284" s="38" t="n">
        <x:v>30</x:v>
      </x:c>
      <x:c r="H284" s="38" t="str">
        <x:v>en</x:v>
      </x:c>
      <x:c r="I284" s="38" t="str">
        <x:v>Banca d'Italia research context</x:v>
      </x:c>
      <x:c r="J284" s="38" t="str">
        <x:v>the itCoin infrastructure would be one layer of the system, built by the 
Eurosystem for intermediaries, which in turn would be in charge of building, 
on top of it, a layer for retail users.</x:v>
      </x:c>
      <x:c r="K284" s="142" t="b">
        <x:v>0</x:v>
      </x:c>
      <x:c r="L284" s="146" t="str">
        <x:v>exclude</x:v>
      </x:c>
      <x:c r="M284" s="146" t="str">
        <x:v>keep</x:v>
      </x:c>
      <x:c r="N284" s="147" t="b">
        <x:v>0</x:v>
      </x:c>
      <x:c r="O284" s="146"/>
      <x:c r="P284" s="146" t="str">
        <x:v>SYS.design</x:v>
      </x:c>
      <x:c r="Q284" s="146" t="str"/>
      <x:c r="R284" s="146" t="str">
        <x:v>SYS</x:v>
      </x:c>
      <x:c r="S284" s="146"/>
      <x:c r="T284" s="146" t="str">
        <x:v>proposal</x:v>
      </x:c>
      <x:c r="U284" s="146"/>
      <x:c r="V284" s="146" t="str">
        <x:v>neutral</x:v>
      </x:c>
      <x:c r="W284" s="146"/>
      <x:c r="X284" s="146" t="str">
        <x:v>not_applicable</x:v>
      </x:c>
      <x:c r="Y284" s="146"/>
      <x:c r="Z284" s="146" t="n">
        <x:v>3</x:v>
      </x:c>
      <x:c r="AA284" s="146" t="str">
        <x:v>high</x:v>
      </x:c>
      <x:c r="AB284" s="146" t="str">
        <x:v>high</x:v>
      </x:c>
      <x:c r="AC284" s="146"/>
      <x:c r="AD284" s="146"/>
      <x:c r="AE284" s="151"/>
      <x:c r="AF284" s="151" t="str">
        <x:v>SYS.design</x:v>
      </x:c>
      <x:c r="AG284" s="151"/>
      <x:c r="AH284" s="151" t="str">
        <x:v>proposal</x:v>
      </x:c>
      <x:c r="AI284" s="154" t="n">
        <x:f>IF(K284,0,1)</x:f>
        <x:v>1</x:v>
      </x:c>
      <x:c r="AJ284" s="154" t="n">
        <x:f>IF(L284="keep",1,0)</x:f>
        <x:v>0</x:v>
      </x:c>
      <x:c r="AK284" s="154" t="n">
        <x:f>IF(M284="keep",1,0)</x:f>
        <x:v>1</x:v>
      </x:c>
      <x:c r="AL284" s="154" t="n">
        <x:f>(AJ284+AK284)/2</x:f>
        <x:v>0.5</x:v>
      </x:c>
      <x:c r="AM284" s="154" t="n">
        <x:f>MIN(AJ284,AK284)</x:f>
        <x:v>0</x:v>
      </x:c>
      <x:c r="AN284" s="154" t="n">
        <x:f>MAX(AJ284,AK284)</x:f>
        <x:v>1</x:v>
      </x:c>
      <x:c r="AO284" s="154" t="n">
        <x:f>IF(L284=M284,1,0)</x:f>
        <x:v>0</x:v>
      </x:c>
    </x:row>
    <x:row r="285">
      <x:c r="A285" s="38" t="str">
        <x:v>SV-0284</x:v>
      </x:c>
      <x:c r="B285" s="38" t="str">
        <x:v>PC-01619</x:v>
      </x:c>
      <x:c r="C285" s="38" t="str">
        <x:v>en|openai_only</x:v>
      </x:c>
      <x:c r="D285" s="87" t="n">
        <x:v>19.21875</x:v>
      </x:c>
      <x:c r="E285" s="38" t="str">
        <x:v>openai_only</x:v>
      </x:c>
      <x:c r="F285" s="38" t="str">
        <x:v>GH_Ghana_2021</x:v>
      </x:c>
      <x:c r="G285" s="38" t="n">
        <x:v>21</x:v>
      </x:c>
      <x:c r="H285" s="38" t="str">
        <x:v>en</x:v>
      </x:c>
      <x:c r="I285" s="38" t="str">
        <x:v>Bank of Ghana (eCedi)</x:v>
      </x:c>
      <x:c r="J285" s="38" t="str">
        <x:v>Redemption of the eCedi to Cedi is 
available at any time.</x:v>
      </x:c>
      <x:c r="K285" s="142" t="b">
        <x:v>0</x:v>
      </x:c>
      <x:c r="L285" s="146" t="str">
        <x:v>keep</x:v>
      </x:c>
      <x:c r="M285" s="146" t="str">
        <x:v>exclude</x:v>
      </x:c>
      <x:c r="N285" s="147" t="b">
        <x:v>0</x:v>
      </x:c>
      <x:c r="O285" s="146" t="str">
        <x:v>INTEROP.domestic</x:v>
      </x:c>
      <x:c r="P285" s="146"/>
      <x:c r="Q285" s="146" t="str">
        <x:v>INTEROP</x:v>
      </x:c>
      <x:c r="R285" s="146" t="str"/>
      <x:c r="S285" s="146" t="str">
        <x:v>decision</x:v>
      </x:c>
      <x:c r="T285" s="146"/>
      <x:c r="U285" s="146" t="str">
        <x:v>neutral</x:v>
      </x:c>
      <x:c r="V285" s="146"/>
      <x:c r="W285" s="146" t="str">
        <x:v>not_applicable</x:v>
      </x:c>
      <x:c r="X285" s="146"/>
      <x:c r="Y285" s="146" t="n">
        <x:v>2</x:v>
      </x:c>
      <x:c r="Z285" s="146"/>
      <x:c r="AA285" s="146" t="str">
        <x:v>high</x:v>
      </x:c>
      <x:c r="AB285" s="146" t="str">
        <x:v>high</x:v>
      </x:c>
      <x:c r="AC285" s="146"/>
      <x:c r="AD285" s="146"/>
      <x:c r="AE285" s="151" t="str">
        <x:v>INTEROP.domestic</x:v>
      </x:c>
      <x:c r="AF285" s="151"/>
      <x:c r="AG285" s="151" t="str">
        <x:v>decision</x:v>
      </x:c>
      <x:c r="AH285" s="151"/>
      <x:c r="AI285" s="154" t="n">
        <x:f>IF(K285,0,1)</x:f>
        <x:v>1</x:v>
      </x:c>
      <x:c r="AJ285" s="154" t="n">
        <x:f>IF(L285="keep",1,0)</x:f>
        <x:v>1</x:v>
      </x:c>
      <x:c r="AK285" s="154" t="n">
        <x:f>IF(M285="keep",1,0)</x:f>
        <x:v>0</x:v>
      </x:c>
      <x:c r="AL285" s="154" t="n">
        <x:f>(AJ285+AK285)/2</x:f>
        <x:v>0.5</x:v>
      </x:c>
      <x:c r="AM285" s="154" t="n">
        <x:f>MIN(AJ285,AK285)</x:f>
        <x:v>0</x:v>
      </x:c>
      <x:c r="AN285" s="154" t="n">
        <x:f>MAX(AJ285,AK285)</x:f>
        <x:v>1</x:v>
      </x:c>
      <x:c r="AO285" s="154" t="n">
        <x:f>IF(L285=M285,1,0)</x:f>
        <x:v>0</x:v>
      </x:c>
    </x:row>
    <x:row r="286">
      <x:c r="A286" s="38" t="str">
        <x:v>SV-0285</x:v>
      </x:c>
      <x:c r="B286" s="38" t="str">
        <x:v>PC-02130</x:v>
      </x:c>
      <x:c r="C286" s="38" t="str">
        <x:v>en|both</x:v>
      </x:c>
      <x:c r="D286" s="87" t="n">
        <x:v>19.069444444444443</x:v>
      </x:c>
      <x:c r="E286" s="38" t="str">
        <x:v>both</x:v>
      </x:c>
      <x:c r="F286" s="38" t="str">
        <x:v>HK_HKMA_eHKD_PolicyDesign</x:v>
      </x:c>
      <x:c r="G286" s="38" t="n">
        <x:v>32</x:v>
      </x:c>
      <x:c r="H286" s="38" t="str">
        <x:v>en</x:v>
      </x:c>
      <x:c r="I286" s="38" t="str">
        <x:v>Hong Kong Monetary Authority (e-HKD)</x:v>
      </x:c>
      <x:c r="J286" s="38" t="str">
        <x:v>Unless adequate safeguards (see Section 4.1) are in place, the issuance and 
redemption of e-HKD under the AB approach may lead to increased volatility of 
the AB and hence HKD interbank liquidity conditions. The effect could be material 
if the AB were to drop to low levels, for example, during a financial crisis period 
with a deposit flight into e-HKD.</x:v>
      </x:c>
      <x:c r="K286" s="142" t="b">
        <x:v>0</x:v>
      </x:c>
      <x:c r="L286" s="146" t="str">
        <x:v>keep</x:v>
      </x:c>
      <x:c r="M286" s="146" t="str">
        <x:v>keep</x:v>
      </x:c>
      <x:c r="N286" s="147" t="b">
        <x:v>1</x:v>
      </x:c>
      <x:c r="O286" s="146" t="str">
        <x:v>STAB.disintermediation</x:v>
      </x:c>
      <x:c r="P286" s="146" t="str">
        <x:v>SYS.design</x:v>
      </x:c>
      <x:c r="Q286" s="146" t="str">
        <x:v>STAB</x:v>
      </x:c>
      <x:c r="R286" s="146" t="str">
        <x:v>SYS</x:v>
      </x:c>
      <x:c r="S286" s="146" t="str">
        <x:v>proposal</x:v>
      </x:c>
      <x:c r="T286" s="146" t="str">
        <x:v>proposal</x:v>
      </x:c>
      <x:c r="U286" s="146" t="str">
        <x:v>neutral</x:v>
      </x:c>
      <x:c r="V286" s="146" t="str">
        <x:v>neutral</x:v>
      </x:c>
      <x:c r="W286" s="146" t="str">
        <x:v>not_applicable</x:v>
      </x:c>
      <x:c r="X286" s="146" t="str">
        <x:v>not_applicable</x:v>
      </x:c>
      <x:c r="Y286" s="146" t="n">
        <x:v>2</x:v>
      </x:c>
      <x:c r="Z286" s="146" t="n">
        <x:v>2</x:v>
      </x:c>
      <x:c r="AA286" s="146" t="str">
        <x:v>high</x:v>
      </x:c>
      <x:c r="AB286" s="146" t="str">
        <x:v>high</x:v>
      </x:c>
      <x:c r="AC286" s="146"/>
      <x:c r="AD286" s="146"/>
      <x:c r="AE286" s="151" t="str">
        <x:v>STAB.disintermediation</x:v>
      </x:c>
      <x:c r="AF286" s="151" t="str">
        <x:v>SYS.design</x:v>
      </x:c>
      <x:c r="AG286" s="151" t="str">
        <x:v>proposal</x:v>
      </x:c>
      <x:c r="AH286" s="151" t="str">
        <x:v>proposal</x:v>
      </x:c>
      <x:c r="AI286" s="154" t="n">
        <x:f>IF(K286,0,1)</x:f>
        <x:v>1</x:v>
      </x:c>
      <x:c r="AJ286" s="154" t="n">
        <x:f>IF(L286="keep",1,0)</x:f>
        <x:v>1</x:v>
      </x:c>
      <x:c r="AK286" s="154" t="n">
        <x:f>IF(M286="keep",1,0)</x:f>
        <x:v>1</x:v>
      </x:c>
      <x:c r="AL286" s="154" t="n">
        <x:f>(AJ286+AK286)/2</x:f>
        <x:v>1</x:v>
      </x:c>
      <x:c r="AM286" s="154" t="n">
        <x:f>MIN(AJ286,AK286)</x:f>
        <x:v>1</x:v>
      </x:c>
      <x:c r="AN286" s="154" t="n">
        <x:f>MAX(AJ286,AK286)</x:f>
        <x:v>1</x:v>
      </x:c>
      <x:c r="AO286" s="154" t="n">
        <x:f>IF(L286=M286,1,0)</x:f>
        <x:v>1</x:v>
      </x:c>
    </x:row>
    <x:row r="287">
      <x:c r="A287" s="38" t="str">
        <x:v>SV-0286</x:v>
      </x:c>
      <x:c r="B287" s="38" t="str">
        <x:v>PC-00392</x:v>
      </x:c>
      <x:c r="C287" s="38" t="str">
        <x:v>en|claude_only</x:v>
      </x:c>
      <x:c r="D287" s="87" t="n">
        <x:v>19.375</x:v>
      </x:c>
      <x:c r="E287" s="38" t="str">
        <x:v>claude_only</x:v>
      </x:c>
      <x:c r="F287" s="38" t="str">
        <x:v>AW_ARU_001</x:v>
      </x:c>
      <x:c r="G287" s="38" t="n">
        <x:v>116</x:v>
      </x:c>
      <x:c r="H287" s="38" t="str">
        <x:v>en</x:v>
      </x:c>
      <x:c r="I287" s="38" t="str">
        <x:v>Aruba policy study / Central Bank of Aruba</x:v>
      </x:c>
      <x:c r="J287" s="38" t="str">
        <x:v>Users cannot conduct high-value 
transactions by putting a cap on CBDC holdings, mitigating 
sizeable potential outflows from commercial bank deposits to 
CBDC holdings</x:v>
      </x:c>
      <x:c r="K287" s="142" t="b">
        <x:v>0</x:v>
      </x:c>
      <x:c r="L287" s="146" t="str">
        <x:v>keep</x:v>
      </x:c>
      <x:c r="M287" s="146" t="str">
        <x:v>keep</x:v>
      </x:c>
      <x:c r="N287" s="147" t="b">
        <x:v>1</x:v>
      </x:c>
      <x:c r="O287" s="146" t="str">
        <x:v>AML.LIMIT</x:v>
      </x:c>
      <x:c r="P287" s="146" t="str">
        <x:v>AML.LIMIT</x:v>
      </x:c>
      <x:c r="Q287" s="146" t="str">
        <x:v>AML</x:v>
      </x:c>
      <x:c r="R287" s="146" t="str">
        <x:v>AML</x:v>
      </x:c>
      <x:c r="S287" s="146" t="str">
        <x:v>decision</x:v>
      </x:c>
      <x:c r="T287" s="146" t="str">
        <x:v>proposal</x:v>
      </x:c>
      <x:c r="U287" s="146" t="str">
        <x:v>neutral</x:v>
      </x:c>
      <x:c r="V287" s="146" t="str">
        <x:v>neutral</x:v>
      </x:c>
      <x:c r="W287" s="146" t="str">
        <x:v>not_applicable</x:v>
      </x:c>
      <x:c r="X287" s="146" t="str">
        <x:v>not_applicable</x:v>
      </x:c>
      <x:c r="Y287" s="146" t="n">
        <x:v>2</x:v>
      </x:c>
      <x:c r="Z287" s="146" t="n">
        <x:v>2</x:v>
      </x:c>
      <x:c r="AA287" s="146" t="str">
        <x:v>high</x:v>
      </x:c>
      <x:c r="AB287" s="146" t="str">
        <x:v>high</x:v>
      </x:c>
      <x:c r="AC287" s="146"/>
      <x:c r="AD287" s="146"/>
      <x:c r="AE287" s="151"/>
      <x:c r="AF287" s="151" t="str">
        <x:v>AML.LIMIT</x:v>
      </x:c>
      <x:c r="AG287" s="151"/>
      <x:c r="AH287" s="151" t="str">
        <x:v>proposal</x:v>
      </x:c>
      <x:c r="AI287" s="154" t="n">
        <x:f>IF(K287,0,1)</x:f>
        <x:v>1</x:v>
      </x:c>
      <x:c r="AJ287" s="154" t="n">
        <x:f>IF(L287="keep",1,0)</x:f>
        <x:v>1</x:v>
      </x:c>
      <x:c r="AK287" s="154" t="n">
        <x:f>IF(M287="keep",1,0)</x:f>
        <x:v>1</x:v>
      </x:c>
      <x:c r="AL287" s="154" t="n">
        <x:f>(AJ287+AK287)/2</x:f>
        <x:v>1</x:v>
      </x:c>
      <x:c r="AM287" s="154" t="n">
        <x:f>MIN(AJ287,AK287)</x:f>
        <x:v>1</x:v>
      </x:c>
      <x:c r="AN287" s="154" t="n">
        <x:f>MAX(AJ287,AK287)</x:f>
        <x:v>1</x:v>
      </x:c>
      <x:c r="AO287" s="154" t="n">
        <x:f>IF(L287=M287,1,0)</x:f>
        <x:v>1</x:v>
      </x:c>
    </x:row>
    <x:row r="288">
      <x:c r="A288" s="38" t="str">
        <x:v>SV-0287</x:v>
      </x:c>
      <x:c r="B288" s="38" t="str">
        <x:v>PC-04575</x:v>
      </x:c>
      <x:c r="C288" s="38" t="str">
        <x:v>en|both</x:v>
      </x:c>
      <x:c r="D288" s="87" t="n">
        <x:v>19.069444444444443</x:v>
      </x:c>
      <x:c r="E288" s="38" t="str">
        <x:v>both</x:v>
      </x:c>
      <x:c r="F288" s="38" t="str">
        <x:v>NZ_RBNZ_CBDCIssuesPaper_2021</x:v>
      </x:c>
      <x:c r="G288" s="38" t="n">
        <x:v>34</x:v>
      </x:c>
      <x:c r="H288" s="38" t="str">
        <x:v>en</x:v>
      </x:c>
      <x:c r="I288" s="38" t="str">
        <x:v>Reserve Bank of New Zealand</x:v>
      </x:c>
      <x:c r="J288" s="38" t="str">
        <x:v>Universal: A CBDC should provide low-cost, basic saving and payments to all households, including 
those that are financially and digitally excluded.</x:v>
      </x:c>
      <x:c r="K288" s="142" t="b">
        <x:v>0</x:v>
      </x:c>
      <x:c r="L288" s="146" t="str">
        <x:v>keep</x:v>
      </x:c>
      <x:c r="M288" s="146" t="str">
        <x:v>keep</x:v>
      </x:c>
      <x:c r="N288" s="147" t="b">
        <x:v>1</x:v>
      </x:c>
      <x:c r="O288" s="146" t="str">
        <x:v>ADOPT.experience</x:v>
      </x:c>
      <x:c r="P288" s="146" t="str">
        <x:v>ACCESS.universal</x:v>
      </x:c>
      <x:c r="Q288" s="146" t="str">
        <x:v>ADOPT</x:v>
      </x:c>
      <x:c r="R288" s="146" t="str">
        <x:v>ACCESS</x:v>
      </x:c>
      <x:c r="S288" s="146" t="str">
        <x:v>proposal</x:v>
      </x:c>
      <x:c r="T288" s="146" t="str">
        <x:v>proposal</x:v>
      </x:c>
      <x:c r="U288" s="146" t="str">
        <x:v>neutral</x:v>
      </x:c>
      <x:c r="V288" s="146" t="str">
        <x:v>neutral</x:v>
      </x:c>
      <x:c r="W288" s="146" t="str">
        <x:v>not_applicable</x:v>
      </x:c>
      <x:c r="X288" s="146" t="str">
        <x:v>not_applicable</x:v>
      </x:c>
      <x:c r="Y288" s="146" t="n">
        <x:v>2</x:v>
      </x:c>
      <x:c r="Z288" s="146" t="n">
        <x:v>2</x:v>
      </x:c>
      <x:c r="AA288" s="146" t="str">
        <x:v>high</x:v>
      </x:c>
      <x:c r="AB288" s="146" t="str">
        <x:v>high</x:v>
      </x:c>
      <x:c r="AC288" s="146"/>
      <x:c r="AD288" s="146"/>
      <x:c r="AE288" s="151" t="str">
        <x:v>OPS.resilience</x:v>
      </x:c>
      <x:c r="AF288" s="151" t="str">
        <x:v>ACCESS.universal</x:v>
      </x:c>
      <x:c r="AG288" s="151" t="str">
        <x:v>proposal</x:v>
      </x:c>
      <x:c r="AH288" s="151" t="str">
        <x:v>proposal</x:v>
      </x:c>
      <x:c r="AI288" s="154" t="n">
        <x:f>IF(K288,0,1)</x:f>
        <x:v>1</x:v>
      </x:c>
      <x:c r="AJ288" s="154" t="n">
        <x:f>IF(L288="keep",1,0)</x:f>
        <x:v>1</x:v>
      </x:c>
      <x:c r="AK288" s="154" t="n">
        <x:f>IF(M288="keep",1,0)</x:f>
        <x:v>1</x:v>
      </x:c>
      <x:c r="AL288" s="154" t="n">
        <x:f>(AJ288+AK288)/2</x:f>
        <x:v>1</x:v>
      </x:c>
      <x:c r="AM288" s="154" t="n">
        <x:f>MIN(AJ288,AK288)</x:f>
        <x:v>1</x:v>
      </x:c>
      <x:c r="AN288" s="154" t="n">
        <x:f>MAX(AJ288,AK288)</x:f>
        <x:v>1</x:v>
      </x:c>
      <x:c r="AO288" s="154" t="n">
        <x:f>IF(L288=M288,1,0)</x:f>
        <x:v>1</x:v>
      </x:c>
    </x:row>
    <x:row r="289">
      <x:c r="A289" s="38" t="str">
        <x:v>SV-0288</x:v>
      </x:c>
      <x:c r="B289" s="38" t="str">
        <x:v>PC-03402</x:v>
      </x:c>
      <x:c r="C289" s="38" t="str">
        <x:v>en|both</x:v>
      </x:c>
      <x:c r="D289" s="87" t="n">
        <x:v>19.069444444444443</x:v>
      </x:c>
      <x:c r="E289" s="38" t="str">
        <x:v>both</x:v>
      </x:c>
      <x:c r="F289" s="38" t="str">
        <x:v>IN_RBI_ConceptNote_2022</x:v>
      </x:c>
      <x:c r="G289" s="38" t="n">
        <x:v>33</x:v>
      </x:c>
      <x:c r="H289" s="38" t="str">
        <x:v>en</x:v>
      </x:c>
      <x:c r="I289" s="38" t="str">
        <x:v>Reserve Bank of India (digital rupee)</x:v>
      </x:c>
      <x:c r="J289" s="38" t="str">
        <x:v>While dependency on external entity shall 
allow recoverability, it may also compromise 
with anonymity as the service provider shall 
always hav e visibility over the token 
movements in and out of the wallet.</x:v>
      </x:c>
      <x:c r="K289" s="142" t="b">
        <x:v>0</x:v>
      </x:c>
      <x:c r="L289" s="146" t="str">
        <x:v>keep</x:v>
      </x:c>
      <x:c r="M289" s="146" t="str">
        <x:v>keep</x:v>
      </x:c>
      <x:c r="N289" s="147" t="b">
        <x:v>1</x:v>
      </x:c>
      <x:c r="O289" s="146" t="str">
        <x:v>PRIV.CB.visibility.transparent</x:v>
      </x:c>
      <x:c r="P289" s="146" t="str">
        <x:v>PRIV.ANON</x:v>
      </x:c>
      <x:c r="Q289" s="146" t="str">
        <x:v>PRIV</x:v>
      </x:c>
      <x:c r="R289" s="146" t="str">
        <x:v>PRIV</x:v>
      </x:c>
      <x:c r="S289" s="146" t="str">
        <x:v>proposal</x:v>
      </x:c>
      <x:c r="T289" s="146" t="str">
        <x:v>proposal</x:v>
      </x:c>
      <x:c r="U289" s="146" t="str">
        <x:v>decreases</x:v>
      </x:c>
      <x:c r="V289" s="146" t="str">
        <x:v>decreases</x:v>
      </x:c>
      <x:c r="W289" s="146" t="str">
        <x:v>from_state</x:v>
      </x:c>
      <x:c r="X289" s="146" t="str">
        <x:v>from_intermediary</x:v>
      </x:c>
      <x:c r="Y289" s="146" t="n">
        <x:v>3</x:v>
      </x:c>
      <x:c r="Z289" s="146" t="n">
        <x:v>2</x:v>
      </x:c>
      <x:c r="AA289" s="146" t="str">
        <x:v>high</x:v>
      </x:c>
      <x:c r="AB289" s="146" t="str">
        <x:v>high</x:v>
      </x:c>
      <x:c r="AC289" s="146"/>
      <x:c r="AD289" s="146"/>
      <x:c r="AE289" s="151" t="str">
        <x:v>ACCESS.universal</x:v>
      </x:c>
      <x:c r="AF289" s="151" t="str">
        <x:v>PRIV.ANON</x:v>
      </x:c>
      <x:c r="AG289" s="151" t="str">
        <x:v>proposal</x:v>
      </x:c>
      <x:c r="AH289" s="151" t="str">
        <x:v>proposal</x:v>
      </x:c>
      <x:c r="AI289" s="154" t="n">
        <x:f>IF(K289,0,1)</x:f>
        <x:v>1</x:v>
      </x:c>
      <x:c r="AJ289" s="154" t="n">
        <x:f>IF(L289="keep",1,0)</x:f>
        <x:v>1</x:v>
      </x:c>
      <x:c r="AK289" s="154" t="n">
        <x:f>IF(M289="keep",1,0)</x:f>
        <x:v>1</x:v>
      </x:c>
      <x:c r="AL289" s="154" t="n">
        <x:f>(AJ289+AK289)/2</x:f>
        <x:v>1</x:v>
      </x:c>
      <x:c r="AM289" s="154" t="n">
        <x:f>MIN(AJ289,AK289)</x:f>
        <x:v>1</x:v>
      </x:c>
      <x:c r="AN289" s="154" t="n">
        <x:f>MAX(AJ289,AK289)</x:f>
        <x:v>1</x:v>
      </x:c>
      <x:c r="AO289" s="154" t="n">
        <x:f>IF(L289=M289,1,0)</x:f>
        <x:v>1</x:v>
      </x:c>
    </x:row>
    <x:row r="290">
      <x:c r="A290" s="38" t="str">
        <x:v>SV-0289</x:v>
      </x:c>
      <x:c r="B290" s="38" t="str">
        <x:v>PC-05175</x:v>
      </x:c>
      <x:c r="C290" s="38" t="str">
        <x:v>en|both</x:v>
      </x:c>
      <x:c r="D290" s="87" t="n">
        <x:v>19.069444444444443</x:v>
      </x:c>
      <x:c r="E290" s="38" t="str">
        <x:v>both</x:v>
      </x:c>
      <x:c r="F290" s="38" t="str">
        <x:v>SE_Riksbank_2017</x:v>
      </x:c>
      <x:c r="G290" s="38" t="n">
        <x:v>26</x:v>
      </x:c>
      <x:c r="H290" s="38" t="str">
        <x:v>en</x:v>
      </x:c>
      <x:c r="I290" s="38" t="str">
        <x:v>Sveriges Riksbank (e-krona)</x:v>
      </x:c>
      <x:c r="J290" s="38" t="str">
        <x:v>The base solution should therefore be constructed so 
that it can be integrated with new modules and functions via open, standardised 
interfaces.</x:v>
      </x:c>
      <x:c r="K290" s="142" t="b">
        <x:v>0</x:v>
      </x:c>
      <x:c r="L290" s="146" t="str">
        <x:v>keep</x:v>
      </x:c>
      <x:c r="M290" s="146" t="str">
        <x:v>keep</x:v>
      </x:c>
      <x:c r="N290" s="147" t="b">
        <x:v>1</x:v>
      </x:c>
      <x:c r="O290" s="146" t="str">
        <x:v>PRIV.ANON</x:v>
      </x:c>
      <x:c r="P290" s="146" t="str">
        <x:v>SYS.design</x:v>
      </x:c>
      <x:c r="Q290" s="146" t="str">
        <x:v>PRIV</x:v>
      </x:c>
      <x:c r="R290" s="146" t="str">
        <x:v>SYS</x:v>
      </x:c>
      <x:c r="S290" s="146" t="str">
        <x:v>proposal</x:v>
      </x:c>
      <x:c r="T290" s="146" t="str">
        <x:v>proposal</x:v>
      </x:c>
      <x:c r="U290" s="146" t="str">
        <x:v>decreases</x:v>
      </x:c>
      <x:c r="V290" s="146" t="str">
        <x:v>neutral</x:v>
      </x:c>
      <x:c r="W290" s="146" t="str">
        <x:v>from_state</x:v>
      </x:c>
      <x:c r="X290" s="146" t="str">
        <x:v>not_applicable</x:v>
      </x:c>
      <x:c r="Y290" s="146" t="n">
        <x:v>2</x:v>
      </x:c>
      <x:c r="Z290" s="146" t="n">
        <x:v>2</x:v>
      </x:c>
      <x:c r="AA290" s="146" t="str">
        <x:v>high</x:v>
      </x:c>
      <x:c r="AB290" s="146" t="str">
        <x:v>high</x:v>
      </x:c>
      <x:c r="AC290" s="146"/>
      <x:c r="AD290" s="146"/>
      <x:c r="AE290" s="151" t="str">
        <x:v>PRIV.ANON</x:v>
      </x:c>
      <x:c r="AF290" s="151" t="str">
        <x:v>SYS.design</x:v>
      </x:c>
      <x:c r="AG290" s="151" t="str">
        <x:v>proposal</x:v>
      </x:c>
      <x:c r="AH290" s="151" t="str">
        <x:v>proposal</x:v>
      </x:c>
      <x:c r="AI290" s="154" t="n">
        <x:f>IF(K290,0,1)</x:f>
        <x:v>1</x:v>
      </x:c>
      <x:c r="AJ290" s="154" t="n">
        <x:f>IF(L290="keep",1,0)</x:f>
        <x:v>1</x:v>
      </x:c>
      <x:c r="AK290" s="154" t="n">
        <x:f>IF(M290="keep",1,0)</x:f>
        <x:v>1</x:v>
      </x:c>
      <x:c r="AL290" s="154" t="n">
        <x:f>(AJ290+AK290)/2</x:f>
        <x:v>1</x:v>
      </x:c>
      <x:c r="AM290" s="154" t="n">
        <x:f>MIN(AJ290,AK290)</x:f>
        <x:v>1</x:v>
      </x:c>
      <x:c r="AN290" s="154" t="n">
        <x:f>MAX(AJ290,AK290)</x:f>
        <x:v>1</x:v>
      </x:c>
      <x:c r="AO290" s="154" t="n">
        <x:f>IF(L290=M290,1,0)</x:f>
        <x:v>1</x:v>
      </x:c>
    </x:row>
    <x:row r="291">
      <x:c r="A291" s="38" t="str">
        <x:v>SV-0290</x:v>
      </x:c>
      <x:c r="B291" s="38" t="str">
        <x:v>PC-03254</x:v>
      </x:c>
      <x:c r="C291" s="38" t="str">
        <x:v>en|both</x:v>
      </x:c>
      <x:c r="D291" s="87" t="n">
        <x:v>19.069444444444443</x:v>
      </x:c>
      <x:c r="E291" s="38" t="str">
        <x:v>both</x:v>
      </x:c>
      <x:c r="F291" s="38" t="str">
        <x:v>IL_Israel_#U05d0#U05e8#U05db#U05d9#U05d8#U05e7#U05d8#U05d5#U05e8#U05d4-#U05dc#U05d5#U05d2#U05d9#U05ea-#U05d0#U05e0#U05d2#U05dc#U05d9#U05ea.pdf</x:v>
      </x:c>
      <x:c r="G291" s="38" t="n">
        <x:v>29</x:v>
      </x:c>
      <x:c r="H291" s="38" t="str">
        <x:v>en</x:v>
      </x:c>
      <x:c r="I291" s="38" t="str">
        <x:v>Bank of Israel (digital shekel)</x:v>
      </x:c>
      <x:c r="J291" s="38" t="str">
        <x:v>While the user can choose the PSP for carrying out any payment transaction, it will likely be necessary to define a PSP 
as the default in  the receipt of payments. In this way, the payer will only need to know the payee’s general address 
without having to know anything else about the various PSPs with which the payee is a customer.</x:v>
      </x:c>
      <x:c r="K291" s="142" t="b">
        <x:v>0</x:v>
      </x:c>
      <x:c r="L291" s="146" t="str">
        <x:v>keep</x:v>
      </x:c>
      <x:c r="M291" s="146" t="str">
        <x:v>keep</x:v>
      </x:c>
      <x:c r="N291" s="147" t="b">
        <x:v>1</x:v>
      </x:c>
      <x:c r="O291" s="146" t="str">
        <x:v>INST.mandate</x:v>
      </x:c>
      <x:c r="P291" s="146" t="str">
        <x:v>SYS.design</x:v>
      </x:c>
      <x:c r="Q291" s="146" t="str">
        <x:v>INST</x:v>
      </x:c>
      <x:c r="R291" s="146" t="str">
        <x:v>SYS</x:v>
      </x:c>
      <x:c r="S291" s="146" t="str">
        <x:v>proposal</x:v>
      </x:c>
      <x:c r="T291" s="146" t="str">
        <x:v>proposal</x:v>
      </x:c>
      <x:c r="U291" s="146" t="str">
        <x:v>neutral</x:v>
      </x:c>
      <x:c r="V291" s="146" t="str">
        <x:v>neutral</x:v>
      </x:c>
      <x:c r="W291" s="146" t="str">
        <x:v>not_applicable</x:v>
      </x:c>
      <x:c r="X291" s="146" t="str">
        <x:v>not_applicable</x:v>
      </x:c>
      <x:c r="Y291" s="146" t="n">
        <x:v>2</x:v>
      </x:c>
      <x:c r="Z291" s="146" t="n">
        <x:v>2</x:v>
      </x:c>
      <x:c r="AA291" s="146" t="str">
        <x:v>high</x:v>
      </x:c>
      <x:c r="AB291" s="146" t="str">
        <x:v>high</x:v>
      </x:c>
      <x:c r="AC291" s="146"/>
      <x:c r="AD291" s="146"/>
      <x:c r="AE291" s="151" t="str">
        <x:v>SYS.design</x:v>
      </x:c>
      <x:c r="AF291" s="151" t="str">
        <x:v>SYS.design</x:v>
      </x:c>
      <x:c r="AG291" s="151" t="str">
        <x:v>proposal</x:v>
      </x:c>
      <x:c r="AH291" s="151" t="str">
        <x:v>proposal</x:v>
      </x:c>
      <x:c r="AI291" s="154" t="n">
        <x:f>IF(K291,0,1)</x:f>
        <x:v>1</x:v>
      </x:c>
      <x:c r="AJ291" s="154" t="n">
        <x:f>IF(L291="keep",1,0)</x:f>
        <x:v>1</x:v>
      </x:c>
      <x:c r="AK291" s="154" t="n">
        <x:f>IF(M291="keep",1,0)</x:f>
        <x:v>1</x:v>
      </x:c>
      <x:c r="AL291" s="154" t="n">
        <x:f>(AJ291+AK291)/2</x:f>
        <x:v>1</x:v>
      </x:c>
      <x:c r="AM291" s="154" t="n">
        <x:f>MIN(AJ291,AK291)</x:f>
        <x:v>1</x:v>
      </x:c>
      <x:c r="AN291" s="154" t="n">
        <x:f>MAX(AJ291,AK291)</x:f>
        <x:v>1</x:v>
      </x:c>
      <x:c r="AO291" s="154" t="n">
        <x:f>IF(L291=M291,1,0)</x:f>
        <x:v>1</x:v>
      </x:c>
    </x:row>
    <x:row r="292">
      <x:c r="A292" s="38" t="str">
        <x:v>SV-0291</x:v>
      </x:c>
      <x:c r="B292" s="38" t="str">
        <x:v>PC-02065</x:v>
      </x:c>
      <x:c r="C292" s="38" t="str">
        <x:v>en|both</x:v>
      </x:c>
      <x:c r="D292" s="87" t="n">
        <x:v>19.069444444444443</x:v>
      </x:c>
      <x:c r="E292" s="38" t="str">
        <x:v>both</x:v>
      </x:c>
      <x:c r="F292" s="38" t="str">
        <x:v>HK_HKMA_eHKD_Phase2_2025</x:v>
      </x:c>
      <x:c r="G292" s="38" t="n">
        <x:v>36</x:v>
      </x:c>
      <x:c r="H292" s="38" t="str">
        <x:v>en</x:v>
      </x:c>
      <x:c r="I292" s="38" t="str">
        <x:v>Hong Kong Monetary Authority (e-HKD Phase 2 pilots)</x:v>
      </x:c>
      <x:c r="J292" s="38" t="str">
        <x:v>Near-instant conversion at a low cost between an 
e-HKD and traditional forms of money, such as 
commercial bank deposits and physical cash, is 
also crucial, particularly in the initial stages when 
an e-HKD might not yet be universally accepted.</x:v>
      </x:c>
      <x:c r="K292" s="142" t="b">
        <x:v>0</x:v>
      </x:c>
      <x:c r="L292" s="146" t="str">
        <x:v>keep</x:v>
      </x:c>
      <x:c r="M292" s="146" t="str">
        <x:v>keep</x:v>
      </x:c>
      <x:c r="N292" s="147" t="b">
        <x:v>1</x:v>
      </x:c>
      <x:c r="O292" s="146" t="str">
        <x:v>INTEROP.domestic</x:v>
      </x:c>
      <x:c r="P292" s="146" t="str">
        <x:v>CASH.relation</x:v>
      </x:c>
      <x:c r="Q292" s="146" t="str">
        <x:v>INTEROP</x:v>
      </x:c>
      <x:c r="R292" s="146" t="str">
        <x:v>CASH</x:v>
      </x:c>
      <x:c r="S292" s="146" t="str">
        <x:v>proposal</x:v>
      </x:c>
      <x:c r="T292" s="146" t="str">
        <x:v>finding</x:v>
      </x:c>
      <x:c r="U292" s="146" t="str">
        <x:v>neutral</x:v>
      </x:c>
      <x:c r="V292" s="146" t="str">
        <x:v>neutral</x:v>
      </x:c>
      <x:c r="W292" s="146" t="str">
        <x:v>not_applicable</x:v>
      </x:c>
      <x:c r="X292" s="146" t="str">
        <x:v>not_applicable</x:v>
      </x:c>
      <x:c r="Y292" s="146" t="n">
        <x:v>3</x:v>
      </x:c>
      <x:c r="Z292" s="146" t="n">
        <x:v>3</x:v>
      </x:c>
      <x:c r="AA292" s="146" t="str">
        <x:v>high</x:v>
      </x:c>
      <x:c r="AB292" s="146" t="str">
        <x:v>high</x:v>
      </x:c>
      <x:c r="AC292" s="146"/>
      <x:c r="AD292" s="146" t="str">
        <x:v>x</x:v>
      </x:c>
      <x:c r="AE292" s="151" t="str">
        <x:v>INTEROP.domestic</x:v>
      </x:c>
      <x:c r="AF292" s="151" t="str">
        <x:v>KYC.IDV</x:v>
      </x:c>
      <x:c r="AG292" s="151" t="str">
        <x:v>proposal</x:v>
      </x:c>
      <x:c r="AH292" s="151" t="str">
        <x:v>finding</x:v>
      </x:c>
      <x:c r="AI292" s="154" t="n">
        <x:f>IF(K292,0,1)</x:f>
        <x:v>1</x:v>
      </x:c>
      <x:c r="AJ292" s="154" t="n">
        <x:f>IF(L292="keep",1,0)</x:f>
        <x:v>1</x:v>
      </x:c>
      <x:c r="AK292" s="154" t="n">
        <x:f>IF(M292="keep",1,0)</x:f>
        <x:v>1</x:v>
      </x:c>
      <x:c r="AL292" s="154" t="n">
        <x:f>(AJ292+AK292)/2</x:f>
        <x:v>1</x:v>
      </x:c>
      <x:c r="AM292" s="154" t="n">
        <x:f>MIN(AJ292,AK292)</x:f>
        <x:v>1</x:v>
      </x:c>
      <x:c r="AN292" s="154" t="n">
        <x:f>MAX(AJ292,AK292)</x:f>
        <x:v>1</x:v>
      </x:c>
      <x:c r="AO292" s="154" t="n">
        <x:f>IF(L292=M292,1,0)</x:f>
        <x:v>1</x:v>
      </x:c>
    </x:row>
    <x:row r="293">
      <x:c r="A293" s="38" t="str">
        <x:v>SV-0292</x:v>
      </x:c>
      <x:c r="B293" s="38" t="str">
        <x:v>PC-03854</x:v>
      </x:c>
      <x:c r="C293" s="38" t="str">
        <x:v>en|both</x:v>
      </x:c>
      <x:c r="D293" s="87" t="n">
        <x:v>19.069444444444443</x:v>
      </x:c>
      <x:c r="E293" s="38" t="str">
        <x:v>both</x:v>
      </x:c>
      <x:c r="F293" s="38" t="str">
        <x:v>JP_BoJ_PoC2</x:v>
      </x:c>
      <x:c r="G293" s="38" t="n">
        <x:v>29</x:v>
      </x:c>
      <x:c r="H293" s="38" t="str">
        <x:v>en</x:v>
      </x:c>
      <x:c r="I293" s="38" t="str">
        <x:v>Bank of Japan</x:v>
      </x:c>
      <x:c r="J293" s="38" t="str">
        <x:v>In the case of the above configuration, compared with a case in which account transaction status 
management is performed within the orchestration system, in terms of performance, the processing 
load may be reduced because the upper-limit determination process can be closed to each system, 
while the processin g load may increase because more data is newly updated, such as balance 
increase schedules and upper-limit flexibility processing.</x:v>
      </x:c>
      <x:c r="K293" s="142" t="b">
        <x:v>0</x:v>
      </x:c>
      <x:c r="L293" s="146" t="str">
        <x:v>exclude</x:v>
      </x:c>
      <x:c r="M293" s="146" t="str">
        <x:v>keep</x:v>
      </x:c>
      <x:c r="N293" s="147" t="b">
        <x:v>0</x:v>
      </x:c>
      <x:c r="O293" s="146"/>
      <x:c r="P293" s="146" t="str">
        <x:v>SYS.design</x:v>
      </x:c>
      <x:c r="Q293" s="146" t="str"/>
      <x:c r="R293" s="146" t="str">
        <x:v>SYS</x:v>
      </x:c>
      <x:c r="S293" s="146"/>
      <x:c r="T293" s="146" t="str">
        <x:v>finding</x:v>
      </x:c>
      <x:c r="U293" s="146"/>
      <x:c r="V293" s="146" t="str">
        <x:v>neutral</x:v>
      </x:c>
      <x:c r="W293" s="146"/>
      <x:c r="X293" s="146" t="str">
        <x:v>not_applicable</x:v>
      </x:c>
      <x:c r="Y293" s="146"/>
      <x:c r="Z293" s="146" t="n">
        <x:v>2</x:v>
      </x:c>
      <x:c r="AA293" s="146" t="str">
        <x:v>high</x:v>
      </x:c>
      <x:c r="AB293" s="146" t="str">
        <x:v>high</x:v>
      </x:c>
      <x:c r="AC293" s="146"/>
      <x:c r="AD293" s="146"/>
      <x:c r="AE293" s="151" t="str">
        <x:v>AML.LIMIT</x:v>
      </x:c>
      <x:c r="AF293" s="151" t="str">
        <x:v>SYS.design</x:v>
      </x:c>
      <x:c r="AG293" s="151" t="str">
        <x:v>proposal</x:v>
      </x:c>
      <x:c r="AH293" s="151" t="str">
        <x:v>finding</x:v>
      </x:c>
      <x:c r="AI293" s="154" t="n">
        <x:f>IF(K293,0,1)</x:f>
        <x:v>1</x:v>
      </x:c>
      <x:c r="AJ293" s="154" t="n">
        <x:f>IF(L293="keep",1,0)</x:f>
        <x:v>0</x:v>
      </x:c>
      <x:c r="AK293" s="154" t="n">
        <x:f>IF(M293="keep",1,0)</x:f>
        <x:v>1</x:v>
      </x:c>
      <x:c r="AL293" s="154" t="n">
        <x:f>(AJ293+AK293)/2</x:f>
        <x:v>0.5</x:v>
      </x:c>
      <x:c r="AM293" s="154" t="n">
        <x:f>MIN(AJ293,AK293)</x:f>
        <x:v>0</x:v>
      </x:c>
      <x:c r="AN293" s="154" t="n">
        <x:f>MAX(AJ293,AK293)</x:f>
        <x:v>1</x:v>
      </x:c>
      <x:c r="AO293" s="154" t="n">
        <x:f>IF(L293=M293,1,0)</x:f>
        <x:v>0</x:v>
      </x:c>
    </x:row>
    <x:row r="294">
      <x:c r="A294" s="38" t="str">
        <x:v>SV-0293</x:v>
      </x:c>
      <x:c r="B294" s="38" t="str">
        <x:v>PC-03803</x:v>
      </x:c>
      <x:c r="C294" s="38" t="str">
        <x:v>en|openai_only</x:v>
      </x:c>
      <x:c r="D294" s="87" t="n">
        <x:v>19.21875</x:v>
      </x:c>
      <x:c r="E294" s="38" t="str">
        <x:v>openai_only</x:v>
      </x:c>
      <x:c r="F294" s="38" t="str">
        <x:v>JP_BoJ_PoC2</x:v>
      </x:c>
      <x:c r="G294" s="38" t="n">
        <x:v>11</x:v>
      </x:c>
      <x:c r="H294" s="38" t="str">
        <x:v>en</x:v>
      </x:c>
      <x:c r="I294" s="38" t="str">
        <x:v>Bank of Japan</x:v>
      </x:c>
      <x:c r="J294" s="38" t="str">
        <x:v>Instructions are sent from the scheduled t ransaction management system to the 
orchestration system one by one at a specified time, after which the same process as for a 
standard remittance is executed.</x:v>
      </x:c>
      <x:c r="K294" s="142" t="b">
        <x:v>0</x:v>
      </x:c>
      <x:c r="L294" s="146" t="str">
        <x:v>keep</x:v>
      </x:c>
      <x:c r="M294" s="146" t="str">
        <x:v>exclude</x:v>
      </x:c>
      <x:c r="N294" s="147" t="b">
        <x:v>0</x:v>
      </x:c>
      <x:c r="O294" s="146" t="str">
        <x:v>SYS.design</x:v>
      </x:c>
      <x:c r="P294" s="146"/>
      <x:c r="Q294" s="146" t="str">
        <x:v>SYS</x:v>
      </x:c>
      <x:c r="R294" s="146" t="str"/>
      <x:c r="S294" s="146" t="str">
        <x:v>decision</x:v>
      </x:c>
      <x:c r="T294" s="146"/>
      <x:c r="U294" s="146" t="str">
        <x:v>neutral</x:v>
      </x:c>
      <x:c r="V294" s="146"/>
      <x:c r="W294" s="146" t="str">
        <x:v>not_applicable</x:v>
      </x:c>
      <x:c r="X294" s="146"/>
      <x:c r="Y294" s="146" t="n">
        <x:v>2</x:v>
      </x:c>
      <x:c r="Z294" s="146"/>
      <x:c r="AA294" s="146" t="str">
        <x:v>high</x:v>
      </x:c>
      <x:c r="AB294" s="146" t="str">
        <x:v>high</x:v>
      </x:c>
      <x:c r="AC294" s="146"/>
      <x:c r="AD294" s="146"/>
      <x:c r="AE294" s="151" t="str">
        <x:v>SYS.design</x:v>
      </x:c>
      <x:c r="AF294" s="151"/>
      <x:c r="AG294" s="151" t="str">
        <x:v>decision</x:v>
      </x:c>
      <x:c r="AH294" s="151"/>
      <x:c r="AI294" s="154" t="n">
        <x:f>IF(K294,0,1)</x:f>
        <x:v>1</x:v>
      </x:c>
      <x:c r="AJ294" s="154" t="n">
        <x:f>IF(L294="keep",1,0)</x:f>
        <x:v>1</x:v>
      </x:c>
      <x:c r="AK294" s="154" t="n">
        <x:f>IF(M294="keep",1,0)</x:f>
        <x:v>0</x:v>
      </x:c>
      <x:c r="AL294" s="154" t="n">
        <x:f>(AJ294+AK294)/2</x:f>
        <x:v>0.5</x:v>
      </x:c>
      <x:c r="AM294" s="154" t="n">
        <x:f>MIN(AJ294,AK294)</x:f>
        <x:v>0</x:v>
      </x:c>
      <x:c r="AN294" s="154" t="n">
        <x:f>MAX(AJ294,AK294)</x:f>
        <x:v>1</x:v>
      </x:c>
      <x:c r="AO294" s="154" t="n">
        <x:f>IF(L294=M294,1,0)</x:f>
        <x:v>0</x:v>
      </x:c>
    </x:row>
    <x:row r="295">
      <x:c r="A295" s="38" t="str">
        <x:v>SV-0294</x:v>
      </x:c>
      <x:c r="B295" s="38" t="str">
        <x:v>PC-06443</x:v>
      </x:c>
      <x:c r="C295" s="38" t="str">
        <x:v>en|openai_only</x:v>
      </x:c>
      <x:c r="D295" s="87" t="n">
        <x:v>19.21875</x:v>
      </x:c>
      <x:c r="E295" s="38" t="str">
        <x:v>openai_only</x:v>
      </x:c>
      <x:c r="F295" s="38" t="str">
        <x:v>UN_ESCAP_ESCAP-2022-RP-National-study-central-bank-digital-currency-stablecoin-Maldives</x:v>
      </x:c>
      <x:c r="G295" s="38" t="n">
        <x:v>58</x:v>
      </x:c>
      <x:c r="H295" s="38" t="str">
        <x:v>en</x:v>
      </x:c>
      <x:c r="I295" s="38" t="str">
        <x:v>Maldives Monetary Authority / Maldives CBDC policy study</x:v>
      </x:c>
      <x:c r="J295" s="38" t="str">
        <x:v>● Head of centralized KYC/identity infrastructure;</x:v>
      </x:c>
      <x:c r="K295" s="142" t="b">
        <x:v>0</x:v>
      </x:c>
      <x:c r="L295" s="146" t="str">
        <x:v>exclude</x:v>
      </x:c>
      <x:c r="M295" s="146" t="str">
        <x:v>exclude</x:v>
      </x:c>
      <x:c r="N295" s="147" t="b">
        <x:v>1</x:v>
      </x:c>
      <x:c r="O295" s="146"/>
      <x:c r="P295" s="146"/>
      <x:c r="Q295" s="146" t="str"/>
      <x:c r="R295" s="146" t="str"/>
      <x:c r="S295" s="146"/>
      <x:c r="T295" s="146"/>
      <x:c r="U295" s="146"/>
      <x:c r="V295" s="146"/>
      <x:c r="W295" s="146"/>
      <x:c r="X295" s="146"/>
      <x:c r="Y295" s="146"/>
      <x:c r="Z295" s="146"/>
      <x:c r="AA295" s="146" t="str">
        <x:v>high</x:v>
      </x:c>
      <x:c r="AB295" s="146" t="str">
        <x:v>high</x:v>
      </x:c>
      <x:c r="AC295" s="146"/>
      <x:c r="AD295" s="146"/>
      <x:c r="AE295" s="151" t="str">
        <x:v>SYS.design</x:v>
      </x:c>
      <x:c r="AF295" s="151"/>
      <x:c r="AG295" s="151" t="str">
        <x:v>proposal</x:v>
      </x:c>
      <x:c r="AH295" s="151"/>
      <x:c r="AI295" s="154" t="n">
        <x:f>IF(K295,0,1)</x:f>
        <x:v>1</x:v>
      </x:c>
      <x:c r="AJ295" s="154" t="n">
        <x:f>IF(L295="keep",1,0)</x:f>
        <x:v>0</x:v>
      </x:c>
      <x:c r="AK295" s="154" t="n">
        <x:f>IF(M295="keep",1,0)</x:f>
        <x:v>0</x:v>
      </x:c>
      <x:c r="AL295" s="154" t="n">
        <x:f>(AJ295+AK295)/2</x:f>
        <x:v>0</x:v>
      </x:c>
      <x:c r="AM295" s="154" t="n">
        <x:f>MIN(AJ295,AK295)</x:f>
        <x:v>0</x:v>
      </x:c>
      <x:c r="AN295" s="154" t="n">
        <x:f>MAX(AJ295,AK295)</x:f>
        <x:v>0</x:v>
      </x:c>
      <x:c r="AO295" s="154" t="n">
        <x:f>IF(L295=M295,1,0)</x:f>
        <x:v>1</x:v>
      </x:c>
    </x:row>
    <x:row r="296">
      <x:c r="A296" s="38" t="str">
        <x:v>SV-0295</x:v>
      </x:c>
      <x:c r="B296" s="38" t="str">
        <x:v>PC-03748</x:v>
      </x:c>
      <x:c r="C296" s="38" t="str">
        <x:v>ja|openai_only</x:v>
      </x:c>
      <x:c r="D296" s="87" t="n">
        <x:v>2</x:v>
      </x:c>
      <x:c r="E296" s="38" t="str">
        <x:v>openai_only</x:v>
      </x:c>
      <x:c r="F296" s="38" t="str">
        <x:v>JP_BoJ_Pilot_JP</x:v>
      </x:c>
      <x:c r="G296" s="38" t="n">
        <x:v>4</x:v>
      </x:c>
      <x:c r="H296" s="38" t="str">
        <x:v>ja</x:v>
      </x:c>
      <x:c r="I296" s="38" t="str">
        <x:v>Bank of Japan (CBDC pilot)</x:v>
      </x:c>
      <x:c r="J296" s="38" t="str">
        <x:v>このため、パイロット実験における実験用システムとして、中央システムだけでは
なく、仲介機関システム、中央システムと各仲介機関システムを結ぶ「仲介機関ネッ
トワーク」や、エンドポイントデバイス（スマートフォンやタブレットを利用したア
プリ）までを構築する。</x:v>
      </x:c>
      <x:c r="K296" s="142" t="b">
        <x:v>0</x:v>
      </x:c>
      <x:c r="L296" s="146" t="str">
        <x:v>keep</x:v>
      </x:c>
      <x:c r="M296" s="146" t="str">
        <x:v>exclude</x:v>
      </x:c>
      <x:c r="N296" s="147" t="b">
        <x:v>0</x:v>
      </x:c>
      <x:c r="O296" s="146" t="str">
        <x:v>INTEROP.domestic</x:v>
      </x:c>
      <x:c r="P296" s="146"/>
      <x:c r="Q296" s="146" t="str">
        <x:v>INTEROP</x:v>
      </x:c>
      <x:c r="R296" s="146" t="str"/>
      <x:c r="S296" s="146" t="str">
        <x:v>proposal</x:v>
      </x:c>
      <x:c r="T296" s="146"/>
      <x:c r="U296" s="146" t="str">
        <x:v>neutral</x:v>
      </x:c>
      <x:c r="V296" s="146"/>
      <x:c r="W296" s="146" t="str">
        <x:v>not_applicable</x:v>
      </x:c>
      <x:c r="X296" s="146"/>
      <x:c r="Y296" s="146" t="n">
        <x:v>3</x:v>
      </x:c>
      <x:c r="Z296" s="146"/>
      <x:c r="AA296" s="146" t="str">
        <x:v>high</x:v>
      </x:c>
      <x:c r="AB296" s="146" t="str">
        <x:v>high</x:v>
      </x:c>
      <x:c r="AC296" s="146"/>
      <x:c r="AD296" s="146"/>
      <x:c r="AE296" s="151" t="str">
        <x:v>SYS.design</x:v>
      </x:c>
      <x:c r="AF296" s="151"/>
      <x:c r="AG296" s="151" t="str">
        <x:v>proposal</x:v>
      </x:c>
      <x:c r="AH296" s="151"/>
      <x:c r="AI296" s="154" t="n">
        <x:f>IF(K296,0,1)</x:f>
        <x:v>1</x:v>
      </x:c>
      <x:c r="AJ296" s="154" t="n">
        <x:f>IF(L296="keep",1,0)</x:f>
        <x:v>1</x:v>
      </x:c>
      <x:c r="AK296" s="154" t="n">
        <x:f>IF(M296="keep",1,0)</x:f>
        <x:v>0</x:v>
      </x:c>
      <x:c r="AL296" s="154" t="n">
        <x:f>(AJ296+AK296)/2</x:f>
        <x:v>0.5</x:v>
      </x:c>
      <x:c r="AM296" s="154" t="n">
        <x:f>MIN(AJ296,AK296)</x:f>
        <x:v>0</x:v>
      </x:c>
      <x:c r="AN296" s="154" t="n">
        <x:f>MAX(AJ296,AK296)</x:f>
        <x:v>1</x:v>
      </x:c>
      <x:c r="AO296" s="154" t="n">
        <x:f>IF(L296=M296,1,0)</x:f>
        <x:v>0</x:v>
      </x:c>
    </x:row>
    <x:row r="297">
      <x:c r="A297" s="38" t="str">
        <x:v>SV-0296</x:v>
      </x:c>
      <x:c r="B297" s="38" t="str">
        <x:v>PC-04538</x:v>
      </x:c>
      <x:c r="C297" s="38" t="str">
        <x:v>en|claude_only</x:v>
      </x:c>
      <x:c r="D297" s="87" t="n">
        <x:v>19.375</x:v>
      </x:c>
      <x:c r="E297" s="38" t="str">
        <x:v>claude_only</x:v>
      </x:c>
      <x:c r="F297" s="38" t="str">
        <x:v>NZ_RBNZ_CBDCIssuesPaper_2021</x:v>
      </x:c>
      <x:c r="G297" s="38" t="n">
        <x:v>16</x:v>
      </x:c>
      <x:c r="H297" s="38" t="str">
        <x:v>en</x:v>
      </x:c>
      <x:c r="I297" s="38" t="str">
        <x:v>Reserve Bank of New Zealand</x:v>
      </x:c>
      <x:c r="J297" s="38" t="str">
        <x:v>this issues paper focuses on a CBDC that would be issued to 
any individual or business that wants to use it. Such a ‘general-purpose’ CBDC27 would be closer in 
function to cash and better placed to fulfil the role of central bank money than a ‘wholesale’ CBDC.</x:v>
      </x:c>
      <x:c r="K297" s="142" t="b">
        <x:v>0</x:v>
      </x:c>
      <x:c r="L297" s="146" t="str">
        <x:v>keep</x:v>
      </x:c>
      <x:c r="M297" s="146" t="str">
        <x:v>keep</x:v>
      </x:c>
      <x:c r="N297" s="147" t="b">
        <x:v>1</x:v>
      </x:c>
      <x:c r="O297" s="146" t="str">
        <x:v>CASH.relation</x:v>
      </x:c>
      <x:c r="P297" s="146" t="str">
        <x:v>SYS.design</x:v>
      </x:c>
      <x:c r="Q297" s="146" t="str">
        <x:v>CASH</x:v>
      </x:c>
      <x:c r="R297" s="146" t="str">
        <x:v>SYS</x:v>
      </x:c>
      <x:c r="S297" s="146" t="str">
        <x:v>decision</x:v>
      </x:c>
      <x:c r="T297" s="146" t="str">
        <x:v>proposal</x:v>
      </x:c>
      <x:c r="U297" s="146" t="str">
        <x:v>neutral</x:v>
      </x:c>
      <x:c r="V297" s="146" t="str">
        <x:v>neutral</x:v>
      </x:c>
      <x:c r="W297" s="146" t="str">
        <x:v>not_applicable</x:v>
      </x:c>
      <x:c r="X297" s="146" t="str">
        <x:v>not_applicable</x:v>
      </x:c>
      <x:c r="Y297" s="146" t="n">
        <x:v>2</x:v>
      </x:c>
      <x:c r="Z297" s="146" t="n">
        <x:v>2</x:v>
      </x:c>
      <x:c r="AA297" s="146" t="str">
        <x:v>high</x:v>
      </x:c>
      <x:c r="AB297" s="146" t="str">
        <x:v>high</x:v>
      </x:c>
      <x:c r="AC297" s="146"/>
      <x:c r="AD297" s="146"/>
      <x:c r="AE297" s="151"/>
      <x:c r="AF297" s="151" t="str">
        <x:v>SYS.design</x:v>
      </x:c>
      <x:c r="AG297" s="151"/>
      <x:c r="AH297" s="151" t="str">
        <x:v>proposal</x:v>
      </x:c>
      <x:c r="AI297" s="154" t="n">
        <x:f>IF(K297,0,1)</x:f>
        <x:v>1</x:v>
      </x:c>
      <x:c r="AJ297" s="154" t="n">
        <x:f>IF(L297="keep",1,0)</x:f>
        <x:v>1</x:v>
      </x:c>
      <x:c r="AK297" s="154" t="n">
        <x:f>IF(M297="keep",1,0)</x:f>
        <x:v>1</x:v>
      </x:c>
      <x:c r="AL297" s="154" t="n">
        <x:f>(AJ297+AK297)/2</x:f>
        <x:v>1</x:v>
      </x:c>
      <x:c r="AM297" s="154" t="n">
        <x:f>MIN(AJ297,AK297)</x:f>
        <x:v>1</x:v>
      </x:c>
      <x:c r="AN297" s="154" t="n">
        <x:f>MAX(AJ297,AK297)</x:f>
        <x:v>1</x:v>
      </x:c>
      <x:c r="AO297" s="154" t="n">
        <x:f>IF(L297=M297,1,0)</x:f>
        <x:v>1</x:v>
      </x:c>
    </x:row>
    <x:row r="298">
      <x:c r="A298" s="38" t="str">
        <x:v>SV-0297</x:v>
      </x:c>
      <x:c r="B298" s="38" t="str">
        <x:v>PC-06644</x:v>
      </x:c>
      <x:c r="C298" s="38" t="str">
        <x:v>en|both</x:v>
      </x:c>
      <x:c r="D298" s="87" t="n">
        <x:v>19.069444444444443</x:v>
      </x:c>
      <x:c r="E298" s="38" t="str">
        <x:v>both</x:v>
      </x:c>
      <x:c r="F298" s="38" t="str">
        <x:v>UY_BCU_Seven_Lessons_2022</x:v>
      </x:c>
      <x:c r="G298" s="38" t="n">
        <x:v>6</x:v>
      </x:c>
      <x:c r="H298" s="38" t="str">
        <x:v>en</x:v>
      </x:c>
      <x:c r="I298" s="38" t="str">
        <x:v>Banco Central del Uruguay (e-Peso pilot)</x:v>
      </x:c>
      <x:c r="J298" s="38" t="str">
        <x:v>The use of cash for 
small payments is the rule and to limit CBDC to small amounts for each user is the 
strategy to fulfill cash use without harming other instruments.</x:v>
      </x:c>
      <x:c r="K298" s="142" t="b">
        <x:v>0</x:v>
      </x:c>
      <x:c r="L298" s="146" t="str">
        <x:v>keep</x:v>
      </x:c>
      <x:c r="M298" s="146" t="str">
        <x:v>keep</x:v>
      </x:c>
      <x:c r="N298" s="147" t="b">
        <x:v>1</x:v>
      </x:c>
      <x:c r="O298" s="146" t="str">
        <x:v>TECH.DLT</x:v>
      </x:c>
      <x:c r="P298" s="146" t="str">
        <x:v>AML.LIMIT</x:v>
      </x:c>
      <x:c r="Q298" s="146" t="str">
        <x:v>TECH</x:v>
      </x:c>
      <x:c r="R298" s="146" t="str">
        <x:v>AML</x:v>
      </x:c>
      <x:c r="S298" s="146" t="str">
        <x:v>decision</x:v>
      </x:c>
      <x:c r="T298" s="146" t="str">
        <x:v>decision</x:v>
      </x:c>
      <x:c r="U298" s="146" t="str">
        <x:v>neutral</x:v>
      </x:c>
      <x:c r="V298" s="146" t="str">
        <x:v>neutral</x:v>
      </x:c>
      <x:c r="W298" s="146" t="str">
        <x:v>not_applicable</x:v>
      </x:c>
      <x:c r="X298" s="146" t="str">
        <x:v>not_applicable</x:v>
      </x:c>
      <x:c r="Y298" s="146" t="n">
        <x:v>3</x:v>
      </x:c>
      <x:c r="Z298" s="146" t="n">
        <x:v>2</x:v>
      </x:c>
      <x:c r="AA298" s="146" t="str">
        <x:v>high</x:v>
      </x:c>
      <x:c r="AB298" s="146" t="str">
        <x:v>high</x:v>
      </x:c>
      <x:c r="AC298" s="146"/>
      <x:c r="AD298" s="146"/>
      <x:c r="AE298" s="151" t="str">
        <x:v>TECH.DLT</x:v>
      </x:c>
      <x:c r="AF298" s="151" t="str">
        <x:v>AML.LIMIT</x:v>
      </x:c>
      <x:c r="AG298" s="151" t="str">
        <x:v>decision</x:v>
      </x:c>
      <x:c r="AH298" s="151" t="str">
        <x:v>decision</x:v>
      </x:c>
      <x:c r="AI298" s="154" t="n">
        <x:f>IF(K298,0,1)</x:f>
        <x:v>1</x:v>
      </x:c>
      <x:c r="AJ298" s="154" t="n">
        <x:f>IF(L298="keep",1,0)</x:f>
        <x:v>1</x:v>
      </x:c>
      <x:c r="AK298" s="154" t="n">
        <x:f>IF(M298="keep",1,0)</x:f>
        <x:v>1</x:v>
      </x:c>
      <x:c r="AL298" s="154" t="n">
        <x:f>(AJ298+AK298)/2</x:f>
        <x:v>1</x:v>
      </x:c>
      <x:c r="AM298" s="154" t="n">
        <x:f>MIN(AJ298,AK298)</x:f>
        <x:v>1</x:v>
      </x:c>
      <x:c r="AN298" s="154" t="n">
        <x:f>MAX(AJ298,AK298)</x:f>
        <x:v>1</x:v>
      </x:c>
      <x:c r="AO298" s="154" t="n">
        <x:f>IF(L298=M298,1,0)</x:f>
        <x:v>1</x:v>
      </x:c>
    </x:row>
    <x:row r="299">
      <x:c r="A299" s="38" t="str">
        <x:v>SV-0298</x:v>
      </x:c>
      <x:c r="B299" s="38" t="str">
        <x:v>PC-06419</x:v>
      </x:c>
      <x:c r="C299" s="38" t="str">
        <x:v>en|both</x:v>
      </x:c>
      <x:c r="D299" s="87" t="n">
        <x:v>19.069444444444443</x:v>
      </x:c>
      <x:c r="E299" s="38" t="str">
        <x:v>both</x:v>
      </x:c>
      <x:c r="F299" s="38" t="str">
        <x:v>UN_ESCAP_ESCAP-2022-RP-National-study-central-bank-digital-currency-stablecoin-Maldives</x:v>
      </x:c>
      <x:c r="G299" s="38" t="n">
        <x:v>29</x:v>
      </x:c>
      <x:c r="H299" s="38" t="str">
        <x:v>en</x:v>
      </x:c>
      <x:c r="I299" s="38" t="str">
        <x:v>Maldives Monetary Authority / Maldives CBDC policy study</x:v>
      </x:c>
      <x:c r="J299" s="38" t="str">
        <x:v>At present, n o 
such legislation is planned to be  introduced in the Maldives, although data protection 
laws wou ld a pply. Some data protec tion contr ols are already in place within the 
Maldives Banking Act and there is an expectation that a Data Privacy Act will be 
introduced.</x:v>
      </x:c>
      <x:c r="K299" s="142" t="b">
        <x:v>0</x:v>
      </x:c>
      <x:c r="L299" s="146" t="str">
        <x:v>keep</x:v>
      </x:c>
      <x:c r="M299" s="146" t="str">
        <x:v>keep</x:v>
      </x:c>
      <x:c r="N299" s="147" t="b">
        <x:v>1</x:v>
      </x:c>
      <x:c r="O299" s="146" t="str">
        <x:v>INST.mandate</x:v>
      </x:c>
      <x:c r="P299" s="146" t="str">
        <x:v>PRIV.MIN</x:v>
      </x:c>
      <x:c r="Q299" s="146" t="str">
        <x:v>INST</x:v>
      </x:c>
      <x:c r="R299" s="146" t="str">
        <x:v>PRIV</x:v>
      </x:c>
      <x:c r="S299" s="146" t="str">
        <x:v>proposal</x:v>
      </x:c>
      <x:c r="T299" s="146" t="str">
        <x:v>finding</x:v>
      </x:c>
      <x:c r="U299" s="146" t="str">
        <x:v>neutral</x:v>
      </x:c>
      <x:c r="V299" s="146" t="str">
        <x:v>increases</x:v>
      </x:c>
      <x:c r="W299" s="146" t="str">
        <x:v>not_applicable</x:v>
      </x:c>
      <x:c r="X299" s="146" t="str">
        <x:v>from_state</x:v>
      </x:c>
      <x:c r="Y299" s="146" t="n">
        <x:v>2</x:v>
      </x:c>
      <x:c r="Z299" s="146" t="n">
        <x:v>2</x:v>
      </x:c>
      <x:c r="AA299" s="146" t="str">
        <x:v>high</x:v>
      </x:c>
      <x:c r="AB299" s="146" t="str">
        <x:v>high</x:v>
      </x:c>
      <x:c r="AC299" s="146"/>
      <x:c r="AD299" s="146"/>
      <x:c r="AE299" s="151" t="str">
        <x:v>INST.mandate</x:v>
      </x:c>
      <x:c r="AF299" s="151" t="str">
        <x:v>PRIV.MIN</x:v>
      </x:c>
      <x:c r="AG299" s="151" t="str">
        <x:v>proposal</x:v>
      </x:c>
      <x:c r="AH299" s="151" t="str">
        <x:v>finding</x:v>
      </x:c>
      <x:c r="AI299" s="154" t="n">
        <x:f>IF(K299,0,1)</x:f>
        <x:v>1</x:v>
      </x:c>
      <x:c r="AJ299" s="154" t="n">
        <x:f>IF(L299="keep",1,0)</x:f>
        <x:v>1</x:v>
      </x:c>
      <x:c r="AK299" s="154" t="n">
        <x:f>IF(M299="keep",1,0)</x:f>
        <x:v>1</x:v>
      </x:c>
      <x:c r="AL299" s="154" t="n">
        <x:f>(AJ299+AK299)/2</x:f>
        <x:v>1</x:v>
      </x:c>
      <x:c r="AM299" s="154" t="n">
        <x:f>MIN(AJ299,AK299)</x:f>
        <x:v>1</x:v>
      </x:c>
      <x:c r="AN299" s="154" t="n">
        <x:f>MAX(AJ299,AK299)</x:f>
        <x:v>1</x:v>
      </x:c>
      <x:c r="AO299" s="154" t="n">
        <x:f>IF(L299=M299,1,0)</x:f>
        <x:v>1</x:v>
      </x:c>
    </x:row>
    <x:row r="300">
      <x:c r="A300" s="38" t="str">
        <x:v>SV-0299</x:v>
      </x:c>
      <x:c r="B300" s="38" t="str">
        <x:v>PC-03699</x:v>
      </x:c>
      <x:c r="C300" s="38" t="str">
        <x:v>en|both</x:v>
      </x:c>
      <x:c r="D300" s="87" t="n">
        <x:v>19.069444444444443</x:v>
      </x:c>
      <x:c r="E300" s="38" t="str">
        <x:v>both</x:v>
      </x:c>
      <x:c r="F300" s="38" t="str">
        <x:v>JP_BoJ_2022</x:v>
      </x:c>
      <x:c r="G300" s="38" t="n">
        <x:v>12</x:v>
      </x:c>
      <x:c r="H300" s="38" t="str">
        <x:v>en</x:v>
      </x:c>
      <x:c r="I300" s="38" t="str">
        <x:v>Bank of Japan</x:v>
      </x:c>
      <x:c r="J300" s="38" t="str">
        <x:v>In order for a CBDC to be secure, an adequate level of security would need to be assured 
regardless of the design, but this could make system processing performance lower or increase 
deployment/operating costs.</x:v>
      </x:c>
      <x:c r="K300" s="142" t="b">
        <x:v>0</x:v>
      </x:c>
      <x:c r="L300" s="146" t="str">
        <x:v>keep</x:v>
      </x:c>
      <x:c r="M300" s="146" t="str">
        <x:v>keep</x:v>
      </x:c>
      <x:c r="N300" s="147" t="b">
        <x:v>1</x:v>
      </x:c>
      <x:c r="O300" s="146" t="str">
        <x:v>OPS.resilience</x:v>
      </x:c>
      <x:c r="P300" s="146" t="str">
        <x:v>OPS.resilience</x:v>
      </x:c>
      <x:c r="Q300" s="146" t="str">
        <x:v>OPS</x:v>
      </x:c>
      <x:c r="R300" s="146" t="str">
        <x:v>OPS</x:v>
      </x:c>
      <x:c r="S300" s="146" t="str">
        <x:v>proposal</x:v>
      </x:c>
      <x:c r="T300" s="146" t="str">
        <x:v>finding</x:v>
      </x:c>
      <x:c r="U300" s="146" t="str">
        <x:v>neutral</x:v>
      </x:c>
      <x:c r="V300" s="146" t="str">
        <x:v>neutral</x:v>
      </x:c>
      <x:c r="W300" s="146" t="str">
        <x:v>not_applicable</x:v>
      </x:c>
      <x:c r="X300" s="146" t="str">
        <x:v>not_applicable</x:v>
      </x:c>
      <x:c r="Y300" s="146" t="n">
        <x:v>3</x:v>
      </x:c>
      <x:c r="Z300" s="146" t="n">
        <x:v>2</x:v>
      </x:c>
      <x:c r="AA300" s="146" t="str">
        <x:v>high</x:v>
      </x:c>
      <x:c r="AB300" s="146" t="str">
        <x:v>high</x:v>
      </x:c>
      <x:c r="AC300" s="146"/>
      <x:c r="AD300" s="146"/>
      <x:c r="AE300" s="151" t="str">
        <x:v>OPS.resilience</x:v>
      </x:c>
      <x:c r="AF300" s="151" t="str">
        <x:v>OPS.resilience</x:v>
      </x:c>
      <x:c r="AG300" s="151" t="str">
        <x:v>proposal</x:v>
      </x:c>
      <x:c r="AH300" s="151" t="str">
        <x:v>finding</x:v>
      </x:c>
      <x:c r="AI300" s="154" t="n">
        <x:f>IF(K300,0,1)</x:f>
        <x:v>1</x:v>
      </x:c>
      <x:c r="AJ300" s="154" t="n">
        <x:f>IF(L300="keep",1,0)</x:f>
        <x:v>1</x:v>
      </x:c>
      <x:c r="AK300" s="154" t="n">
        <x:f>IF(M300="keep",1,0)</x:f>
        <x:v>1</x:v>
      </x:c>
      <x:c r="AL300" s="154" t="n">
        <x:f>(AJ300+AK300)/2</x:f>
        <x:v>1</x:v>
      </x:c>
      <x:c r="AM300" s="154" t="n">
        <x:f>MIN(AJ300,AK300)</x:f>
        <x:v>1</x:v>
      </x:c>
      <x:c r="AN300" s="154" t="n">
        <x:f>MAX(AJ300,AK300)</x:f>
        <x:v>1</x:v>
      </x:c>
      <x:c r="AO300" s="154" t="n">
        <x:f>IF(L300=M300,1,0)</x:f>
        <x:v>1</x:v>
      </x:c>
    </x:row>
    <x:row r="301">
      <x:c r="A301" s="38" t="str">
        <x:v>SV-0300</x:v>
      </x:c>
      <x:c r="B301" s="38" t="str">
        <x:v>PC-04239</x:v>
      </x:c>
      <x:c r="C301" s="38" t="str">
        <x:v>en|openai_only</x:v>
      </x:c>
      <x:c r="D301" s="87" t="n">
        <x:v>19.21875</x:v>
      </x:c>
      <x:c r="E301" s="38" t="str">
        <x:v>openai_only</x:v>
      </x:c>
      <x:c r="F301" s="38" t="str">
        <x:v>NO_Norway_nbmemo-1-2018</x:v>
      </x:c>
      <x:c r="G301" s="38" t="n">
        <x:v>39</x:v>
      </x:c>
      <x:c r="H301" s="38" t="str">
        <x:v>en</x:v>
      </x:c>
      <x:c r="I301" s="38" t="str">
        <x:v>Norges Bank</x:v>
      </x:c>
      <x:c r="J301" s="38" t="str">
        <x:v>Renten på DSP kan danne et gulv for styringsrenten og renten på kontopenger 
i en kontobasert modell.</x:v>
      </x:c>
      <x:c r="K301" s="142" t="b">
        <x:v>0</x:v>
      </x:c>
      <x:c r="L301" s="146" t="str">
        <x:v>keep</x:v>
      </x:c>
      <x:c r="M301" s="146" t="str">
        <x:v>exclude</x:v>
      </x:c>
      <x:c r="N301" s="147" t="b">
        <x:v>0</x:v>
      </x:c>
      <x:c r="O301" s="146" t="str">
        <x:v>PROG.remuneration_considered</x:v>
      </x:c>
      <x:c r="P301" s="146"/>
      <x:c r="Q301" s="146" t="str">
        <x:v>PROG</x:v>
      </x:c>
      <x:c r="R301" s="146" t="str"/>
      <x:c r="S301" s="146" t="str">
        <x:v>finding</x:v>
      </x:c>
      <x:c r="T301" s="146"/>
      <x:c r="U301" s="146" t="str">
        <x:v>neutral</x:v>
      </x:c>
      <x:c r="V301" s="146"/>
      <x:c r="W301" s="146" t="str">
        <x:v>not_applicable</x:v>
      </x:c>
      <x:c r="X301" s="146"/>
      <x:c r="Y301" s="146" t="n">
        <x:v>2</x:v>
      </x:c>
      <x:c r="Z301" s="146"/>
      <x:c r="AA301" s="146" t="str">
        <x:v>high</x:v>
      </x:c>
      <x:c r="AB301" s="146" t="str">
        <x:v>high</x:v>
      </x:c>
      <x:c r="AC301" s="146"/>
      <x:c r="AD301" s="146"/>
      <x:c r="AE301" s="151" t="str">
        <x:v>PROG.remuneration_considered</x:v>
      </x:c>
      <x:c r="AF301" s="151"/>
      <x:c r="AG301" s="151" t="str">
        <x:v>finding</x:v>
      </x:c>
      <x:c r="AH301" s="151"/>
      <x:c r="AI301" s="154" t="n">
        <x:f>IF(K301,0,1)</x:f>
        <x:v>1</x:v>
      </x:c>
      <x:c r="AJ301" s="154" t="n">
        <x:f>IF(L301="keep",1,0)</x:f>
        <x:v>1</x:v>
      </x:c>
      <x:c r="AK301" s="154" t="n">
        <x:f>IF(M301="keep",1,0)</x:f>
        <x:v>0</x:v>
      </x:c>
      <x:c r="AL301" s="154" t="n">
        <x:f>(AJ301+AK301)/2</x:f>
        <x:v>0.5</x:v>
      </x:c>
      <x:c r="AM301" s="154" t="n">
        <x:f>MIN(AJ301,AK301)</x:f>
        <x:v>0</x:v>
      </x:c>
      <x:c r="AN301" s="154" t="n">
        <x:f>MAX(AJ301,AK301)</x:f>
        <x:v>1</x:v>
      </x:c>
      <x:c r="AO301" s="154" t="n">
        <x:f>IF(L301=M301,1,0)</x:f>
        <x:v>0</x:v>
      </x:c>
    </x:row>
    <x:row r="302">
      <x:c r="A302" s="38" t="str">
        <x:v>SV-0301</x:v>
      </x:c>
      <x:c r="B302" s="38" t="str">
        <x:v>PC-01592</x:v>
      </x:c>
      <x:c r="C302" s="38" t="str">
        <x:v>en|both</x:v>
      </x:c>
      <x:c r="D302" s="87" t="n">
        <x:v>19.069444444444443</x:v>
      </x:c>
      <x:c r="E302" s="38" t="str">
        <x:v>both</x:v>
      </x:c>
      <x:c r="F302" s="38" t="str">
        <x:v>GH_Ghana_2021</x:v>
      </x:c>
      <x:c r="G302" s="38" t="n">
        <x:v>7</x:v>
      </x:c>
      <x:c r="H302" s="38" t="str">
        <x:v>en</x:v>
      </x:c>
      <x:c r="I302" s="38" t="str">
        <x:v>Bank of Ghana (eCedi)</x:v>
      </x:c>
      <x:c r="J302" s="38" t="str">
        <x:v>The eCedi will also support programmable use 
cases to enable innovation and new business 
models while maintaining the trust of the users. 
Notable among the programmable use cases 
are “government-to-person” and “person-to-
government” payments. In addition, it is capable 
of “machine-to-machine” automated payments 
in the Internet of Things.</x:v>
      </x:c>
      <x:c r="K302" s="142" t="b">
        <x:v>0</x:v>
      </x:c>
      <x:c r="L302" s="146" t="str">
        <x:v>keep</x:v>
      </x:c>
      <x:c r="M302" s="146" t="str">
        <x:v>keep</x:v>
      </x:c>
      <x:c r="N302" s="147" t="b">
        <x:v>1</x:v>
      </x:c>
      <x:c r="O302" s="146" t="str">
        <x:v>INTEROP.crossborder</x:v>
      </x:c>
      <x:c r="P302" s="146" t="str">
        <x:v>PROG.generic</x:v>
      </x:c>
      <x:c r="Q302" s="146" t="str">
        <x:v>INTEROP</x:v>
      </x:c>
      <x:c r="R302" s="146" t="str">
        <x:v>PROG</x:v>
      </x:c>
      <x:c r="S302" s="146" t="str">
        <x:v>proposal</x:v>
      </x:c>
      <x:c r="T302" s="146" t="str">
        <x:v>decision</x:v>
      </x:c>
      <x:c r="U302" s="146" t="str">
        <x:v>neutral</x:v>
      </x:c>
      <x:c r="V302" s="146" t="str">
        <x:v>neutral</x:v>
      </x:c>
      <x:c r="W302" s="146" t="str">
        <x:v>not_applicable</x:v>
      </x:c>
      <x:c r="X302" s="146" t="str">
        <x:v>not_applicable</x:v>
      </x:c>
      <x:c r="Y302" s="146" t="n">
        <x:v>2</x:v>
      </x:c>
      <x:c r="Z302" s="146" t="n">
        <x:v>3</x:v>
      </x:c>
      <x:c r="AA302" s="146" t="str">
        <x:v>high</x:v>
      </x:c>
      <x:c r="AB302" s="146" t="str">
        <x:v>high</x:v>
      </x:c>
      <x:c r="AC302" s="146"/>
      <x:c r="AD302" s="146"/>
      <x:c r="AE302" s="151" t="str">
        <x:v>INTEROP.crossborder</x:v>
      </x:c>
      <x:c r="AF302" s="151" t="str">
        <x:v>PROG.generic</x:v>
      </x:c>
      <x:c r="AG302" s="151" t="str">
        <x:v>proposal</x:v>
      </x:c>
      <x:c r="AH302" s="151" t="str">
        <x:v>decision</x:v>
      </x:c>
      <x:c r="AI302" s="154" t="n">
        <x:f>IF(K302,0,1)</x:f>
        <x:v>1</x:v>
      </x:c>
      <x:c r="AJ302" s="154" t="n">
        <x:f>IF(L302="keep",1,0)</x:f>
        <x:v>1</x:v>
      </x:c>
      <x:c r="AK302" s="154" t="n">
        <x:f>IF(M302="keep",1,0)</x:f>
        <x:v>1</x:v>
      </x:c>
      <x:c r="AL302" s="154" t="n">
        <x:f>(AJ302+AK302)/2</x:f>
        <x:v>1</x:v>
      </x:c>
      <x:c r="AM302" s="154" t="n">
        <x:f>MIN(AJ302,AK302)</x:f>
        <x:v>1</x:v>
      </x:c>
      <x:c r="AN302" s="154" t="n">
        <x:f>MAX(AJ302,AK302)</x:f>
        <x:v>1</x:v>
      </x:c>
      <x:c r="AO302" s="154" t="n">
        <x:f>IF(L302=M302,1,0)</x:f>
        <x:v>1</x:v>
      </x:c>
    </x:row>
    <x:row r="303">
      <x:c r="A303" s="38" t="str">
        <x:v>SV-0302</x:v>
      </x:c>
      <x:c r="B303" s="38" t="str">
        <x:v>PC-00692</x:v>
      </x:c>
      <x:c r="C303" s="38" t="str">
        <x:v>en|openai_only</x:v>
      </x:c>
      <x:c r="D303" s="87" t="n">
        <x:v>19.21875</x:v>
      </x:c>
      <x:c r="E303" s="38" t="str">
        <x:v>openai_only</x:v>
      </x:c>
      <x:c r="F303" s="38" t="str">
        <x:v>CA_BoC_RetailFeasibility_SDP2025_9</x:v>
      </x:c>
      <x:c r="G303" s="38" t="n">
        <x:v>4</x:v>
      </x:c>
      <x:c r="H303" s="38" t="str">
        <x:v>en</x:v>
      </x:c>
      <x:c r="I303" s="38" t="str">
        <x:v>Bank of Canada research on retail CBDC feasibility</x:v>
      </x:c>
      <x:c r="J303" s="38" t="str">
        <x:v>This is a micro -partitioned system based on a n 
unspent transaction output (UTXO) funds model.</x:v>
      </x:c>
      <x:c r="K303" s="142" t="b">
        <x:v>0</x:v>
      </x:c>
      <x:c r="L303" s="146" t="str">
        <x:v>keep</x:v>
      </x:c>
      <x:c r="M303" s="146" t="str">
        <x:v>exclude</x:v>
      </x:c>
      <x:c r="N303" s="147" t="b">
        <x:v>0</x:v>
      </x:c>
      <x:c r="O303" s="146" t="str">
        <x:v>SYS.design</x:v>
      </x:c>
      <x:c r="P303" s="146"/>
      <x:c r="Q303" s="146" t="str">
        <x:v>SYS</x:v>
      </x:c>
      <x:c r="R303" s="146" t="str"/>
      <x:c r="S303" s="146" t="str">
        <x:v>proposal</x:v>
      </x:c>
      <x:c r="T303" s="146"/>
      <x:c r="U303" s="146" t="str">
        <x:v>neutral</x:v>
      </x:c>
      <x:c r="V303" s="146"/>
      <x:c r="W303" s="146" t="str">
        <x:v>not_applicable</x:v>
      </x:c>
      <x:c r="X303" s="146"/>
      <x:c r="Y303" s="146" t="n">
        <x:v>2</x:v>
      </x:c>
      <x:c r="Z303" s="146"/>
      <x:c r="AA303" s="146" t="str">
        <x:v>high</x:v>
      </x:c>
      <x:c r="AB303" s="146" t="str">
        <x:v>high</x:v>
      </x:c>
      <x:c r="AC303" s="146"/>
      <x:c r="AD303" s="146"/>
      <x:c r="AE303" s="151" t="str">
        <x:v>SYS.design</x:v>
      </x:c>
      <x:c r="AF303" s="151"/>
      <x:c r="AG303" s="151" t="str">
        <x:v>proposal</x:v>
      </x:c>
      <x:c r="AH303" s="151"/>
      <x:c r="AI303" s="154" t="n">
        <x:f>IF(K303,0,1)</x:f>
        <x:v>1</x:v>
      </x:c>
      <x:c r="AJ303" s="154" t="n">
        <x:f>IF(L303="keep",1,0)</x:f>
        <x:v>1</x:v>
      </x:c>
      <x:c r="AK303" s="154" t="n">
        <x:f>IF(M303="keep",1,0)</x:f>
        <x:v>0</x:v>
      </x:c>
      <x:c r="AL303" s="154" t="n">
        <x:f>(AJ303+AK303)/2</x:f>
        <x:v>0.5</x:v>
      </x:c>
      <x:c r="AM303" s="154" t="n">
        <x:f>MIN(AJ303,AK303)</x:f>
        <x:v>0</x:v>
      </x:c>
      <x:c r="AN303" s="154" t="n">
        <x:f>MAX(AJ303,AK303)</x:f>
        <x:v>1</x:v>
      </x:c>
      <x:c r="AO303" s="154" t="n">
        <x:f>IF(L303=M303,1,0)</x:f>
        <x:v>0</x:v>
      </x:c>
    </x:row>
    <x:row r="304">
      <x:c r="A304" s="38" t="str">
        <x:v>SV-0303</x:v>
      </x:c>
      <x:c r="B304" s="38" t="str">
        <x:v>PC-04755</x:v>
      </x:c>
      <x:c r="C304" s="38" t="str">
        <x:v>en|openai_only</x:v>
      </x:c>
      <x:c r="D304" s="87" t="n">
        <x:v>19.21875</x:v>
      </x:c>
      <x:c r="E304" s="38" t="str">
        <x:v>openai_only</x:v>
      </x:c>
      <x:c r="F304" s="38" t="str">
        <x:v>PW_Palau_Phase1_Report</x:v>
      </x:c>
      <x:c r="G304" s="38" t="n">
        <x:v>18</x:v>
      </x:c>
      <x:c r="H304" s="38" t="str">
        <x:v>en</x:v>
      </x:c>
      <x:c r="I304" s="38" t="str">
        <x:v>Republic of Palau (Palau Stablecoin programme)</x:v>
      </x:c>
      <x:c r="J304" s="38" t="str">
        <x:v>Retail purchase — 39 (50%)</x:v>
      </x:c>
      <x:c r="K304" s="142" t="b">
        <x:v>0</x:v>
      </x:c>
      <x:c r="L304" s="146" t="str">
        <x:v>keep</x:v>
      </x:c>
      <x:c r="M304" s="146" t="str">
        <x:v>exclude</x:v>
      </x:c>
      <x:c r="N304" s="147" t="b">
        <x:v>0</x:v>
      </x:c>
      <x:c r="O304" s="146" t="str">
        <x:v>ADOPT.experience</x:v>
      </x:c>
      <x:c r="P304" s="146"/>
      <x:c r="Q304" s="146" t="str">
        <x:v>ADOPT</x:v>
      </x:c>
      <x:c r="R304" s="146" t="str"/>
      <x:c r="S304" s="146" t="str">
        <x:v>finding</x:v>
      </x:c>
      <x:c r="T304" s="146"/>
      <x:c r="U304" s="146" t="str">
        <x:v>neutral</x:v>
      </x:c>
      <x:c r="V304" s="146"/>
      <x:c r="W304" s="146" t="str">
        <x:v>not_applicable</x:v>
      </x:c>
      <x:c r="X304" s="146"/>
      <x:c r="Y304" s="146" t="n">
        <x:v>2</x:v>
      </x:c>
      <x:c r="Z304" s="146"/>
      <x:c r="AA304" s="146" t="str">
        <x:v>high</x:v>
      </x:c>
      <x:c r="AB304" s="146" t="str">
        <x:v>high</x:v>
      </x:c>
      <x:c r="AC304" s="146"/>
      <x:c r="AD304" s="146"/>
      <x:c r="AE304" s="151" t="str">
        <x:v>ADOPT.experience</x:v>
      </x:c>
      <x:c r="AF304" s="151"/>
      <x:c r="AG304" s="151" t="str">
        <x:v>finding</x:v>
      </x:c>
      <x:c r="AH304" s="151"/>
      <x:c r="AI304" s="154" t="n">
        <x:f>IF(K304,0,1)</x:f>
        <x:v>1</x:v>
      </x:c>
      <x:c r="AJ304" s="154" t="n">
        <x:f>IF(L304="keep",1,0)</x:f>
        <x:v>1</x:v>
      </x:c>
      <x:c r="AK304" s="154" t="n">
        <x:f>IF(M304="keep",1,0)</x:f>
        <x:v>0</x:v>
      </x:c>
      <x:c r="AL304" s="154" t="n">
        <x:f>(AJ304+AK304)/2</x:f>
        <x:v>0.5</x:v>
      </x:c>
      <x:c r="AM304" s="154" t="n">
        <x:f>MIN(AJ304,AK304)</x:f>
        <x:v>0</x:v>
      </x:c>
      <x:c r="AN304" s="154" t="n">
        <x:f>MAX(AJ304,AK304)</x:f>
        <x:v>1</x:v>
      </x:c>
      <x:c r="AO304" s="154" t="n">
        <x:f>IF(L304=M304,1,0)</x:f>
        <x:v>0</x:v>
      </x:c>
    </x:row>
    <x:row r="305">
      <x:c r="A305" s="38" t="str">
        <x:v>SV-0304</x:v>
      </x:c>
      <x:c r="B305" s="38" t="str">
        <x:v>PC-05356</x:v>
      </x:c>
      <x:c r="C305" s="38" t="str">
        <x:v>en|openai_only</x:v>
      </x:c>
      <x:c r="D305" s="87" t="n">
        <x:v>19.21875</x:v>
      </x:c>
      <x:c r="E305" s="38" t="str">
        <x:v>openai_only</x:v>
      </x:c>
      <x:c r="F305" s="38" t="str">
        <x:v>SG_MAS_mas-project-orchid-report</x:v>
      </x:c>
      <x:c r="G305" s="38" t="n">
        <x:v>40</x:v>
      </x:c>
      <x:c r="H305" s="38" t="str">
        <x:v>en</x:v>
      </x:c>
      <x:c r="I305" s="38" t="str">
        <x:v>Monetary Authority of Singapore (Project Orchid / purpose-bound money)</x:v>
      </x:c>
      <x:c r="J305" s="38" t="str">
        <x:v>In the long term, recipients should 
have the freedom to choose their own wallet 
applications to access Government issued  
PBM tokens.</x:v>
      </x:c>
      <x:c r="K305" s="142" t="b">
        <x:v>0</x:v>
      </x:c>
      <x:c r="L305" s="146" t="str">
        <x:v>keep</x:v>
      </x:c>
      <x:c r="M305" s="146" t="str">
        <x:v>exclude</x:v>
      </x:c>
      <x:c r="N305" s="147" t="b">
        <x:v>0</x:v>
      </x:c>
      <x:c r="O305" s="146" t="str">
        <x:v>INTEROP.domestic</x:v>
      </x:c>
      <x:c r="P305" s="146"/>
      <x:c r="Q305" s="146" t="str">
        <x:v>INTEROP</x:v>
      </x:c>
      <x:c r="R305" s="146" t="str"/>
      <x:c r="S305" s="146" t="str">
        <x:v>proposal</x:v>
      </x:c>
      <x:c r="T305" s="146"/>
      <x:c r="U305" s="146" t="str">
        <x:v>neutral</x:v>
      </x:c>
      <x:c r="V305" s="146"/>
      <x:c r="W305" s="146" t="str">
        <x:v>not_applicable</x:v>
      </x:c>
      <x:c r="X305" s="146"/>
      <x:c r="Y305" s="146" t="n">
        <x:v>2</x:v>
      </x:c>
      <x:c r="Z305" s="146"/>
      <x:c r="AA305" s="146" t="str">
        <x:v>high</x:v>
      </x:c>
      <x:c r="AB305" s="146" t="str">
        <x:v>high</x:v>
      </x:c>
      <x:c r="AC305" s="146"/>
      <x:c r="AD305" s="146"/>
      <x:c r="AE305" s="151" t="str">
        <x:v>INTEROP.domestic</x:v>
      </x:c>
      <x:c r="AF305" s="151"/>
      <x:c r="AG305" s="151" t="str">
        <x:v>proposal</x:v>
      </x:c>
      <x:c r="AH305" s="151"/>
      <x:c r="AI305" s="154" t="n">
        <x:f>IF(K305,0,1)</x:f>
        <x:v>1</x:v>
      </x:c>
      <x:c r="AJ305" s="154" t="n">
        <x:f>IF(L305="keep",1,0)</x:f>
        <x:v>1</x:v>
      </x:c>
      <x:c r="AK305" s="154" t="n">
        <x:f>IF(M305="keep",1,0)</x:f>
        <x:v>0</x:v>
      </x:c>
      <x:c r="AL305" s="154" t="n">
        <x:f>(AJ305+AK305)/2</x:f>
        <x:v>0.5</x:v>
      </x:c>
      <x:c r="AM305" s="154" t="n">
        <x:f>MIN(AJ305,AK305)</x:f>
        <x:v>0</x:v>
      </x:c>
      <x:c r="AN305" s="154" t="n">
        <x:f>MAX(AJ305,AK305)</x:f>
        <x:v>1</x:v>
      </x:c>
      <x:c r="AO305" s="154" t="n">
        <x:f>IF(L305=M305,1,0)</x:f>
        <x:v>0</x:v>
      </x:c>
    </x:row>
    <x:row r="306">
      <x:c r="A306" s="38" t="str">
        <x:v>SV-0305</x:v>
      </x:c>
      <x:c r="B306" s="38" t="str">
        <x:v>PC-04319</x:v>
      </x:c>
      <x:c r="C306" s="38" t="str">
        <x:v>en|both</x:v>
      </x:c>
      <x:c r="D306" s="87" t="n">
        <x:v>19.069444444444443</x:v>
      </x:c>
      <x:c r="E306" s="38" t="str">
        <x:v>both</x:v>
      </x:c>
      <x:c r="F306" s="38" t="str">
        <x:v>NO_Norway_norges-bank-memo-1-2021</x:v>
      </x:c>
      <x:c r="G306" s="38" t="n">
        <x:v>17</x:v>
      </x:c>
      <x:c r="H306" s="38" t="str">
        <x:v>en</x:v>
      </x:c>
      <x:c r="I306" s="38" t="str">
        <x:v>Norges Bank (Norwegian CBDC work)</x:v>
      </x:c>
      <x:c r="J306" s="38" t="str">
        <x:v>Men det bør ikke etableres et rangforhold mellom DSP og kontanter, slik at 
innehavere at DSP kan kreve dem vekslet til kontanter, mens innehavere av 
kontanter ikke kan kreve dem vekslet til DSP, eller motsatt.</x:v>
      </x:c>
      <x:c r="K306" s="142" t="b">
        <x:v>0</x:v>
      </x:c>
      <x:c r="L306" s="146" t="str">
        <x:v>keep</x:v>
      </x:c>
      <x:c r="M306" s="146" t="str">
        <x:v>keep</x:v>
      </x:c>
      <x:c r="N306" s="147" t="b">
        <x:v>1</x:v>
      </x:c>
      <x:c r="O306" s="146" t="str">
        <x:v>ACCESS.universal</x:v>
      </x:c>
      <x:c r="P306" s="146" t="str">
        <x:v>CASH.relation</x:v>
      </x:c>
      <x:c r="Q306" s="146" t="str">
        <x:v>ACCESS</x:v>
      </x:c>
      <x:c r="R306" s="146" t="str">
        <x:v>CASH</x:v>
      </x:c>
      <x:c r="S306" s="146" t="str">
        <x:v>proposal</x:v>
      </x:c>
      <x:c r="T306" s="146" t="str">
        <x:v>proposal</x:v>
      </x:c>
      <x:c r="U306" s="146" t="str">
        <x:v>neutral</x:v>
      </x:c>
      <x:c r="V306" s="146" t="str">
        <x:v>neutral</x:v>
      </x:c>
      <x:c r="W306" s="146" t="str">
        <x:v>not_applicable</x:v>
      </x:c>
      <x:c r="X306" s="146" t="str">
        <x:v>not_applicable</x:v>
      </x:c>
      <x:c r="Y306" s="146" t="n">
        <x:v>3</x:v>
      </x:c>
      <x:c r="Z306" s="146" t="n">
        <x:v>2</x:v>
      </x:c>
      <x:c r="AA306" s="146" t="str">
        <x:v>high</x:v>
      </x:c>
      <x:c r="AB306" s="146" t="str">
        <x:v>high</x:v>
      </x:c>
      <x:c r="AC306" s="146"/>
      <x:c r="AD306" s="146"/>
      <x:c r="AE306" s="151" t="str">
        <x:v>ACCESS.universal</x:v>
      </x:c>
      <x:c r="AF306" s="151" t="str">
        <x:v>CASH.relation</x:v>
      </x:c>
      <x:c r="AG306" s="151" t="str">
        <x:v>proposal</x:v>
      </x:c>
      <x:c r="AH306" s="151" t="str">
        <x:v>proposal</x:v>
      </x:c>
      <x:c r="AI306" s="154" t="n">
        <x:f>IF(K306,0,1)</x:f>
        <x:v>1</x:v>
      </x:c>
      <x:c r="AJ306" s="154" t="n">
        <x:f>IF(L306="keep",1,0)</x:f>
        <x:v>1</x:v>
      </x:c>
      <x:c r="AK306" s="154" t="n">
        <x:f>IF(M306="keep",1,0)</x:f>
        <x:v>1</x:v>
      </x:c>
      <x:c r="AL306" s="154" t="n">
        <x:f>(AJ306+AK306)/2</x:f>
        <x:v>1</x:v>
      </x:c>
      <x:c r="AM306" s="154" t="n">
        <x:f>MIN(AJ306,AK306)</x:f>
        <x:v>1</x:v>
      </x:c>
      <x:c r="AN306" s="154" t="n">
        <x:f>MAX(AJ306,AK306)</x:f>
        <x:v>1</x:v>
      </x:c>
      <x:c r="AO306" s="154" t="n">
        <x:f>IF(L306=M306,1,0)</x:f>
        <x:v>1</x:v>
      </x:c>
    </x:row>
    <x:row r="307">
      <x:c r="A307" s="38" t="str">
        <x:v>SV-0306</x:v>
      </x:c>
      <x:c r="B307" s="38" t="str">
        <x:v>PC-02614</x:v>
      </x:c>
      <x:c r="C307" s="38" t="str">
        <x:v>en|openai_only</x:v>
      </x:c>
      <x:c r="D307" s="87" t="n">
        <x:v>19.21875</x:v>
      </x:c>
      <x:c r="E307" s="38" t="str">
        <x:v>openai_only</x:v>
      </x:c>
      <x:c r="F307" s="38" t="str">
        <x:v>ID_Indonesia_2024</x:v>
      </x:c>
      <x:c r="G307" s="38" t="n">
        <x:v>38</x:v>
      </x:c>
      <x:c r="H307" s="38" t="str">
        <x:v>en</x:v>
      </x:c>
      <x:c r="I307" s="38" t="str">
        <x:v>Bank Indonesia (Digital Rupiah)</x:v>
      </x:c>
      <x:c r="J307" s="38" t="str">
        <x:v>The wRD 
platform demonstrated that message formats and 
communication protocols could be configured to 
meet user requirements.</x:v>
      </x:c>
      <x:c r="K307" s="142" t="b">
        <x:v>0</x:v>
      </x:c>
      <x:c r="L307" s="146" t="str">
        <x:v>keep</x:v>
      </x:c>
      <x:c r="M307" s="146" t="str">
        <x:v>exclude</x:v>
      </x:c>
      <x:c r="N307" s="147" t="b">
        <x:v>0</x:v>
      </x:c>
      <x:c r="O307" s="146" t="str">
        <x:v>INTEROP.domestic</x:v>
      </x:c>
      <x:c r="P307" s="146"/>
      <x:c r="Q307" s="146" t="str">
        <x:v>INTEROP</x:v>
      </x:c>
      <x:c r="R307" s="146" t="str"/>
      <x:c r="S307" s="146" t="str">
        <x:v>finding</x:v>
      </x:c>
      <x:c r="T307" s="146"/>
      <x:c r="U307" s="146" t="str">
        <x:v>neutral</x:v>
      </x:c>
      <x:c r="V307" s="146"/>
      <x:c r="W307" s="146" t="str">
        <x:v>not_applicable</x:v>
      </x:c>
      <x:c r="X307" s="146"/>
      <x:c r="Y307" s="146" t="n">
        <x:v>2</x:v>
      </x:c>
      <x:c r="Z307" s="146"/>
      <x:c r="AA307" s="146" t="str">
        <x:v>high</x:v>
      </x:c>
      <x:c r="AB307" s="146" t="str">
        <x:v>high</x:v>
      </x:c>
      <x:c r="AC307" s="146"/>
      <x:c r="AD307" s="146"/>
      <x:c r="AE307" s="151" t="str">
        <x:v>INTEROP.domestic</x:v>
      </x:c>
      <x:c r="AF307" s="151"/>
      <x:c r="AG307" s="151" t="str">
        <x:v>finding</x:v>
      </x:c>
      <x:c r="AH307" s="151"/>
      <x:c r="AI307" s="154" t="n">
        <x:f>IF(K307,0,1)</x:f>
        <x:v>1</x:v>
      </x:c>
      <x:c r="AJ307" s="154" t="n">
        <x:f>IF(L307="keep",1,0)</x:f>
        <x:v>1</x:v>
      </x:c>
      <x:c r="AK307" s="154" t="n">
        <x:f>IF(M307="keep",1,0)</x:f>
        <x:v>0</x:v>
      </x:c>
      <x:c r="AL307" s="154" t="n">
        <x:f>(AJ307+AK307)/2</x:f>
        <x:v>0.5</x:v>
      </x:c>
      <x:c r="AM307" s="154" t="n">
        <x:f>MIN(AJ307,AK307)</x:f>
        <x:v>0</x:v>
      </x:c>
      <x:c r="AN307" s="154" t="n">
        <x:f>MAX(AJ307,AK307)</x:f>
        <x:v>1</x:v>
      </x:c>
      <x:c r="AO307" s="154" t="n">
        <x:f>IF(L307=M307,1,0)</x:f>
        <x:v>0</x:v>
      </x:c>
    </x:row>
    <x:row r="308">
      <x:c r="A308" s="38" t="str">
        <x:v>SV-0307</x:v>
      </x:c>
      <x:c r="B308" s="38" t="str">
        <x:v>PC-04981</x:v>
      </x:c>
      <x:c r="C308" s="38" t="str">
        <x:v>en|both</x:v>
      </x:c>
      <x:c r="D308" s="87" t="n">
        <x:v>19.069444444444443</x:v>
      </x:c>
      <x:c r="E308" s="38" t="str">
        <x:v>both</x:v>
      </x:c>
      <x:c r="F308" s="38" t="str">
        <x:v>RU_Russia_consultation_paper_201013</x:v>
      </x:c>
      <x:c r="G308" s="38" t="n">
        <x:v>20</x:v>
      </x:c>
      <x:c r="H308" s="38" t="str">
        <x:v>en</x:v>
      </x:c>
      <x:c r="I308" s="38" t="str">
        <x:v>Bank of Russia (digital ruble)</x:v>
      </x:c>
      <x:c r="J308" s="38" t="str">
        <x:v>With the introduction of a digital ruble, households will distribute their money based on their 
needs between cash, accounts with commercial banks, and electronic wallets in digital rubles in the 
same way as they currently distribute it between cash and bank accounts.</x:v>
      </x:c>
      <x:c r="K308" s="142" t="b">
        <x:v>0</x:v>
      </x:c>
      <x:c r="L308" s="146" t="str">
        <x:v>keep</x:v>
      </x:c>
      <x:c r="M308" s="146" t="str">
        <x:v>keep</x:v>
      </x:c>
      <x:c r="N308" s="147" t="b">
        <x:v>1</x:v>
      </x:c>
      <x:c r="O308" s="146" t="str">
        <x:v>CASH.relation</x:v>
      </x:c>
      <x:c r="P308" s="146" t="str">
        <x:v>STAB.disintermediation</x:v>
      </x:c>
      <x:c r="Q308" s="146" t="str">
        <x:v>CASH</x:v>
      </x:c>
      <x:c r="R308" s="146" t="str">
        <x:v>STAB</x:v>
      </x:c>
      <x:c r="S308" s="146" t="str">
        <x:v>proposal</x:v>
      </x:c>
      <x:c r="T308" s="146" t="str">
        <x:v>finding</x:v>
      </x:c>
      <x:c r="U308" s="146" t="str">
        <x:v>neutral</x:v>
      </x:c>
      <x:c r="V308" s="146" t="str">
        <x:v>neutral</x:v>
      </x:c>
      <x:c r="W308" s="146" t="str">
        <x:v>not_applicable</x:v>
      </x:c>
      <x:c r="X308" s="146" t="str">
        <x:v>not_applicable</x:v>
      </x:c>
      <x:c r="Y308" s="146" t="n">
        <x:v>2</x:v>
      </x:c>
      <x:c r="Z308" s="146" t="n">
        <x:v>2</x:v>
      </x:c>
      <x:c r="AA308" s="146" t="str">
        <x:v>high</x:v>
      </x:c>
      <x:c r="AB308" s="146" t="str">
        <x:v>high</x:v>
      </x:c>
      <x:c r="AC308" s="146"/>
      <x:c r="AD308" s="146"/>
      <x:c r="AE308" s="151" t="str">
        <x:v>CASH.relation</x:v>
      </x:c>
      <x:c r="AF308" s="151" t="str">
        <x:v>STAB.disintermediation</x:v>
      </x:c>
      <x:c r="AG308" s="151" t="str">
        <x:v>proposal</x:v>
      </x:c>
      <x:c r="AH308" s="151" t="str">
        <x:v>finding</x:v>
      </x:c>
      <x:c r="AI308" s="154" t="n">
        <x:f>IF(K308,0,1)</x:f>
        <x:v>1</x:v>
      </x:c>
      <x:c r="AJ308" s="154" t="n">
        <x:f>IF(L308="keep",1,0)</x:f>
        <x:v>1</x:v>
      </x:c>
      <x:c r="AK308" s="154" t="n">
        <x:f>IF(M308="keep",1,0)</x:f>
        <x:v>1</x:v>
      </x:c>
      <x:c r="AL308" s="154" t="n">
        <x:f>(AJ308+AK308)/2</x:f>
        <x:v>1</x:v>
      </x:c>
      <x:c r="AM308" s="154" t="n">
        <x:f>MIN(AJ308,AK308)</x:f>
        <x:v>1</x:v>
      </x:c>
      <x:c r="AN308" s="154" t="n">
        <x:f>MAX(AJ308,AK308)</x:f>
        <x:v>1</x:v>
      </x:c>
      <x:c r="AO308" s="154" t="n">
        <x:f>IF(L308=M308,1,0)</x:f>
        <x:v>1</x:v>
      </x:c>
    </x:row>
    <x:row r="309">
      <x:c r="A309" s="38" t="str">
        <x:v>SV-0308</x:v>
      </x:c>
      <x:c r="B309" s="38" t="str">
        <x:v>PC-02691</x:v>
      </x:c>
      <x:c r="C309" s="38" t="str">
        <x:v>en|both</x:v>
      </x:c>
      <x:c r="D309" s="87" t="n">
        <x:v>19.069444444444443</x:v>
      </x:c>
      <x:c r="E309" s="38" t="str">
        <x:v>both</x:v>
      </x:c>
      <x:c r="F309" s="38" t="str">
        <x:v>IL_BoI_2024</x:v>
      </x:c>
      <x:c r="G309" s="38" t="n">
        <x:v>11</x:v>
      </x:c>
      <x:c r="H309" s="38" t="str">
        <x:v>en</x:v>
      </x:c>
      <x:c r="I309" s="38" t="str">
        <x:v>Bank of Israel (digital shekel)</x:v>
      </x:c>
      <x:c r="J309" s="38" t="str">
        <x:v>Participants will not be able to use the information accumulated about users and their 
activities in the digital shekel system for commercial purposes unless users give clear and 
informed consent.</x:v>
      </x:c>
      <x:c r="K309" s="142" t="b">
        <x:v>0</x:v>
      </x:c>
      <x:c r="L309" s="146" t="str">
        <x:v>keep</x:v>
      </x:c>
      <x:c r="M309" s="146" t="str">
        <x:v>keep</x:v>
      </x:c>
      <x:c r="N309" s="147" t="b">
        <x:v>1</x:v>
      </x:c>
      <x:c r="O309" s="146" t="str">
        <x:v>PRIV.MIN</x:v>
      </x:c>
      <x:c r="P309" s="146" t="str">
        <x:v>PRIV.MIN</x:v>
      </x:c>
      <x:c r="Q309" s="146" t="str">
        <x:v>PRIV</x:v>
      </x:c>
      <x:c r="R309" s="146" t="str">
        <x:v>PRIV</x:v>
      </x:c>
      <x:c r="S309" s="146" t="str">
        <x:v>decision</x:v>
      </x:c>
      <x:c r="T309" s="146" t="str">
        <x:v>decision</x:v>
      </x:c>
      <x:c r="U309" s="146" t="str">
        <x:v>increases</x:v>
      </x:c>
      <x:c r="V309" s="146" t="str">
        <x:v>increases</x:v>
      </x:c>
      <x:c r="W309" s="146" t="str">
        <x:v>from_intermediary</x:v>
      </x:c>
      <x:c r="X309" s="146" t="str">
        <x:v>from_intermediary</x:v>
      </x:c>
      <x:c r="Y309" s="146" t="n">
        <x:v>3</x:v>
      </x:c>
      <x:c r="Z309" s="146" t="n">
        <x:v>2</x:v>
      </x:c>
      <x:c r="AA309" s="146" t="str">
        <x:v>high</x:v>
      </x:c>
      <x:c r="AB309" s="146" t="str">
        <x:v>high</x:v>
      </x:c>
      <x:c r="AC309" s="146"/>
      <x:c r="AD309" s="146"/>
      <x:c r="AE309" s="151" t="str">
        <x:v>PRIV.MIN</x:v>
      </x:c>
      <x:c r="AF309" s="151" t="str">
        <x:v>PRIV.MIN</x:v>
      </x:c>
      <x:c r="AG309" s="151" t="str">
        <x:v>decision</x:v>
      </x:c>
      <x:c r="AH309" s="151" t="str">
        <x:v>decision</x:v>
      </x:c>
      <x:c r="AI309" s="154" t="n">
        <x:f>IF(K309,0,1)</x:f>
        <x:v>1</x:v>
      </x:c>
      <x:c r="AJ309" s="154" t="n">
        <x:f>IF(L309="keep",1,0)</x:f>
        <x:v>1</x:v>
      </x:c>
      <x:c r="AK309" s="154" t="n">
        <x:f>IF(M309="keep",1,0)</x:f>
        <x:v>1</x:v>
      </x:c>
      <x:c r="AL309" s="154" t="n">
        <x:f>(AJ309+AK309)/2</x:f>
        <x:v>1</x:v>
      </x:c>
      <x:c r="AM309" s="154" t="n">
        <x:f>MIN(AJ309,AK309)</x:f>
        <x:v>1</x:v>
      </x:c>
      <x:c r="AN309" s="154" t="n">
        <x:f>MAX(AJ309,AK309)</x:f>
        <x:v>1</x:v>
      </x:c>
      <x:c r="AO309" s="154" t="n">
        <x:f>IF(L309=M309,1,0)</x:f>
        <x:v>1</x:v>
      </x:c>
    </x:row>
    <x:row r="310">
      <x:c r="A310" s="38" t="str">
        <x:v>SV-0309</x:v>
      </x:c>
      <x:c r="B310" s="38" t="str">
        <x:v>PC-04927</x:v>
      </x:c>
      <x:c r="C310" s="38" t="str">
        <x:v>en|claude_only</x:v>
      </x:c>
      <x:c r="D310" s="87" t="n">
        <x:v>19.375</x:v>
      </x:c>
      <x:c r="E310" s="38" t="str">
        <x:v>claude_only</x:v>
      </x:c>
      <x:c r="F310" s="38" t="str">
        <x:v>RU_Russia_consultation_paper_201013</x:v>
      </x:c>
      <x:c r="G310" s="38" t="n">
        <x:v>9</x:v>
      </x:c>
      <x:c r="H310" s="38" t="str">
        <x:v>en</x:v>
      </x:c>
      <x:c r="I310" s="38" t="str">
        <x:v>Bank of Russia (digital ruble)</x:v>
      </x:c>
      <x:c r="J310" s="38" t="str">
        <x:v>For cross-border payments, the digital ruble platform can be integrated with CBDC platforms 
of other countries and international organisations, which will speed up and reduce the cost of 
payments for consumers.</x:v>
      </x:c>
      <x:c r="K310" s="142" t="b">
        <x:v>0</x:v>
      </x:c>
      <x:c r="L310" s="146" t="str">
        <x:v>exclude</x:v>
      </x:c>
      <x:c r="M310" s="146" t="str">
        <x:v>keep</x:v>
      </x:c>
      <x:c r="N310" s="147" t="b">
        <x:v>0</x:v>
      </x:c>
      <x:c r="O310" s="146"/>
      <x:c r="P310" s="146" t="str">
        <x:v>INTEROP.crossborder</x:v>
      </x:c>
      <x:c r="Q310" s="146" t="str"/>
      <x:c r="R310" s="146" t="str">
        <x:v>INTEROP</x:v>
      </x:c>
      <x:c r="S310" s="146"/>
      <x:c r="T310" s="146" t="str">
        <x:v>proposal</x:v>
      </x:c>
      <x:c r="U310" s="146"/>
      <x:c r="V310" s="146" t="str">
        <x:v>neutral</x:v>
      </x:c>
      <x:c r="W310" s="146"/>
      <x:c r="X310" s="146" t="str">
        <x:v>not_applicable</x:v>
      </x:c>
      <x:c r="Y310" s="146"/>
      <x:c r="Z310" s="146" t="n">
        <x:v>2</x:v>
      </x:c>
      <x:c r="AA310" s="146" t="str">
        <x:v>high</x:v>
      </x:c>
      <x:c r="AB310" s="146" t="str">
        <x:v>high</x:v>
      </x:c>
      <x:c r="AC310" s="146"/>
      <x:c r="AD310" s="146"/>
      <x:c r="AE310" s="151"/>
      <x:c r="AF310" s="151" t="str">
        <x:v>INTEROP.crossborder</x:v>
      </x:c>
      <x:c r="AG310" s="151"/>
      <x:c r="AH310" s="151" t="str">
        <x:v>proposal</x:v>
      </x:c>
      <x:c r="AI310" s="154" t="n">
        <x:f>IF(K310,0,1)</x:f>
        <x:v>1</x:v>
      </x:c>
      <x:c r="AJ310" s="154" t="n">
        <x:f>IF(L310="keep",1,0)</x:f>
        <x:v>0</x:v>
      </x:c>
      <x:c r="AK310" s="154" t="n">
        <x:f>IF(M310="keep",1,0)</x:f>
        <x:v>1</x:v>
      </x:c>
      <x:c r="AL310" s="154" t="n">
        <x:f>(AJ310+AK310)/2</x:f>
        <x:v>0.5</x:v>
      </x:c>
      <x:c r="AM310" s="154" t="n">
        <x:f>MIN(AJ310,AK310)</x:f>
        <x:v>0</x:v>
      </x:c>
      <x:c r="AN310" s="154" t="n">
        <x:f>MAX(AJ310,AK310)</x:f>
        <x:v>1</x:v>
      </x:c>
      <x:c r="AO310" s="154" t="n">
        <x:f>IF(L310=M310,1,0)</x:f>
        <x:v>0</x:v>
      </x:c>
    </x:row>
    <x:row r="311">
      <x:c r="A311" s="38" t="str">
        <x:v>SV-0310</x:v>
      </x:c>
      <x:c r="B311" s="38" t="str">
        <x:v>PC-05268</x:v>
      </x:c>
      <x:c r="C311" s="38" t="str">
        <x:v>en|both</x:v>
      </x:c>
      <x:c r="D311" s="87" t="n">
        <x:v>19.069444444444443</x:v>
      </x:c>
      <x:c r="E311" s="38" t="str">
        <x:v>both</x:v>
      </x:c>
      <x:c r="F311" s="38" t="str">
        <x:v>SG_MAS_mas-project-orchid-report</x:v>
      </x:c>
      <x:c r="G311" s="38" t="n">
        <x:v>9</x:v>
      </x:c>
      <x:c r="H311" s="38" t="str">
        <x:v>en</x:v>
      </x:c>
      <x:c r="I311" s="38" t="str">
        <x:v>Monetary Authority of Singapore (Project Orchid / purpose-bound money)</x:v>
      </x:c>
      <x:c r="J311" s="38" t="str">
        <x:v>PBMs are 
bearer instruments, with self-contained 
programming logic and transferrable 
between two parties without intermediaries.</x:v>
      </x:c>
      <x:c r="K311" s="142" t="b">
        <x:v>0</x:v>
      </x:c>
      <x:c r="L311" s="146" t="str">
        <x:v>keep</x:v>
      </x:c>
      <x:c r="M311" s="146" t="str">
        <x:v>keep</x:v>
      </x:c>
      <x:c r="N311" s="147" t="b">
        <x:v>1</x:v>
      </x:c>
      <x:c r="O311" s="146" t="str">
        <x:v>PROG.generic</x:v>
      </x:c>
      <x:c r="P311" s="146" t="str">
        <x:v>SYS.design</x:v>
      </x:c>
      <x:c r="Q311" s="146" t="str">
        <x:v>PROG</x:v>
      </x:c>
      <x:c r="R311" s="146" t="str">
        <x:v>SYS</x:v>
      </x:c>
      <x:c r="S311" s="146" t="str">
        <x:v>proposal</x:v>
      </x:c>
      <x:c r="T311" s="146" t="str">
        <x:v>finding</x:v>
      </x:c>
      <x:c r="U311" s="146" t="str">
        <x:v>neutral</x:v>
      </x:c>
      <x:c r="V311" s="146" t="str">
        <x:v>neutral</x:v>
      </x:c>
      <x:c r="W311" s="146" t="str">
        <x:v>not_applicable</x:v>
      </x:c>
      <x:c r="X311" s="146" t="str">
        <x:v>not_applicable</x:v>
      </x:c>
      <x:c r="Y311" s="146" t="n">
        <x:v>3</x:v>
      </x:c>
      <x:c r="Z311" s="146" t="n">
        <x:v>2</x:v>
      </x:c>
      <x:c r="AA311" s="146" t="str">
        <x:v>high</x:v>
      </x:c>
      <x:c r="AB311" s="146" t="str">
        <x:v>high</x:v>
      </x:c>
      <x:c r="AC311" s="146"/>
      <x:c r="AD311" s="146" t="str">
        <x:v>x</x:v>
      </x:c>
      <x:c r="AE311" s="151" t="str">
        <x:v>PROG.restriction</x:v>
      </x:c>
      <x:c r="AF311" s="151" t="str">
        <x:v>TECH.TOKEN.considered</x:v>
      </x:c>
      <x:c r="AG311" s="151" t="str">
        <x:v>proposal</x:v>
      </x:c>
      <x:c r="AH311" s="151" t="str">
        <x:v>finding</x:v>
      </x:c>
      <x:c r="AI311" s="154" t="n">
        <x:f>IF(K311,0,1)</x:f>
        <x:v>1</x:v>
      </x:c>
      <x:c r="AJ311" s="154" t="n">
        <x:f>IF(L311="keep",1,0)</x:f>
        <x:v>1</x:v>
      </x:c>
      <x:c r="AK311" s="154" t="n">
        <x:f>IF(M311="keep",1,0)</x:f>
        <x:v>1</x:v>
      </x:c>
      <x:c r="AL311" s="154" t="n">
        <x:f>(AJ311+AK311)/2</x:f>
        <x:v>1</x:v>
      </x:c>
      <x:c r="AM311" s="154" t="n">
        <x:f>MIN(AJ311,AK311)</x:f>
        <x:v>1</x:v>
      </x:c>
      <x:c r="AN311" s="154" t="n">
        <x:f>MAX(AJ311,AK311)</x:f>
        <x:v>1</x:v>
      </x:c>
      <x:c r="AO311" s="154" t="n">
        <x:f>IF(L311=M311,1,0)</x:f>
        <x:v>1</x:v>
      </x:c>
    </x:row>
    <x:row r="312">
      <x:c r="A312" s="38" t="str">
        <x:v>SV-0311</x:v>
      </x:c>
      <x:c r="B312" s="38" t="str">
        <x:v>PC-02865</x:v>
      </x:c>
      <x:c r="C312" s="38" t="str">
        <x:v>en|both</x:v>
      </x:c>
      <x:c r="D312" s="87" t="n">
        <x:v>19.069444444444443</x:v>
      </x:c>
      <x:c r="E312" s="38" t="str">
        <x:v>both</x:v>
      </x:c>
      <x:c r="F312" s="38" t="str">
        <x:v>IL_BoI_2024</x:v>
      </x:c>
      <x:c r="G312" s="38" t="n">
        <x:v>60</x:v>
      </x:c>
      <x:c r="H312" s="38" t="str">
        <x:v>en</x:v>
      </x:c>
      <x:c r="I312" s="38" t="str">
        <x:v>Bank of Israel (digital shekel)</x:v>
      </x:c>
      <x:c r="J312" s="38" t="str">
        <x:v>Any PSP serving the private 
user sector will be required to provide this access technology to its users.</x:v>
      </x:c>
      <x:c r="K312" s="142" t="b">
        <x:v>0</x:v>
      </x:c>
      <x:c r="L312" s="146" t="str">
        <x:v>keep</x:v>
      </x:c>
      <x:c r="M312" s="146" t="str">
        <x:v>keep</x:v>
      </x:c>
      <x:c r="N312" s="147" t="b">
        <x:v>1</x:v>
      </x:c>
      <x:c r="O312" s="146" t="str">
        <x:v>ACCESS.universal</x:v>
      </x:c>
      <x:c r="P312" s="146" t="str">
        <x:v>ACCESS.universal</x:v>
      </x:c>
      <x:c r="Q312" s="146" t="str">
        <x:v>ACCESS</x:v>
      </x:c>
      <x:c r="R312" s="146" t="str">
        <x:v>ACCESS</x:v>
      </x:c>
      <x:c r="S312" s="146" t="str">
        <x:v>proposal</x:v>
      </x:c>
      <x:c r="T312" s="146" t="str">
        <x:v>decision</x:v>
      </x:c>
      <x:c r="U312" s="146" t="str">
        <x:v>neutral</x:v>
      </x:c>
      <x:c r="V312" s="146" t="str">
        <x:v>neutral</x:v>
      </x:c>
      <x:c r="W312" s="146" t="str">
        <x:v>not_applicable</x:v>
      </x:c>
      <x:c r="X312" s="146" t="str">
        <x:v>not_applicable</x:v>
      </x:c>
      <x:c r="Y312" s="146" t="n">
        <x:v>3</x:v>
      </x:c>
      <x:c r="Z312" s="146" t="n">
        <x:v>2</x:v>
      </x:c>
      <x:c r="AA312" s="146" t="str">
        <x:v>high</x:v>
      </x:c>
      <x:c r="AB312" s="146" t="str">
        <x:v>high</x:v>
      </x:c>
      <x:c r="AC312" s="146"/>
      <x:c r="AD312" s="146"/>
      <x:c r="AE312" s="151" t="str">
        <x:v>ACCESS.universal</x:v>
      </x:c>
      <x:c r="AF312" s="151" t="str">
        <x:v>ACCESS.universal</x:v>
      </x:c>
      <x:c r="AG312" s="151" t="str">
        <x:v>proposal</x:v>
      </x:c>
      <x:c r="AH312" s="151" t="str">
        <x:v>decision</x:v>
      </x:c>
      <x:c r="AI312" s="154" t="n">
        <x:f>IF(K312,0,1)</x:f>
        <x:v>1</x:v>
      </x:c>
      <x:c r="AJ312" s="154" t="n">
        <x:f>IF(L312="keep",1,0)</x:f>
        <x:v>1</x:v>
      </x:c>
      <x:c r="AK312" s="154" t="n">
        <x:f>IF(M312="keep",1,0)</x:f>
        <x:v>1</x:v>
      </x:c>
      <x:c r="AL312" s="154" t="n">
        <x:f>(AJ312+AK312)/2</x:f>
        <x:v>1</x:v>
      </x:c>
      <x:c r="AM312" s="154" t="n">
        <x:f>MIN(AJ312,AK312)</x:f>
        <x:v>1</x:v>
      </x:c>
      <x:c r="AN312" s="154" t="n">
        <x:f>MAX(AJ312,AK312)</x:f>
        <x:v>1</x:v>
      </x:c>
      <x:c r="AO312" s="154" t="n">
        <x:f>IF(L312=M312,1,0)</x:f>
        <x:v>1</x:v>
      </x:c>
    </x:row>
    <x:row r="313">
      <x:c r="A313" s="38" t="str">
        <x:v>SV-0312</x:v>
      </x:c>
      <x:c r="B313" s="38" t="str">
        <x:v>PC-06194</x:v>
      </x:c>
      <x:c r="C313" s="38" t="str">
        <x:v>en|openai_only</x:v>
      </x:c>
      <x:c r="D313" s="87" t="n">
        <x:v>19.21875</x:v>
      </x:c>
      <x:c r="E313" s="38" t="str">
        <x:v>openai_only</x:v>
      </x:c>
      <x:c r="F313" s="38" t="str">
        <x:v>UK_BoE_2023_TechWP</x:v>
      </x:c>
      <x:c r="G313" s="38" t="n">
        <x:v>17</x:v>
      </x:c>
      <x:c r="H313" s="38" t="str">
        <x:v>en</x:v>
      </x:c>
      <x:c r="I313" s="38" t="str">
        <x:v>Bank of England and HM Treasury (digital pound)</x:v>
      </x:c>
      <x:c r="J313" s="38" t="str">
        <x:v>Users 
could access CBDC through wallets on smart devices.</x:v>
      </x:c>
      <x:c r="K313" s="142" t="b">
        <x:v>0</x:v>
      </x:c>
      <x:c r="L313" s="146" t="str">
        <x:v>keep</x:v>
      </x:c>
      <x:c r="M313" s="146" t="str">
        <x:v>exclude</x:v>
      </x:c>
      <x:c r="N313" s="147" t="b">
        <x:v>0</x:v>
      </x:c>
      <x:c r="O313" s="146" t="str">
        <x:v>SYS.design</x:v>
      </x:c>
      <x:c r="P313" s="146"/>
      <x:c r="Q313" s="146" t="str">
        <x:v>SYS</x:v>
      </x:c>
      <x:c r="R313" s="146" t="str"/>
      <x:c r="S313" s="146" t="str">
        <x:v>proposal</x:v>
      </x:c>
      <x:c r="T313" s="146"/>
      <x:c r="U313" s="146" t="str">
        <x:v>neutral</x:v>
      </x:c>
      <x:c r="V313" s="146"/>
      <x:c r="W313" s="146" t="str">
        <x:v>not_applicable</x:v>
      </x:c>
      <x:c r="X313" s="146"/>
      <x:c r="Y313" s="146" t="n">
        <x:v>2</x:v>
      </x:c>
      <x:c r="Z313" s="146"/>
      <x:c r="AA313" s="146" t="str">
        <x:v>high</x:v>
      </x:c>
      <x:c r="AB313" s="146" t="str">
        <x:v>high</x:v>
      </x:c>
      <x:c r="AC313" s="146"/>
      <x:c r="AD313" s="146"/>
      <x:c r="AE313" s="151" t="str">
        <x:v>SYS.design</x:v>
      </x:c>
      <x:c r="AF313" s="151"/>
      <x:c r="AG313" s="151" t="str">
        <x:v>proposal</x:v>
      </x:c>
      <x:c r="AH313" s="151"/>
      <x:c r="AI313" s="154" t="n">
        <x:f>IF(K313,0,1)</x:f>
        <x:v>1</x:v>
      </x:c>
      <x:c r="AJ313" s="154" t="n">
        <x:f>IF(L313="keep",1,0)</x:f>
        <x:v>1</x:v>
      </x:c>
      <x:c r="AK313" s="154" t="n">
        <x:f>IF(M313="keep",1,0)</x:f>
        <x:v>0</x:v>
      </x:c>
      <x:c r="AL313" s="154" t="n">
        <x:f>(AJ313+AK313)/2</x:f>
        <x:v>0.5</x:v>
      </x:c>
      <x:c r="AM313" s="154" t="n">
        <x:f>MIN(AJ313,AK313)</x:f>
        <x:v>0</x:v>
      </x:c>
      <x:c r="AN313" s="154" t="n">
        <x:f>MAX(AJ313,AK313)</x:f>
        <x:v>1</x:v>
      </x:c>
      <x:c r="AO313" s="154" t="n">
        <x:f>IF(L313=M313,1,0)</x:f>
        <x:v>0</x:v>
      </x:c>
    </x:row>
    <x:row r="314">
      <x:c r="A314" s="38" t="str">
        <x:v>SV-0313</x:v>
      </x:c>
      <x:c r="B314" s="38" t="str">
        <x:v>PC-02663</x:v>
      </x:c>
      <x:c r="C314" s="38" t="str">
        <x:v>en|both</x:v>
      </x:c>
      <x:c r="D314" s="87" t="n">
        <x:v>19.069444444444443</x:v>
      </x:c>
      <x:c r="E314" s="38" t="str">
        <x:v>both</x:v>
      </x:c>
      <x:c r="F314" s="38" t="str">
        <x:v>IL_BoI_2024</x:v>
      </x:c>
      <x:c r="G314" s="38" t="n">
        <x:v>9</x:v>
      </x:c>
      <x:c r="H314" s="38" t="str">
        <x:v>en</x:v>
      </x:c>
      <x:c r="I314" s="38" t="str">
        <x:v>Bank of Israel (digital shekel)</x:v>
      </x:c>
      <x:c r="J314" s="38" t="str">
        <x:v>Alongside the backend 
layer, several other central services will operate, such as an alias management system and a 
fraud monitoring system that will help identify and prevent fraud through  real-time data 
analysis. These systems will be designed to maintaining the DS's privacy principles  and 
operate accordingly.</x:v>
      </x:c>
      <x:c r="K314" s="142" t="b">
        <x:v>0</x:v>
      </x:c>
      <x:c r="L314" s="146" t="str">
        <x:v>keep</x:v>
      </x:c>
      <x:c r="M314" s="146" t="str">
        <x:v>keep</x:v>
      </x:c>
      <x:c r="N314" s="147" t="b">
        <x:v>1</x:v>
      </x:c>
      <x:c r="O314" s="146" t="str">
        <x:v>INTEROP.domestic</x:v>
      </x:c>
      <x:c r="P314" s="146" t="str">
        <x:v>AML.MON</x:v>
      </x:c>
      <x:c r="Q314" s="146" t="str">
        <x:v>INTEROP</x:v>
      </x:c>
      <x:c r="R314" s="146" t="str">
        <x:v>AML</x:v>
      </x:c>
      <x:c r="S314" s="146" t="str">
        <x:v>proposal</x:v>
      </x:c>
      <x:c r="T314" s="146" t="str">
        <x:v>decision</x:v>
      </x:c>
      <x:c r="U314" s="146" t="str">
        <x:v>neutral</x:v>
      </x:c>
      <x:c r="V314" s="146" t="str">
        <x:v>conditional</x:v>
      </x:c>
      <x:c r="W314" s="146" t="str">
        <x:v>not_applicable</x:v>
      </x:c>
      <x:c r="X314" s="146" t="str">
        <x:v>from_state</x:v>
      </x:c>
      <x:c r="Y314" s="146" t="n">
        <x:v>2</x:v>
      </x:c>
      <x:c r="Z314" s="146" t="n">
        <x:v>3</x:v>
      </x:c>
      <x:c r="AA314" s="146" t="str">
        <x:v>high</x:v>
      </x:c>
      <x:c r="AB314" s="146" t="str">
        <x:v>high</x:v>
      </x:c>
      <x:c r="AC314" s="146"/>
      <x:c r="AD314" s="146"/>
      <x:c r="AE314" s="151" t="str">
        <x:v>INTEROP.domestic</x:v>
      </x:c>
      <x:c r="AF314" s="151" t="str">
        <x:v>AML.MON</x:v>
      </x:c>
      <x:c r="AG314" s="151" t="str">
        <x:v>proposal</x:v>
      </x:c>
      <x:c r="AH314" s="151" t="str">
        <x:v>decision</x:v>
      </x:c>
      <x:c r="AI314" s="154" t="n">
        <x:f>IF(K314,0,1)</x:f>
        <x:v>1</x:v>
      </x:c>
      <x:c r="AJ314" s="154" t="n">
        <x:f>IF(L314="keep",1,0)</x:f>
        <x:v>1</x:v>
      </x:c>
      <x:c r="AK314" s="154" t="n">
        <x:f>IF(M314="keep",1,0)</x:f>
        <x:v>1</x:v>
      </x:c>
      <x:c r="AL314" s="154" t="n">
        <x:f>(AJ314+AK314)/2</x:f>
        <x:v>1</x:v>
      </x:c>
      <x:c r="AM314" s="154" t="n">
        <x:f>MIN(AJ314,AK314)</x:f>
        <x:v>1</x:v>
      </x:c>
      <x:c r="AN314" s="154" t="n">
        <x:f>MAX(AJ314,AK314)</x:f>
        <x:v>1</x:v>
      </x:c>
      <x:c r="AO314" s="154" t="n">
        <x:f>IF(L314=M314,1,0)</x:f>
        <x:v>1</x:v>
      </x:c>
    </x:row>
    <x:row r="315">
      <x:c r="A315" s="38" t="str">
        <x:v>SV-0314</x:v>
      </x:c>
      <x:c r="B315" s="38" t="str">
        <x:v>PC-06743</x:v>
      </x:c>
      <x:c r="C315" s="38" t="str">
        <x:v>en|openai_only</x:v>
      </x:c>
      <x:c r="D315" s="87" t="n">
        <x:v>19.21875</x:v>
      </x:c>
      <x:c r="E315" s="38" t="str">
        <x:v>openai_only</x:v>
      </x:c>
      <x:c r="F315" s="38" t="str">
        <x:v>ZA_SARB_Project_Khokha_2_Full_Report_6_April_2022</x:v>
      </x:c>
      <x:c r="G315" s="38" t="n">
        <x:v>24</x:v>
      </x:c>
      <x:c r="H315" s="38" t="str">
        <x:v>en</x:v>
      </x:c>
      <x:c r="I315" s="38" t="str">
        <x:v>South African Reserve Bank</x:v>
      </x:c>
      <x:c r="J315" s="38" t="str">
        <x:v>wCBDC was issued to commercial banks when 
they bought it with money from their settlement 
account in the SAMOS system.</x:v>
      </x:c>
      <x:c r="K315" s="142" t="b">
        <x:v>0</x:v>
      </x:c>
      <x:c r="L315" s="146" t="str">
        <x:v>keep</x:v>
      </x:c>
      <x:c r="M315" s="146" t="str">
        <x:v>exclude</x:v>
      </x:c>
      <x:c r="N315" s="147" t="b">
        <x:v>0</x:v>
      </x:c>
      <x:c r="O315" s="146" t="str">
        <x:v>INTEROP.domestic</x:v>
      </x:c>
      <x:c r="P315" s="146"/>
      <x:c r="Q315" s="146" t="str">
        <x:v>INTEROP</x:v>
      </x:c>
      <x:c r="R315" s="146" t="str"/>
      <x:c r="S315" s="146" t="str">
        <x:v>decision</x:v>
      </x:c>
      <x:c r="T315" s="146"/>
      <x:c r="U315" s="146" t="str">
        <x:v>neutral</x:v>
      </x:c>
      <x:c r="V315" s="146"/>
      <x:c r="W315" s="146" t="str">
        <x:v>not_applicable</x:v>
      </x:c>
      <x:c r="X315" s="146"/>
      <x:c r="Y315" s="146" t="n">
        <x:v>2</x:v>
      </x:c>
      <x:c r="Z315" s="146"/>
      <x:c r="AA315" s="146" t="str">
        <x:v>high</x:v>
      </x:c>
      <x:c r="AB315" s="146" t="str">
        <x:v>high</x:v>
      </x:c>
      <x:c r="AC315" s="146"/>
      <x:c r="AD315" s="146"/>
      <x:c r="AE315" s="151" t="str">
        <x:v>INTEROP.domestic</x:v>
      </x:c>
      <x:c r="AF315" s="151"/>
      <x:c r="AG315" s="151" t="str">
        <x:v>decision</x:v>
      </x:c>
      <x:c r="AH315" s="151"/>
      <x:c r="AI315" s="154" t="n">
        <x:f>IF(K315,0,1)</x:f>
        <x:v>1</x:v>
      </x:c>
      <x:c r="AJ315" s="154" t="n">
        <x:f>IF(L315="keep",1,0)</x:f>
        <x:v>1</x:v>
      </x:c>
      <x:c r="AK315" s="154" t="n">
        <x:f>IF(M315="keep",1,0)</x:f>
        <x:v>0</x:v>
      </x:c>
      <x:c r="AL315" s="154" t="n">
        <x:f>(AJ315+AK315)/2</x:f>
        <x:v>0.5</x:v>
      </x:c>
      <x:c r="AM315" s="154" t="n">
        <x:f>MIN(AJ315,AK315)</x:f>
        <x:v>0</x:v>
      </x:c>
      <x:c r="AN315" s="154" t="n">
        <x:f>MAX(AJ315,AK315)</x:f>
        <x:v>1</x:v>
      </x:c>
      <x:c r="AO315" s="154" t="n">
        <x:f>IF(L315=M315,1,0)</x:f>
        <x:v>0</x:v>
      </x:c>
    </x:row>
    <x:row r="316">
      <x:c r="A316" s="38" t="str">
        <x:v>SV-0315</x:v>
      </x:c>
      <x:c r="B316" s="38" t="str">
        <x:v>PC-04977</x:v>
      </x:c>
      <x:c r="C316" s="38" t="str">
        <x:v>en|both</x:v>
      </x:c>
      <x:c r="D316" s="87" t="n">
        <x:v>19.069444444444443</x:v>
      </x:c>
      <x:c r="E316" s="38" t="str">
        <x:v>both</x:v>
      </x:c>
      <x:c r="F316" s="38" t="str">
        <x:v>RU_Russia_consultation_paper_201013</x:v>
      </x:c>
      <x:c r="G316" s="38" t="n">
        <x:v>19</x:v>
      </x:c>
      <x:c r="H316" s="38" t="str">
        <x:v>en</x:v>
      </x:c>
      <x:c r="I316" s="38" t="str">
        <x:v>Bank of Russia (digital ruble)</x:v>
      </x:c>
      <x:c r="J316" s="38" t="str">
        <x:v>When implementing the offline digital ruble mode, special attention should 
be paid to confirming the paying capacity of digital rubles offered as payment in this mode.</x:v>
      </x:c>
      <x:c r="K316" s="142" t="b">
        <x:v>0</x:v>
      </x:c>
      <x:c r="L316" s="146" t="str">
        <x:v>keep</x:v>
      </x:c>
      <x:c r="M316" s="146" t="str">
        <x:v>keep</x:v>
      </x:c>
      <x:c r="N316" s="147" t="b">
        <x:v>1</x:v>
      </x:c>
      <x:c r="O316" s="146" t="str">
        <x:v>OPS.resilience</x:v>
      </x:c>
      <x:c r="P316" s="146" t="str">
        <x:v>OPS.resilience</x:v>
      </x:c>
      <x:c r="Q316" s="146" t="str">
        <x:v>OPS</x:v>
      </x:c>
      <x:c r="R316" s="146" t="str">
        <x:v>OPS</x:v>
      </x:c>
      <x:c r="S316" s="146" t="str">
        <x:v>proposal</x:v>
      </x:c>
      <x:c r="T316" s="146" t="str">
        <x:v>proposal</x:v>
      </x:c>
      <x:c r="U316" s="146" t="str">
        <x:v>neutral</x:v>
      </x:c>
      <x:c r="V316" s="146" t="str">
        <x:v>neutral</x:v>
      </x:c>
      <x:c r="W316" s="146" t="str">
        <x:v>not_applicable</x:v>
      </x:c>
      <x:c r="X316" s="146" t="str">
        <x:v>not_applicable</x:v>
      </x:c>
      <x:c r="Y316" s="146" t="n">
        <x:v>2</x:v>
      </x:c>
      <x:c r="Z316" s="146" t="n">
        <x:v>1</x:v>
      </x:c>
      <x:c r="AA316" s="146" t="str">
        <x:v>high</x:v>
      </x:c>
      <x:c r="AB316" s="146" t="str">
        <x:v>high</x:v>
      </x:c>
      <x:c r="AC316" s="146"/>
      <x:c r="AD316" s="146"/>
      <x:c r="AE316" s="151" t="str">
        <x:v>OPS.resilience</x:v>
      </x:c>
      <x:c r="AF316" s="151" t="str">
        <x:v>OPS.resilience</x:v>
      </x:c>
      <x:c r="AG316" s="151" t="str">
        <x:v>proposal</x:v>
      </x:c>
      <x:c r="AH316" s="151" t="str">
        <x:v>proposal</x:v>
      </x:c>
      <x:c r="AI316" s="154" t="n">
        <x:f>IF(K316,0,1)</x:f>
        <x:v>1</x:v>
      </x:c>
      <x:c r="AJ316" s="154" t="n">
        <x:f>IF(L316="keep",1,0)</x:f>
        <x:v>1</x:v>
      </x:c>
      <x:c r="AK316" s="154" t="n">
        <x:f>IF(M316="keep",1,0)</x:f>
        <x:v>1</x:v>
      </x:c>
      <x:c r="AL316" s="154" t="n">
        <x:f>(AJ316+AK316)/2</x:f>
        <x:v>1</x:v>
      </x:c>
      <x:c r="AM316" s="154" t="n">
        <x:f>MIN(AJ316,AK316)</x:f>
        <x:v>1</x:v>
      </x:c>
      <x:c r="AN316" s="154" t="n">
        <x:f>MAX(AJ316,AK316)</x:f>
        <x:v>1</x:v>
      </x:c>
      <x:c r="AO316" s="154" t="n">
        <x:f>IF(L316=M316,1,0)</x:f>
        <x:v>1</x:v>
      </x:c>
    </x:row>
    <x:row r="317">
      <x:c r="A317" s="38" t="str">
        <x:v>SV-0316</x:v>
      </x:c>
      <x:c r="B317" s="38" t="str">
        <x:v>PC-04536</x:v>
      </x:c>
      <x:c r="C317" s="38" t="str">
        <x:v>en|both</x:v>
      </x:c>
      <x:c r="D317" s="87" t="n">
        <x:v>19.069444444444443</x:v>
      </x:c>
      <x:c r="E317" s="38" t="str">
        <x:v>both</x:v>
      </x:c>
      <x:c r="F317" s="38" t="str">
        <x:v>NZ_RBNZ_CBDCIssuesPaper_2021</x:v>
      </x:c>
      <x:c r="G317" s="38" t="n">
        <x:v>16</x:v>
      </x:c>
      <x:c r="H317" s="38" t="str">
        <x:v>en</x:v>
      </x:c>
      <x:c r="I317" s="38" t="str">
        <x:v>Reserve Bank of New Zealand</x:v>
      </x:c>
      <x:c r="J317" s="38" t="str">
        <x:v>Any 
decision to issue a CBDC would only be made following consultation with the Government, the 
public and other stakeholders.</x:v>
      </x:c>
      <x:c r="K317" s="142" t="b">
        <x:v>0</x:v>
      </x:c>
      <x:c r="L317" s="146" t="str">
        <x:v>keep</x:v>
      </x:c>
      <x:c r="M317" s="146" t="str">
        <x:v>keep</x:v>
      </x:c>
      <x:c r="N317" s="147" t="b">
        <x:v>1</x:v>
      </x:c>
      <x:c r="O317" s="146" t="str">
        <x:v>INST.mandate</x:v>
      </x:c>
      <x:c r="P317" s="146" t="str">
        <x:v>INST.mandate</x:v>
      </x:c>
      <x:c r="Q317" s="146" t="str">
        <x:v>INST</x:v>
      </x:c>
      <x:c r="R317" s="146" t="str">
        <x:v>INST</x:v>
      </x:c>
      <x:c r="S317" s="146" t="str">
        <x:v>proposal</x:v>
      </x:c>
      <x:c r="T317" s="146" t="str">
        <x:v>decision</x:v>
      </x:c>
      <x:c r="U317" s="146" t="str">
        <x:v>neutral</x:v>
      </x:c>
      <x:c r="V317" s="146" t="str">
        <x:v>neutral</x:v>
      </x:c>
      <x:c r="W317" s="146" t="str">
        <x:v>not_applicable</x:v>
      </x:c>
      <x:c r="X317" s="146" t="str">
        <x:v>not_applicable</x:v>
      </x:c>
      <x:c r="Y317" s="146" t="n">
        <x:v>3</x:v>
      </x:c>
      <x:c r="Z317" s="146" t="n">
        <x:v>2</x:v>
      </x:c>
      <x:c r="AA317" s="146" t="str">
        <x:v>high</x:v>
      </x:c>
      <x:c r="AB317" s="146" t="str">
        <x:v>high</x:v>
      </x:c>
      <x:c r="AC317" s="146"/>
      <x:c r="AD317" s="146"/>
      <x:c r="AE317" s="151" t="str">
        <x:v>ACCESS.universal</x:v>
      </x:c>
      <x:c r="AF317" s="151" t="str">
        <x:v>INST.mandate</x:v>
      </x:c>
      <x:c r="AG317" s="151" t="str">
        <x:v>proposal</x:v>
      </x:c>
      <x:c r="AH317" s="151" t="str">
        <x:v>decision</x:v>
      </x:c>
      <x:c r="AI317" s="154" t="n">
        <x:f>IF(K317,0,1)</x:f>
        <x:v>1</x:v>
      </x:c>
      <x:c r="AJ317" s="154" t="n">
        <x:f>IF(L317="keep",1,0)</x:f>
        <x:v>1</x:v>
      </x:c>
      <x:c r="AK317" s="154" t="n">
        <x:f>IF(M317="keep",1,0)</x:f>
        <x:v>1</x:v>
      </x:c>
      <x:c r="AL317" s="154" t="n">
        <x:f>(AJ317+AK317)/2</x:f>
        <x:v>1</x:v>
      </x:c>
      <x:c r="AM317" s="154" t="n">
        <x:f>MIN(AJ317,AK317)</x:f>
        <x:v>1</x:v>
      </x:c>
      <x:c r="AN317" s="154" t="n">
        <x:f>MAX(AJ317,AK317)</x:f>
        <x:v>1</x:v>
      </x:c>
      <x:c r="AO317" s="154" t="n">
        <x:f>IF(L317=M317,1,0)</x:f>
        <x:v>1</x:v>
      </x:c>
    </x:row>
    <x:row r="318">
      <x:c r="A318" s="38" t="str">
        <x:v>SV-0317</x:v>
      </x:c>
      <x:c r="B318" s="38" t="str">
        <x:v>PC-02411</x:v>
      </x:c>
      <x:c r="C318" s="38" t="str">
        <x:v>en|both</x:v>
      </x:c>
      <x:c r="D318" s="87" t="n">
        <x:v>19.069444444444443</x:v>
      </x:c>
      <x:c r="E318" s="38" t="str">
        <x:v>both</x:v>
      </x:c>
      <x:c r="F318" s="38" t="str">
        <x:v>ID_Indonesia_2022</x:v>
      </x:c>
      <x:c r="G318" s="38" t="n">
        <x:v>50</x:v>
      </x:c>
      <x:c r="H318" s="38" t="str">
        <x:v>en</x:v>
      </x:c>
      <x:c r="I318" s="38" t="str">
        <x:v>Bank Indonesia (Digital Rupiah)</x:v>
      </x:c>
      <x:c r="J318" s="38" t="str">
        <x:v>w-Digital Rupiah platform 
will be integrated, interconnected, and 
interoperable (3i) with the existing BI-
RTGS through a converter.</x:v>
      </x:c>
      <x:c r="K318" s="142" t="b">
        <x:v>0</x:v>
      </x:c>
      <x:c r="L318" s="146" t="str">
        <x:v>keep</x:v>
      </x:c>
      <x:c r="M318" s="146" t="str">
        <x:v>keep</x:v>
      </x:c>
      <x:c r="N318" s="147" t="b">
        <x:v>1</x:v>
      </x:c>
      <x:c r="O318" s="146" t="str">
        <x:v>INTEROP.domestic</x:v>
      </x:c>
      <x:c r="P318" s="146" t="str">
        <x:v>INTEROP.domestic</x:v>
      </x:c>
      <x:c r="Q318" s="146" t="str">
        <x:v>INTEROP</x:v>
      </x:c>
      <x:c r="R318" s="146" t="str">
        <x:v>INTEROP</x:v>
      </x:c>
      <x:c r="S318" s="146" t="str">
        <x:v>decision</x:v>
      </x:c>
      <x:c r="T318" s="146" t="str">
        <x:v>decision</x:v>
      </x:c>
      <x:c r="U318" s="146" t="str">
        <x:v>neutral</x:v>
      </x:c>
      <x:c r="V318" s="146" t="str">
        <x:v>neutral</x:v>
      </x:c>
      <x:c r="W318" s="146" t="str">
        <x:v>not_applicable</x:v>
      </x:c>
      <x:c r="X318" s="146" t="str">
        <x:v>not_applicable</x:v>
      </x:c>
      <x:c r="Y318" s="146" t="n">
        <x:v>2</x:v>
      </x:c>
      <x:c r="Z318" s="146" t="n">
        <x:v>3</x:v>
      </x:c>
      <x:c r="AA318" s="146" t="str">
        <x:v>high</x:v>
      </x:c>
      <x:c r="AB318" s="146" t="str">
        <x:v>high</x:v>
      </x:c>
      <x:c r="AC318" s="146"/>
      <x:c r="AD318" s="146"/>
      <x:c r="AE318" s="151" t="str">
        <x:v>SYS.design</x:v>
      </x:c>
      <x:c r="AF318" s="151" t="str">
        <x:v>INTEROP.domestic</x:v>
      </x:c>
      <x:c r="AG318" s="151" t="str">
        <x:v>decision</x:v>
      </x:c>
      <x:c r="AH318" s="151" t="str">
        <x:v>decision</x:v>
      </x:c>
      <x:c r="AI318" s="154" t="n">
        <x:f>IF(K318,0,1)</x:f>
        <x:v>1</x:v>
      </x:c>
      <x:c r="AJ318" s="154" t="n">
        <x:f>IF(L318="keep",1,0)</x:f>
        <x:v>1</x:v>
      </x:c>
      <x:c r="AK318" s="154" t="n">
        <x:f>IF(M318="keep",1,0)</x:f>
        <x:v>1</x:v>
      </x:c>
      <x:c r="AL318" s="154" t="n">
        <x:f>(AJ318+AK318)/2</x:f>
        <x:v>1</x:v>
      </x:c>
      <x:c r="AM318" s="154" t="n">
        <x:f>MIN(AJ318,AK318)</x:f>
        <x:v>1</x:v>
      </x:c>
      <x:c r="AN318" s="154" t="n">
        <x:f>MAX(AJ318,AK318)</x:f>
        <x:v>1</x:v>
      </x:c>
      <x:c r="AO318" s="154" t="n">
        <x:f>IF(L318=M318,1,0)</x:f>
        <x:v>1</x:v>
      </x:c>
    </x:row>
    <x:row r="319">
      <x:c r="A319" s="38" t="str">
        <x:v>SV-0318</x:v>
      </x:c>
      <x:c r="B319" s="38" t="str">
        <x:v>PC-02110</x:v>
      </x:c>
      <x:c r="C319" s="38" t="str">
        <x:v>en|both</x:v>
      </x:c>
      <x:c r="D319" s="87" t="n">
        <x:v>19.069444444444443</x:v>
      </x:c>
      <x:c r="E319" s="38" t="str">
        <x:v>both</x:v>
      </x:c>
      <x:c r="F319" s="38" t="str">
        <x:v>HK_HKMA_eHKD_PolicyDesign</x:v>
      </x:c>
      <x:c r="G319" s="38" t="n">
        <x:v>22</x:v>
      </x:c>
      <x:c r="H319" s="38" t="str">
        <x:v>en</x:v>
      </x:c>
      <x:c r="I319" s="38" t="str">
        <x:v>Hong Kong Monetary Authority (e-HKD)</x:v>
      </x:c>
      <x:c r="J319" s="38" t="str">
        <x:v>Given that e-HKD 
is designed for settling real-time small-value retail payments, it is also unlikely that its 
use by regular citizens would be greatly inhibited by these fairly loose holding caps.</x:v>
      </x:c>
      <x:c r="K319" s="142" t="b">
        <x:v>0</x:v>
      </x:c>
      <x:c r="L319" s="146" t="str">
        <x:v>keep</x:v>
      </x:c>
      <x:c r="M319" s="146" t="str">
        <x:v>keep</x:v>
      </x:c>
      <x:c r="N319" s="147" t="b">
        <x:v>1</x:v>
      </x:c>
      <x:c r="O319" s="146" t="str">
        <x:v>AML.LIMIT</x:v>
      </x:c>
      <x:c r="P319" s="146" t="str">
        <x:v>SYS.design</x:v>
      </x:c>
      <x:c r="Q319" s="146" t="str">
        <x:v>AML</x:v>
      </x:c>
      <x:c r="R319" s="146" t="str">
        <x:v>SYS</x:v>
      </x:c>
      <x:c r="S319" s="146" t="str">
        <x:v>decision</x:v>
      </x:c>
      <x:c r="T319" s="146" t="str">
        <x:v>proposal</x:v>
      </x:c>
      <x:c r="U319" s="146" t="str">
        <x:v>neutral</x:v>
      </x:c>
      <x:c r="V319" s="146" t="str">
        <x:v>neutral</x:v>
      </x:c>
      <x:c r="W319" s="146" t="str">
        <x:v>not_applicable</x:v>
      </x:c>
      <x:c r="X319" s="146" t="str">
        <x:v>not_applicable</x:v>
      </x:c>
      <x:c r="Y319" s="146" t="n">
        <x:v>3</x:v>
      </x:c>
      <x:c r="Z319" s="146" t="n">
        <x:v>2</x:v>
      </x:c>
      <x:c r="AA319" s="146" t="str">
        <x:v>high</x:v>
      </x:c>
      <x:c r="AB319" s="146" t="str">
        <x:v>high</x:v>
      </x:c>
      <x:c r="AC319" s="146"/>
      <x:c r="AD319" s="146"/>
      <x:c r="AE319" s="151" t="str">
        <x:v>SYS.design</x:v>
      </x:c>
      <x:c r="AF319" s="151" t="str">
        <x:v>SYS.design</x:v>
      </x:c>
      <x:c r="AG319" s="151" t="str">
        <x:v>decision</x:v>
      </x:c>
      <x:c r="AH319" s="151" t="str">
        <x:v>proposal</x:v>
      </x:c>
      <x:c r="AI319" s="154" t="n">
        <x:f>IF(K319,0,1)</x:f>
        <x:v>1</x:v>
      </x:c>
      <x:c r="AJ319" s="154" t="n">
        <x:f>IF(L319="keep",1,0)</x:f>
        <x:v>1</x:v>
      </x:c>
      <x:c r="AK319" s="154" t="n">
        <x:f>IF(M319="keep",1,0)</x:f>
        <x:v>1</x:v>
      </x:c>
      <x:c r="AL319" s="154" t="n">
        <x:f>(AJ319+AK319)/2</x:f>
        <x:v>1</x:v>
      </x:c>
      <x:c r="AM319" s="154" t="n">
        <x:f>MIN(AJ319,AK319)</x:f>
        <x:v>1</x:v>
      </x:c>
      <x:c r="AN319" s="154" t="n">
        <x:f>MAX(AJ319,AK319)</x:f>
        <x:v>1</x:v>
      </x:c>
      <x:c r="AO319" s="154" t="n">
        <x:f>IF(L319=M319,1,0)</x:f>
        <x:v>1</x:v>
      </x:c>
    </x:row>
    <x:row r="320">
      <x:c r="A320" s="38" t="str">
        <x:v>SV-0319</x:v>
      </x:c>
      <x:c r="B320" s="38" t="str">
        <x:v>PC-02013</x:v>
      </x:c>
      <x:c r="C320" s="38" t="str">
        <x:v>en|both</x:v>
      </x:c>
      <x:c r="D320" s="87" t="n">
        <x:v>19.069444444444443</x:v>
      </x:c>
      <x:c r="E320" s="38" t="str">
        <x:v>both</x:v>
      </x:c>
      <x:c r="F320" s="38" t="str">
        <x:v>HK_HKMA_eHKD_Phase2_2025</x:v>
      </x:c>
      <x:c r="G320" s="38" t="n">
        <x:v>24</x:v>
      </x:c>
      <x:c r="H320" s="38" t="str">
        <x:v>en</x:v>
      </x:c>
      <x:c r="I320" s="38" t="str">
        <x:v>Hong Kong Monetary Authority (e-HKD Phase 2 pilots)</x:v>
      </x:c>
      <x:c r="J320" s="38" t="str">
        <x:v>System transformation would be needed for 
enabling transactions using an e-HKD and 
tokenised deposits. However, less system 
overhaul would be required for banks to 
implement tokenised deposits, as banks could 
leverage some of the infrastructure they have 
established for other deposit products.</x:v>
      </x:c>
      <x:c r="K320" s="142" t="b">
        <x:v>0</x:v>
      </x:c>
      <x:c r="L320" s="146" t="str">
        <x:v>keep</x:v>
      </x:c>
      <x:c r="M320" s="146" t="str">
        <x:v>keep</x:v>
      </x:c>
      <x:c r="N320" s="147" t="b">
        <x:v>1</x:v>
      </x:c>
      <x:c r="O320" s="146" t="str">
        <x:v>SYS.design</x:v>
      </x:c>
      <x:c r="P320" s="146" t="str">
        <x:v>SYS.design</x:v>
      </x:c>
      <x:c r="Q320" s="146" t="str">
        <x:v>SYS</x:v>
      </x:c>
      <x:c r="R320" s="146" t="str">
        <x:v>SYS</x:v>
      </x:c>
      <x:c r="S320" s="146" t="str">
        <x:v>finding</x:v>
      </x:c>
      <x:c r="T320" s="146" t="str">
        <x:v>finding</x:v>
      </x:c>
      <x:c r="U320" s="146" t="str">
        <x:v>neutral</x:v>
      </x:c>
      <x:c r="V320" s="146" t="str">
        <x:v>neutral</x:v>
      </x:c>
      <x:c r="W320" s="146" t="str">
        <x:v>not_applicable</x:v>
      </x:c>
      <x:c r="X320" s="146" t="str">
        <x:v>not_applicable</x:v>
      </x:c>
      <x:c r="Y320" s="146" t="n">
        <x:v>3</x:v>
      </x:c>
      <x:c r="Z320" s="146" t="n">
        <x:v>2</x:v>
      </x:c>
      <x:c r="AA320" s="146" t="str">
        <x:v>high</x:v>
      </x:c>
      <x:c r="AB320" s="146" t="str">
        <x:v>high</x:v>
      </x:c>
      <x:c r="AC320" s="146"/>
      <x:c r="AD320" s="146"/>
      <x:c r="AE320" s="151" t="str">
        <x:v>SYS.design</x:v>
      </x:c>
      <x:c r="AF320" s="151" t="str">
        <x:v>SYS.design</x:v>
      </x:c>
      <x:c r="AG320" s="151" t="str">
        <x:v>finding</x:v>
      </x:c>
      <x:c r="AH320" s="151" t="str">
        <x:v>finding</x:v>
      </x:c>
      <x:c r="AI320" s="154" t="n">
        <x:f>IF(K320,0,1)</x:f>
        <x:v>1</x:v>
      </x:c>
      <x:c r="AJ320" s="154" t="n">
        <x:f>IF(L320="keep",1,0)</x:f>
        <x:v>1</x:v>
      </x:c>
      <x:c r="AK320" s="154" t="n">
        <x:f>IF(M320="keep",1,0)</x:f>
        <x:v>1</x:v>
      </x:c>
      <x:c r="AL320" s="154" t="n">
        <x:f>(AJ320+AK320)/2</x:f>
        <x:v>1</x:v>
      </x:c>
      <x:c r="AM320" s="154" t="n">
        <x:f>MIN(AJ320,AK320)</x:f>
        <x:v>1</x:v>
      </x:c>
      <x:c r="AN320" s="154" t="n">
        <x:f>MAX(AJ320,AK320)</x:f>
        <x:v>1</x:v>
      </x:c>
      <x:c r="AO320" s="154" t="n">
        <x:f>IF(L320=M320,1,0)</x:f>
        <x:v>1</x:v>
      </x:c>
    </x:row>
    <x:row r="321">
      <x:c r="A321" s="38" t="str">
        <x:v>SV-0320</x:v>
      </x:c>
      <x:c r="B321" s="38" t="str">
        <x:v>PC-00664</x:v>
      </x:c>
      <x:c r="C321" s="38" t="str">
        <x:v>en|openai_only</x:v>
      </x:c>
      <x:c r="D321" s="87" t="n">
        <x:v>19.21875</x:v>
      </x:c>
      <x:c r="E321" s="38" t="str">
        <x:v>openai_only</x:v>
      </x:c>
      <x:c r="F321" s="38" t="str">
        <x:v>CA_BoC_PETs_SDP2025_1</x:v>
      </x:c>
      <x:c r="G321" s="38" t="n">
        <x:v>25</x:v>
      </x:c>
      <x:c r="H321" s="38" t="str">
        <x:v>en</x:v>
      </x:c>
      <x:c r="I321" s="38" t="str">
        <x:v>Bank of Canada research on privacy-enhancing technologies for a potential CBDC</x:v>
      </x:c>
      <x:c r="J321" s="38" t="str">
        <x:v>Interoperability with existing financial systems and infrastructure also poses significant challenges.</x:v>
      </x:c>
      <x:c r="K321" s="142" t="b">
        <x:v>0</x:v>
      </x:c>
      <x:c r="L321" s="146" t="str">
        <x:v>keep</x:v>
      </x:c>
      <x:c r="M321" s="146" t="str">
        <x:v>exclude</x:v>
      </x:c>
      <x:c r="N321" s="147" t="b">
        <x:v>0</x:v>
      </x:c>
      <x:c r="O321" s="146" t="str">
        <x:v>INTEROP.domestic</x:v>
      </x:c>
      <x:c r="P321" s="146"/>
      <x:c r="Q321" s="146" t="str">
        <x:v>INTEROP</x:v>
      </x:c>
      <x:c r="R321" s="146" t="str"/>
      <x:c r="S321" s="146" t="str">
        <x:v>finding</x:v>
      </x:c>
      <x:c r="T321" s="146"/>
      <x:c r="U321" s="146" t="str">
        <x:v>neutral</x:v>
      </x:c>
      <x:c r="V321" s="146"/>
      <x:c r="W321" s="146" t="str">
        <x:v>not_applicable</x:v>
      </x:c>
      <x:c r="X321" s="146"/>
      <x:c r="Y321" s="146" t="n">
        <x:v>2</x:v>
      </x:c>
      <x:c r="Z321" s="146"/>
      <x:c r="AA321" s="146" t="str">
        <x:v>high</x:v>
      </x:c>
      <x:c r="AB321" s="146" t="str">
        <x:v>high</x:v>
      </x:c>
      <x:c r="AC321" s="146"/>
      <x:c r="AD321" s="146"/>
      <x:c r="AE321" s="151" t="str">
        <x:v>INTEROP.domestic</x:v>
      </x:c>
      <x:c r="AF321" s="151"/>
      <x:c r="AG321" s="151" t="str">
        <x:v>finding</x:v>
      </x:c>
      <x:c r="AH321" s="151"/>
      <x:c r="AI321" s="154" t="n">
        <x:f>IF(K321,0,1)</x:f>
        <x:v>1</x:v>
      </x:c>
      <x:c r="AJ321" s="154" t="n">
        <x:f>IF(L321="keep",1,0)</x:f>
        <x:v>1</x:v>
      </x:c>
      <x:c r="AK321" s="154" t="n">
        <x:f>IF(M321="keep",1,0)</x:f>
        <x:v>0</x:v>
      </x:c>
      <x:c r="AL321" s="154" t="n">
        <x:f>(AJ321+AK321)/2</x:f>
        <x:v>0.5</x:v>
      </x:c>
      <x:c r="AM321" s="154" t="n">
        <x:f>MIN(AJ321,AK321)</x:f>
        <x:v>0</x:v>
      </x:c>
      <x:c r="AN321" s="154" t="n">
        <x:f>MAX(AJ321,AK321)</x:f>
        <x:v>1</x:v>
      </x:c>
      <x:c r="AO321" s="154" t="n">
        <x:f>IF(L321=M321,1,0)</x:f>
        <x:v>0</x:v>
      </x:c>
    </x:row>
    <x:row r="322">
      <x:c r="A322" s="38" t="str">
        <x:v>SV-0321</x:v>
      </x:c>
      <x:c r="B322" s="38" t="str">
        <x:v>PC-03015</x:v>
      </x:c>
      <x:c r="C322" s="38" t="str">
        <x:v>en|both</x:v>
      </x:c>
      <x:c r="D322" s="87" t="n">
        <x:v>19.069444444444443</x:v>
      </x:c>
      <x:c r="E322" s="38" t="str">
        <x:v>both</x:v>
      </x:c>
      <x:c r="F322" s="38" t="str">
        <x:v>IL_BoI_2024</x:v>
      </x:c>
      <x:c r="G322" s="38" t="n">
        <x:v>98</x:v>
      </x:c>
      <x:c r="H322" s="38" t="str">
        <x:v>en</x:v>
      </x:c>
      <x:c r="I322" s="38" t="str">
        <x:v>Bank of Israel (digital shekel)</x:v>
      </x:c>
      <x:c r="J322" s="38" t="str">
        <x:v>ATMs will also 
enable software and wallet restrictions updates, among other things, for business continuity 
in case of network failure (assuming the ATM still has communication).</x:v>
      </x:c>
      <x:c r="K322" s="142" t="b">
        <x:v>0</x:v>
      </x:c>
      <x:c r="L322" s="146" t="str">
        <x:v>keep</x:v>
      </x:c>
      <x:c r="M322" s="146" t="str">
        <x:v>keep</x:v>
      </x:c>
      <x:c r="N322" s="147" t="b">
        <x:v>1</x:v>
      </x:c>
      <x:c r="O322" s="146" t="str">
        <x:v>OPS.resilience</x:v>
      </x:c>
      <x:c r="P322" s="146" t="str">
        <x:v>OPS.resilience</x:v>
      </x:c>
      <x:c r="Q322" s="146" t="str">
        <x:v>OPS</x:v>
      </x:c>
      <x:c r="R322" s="146" t="str">
        <x:v>OPS</x:v>
      </x:c>
      <x:c r="S322" s="146" t="str">
        <x:v>proposal</x:v>
      </x:c>
      <x:c r="T322" s="146" t="str">
        <x:v>decision</x:v>
      </x:c>
      <x:c r="U322" s="146" t="str">
        <x:v>neutral</x:v>
      </x:c>
      <x:c r="V322" s="146" t="str">
        <x:v>neutral</x:v>
      </x:c>
      <x:c r="W322" s="146" t="str">
        <x:v>not_applicable</x:v>
      </x:c>
      <x:c r="X322" s="146" t="str">
        <x:v>not_applicable</x:v>
      </x:c>
      <x:c r="Y322" s="146" t="n">
        <x:v>2</x:v>
      </x:c>
      <x:c r="Z322" s="146" t="n">
        <x:v>2</x:v>
      </x:c>
      <x:c r="AA322" s="146" t="str">
        <x:v>high</x:v>
      </x:c>
      <x:c r="AB322" s="146" t="str">
        <x:v>high</x:v>
      </x:c>
      <x:c r="AC322" s="146"/>
      <x:c r="AD322" s="146"/>
      <x:c r="AE322" s="151" t="str">
        <x:v>OPS.resilience</x:v>
      </x:c>
      <x:c r="AF322" s="151" t="str">
        <x:v>OPS.resilience</x:v>
      </x:c>
      <x:c r="AG322" s="151" t="str">
        <x:v>proposal</x:v>
      </x:c>
      <x:c r="AH322" s="151" t="str">
        <x:v>decision</x:v>
      </x:c>
      <x:c r="AI322" s="154" t="n">
        <x:f>IF(K322,0,1)</x:f>
        <x:v>1</x:v>
      </x:c>
      <x:c r="AJ322" s="154" t="n">
        <x:f>IF(L322="keep",1,0)</x:f>
        <x:v>1</x:v>
      </x:c>
      <x:c r="AK322" s="154" t="n">
        <x:f>IF(M322="keep",1,0)</x:f>
        <x:v>1</x:v>
      </x:c>
      <x:c r="AL322" s="154" t="n">
        <x:f>(AJ322+AK322)/2</x:f>
        <x:v>1</x:v>
      </x:c>
      <x:c r="AM322" s="154" t="n">
        <x:f>MIN(AJ322,AK322)</x:f>
        <x:v>1</x:v>
      </x:c>
      <x:c r="AN322" s="154" t="n">
        <x:f>MAX(AJ322,AK322)</x:f>
        <x:v>1</x:v>
      </x:c>
      <x:c r="AO322" s="154" t="n">
        <x:f>IF(L322=M322,1,0)</x:f>
        <x:v>1</x:v>
      </x:c>
    </x:row>
    <x:row r="323">
      <x:c r="A323" s="38" t="str">
        <x:v>SV-0322</x:v>
      </x:c>
      <x:c r="B323" s="38" t="str">
        <x:v>PC-06014</x:v>
      </x:c>
      <x:c r="C323" s="38" t="str">
        <x:v>en|both</x:v>
      </x:c>
      <x:c r="D323" s="87" t="n">
        <x:v>19.069444444444443</x:v>
      </x:c>
      <x:c r="E323" s="38" t="str">
        <x:v>both</x:v>
      </x:c>
      <x:c r="F323" s="38" t="str">
        <x:v>UK_BoE_2020_OpportChall</x:v>
      </x:c>
      <x:c r="G323" s="38" t="n">
        <x:v>11</x:v>
      </x:c>
      <x:c r="H323" s="38" t="str">
        <x:v>en</x:v>
      </x:c>
      <x:c r="I323" s="38" t="str">
        <x:v>Bank of England and HM Treasury (digital pound)</x:v>
      </x:c>
      <x:c r="J323" s="38" t="str">
        <x:v>However, to be practical and attractive, CBDC would need to be directly convertible into cash and deposits.</x:v>
      </x:c>
      <x:c r="K323" s="142" t="b">
        <x:v>0</x:v>
      </x:c>
      <x:c r="L323" s="146" t="str">
        <x:v>keep</x:v>
      </x:c>
      <x:c r="M323" s="146" t="str">
        <x:v>keep</x:v>
      </x:c>
      <x:c r="N323" s="147" t="b">
        <x:v>1</x:v>
      </x:c>
      <x:c r="O323" s="146" t="str">
        <x:v>INTEROP.domestic</x:v>
      </x:c>
      <x:c r="P323" s="146" t="str">
        <x:v>CASH.relation</x:v>
      </x:c>
      <x:c r="Q323" s="146" t="str">
        <x:v>INTEROP</x:v>
      </x:c>
      <x:c r="R323" s="146" t="str">
        <x:v>CASH</x:v>
      </x:c>
      <x:c r="S323" s="146" t="str">
        <x:v>proposal</x:v>
      </x:c>
      <x:c r="T323" s="146" t="str">
        <x:v>finding</x:v>
      </x:c>
      <x:c r="U323" s="146" t="str">
        <x:v>neutral</x:v>
      </x:c>
      <x:c r="V323" s="146" t="str">
        <x:v>neutral</x:v>
      </x:c>
      <x:c r="W323" s="146" t="str">
        <x:v>not_applicable</x:v>
      </x:c>
      <x:c r="X323" s="146" t="str">
        <x:v>not_applicable</x:v>
      </x:c>
      <x:c r="Y323" s="146" t="n">
        <x:v>3</x:v>
      </x:c>
      <x:c r="Z323" s="146" t="n">
        <x:v>2</x:v>
      </x:c>
      <x:c r="AA323" s="146" t="str">
        <x:v>high</x:v>
      </x:c>
      <x:c r="AB323" s="146" t="str">
        <x:v>high</x:v>
      </x:c>
      <x:c r="AC323" s="146"/>
      <x:c r="AD323" s="146" t="str">
        <x:v>x</x:v>
      </x:c>
      <x:c r="AE323" s="151" t="str">
        <x:v>INTEROP.domestic</x:v>
      </x:c>
      <x:c r="AF323" s="151" t="str">
        <x:v>STAB.disintermediation</x:v>
      </x:c>
      <x:c r="AG323" s="151" t="str">
        <x:v>proposal</x:v>
      </x:c>
      <x:c r="AH323" s="151" t="str">
        <x:v>finding</x:v>
      </x:c>
      <x:c r="AI323" s="154" t="n">
        <x:f>IF(K323,0,1)</x:f>
        <x:v>1</x:v>
      </x:c>
      <x:c r="AJ323" s="154" t="n">
        <x:f>IF(L323="keep",1,0)</x:f>
        <x:v>1</x:v>
      </x:c>
      <x:c r="AK323" s="154" t="n">
        <x:f>IF(M323="keep",1,0)</x:f>
        <x:v>1</x:v>
      </x:c>
      <x:c r="AL323" s="154" t="n">
        <x:f>(AJ323+AK323)/2</x:f>
        <x:v>1</x:v>
      </x:c>
      <x:c r="AM323" s="154" t="n">
        <x:f>MIN(AJ323,AK323)</x:f>
        <x:v>1</x:v>
      </x:c>
      <x:c r="AN323" s="154" t="n">
        <x:f>MAX(AJ323,AK323)</x:f>
        <x:v>1</x:v>
      </x:c>
      <x:c r="AO323" s="154" t="n">
        <x:f>IF(L323=M323,1,0)</x:f>
        <x:v>1</x:v>
      </x:c>
    </x:row>
    <x:row r="324">
      <x:c r="A324" s="38" t="str">
        <x:v>SV-0323</x:v>
      </x:c>
      <x:c r="B324" s="38" t="str">
        <x:v>PC-03600</x:v>
      </x:c>
      <x:c r="C324" s="38" t="str">
        <x:v>en|both</x:v>
      </x:c>
      <x:c r="D324" s="87" t="n">
        <x:v>19.069444444444443</x:v>
      </x:c>
      <x:c r="E324" s="38" t="str">
        <x:v>both</x:v>
      </x:c>
      <x:c r="F324" s="38" t="str">
        <x:v>IT_BdI_MISP_2021</x:v>
      </x:c>
      <x:c r="G324" s="38" t="n">
        <x:v>48</x:v>
      </x:c>
      <x:c r="H324" s="38" t="str">
        <x:v>en</x:v>
      </x:c>
      <x:c r="I324" s="38" t="str">
        <x:v>Banca d'Italia research context</x:v>
      </x:c>
      <x:c r="J324" s="38" t="str">
        <x:v>the second version combines TIPS+ with a permissioned and programmable 
DLT based on Ethereum technology, which will be described in Section 
3.3.2. This second DLT enables the creation of a programmable digital 
euro aimed at addressing requirements of enhanced digital efficiency and 
competitive features, as referred to in the HLTF report on the D€.</x:v>
      </x:c>
      <x:c r="K324" s="142" t="b">
        <x:v>0</x:v>
      </x:c>
      <x:c r="L324" s="146" t="str">
        <x:v>keep</x:v>
      </x:c>
      <x:c r="M324" s="146" t="str">
        <x:v>keep</x:v>
      </x:c>
      <x:c r="N324" s="147" t="b">
        <x:v>1</x:v>
      </x:c>
      <x:c r="O324" s="146" t="str">
        <x:v>TECH.DLT</x:v>
      </x:c>
      <x:c r="P324" s="146" t="str">
        <x:v>TECH.DLT</x:v>
      </x:c>
      <x:c r="Q324" s="146" t="str">
        <x:v>TECH</x:v>
      </x:c>
      <x:c r="R324" s="146" t="str">
        <x:v>TECH</x:v>
      </x:c>
      <x:c r="S324" s="146" t="str">
        <x:v>finding</x:v>
      </x:c>
      <x:c r="T324" s="146" t="str">
        <x:v>finding</x:v>
      </x:c>
      <x:c r="U324" s="146" t="str">
        <x:v>neutral</x:v>
      </x:c>
      <x:c r="V324" s="146" t="str">
        <x:v>neutral</x:v>
      </x:c>
      <x:c r="W324" s="146" t="str">
        <x:v>not_applicable</x:v>
      </x:c>
      <x:c r="X324" s="146" t="str">
        <x:v>not_applicable</x:v>
      </x:c>
      <x:c r="Y324" s="146" t="n">
        <x:v>2</x:v>
      </x:c>
      <x:c r="Z324" s="146" t="n">
        <x:v>2</x:v>
      </x:c>
      <x:c r="AA324" s="146" t="str">
        <x:v>high</x:v>
      </x:c>
      <x:c r="AB324" s="146" t="str">
        <x:v>high</x:v>
      </x:c>
      <x:c r="AC324" s="146"/>
      <x:c r="AD324" s="146"/>
      <x:c r="AE324" s="151" t="str">
        <x:v>TECH.DLT</x:v>
      </x:c>
      <x:c r="AF324" s="151" t="str">
        <x:v>TECH.DLT</x:v>
      </x:c>
      <x:c r="AG324" s="151" t="str">
        <x:v>finding</x:v>
      </x:c>
      <x:c r="AH324" s="151" t="str">
        <x:v>finding</x:v>
      </x:c>
      <x:c r="AI324" s="154" t="n">
        <x:f>IF(K324,0,1)</x:f>
        <x:v>1</x:v>
      </x:c>
      <x:c r="AJ324" s="154" t="n">
        <x:f>IF(L324="keep",1,0)</x:f>
        <x:v>1</x:v>
      </x:c>
      <x:c r="AK324" s="154" t="n">
        <x:f>IF(M324="keep",1,0)</x:f>
        <x:v>1</x:v>
      </x:c>
      <x:c r="AL324" s="154" t="n">
        <x:f>(AJ324+AK324)/2</x:f>
        <x:v>1</x:v>
      </x:c>
      <x:c r="AM324" s="154" t="n">
        <x:f>MIN(AJ324,AK324)</x:f>
        <x:v>1</x:v>
      </x:c>
      <x:c r="AN324" s="154" t="n">
        <x:f>MAX(AJ324,AK324)</x:f>
        <x:v>1</x:v>
      </x:c>
      <x:c r="AO324" s="154" t="n">
        <x:f>IF(L324=M324,1,0)</x:f>
        <x:v>1</x:v>
      </x:c>
    </x:row>
    <x:row r="325">
      <x:c r="A325" s="38" t="str">
        <x:v>SV-0324</x:v>
      </x:c>
      <x:c r="B325" s="38" t="str">
        <x:v>PC-06781</x:v>
      </x:c>
      <x:c r="C325" s="38" t="str">
        <x:v>en|claude_only</x:v>
      </x:c>
      <x:c r="D325" s="87" t="n">
        <x:v>19.375</x:v>
      </x:c>
      <x:c r="E325" s="38" t="str">
        <x:v>claude_only</x:v>
      </x:c>
      <x:c r="F325" s="38" t="str">
        <x:v>ZA_SARB_Project_Khokha_2_Full_Report_6_April_2022</x:v>
      </x:c>
      <x:c r="G325" s="38" t="n">
        <x:v>34</x:v>
      </x:c>
      <x:c r="H325" s="38" t="str">
        <x:v>en</x:v>
      </x:c>
      <x:c r="I325" s="38" t="str">
        <x:v>South African Reserve Bank</x:v>
      </x:c>
      <x:c r="J325" s="38" t="str">
        <x:v>The 
verification of the value of the wCBDC is linked 
to the central bank as its issuer</x:v>
      </x:c>
      <x:c r="K325" s="142" t="b">
        <x:v>0</x:v>
      </x:c>
      <x:c r="L325" s="146" t="str">
        <x:v>exclude</x:v>
      </x:c>
      <x:c r="M325" s="146" t="str">
        <x:v>keep</x:v>
      </x:c>
      <x:c r="N325" s="147" t="b">
        <x:v>0</x:v>
      </x:c>
      <x:c r="O325" s="146"/>
      <x:c r="P325" s="146" t="str">
        <x:v>SYS.design</x:v>
      </x:c>
      <x:c r="Q325" s="146" t="str"/>
      <x:c r="R325" s="146" t="str">
        <x:v>SYS</x:v>
      </x:c>
      <x:c r="S325" s="146"/>
      <x:c r="T325" s="146" t="str">
        <x:v>finding</x:v>
      </x:c>
      <x:c r="U325" s="146"/>
      <x:c r="V325" s="146" t="str">
        <x:v>neutral</x:v>
      </x:c>
      <x:c r="W325" s="146"/>
      <x:c r="X325" s="146" t="str">
        <x:v>not_applicable</x:v>
      </x:c>
      <x:c r="Y325" s="146"/>
      <x:c r="Z325" s="146" t="n">
        <x:v>2</x:v>
      </x:c>
      <x:c r="AA325" s="146" t="str">
        <x:v>high</x:v>
      </x:c>
      <x:c r="AB325" s="146" t="str">
        <x:v>high</x:v>
      </x:c>
      <x:c r="AC325" s="146"/>
      <x:c r="AD325" s="146"/>
      <x:c r="AE325" s="151"/>
      <x:c r="AF325" s="151" t="str">
        <x:v>SYS.design</x:v>
      </x:c>
      <x:c r="AG325" s="151"/>
      <x:c r="AH325" s="151" t="str">
        <x:v>finding</x:v>
      </x:c>
      <x:c r="AI325" s="154" t="n">
        <x:f>IF(K325,0,1)</x:f>
        <x:v>1</x:v>
      </x:c>
      <x:c r="AJ325" s="154" t="n">
        <x:f>IF(L325="keep",1,0)</x:f>
        <x:v>0</x:v>
      </x:c>
      <x:c r="AK325" s="154" t="n">
        <x:f>IF(M325="keep",1,0)</x:f>
        <x:v>1</x:v>
      </x:c>
      <x:c r="AL325" s="154" t="n">
        <x:f>(AJ325+AK325)/2</x:f>
        <x:v>0.5</x:v>
      </x:c>
      <x:c r="AM325" s="154" t="n">
        <x:f>MIN(AJ325,AK325)</x:f>
        <x:v>0</x:v>
      </x:c>
      <x:c r="AN325" s="154" t="n">
        <x:f>MAX(AJ325,AK325)</x:f>
        <x:v>1</x:v>
      </x:c>
      <x:c r="AO325" s="154" t="n">
        <x:f>IF(L325=M325,1,0)</x:f>
        <x:v>0</x:v>
      </x:c>
    </x:row>
    <x:row r="326">
      <x:c r="A326" s="38" t="str">
        <x:v>SV-0325</x:v>
      </x:c>
      <x:c r="B326" s="38" t="str">
        <x:v>PC-05108</x:v>
      </x:c>
      <x:c r="C326" s="38" t="str">
        <x:v>ru/uk|both</x:v>
      </x:c>
      <x:c r="D326" s="87" t="n">
        <x:v>20</x:v>
      </x:c>
      <x:c r="E326" s="38" t="str">
        <x:v>both</x:v>
      </x:c>
      <x:c r="F326" s="38" t="str">
        <x:v>RU_Russia_digital_ruble_30062025</x:v>
      </x:c>
      <x:c r="G326" s="38" t="n">
        <x:v>24</x:v>
      </x:c>
      <x:c r="H326" s="38" t="str">
        <x:v>ru/uk</x:v>
      </x:c>
      <x:c r="I326" s="38" t="str">
        <x:v>Bank of Russia (digital ruble)</x:v>
      </x:c>
      <x:c r="J326" s="38" t="str">
        <x:v>Реализация указанных выше подходов позволяет обеспечить целостность и конфиденциальность 
информации при проведении пользователями операций с цифровыми рублями. Под защитой 
находятся сведения о средствах на счетах цифрового рубля, о транзакциях с цифровыми 
рублями и информация, необходимая для авторизации и идентификации пользователей, включая 
персональные данные.</x:v>
      </x:c>
      <x:c r="K326" s="142" t="b">
        <x:v>0</x:v>
      </x:c>
      <x:c r="L326" s="146" t="str">
        <x:v>keep</x:v>
      </x:c>
      <x:c r="M326" s="146" t="str">
        <x:v>keep</x:v>
      </x:c>
      <x:c r="N326" s="147" t="b">
        <x:v>1</x:v>
      </x:c>
      <x:c r="O326" s="146" t="str">
        <x:v>PRIV.MIN</x:v>
      </x:c>
      <x:c r="P326" s="146" t="str">
        <x:v>OPS.resilience</x:v>
      </x:c>
      <x:c r="Q326" s="146" t="str">
        <x:v>PRIV</x:v>
      </x:c>
      <x:c r="R326" s="146" t="str">
        <x:v>OPS</x:v>
      </x:c>
      <x:c r="S326" s="146" t="str">
        <x:v>decision</x:v>
      </x:c>
      <x:c r="T326" s="146" t="str">
        <x:v>decision</x:v>
      </x:c>
      <x:c r="U326" s="146" t="str">
        <x:v>increases</x:v>
      </x:c>
      <x:c r="V326" s="146" t="str">
        <x:v>neutral</x:v>
      </x:c>
      <x:c r="W326" s="146" t="str">
        <x:v>from_state</x:v>
      </x:c>
      <x:c r="X326" s="146" t="str">
        <x:v>not_applicable</x:v>
      </x:c>
      <x:c r="Y326" s="146" t="n">
        <x:v>2</x:v>
      </x:c>
      <x:c r="Z326" s="146" t="n">
        <x:v>2</x:v>
      </x:c>
      <x:c r="AA326" s="146" t="str">
        <x:v>high</x:v>
      </x:c>
      <x:c r="AB326" s="146" t="str">
        <x:v>high</x:v>
      </x:c>
      <x:c r="AC326" s="146"/>
      <x:c r="AD326" s="146"/>
      <x:c r="AE326" s="151" t="str">
        <x:v>OPS.resilience</x:v>
      </x:c>
      <x:c r="AF326" s="151" t="str">
        <x:v>OPS.resilience</x:v>
      </x:c>
      <x:c r="AG326" s="151" t="str">
        <x:v>decision</x:v>
      </x:c>
      <x:c r="AH326" s="151" t="str">
        <x:v>decision</x:v>
      </x:c>
      <x:c r="AI326" s="154" t="n">
        <x:f>IF(K326,0,1)</x:f>
        <x:v>1</x:v>
      </x:c>
      <x:c r="AJ326" s="154" t="n">
        <x:f>IF(L326="keep",1,0)</x:f>
        <x:v>1</x:v>
      </x:c>
      <x:c r="AK326" s="154" t="n">
        <x:f>IF(M326="keep",1,0)</x:f>
        <x:v>1</x:v>
      </x:c>
      <x:c r="AL326" s="154" t="n">
        <x:f>(AJ326+AK326)/2</x:f>
        <x:v>1</x:v>
      </x:c>
      <x:c r="AM326" s="154" t="n">
        <x:f>MIN(AJ326,AK326)</x:f>
        <x:v>1</x:v>
      </x:c>
      <x:c r="AN326" s="154" t="n">
        <x:f>MAX(AJ326,AK326)</x:f>
        <x:v>1</x:v>
      </x:c>
      <x:c r="AO326" s="154" t="n">
        <x:f>IF(L326=M326,1,0)</x:f>
        <x:v>1</x:v>
      </x:c>
    </x:row>
    <x:row r="327">
      <x:c r="A327" s="38" t="str">
        <x:v>SV-0326</x:v>
      </x:c>
      <x:c r="B327" s="38" t="str">
        <x:v>PC-04598</x:v>
      </x:c>
      <x:c r="C327" s="38" t="str">
        <x:v>en|both</x:v>
      </x:c>
      <x:c r="D327" s="87" t="n">
        <x:v>19.069444444444443</x:v>
      </x:c>
      <x:c r="E327" s="38" t="str">
        <x:v>both</x:v>
      </x:c>
      <x:c r="F327" s="38" t="str">
        <x:v>NZ_RBNZ_cbdc-insights-dossier-for-public-1</x:v>
      </x:c>
      <x:c r="G327" s="38" t="n">
        <x:v>46</x:v>
      </x:c>
      <x:c r="H327" s="38" t="str">
        <x:v>en</x:v>
      </x:c>
      <x:c r="I327" s="38" t="str">
        <x:v>Reserve Bank of New Zealand (digital cash/CBDC)</x:v>
      </x:c>
      <x:c r="J327" s="38" t="str">
        <x:v>Rationale:Offline capability will be an important feature of a NZ CBDC, as users will be able to spend/transfer/ receive CBDC without access to the internet or cellular data.</x:v>
      </x:c>
      <x:c r="K327" s="142" t="b">
        <x:v>0</x:v>
      </x:c>
      <x:c r="L327" s="146" t="str">
        <x:v>keep</x:v>
      </x:c>
      <x:c r="M327" s="146" t="str">
        <x:v>keep</x:v>
      </x:c>
      <x:c r="N327" s="147" t="b">
        <x:v>1</x:v>
      </x:c>
      <x:c r="O327" s="146" t="str">
        <x:v>ACCESS.universal</x:v>
      </x:c>
      <x:c r="P327" s="146" t="str">
        <x:v>OPS.resilience</x:v>
      </x:c>
      <x:c r="Q327" s="146" t="str">
        <x:v>ACCESS</x:v>
      </x:c>
      <x:c r="R327" s="146" t="str">
        <x:v>OPS</x:v>
      </x:c>
      <x:c r="S327" s="146" t="str">
        <x:v>proposal</x:v>
      </x:c>
      <x:c r="T327" s="146" t="str">
        <x:v>proposal</x:v>
      </x:c>
      <x:c r="U327" s="146" t="str">
        <x:v>neutral</x:v>
      </x:c>
      <x:c r="V327" s="146" t="str">
        <x:v>neutral</x:v>
      </x:c>
      <x:c r="W327" s="146" t="str">
        <x:v>not_applicable</x:v>
      </x:c>
      <x:c r="X327" s="146" t="str">
        <x:v>not_applicable</x:v>
      </x:c>
      <x:c r="Y327" s="146" t="n">
        <x:v>2</x:v>
      </x:c>
      <x:c r="Z327" s="146" t="n">
        <x:v>3</x:v>
      </x:c>
      <x:c r="AA327" s="146" t="str">
        <x:v>high</x:v>
      </x:c>
      <x:c r="AB327" s="146" t="str">
        <x:v>high</x:v>
      </x:c>
      <x:c r="AC327" s="146"/>
      <x:c r="AD327" s="146" t="str">
        <x:v>x</x:v>
      </x:c>
      <x:c r="AE327" s="151" t="str">
        <x:v>PROG.generic</x:v>
      </x:c>
      <x:c r="AF327" s="151" t="str">
        <x:v>ACCESS.universal</x:v>
      </x:c>
      <x:c r="AG327" s="151" t="str">
        <x:v>proposal</x:v>
      </x:c>
      <x:c r="AH327" s="151" t="str">
        <x:v>proposal</x:v>
      </x:c>
      <x:c r="AI327" s="154" t="n">
        <x:f>IF(K327,0,1)</x:f>
        <x:v>1</x:v>
      </x:c>
      <x:c r="AJ327" s="154" t="n">
        <x:f>IF(L327="keep",1,0)</x:f>
        <x:v>1</x:v>
      </x:c>
      <x:c r="AK327" s="154" t="n">
        <x:f>IF(M327="keep",1,0)</x:f>
        <x:v>1</x:v>
      </x:c>
      <x:c r="AL327" s="154" t="n">
        <x:f>(AJ327+AK327)/2</x:f>
        <x:v>1</x:v>
      </x:c>
      <x:c r="AM327" s="154" t="n">
        <x:f>MIN(AJ327,AK327)</x:f>
        <x:v>1</x:v>
      </x:c>
      <x:c r="AN327" s="154" t="n">
        <x:f>MAX(AJ327,AK327)</x:f>
        <x:v>1</x:v>
      </x:c>
      <x:c r="AO327" s="154" t="n">
        <x:f>IF(L327=M327,1,0)</x:f>
        <x:v>1</x:v>
      </x:c>
    </x:row>
    <x:row r="328">
      <x:c r="A328" s="38" t="str">
        <x:v>SV-0327</x:v>
      </x:c>
      <x:c r="B328" s="38" t="str">
        <x:v>PC-05942</x:v>
      </x:c>
      <x:c r="C328" s="38" t="str">
        <x:v>en|both</x:v>
      </x:c>
      <x:c r="D328" s="87" t="n">
        <x:v>19.069444444444443</x:v>
      </x:c>
      <x:c r="E328" s="38" t="str">
        <x:v>both</x:v>
      </x:c>
      <x:c r="F328" s="38" t="str">
        <x:v>UA_NBU_E-hryvnia_2019</x:v>
      </x:c>
      <x:c r="G328" s="38" t="n">
        <x:v>29</x:v>
      </x:c>
      <x:c r="H328" s="38" t="str">
        <x:v>en</x:v>
      </x:c>
      <x:c r="I328" s="38" t="str">
        <x:v>National Bank of Ukraine (e-hryvnia pilot)</x:v>
      </x:c>
      <x:c r="J328" s="38" t="str">
        <x:v>Considering that the Pilot Project had a limited list of 
transaction types and a limited range of users, as well as the 
minor quantity and volumes of executed transactions, the 
project did not fully uncover the instrument’s att ractiveness 
and the potential level of involvement of Ukraine's population 
in using it.</x:v>
      </x:c>
      <x:c r="K328" s="142" t="b">
        <x:v>0</x:v>
      </x:c>
      <x:c r="L328" s="146" t="str">
        <x:v>keep</x:v>
      </x:c>
      <x:c r="M328" s="146" t="str">
        <x:v>keep</x:v>
      </x:c>
      <x:c r="N328" s="147" t="b">
        <x:v>1</x:v>
      </x:c>
      <x:c r="O328" s="146" t="str">
        <x:v>PROC.pilot_learning</x:v>
      </x:c>
      <x:c r="P328" s="146" t="str">
        <x:v>ADOPT.experience</x:v>
      </x:c>
      <x:c r="Q328" s="146" t="str">
        <x:v>PROC</x:v>
      </x:c>
      <x:c r="R328" s="146" t="str">
        <x:v>ADOPT</x:v>
      </x:c>
      <x:c r="S328" s="146" t="str">
        <x:v>finding</x:v>
      </x:c>
      <x:c r="T328" s="146" t="str">
        <x:v>finding</x:v>
      </x:c>
      <x:c r="U328" s="146" t="str">
        <x:v>neutral</x:v>
      </x:c>
      <x:c r="V328" s="146" t="str">
        <x:v>neutral</x:v>
      </x:c>
      <x:c r="W328" s="146" t="str">
        <x:v>not_applicable</x:v>
      </x:c>
      <x:c r="X328" s="146" t="str">
        <x:v>not_applicable</x:v>
      </x:c>
      <x:c r="Y328" s="146" t="n">
        <x:v>3</x:v>
      </x:c>
      <x:c r="Z328" s="146" t="n">
        <x:v>2</x:v>
      </x:c>
      <x:c r="AA328" s="146" t="str">
        <x:v>high</x:v>
      </x:c>
      <x:c r="AB328" s="146" t="str">
        <x:v>high</x:v>
      </x:c>
      <x:c r="AC328" s="146"/>
      <x:c r="AD328" s="146"/>
      <x:c r="AE328" s="151" t="str">
        <x:v>ADOPT.experience</x:v>
      </x:c>
      <x:c r="AF328" s="151" t="str">
        <x:v>ADOPT.experience</x:v>
      </x:c>
      <x:c r="AG328" s="151" t="str">
        <x:v>finding</x:v>
      </x:c>
      <x:c r="AH328" s="151" t="str">
        <x:v>finding</x:v>
      </x:c>
      <x:c r="AI328" s="154" t="n">
        <x:f>IF(K328,0,1)</x:f>
        <x:v>1</x:v>
      </x:c>
      <x:c r="AJ328" s="154" t="n">
        <x:f>IF(L328="keep",1,0)</x:f>
        <x:v>1</x:v>
      </x:c>
      <x:c r="AK328" s="154" t="n">
        <x:f>IF(M328="keep",1,0)</x:f>
        <x:v>1</x:v>
      </x:c>
      <x:c r="AL328" s="154" t="n">
        <x:f>(AJ328+AK328)/2</x:f>
        <x:v>1</x:v>
      </x:c>
      <x:c r="AM328" s="154" t="n">
        <x:f>MIN(AJ328,AK328)</x:f>
        <x:v>1</x:v>
      </x:c>
      <x:c r="AN328" s="154" t="n">
        <x:f>MAX(AJ328,AK328)</x:f>
        <x:v>1</x:v>
      </x:c>
      <x:c r="AO328" s="154" t="n">
        <x:f>IF(L328=M328,1,0)</x:f>
        <x:v>1</x:v>
      </x:c>
    </x:row>
    <x:row r="329">
      <x:c r="A329" s="38" t="str">
        <x:v>SV-0328</x:v>
      </x:c>
      <x:c r="B329" s="38" t="str">
        <x:v>PC-04846</x:v>
      </x:c>
      <x:c r="C329" s="38" t="str">
        <x:v>ru/uk|openai_only</x:v>
      </x:c>
      <x:c r="D329" s="87" t="n">
        <x:v>20.33333333333333</x:v>
      </x:c>
      <x:c r="E329" s="38" t="str">
        <x:v>openai_only</x:v>
      </x:c>
      <x:c r="F329" s="38" t="str">
        <x:v>RU_Russia_concept_08042021</x:v>
      </x:c>
      <x:c r="G329" s="38" t="n">
        <x:v>19</x:v>
      </x:c>
      <x:c r="H329" s="38" t="str">
        <x:v>ru/uk</x:v>
      </x:c>
      <x:c r="I329" s="38" t="str">
        <x:v>Bank of Russia (digital ruble)</x:v>
      </x:c>
      <x:c r="J329" s="38" t="str">
        <x:v>При платежах в офлайн-режиме клиент-отправитель должен будет ввести сумму перево -
да, а затем подтвердить перевод.</x:v>
      </x:c>
      <x:c r="K329" s="142" t="b">
        <x:v>0</x:v>
      </x:c>
      <x:c r="L329" s="146" t="str">
        <x:v>exclude</x:v>
      </x:c>
      <x:c r="M329" s="146" t="str">
        <x:v>exclude</x:v>
      </x:c>
      <x:c r="N329" s="147" t="b">
        <x:v>1</x:v>
      </x:c>
      <x:c r="O329" s="146"/>
      <x:c r="P329" s="146"/>
      <x:c r="Q329" s="146" t="str"/>
      <x:c r="R329" s="146" t="str"/>
      <x:c r="S329" s="146"/>
      <x:c r="T329" s="146"/>
      <x:c r="U329" s="146"/>
      <x:c r="V329" s="146"/>
      <x:c r="W329" s="146"/>
      <x:c r="X329" s="146"/>
      <x:c r="Y329" s="146"/>
      <x:c r="Z329" s="146"/>
      <x:c r="AA329" s="146" t="str">
        <x:v>high</x:v>
      </x:c>
      <x:c r="AB329" s="146" t="str">
        <x:v>high</x:v>
      </x:c>
      <x:c r="AC329" s="146"/>
      <x:c r="AD329" s="146"/>
      <x:c r="AE329" s="151" t="str">
        <x:v>PROG.generic</x:v>
      </x:c>
      <x:c r="AF329" s="151"/>
      <x:c r="AG329" s="151" t="str">
        <x:v>decision</x:v>
      </x:c>
      <x:c r="AH329" s="151"/>
      <x:c r="AI329" s="154" t="n">
        <x:f>IF(K329,0,1)</x:f>
        <x:v>1</x:v>
      </x:c>
      <x:c r="AJ329" s="154" t="n">
        <x:f>IF(L329="keep",1,0)</x:f>
        <x:v>0</x:v>
      </x:c>
      <x:c r="AK329" s="154" t="n">
        <x:f>IF(M329="keep",1,0)</x:f>
        <x:v>0</x:v>
      </x:c>
      <x:c r="AL329" s="154" t="n">
        <x:f>(AJ329+AK329)/2</x:f>
        <x:v>0</x:v>
      </x:c>
      <x:c r="AM329" s="154" t="n">
        <x:f>MIN(AJ329,AK329)</x:f>
        <x:v>0</x:v>
      </x:c>
      <x:c r="AN329" s="154" t="n">
        <x:f>MAX(AJ329,AK329)</x:f>
        <x:v>0</x:v>
      </x:c>
      <x:c r="AO329" s="154" t="n">
        <x:f>IF(L329=M329,1,0)</x:f>
        <x:v>1</x:v>
      </x:c>
    </x:row>
    <x:row r="330">
      <x:c r="A330" s="38" t="str">
        <x:v>SV-0329</x:v>
      </x:c>
      <x:c r="B330" s="38" t="str">
        <x:v>PC-04299</x:v>
      </x:c>
      <x:c r="C330" s="38" t="str">
        <x:v>en|both</x:v>
      </x:c>
      <x:c r="D330" s="87" t="n">
        <x:v>19.069444444444443</x:v>
      </x:c>
      <x:c r="E330" s="38" t="str">
        <x:v>both</x:v>
      </x:c>
      <x:c r="F330" s="38" t="str">
        <x:v>NO_Norway_norges-bank-memo-1-2021</x:v>
      </x:c>
      <x:c r="G330" s="38" t="n">
        <x:v>13</x:v>
      </x:c>
      <x:c r="H330" s="38" t="str">
        <x:v>en</x:v>
      </x:c>
      <x:c r="I330" s="38" t="str">
        <x:v>Norges Bank (Norwegian CBDC work)</x:v>
      </x:c>
      <x:c r="J330" s="38" t="str">
        <x:v>DSP fremstår som mer attraktivt enn 
bankinnskudd og kan få høyere markedsverdi i et «skyggemarked».</x:v>
      </x:c>
      <x:c r="K330" s="142" t="b">
        <x:v>0</x:v>
      </x:c>
      <x:c r="L330" s="146" t="str">
        <x:v>keep</x:v>
      </x:c>
      <x:c r="M330" s="146" t="str">
        <x:v>keep</x:v>
      </x:c>
      <x:c r="N330" s="147" t="b">
        <x:v>1</x:v>
      </x:c>
      <x:c r="O330" s="146" t="str">
        <x:v>ACCESS.universal</x:v>
      </x:c>
      <x:c r="P330" s="146" t="str">
        <x:v>STAB.disintermediation</x:v>
      </x:c>
      <x:c r="Q330" s="146" t="str">
        <x:v>ACCESS</x:v>
      </x:c>
      <x:c r="R330" s="146" t="str">
        <x:v>STAB</x:v>
      </x:c>
      <x:c r="S330" s="146" t="str">
        <x:v>decision</x:v>
      </x:c>
      <x:c r="T330" s="146" t="str">
        <x:v>finding</x:v>
      </x:c>
      <x:c r="U330" s="146" t="str">
        <x:v>neutral</x:v>
      </x:c>
      <x:c r="V330" s="146" t="str">
        <x:v>neutral</x:v>
      </x:c>
      <x:c r="W330" s="146" t="str">
        <x:v>not_applicable</x:v>
      </x:c>
      <x:c r="X330" s="146" t="str">
        <x:v>not_applicable</x:v>
      </x:c>
      <x:c r="Y330" s="146" t="n">
        <x:v>3</x:v>
      </x:c>
      <x:c r="Z330" s="146" t="n">
        <x:v>2</x:v>
      </x:c>
      <x:c r="AA330" s="146" t="str">
        <x:v>high</x:v>
      </x:c>
      <x:c r="AB330" s="146" t="str">
        <x:v>high</x:v>
      </x:c>
      <x:c r="AC330" s="146"/>
      <x:c r="AD330" s="146"/>
      <x:c r="AE330" s="151" t="str">
        <x:v>ACCESS.universal</x:v>
      </x:c>
      <x:c r="AF330" s="151" t="str">
        <x:v>STAB.disintermediation</x:v>
      </x:c>
      <x:c r="AG330" s="151" t="str">
        <x:v>decision</x:v>
      </x:c>
      <x:c r="AH330" s="151" t="str">
        <x:v>finding</x:v>
      </x:c>
      <x:c r="AI330" s="154" t="n">
        <x:f>IF(K330,0,1)</x:f>
        <x:v>1</x:v>
      </x:c>
      <x:c r="AJ330" s="154" t="n">
        <x:f>IF(L330="keep",1,0)</x:f>
        <x:v>1</x:v>
      </x:c>
      <x:c r="AK330" s="154" t="n">
        <x:f>IF(M330="keep",1,0)</x:f>
        <x:v>1</x:v>
      </x:c>
      <x:c r="AL330" s="154" t="n">
        <x:f>(AJ330+AK330)/2</x:f>
        <x:v>1</x:v>
      </x:c>
      <x:c r="AM330" s="154" t="n">
        <x:f>MIN(AJ330,AK330)</x:f>
        <x:v>1</x:v>
      </x:c>
      <x:c r="AN330" s="154" t="n">
        <x:f>MAX(AJ330,AK330)</x:f>
        <x:v>1</x:v>
      </x:c>
      <x:c r="AO330" s="154" t="n">
        <x:f>IF(L330=M330,1,0)</x:f>
        <x:v>1</x:v>
      </x:c>
    </x:row>
    <x:row r="331">
      <x:c r="A331" s="38" t="str">
        <x:v>SV-0330</x:v>
      </x:c>
      <x:c r="B331" s="38" t="str">
        <x:v>PC-03674</x:v>
      </x:c>
      <x:c r="C331" s="38" t="str">
        <x:v>en|both</x:v>
      </x:c>
      <x:c r="D331" s="87" t="n">
        <x:v>19.069444444444443</x:v>
      </x:c>
      <x:c r="E331" s="38" t="str">
        <x:v>both</x:v>
      </x:c>
      <x:c r="F331" s="38" t="str">
        <x:v>JP_BoJ_2022</x:v>
      </x:c>
      <x:c r="G331" s="38" t="n">
        <x:v>7</x:v>
      </x:c>
      <x:c r="H331" s="38" t="str">
        <x:v>en</x:v>
      </x:c>
      <x:c r="I331" s="38" t="str">
        <x:v>Bank of Japan</x:v>
      </x:c>
      <x:c r="J331" s="38" t="str">
        <x:v>Under the base scenario, each of the designs achieved a throughput of 500 transactions per 
second, which was the target we had set beforehand, a latency of roughly 10 milliseconds, and 
CPU utilization rates of 10 to 30% (Figure 3).</x:v>
      </x:c>
      <x:c r="K331" s="142" t="b">
        <x:v>0</x:v>
      </x:c>
      <x:c r="L331" s="146" t="str">
        <x:v>keep</x:v>
      </x:c>
      <x:c r="M331" s="146" t="str">
        <x:v>keep</x:v>
      </x:c>
      <x:c r="N331" s="147" t="b">
        <x:v>1</x:v>
      </x:c>
      <x:c r="O331" s="146" t="str">
        <x:v>PROC.pilot_learning</x:v>
      </x:c>
      <x:c r="P331" s="146" t="str">
        <x:v>PROC.pilot_learning</x:v>
      </x:c>
      <x:c r="Q331" s="146" t="str">
        <x:v>PROC</x:v>
      </x:c>
      <x:c r="R331" s="146" t="str">
        <x:v>PROC</x:v>
      </x:c>
      <x:c r="S331" s="146" t="str">
        <x:v>finding</x:v>
      </x:c>
      <x:c r="T331" s="146" t="str">
        <x:v>finding</x:v>
      </x:c>
      <x:c r="U331" s="146" t="str">
        <x:v>neutral</x:v>
      </x:c>
      <x:c r="V331" s="146" t="str">
        <x:v>neutral</x:v>
      </x:c>
      <x:c r="W331" s="146" t="str">
        <x:v>not_applicable</x:v>
      </x:c>
      <x:c r="X331" s="146" t="str">
        <x:v>not_applicable</x:v>
      </x:c>
      <x:c r="Y331" s="146" t="n">
        <x:v>3</x:v>
      </x:c>
      <x:c r="Z331" s="146" t="n">
        <x:v>3</x:v>
      </x:c>
      <x:c r="AA331" s="146" t="str">
        <x:v>high</x:v>
      </x:c>
      <x:c r="AB331" s="146" t="str">
        <x:v>high</x:v>
      </x:c>
      <x:c r="AC331" s="146"/>
      <x:c r="AD331" s="146"/>
      <x:c r="AE331" s="151" t="str">
        <x:v>PROC.pilot_learning</x:v>
      </x:c>
      <x:c r="AF331" s="151" t="str">
        <x:v>PROC.pilot_learning</x:v>
      </x:c>
      <x:c r="AG331" s="151" t="str">
        <x:v>finding</x:v>
      </x:c>
      <x:c r="AH331" s="151" t="str">
        <x:v>finding</x:v>
      </x:c>
      <x:c r="AI331" s="154" t="n">
        <x:f>IF(K331,0,1)</x:f>
        <x:v>1</x:v>
      </x:c>
      <x:c r="AJ331" s="154" t="n">
        <x:f>IF(L331="keep",1,0)</x:f>
        <x:v>1</x:v>
      </x:c>
      <x:c r="AK331" s="154" t="n">
        <x:f>IF(M331="keep",1,0)</x:f>
        <x:v>1</x:v>
      </x:c>
      <x:c r="AL331" s="154" t="n">
        <x:f>(AJ331+AK331)/2</x:f>
        <x:v>1</x:v>
      </x:c>
      <x:c r="AM331" s="154" t="n">
        <x:f>MIN(AJ331,AK331)</x:f>
        <x:v>1</x:v>
      </x:c>
      <x:c r="AN331" s="154" t="n">
        <x:f>MAX(AJ331,AK331)</x:f>
        <x:v>1</x:v>
      </x:c>
      <x:c r="AO331" s="154" t="n">
        <x:f>IF(L331=M331,1,0)</x:f>
        <x:v>1</x:v>
      </x:c>
    </x:row>
    <x:row r="332">
      <x:c r="A332" s="38" t="str">
        <x:v>SV-0331</x:v>
      </x:c>
      <x:c r="B332" s="38" t="str">
        <x:v>PC-04135</x:v>
      </x:c>
      <x:c r="C332" s="38" t="str">
        <x:v>en|claude_only</x:v>
      </x:c>
      <x:c r="D332" s="87" t="n">
        <x:v>19.375</x:v>
      </x:c>
      <x:c r="E332" s="38" t="str">
        <x:v>claude_only</x:v>
      </x:c>
      <x:c r="F332" s="38" t="str">
        <x:v>NO_Norway_nb_memo_2_19_dsp</x:v>
      </x:c>
      <x:c r="G332" s="38" t="n">
        <x:v>28</x:v>
      </x:c>
      <x:c r="H332" s="38" t="str">
        <x:v>en</x:v>
      </x:c>
      <x:c r="I332" s="38" t="str">
        <x:v>Norges Bank (Norwegian CBDC work)</x:v>
      </x:c>
      <x:c r="J332" s="38" t="str">
        <x:v>Som nevnt over vil et system for registerbaserte tokenpenger i prinsippet basere seg 
på at brukerne har tilgang til internett (er online) og at sentralbankens 
valideringssystem er operativt.</x:v>
      </x:c>
      <x:c r="K332" s="142" t="b">
        <x:v>0</x:v>
      </x:c>
      <x:c r="L332" s="146" t="str">
        <x:v>exclude</x:v>
      </x:c>
      <x:c r="M332" s="146" t="str">
        <x:v>keep</x:v>
      </x:c>
      <x:c r="N332" s="147" t="b">
        <x:v>0</x:v>
      </x:c>
      <x:c r="O332" s="146"/>
      <x:c r="P332" s="146" t="str">
        <x:v>OPS.resilience</x:v>
      </x:c>
      <x:c r="Q332" s="146" t="str"/>
      <x:c r="R332" s="146" t="str">
        <x:v>OPS</x:v>
      </x:c>
      <x:c r="S332" s="146"/>
      <x:c r="T332" s="146" t="str">
        <x:v>proposal</x:v>
      </x:c>
      <x:c r="U332" s="146"/>
      <x:c r="V332" s="146" t="str">
        <x:v>neutral</x:v>
      </x:c>
      <x:c r="W332" s="146"/>
      <x:c r="X332" s="146" t="str">
        <x:v>not_applicable</x:v>
      </x:c>
      <x:c r="Y332" s="146"/>
      <x:c r="Z332" s="146" t="n">
        <x:v>2</x:v>
      </x:c>
      <x:c r="AA332" s="146" t="str">
        <x:v>high</x:v>
      </x:c>
      <x:c r="AB332" s="146" t="str">
        <x:v>high</x:v>
      </x:c>
      <x:c r="AC332" s="146"/>
      <x:c r="AD332" s="146"/>
      <x:c r="AE332" s="151"/>
      <x:c r="AF332" s="151" t="str">
        <x:v>OPS.resilience</x:v>
      </x:c>
      <x:c r="AG332" s="151"/>
      <x:c r="AH332" s="151" t="str">
        <x:v>proposal</x:v>
      </x:c>
      <x:c r="AI332" s="154" t="n">
        <x:f>IF(K332,0,1)</x:f>
        <x:v>1</x:v>
      </x:c>
      <x:c r="AJ332" s="154" t="n">
        <x:f>IF(L332="keep",1,0)</x:f>
        <x:v>0</x:v>
      </x:c>
      <x:c r="AK332" s="154" t="n">
        <x:f>IF(M332="keep",1,0)</x:f>
        <x:v>1</x:v>
      </x:c>
      <x:c r="AL332" s="154" t="n">
        <x:f>(AJ332+AK332)/2</x:f>
        <x:v>0.5</x:v>
      </x:c>
      <x:c r="AM332" s="154" t="n">
        <x:f>MIN(AJ332,AK332)</x:f>
        <x:v>0</x:v>
      </x:c>
      <x:c r="AN332" s="154" t="n">
        <x:f>MAX(AJ332,AK332)</x:f>
        <x:v>1</x:v>
      </x:c>
      <x:c r="AO332" s="154" t="n">
        <x:f>IF(L332=M332,1,0)</x:f>
        <x:v>0</x:v>
      </x:c>
    </x:row>
    <x:row r="333">
      <x:c r="A333" s="38" t="str">
        <x:v>SV-0332</x:v>
      </x:c>
      <x:c r="B333" s="38" t="str">
        <x:v>PC-02332</x:v>
      </x:c>
      <x:c r="C333" s="38" t="str">
        <x:v>en|both</x:v>
      </x:c>
      <x:c r="D333" s="87" t="n">
        <x:v>19.069444444444443</x:v>
      </x:c>
      <x:c r="E333" s="38" t="str">
        <x:v>both</x:v>
      </x:c>
      <x:c r="F333" s="38" t="str">
        <x:v>ID_Indonesia_2022</x:v>
      </x:c>
      <x:c r="G333" s="38" t="n">
        <x:v>34</x:v>
      </x:c>
      <x:c r="H333" s="38" t="str">
        <x:v>en</x:v>
      </x:c>
      <x:c r="I333" s="38" t="str">
        <x:v>Bank Indonesia (Digital Rupiah)</x:v>
      </x:c>
      <x:c r="J333" s="38" t="str">
        <x:v>R-Digital	Rupiah	is	accessible	via	account- 	
and token-based, arranged based on users’ 
segmentation	(tiering)	and	transactions 	
value cap.</x:v>
      </x:c>
      <x:c r="K333" s="142" t="b">
        <x:v>0</x:v>
      </x:c>
      <x:c r="L333" s="146" t="str">
        <x:v>keep</x:v>
      </x:c>
      <x:c r="M333" s="146" t="str">
        <x:v>keep</x:v>
      </x:c>
      <x:c r="N333" s="147" t="b">
        <x:v>1</x:v>
      </x:c>
      <x:c r="O333" s="146" t="str">
        <x:v>AML.LIMIT</x:v>
      </x:c>
      <x:c r="P333" s="146" t="str">
        <x:v>AML.LIMIT</x:v>
      </x:c>
      <x:c r="Q333" s="146" t="str">
        <x:v>AML</x:v>
      </x:c>
      <x:c r="R333" s="146" t="str">
        <x:v>AML</x:v>
      </x:c>
      <x:c r="S333" s="146" t="str">
        <x:v>decision</x:v>
      </x:c>
      <x:c r="T333" s="146" t="str">
        <x:v>decision</x:v>
      </x:c>
      <x:c r="U333" s="146" t="str">
        <x:v>neutral</x:v>
      </x:c>
      <x:c r="V333" s="146" t="str">
        <x:v>neutral</x:v>
      </x:c>
      <x:c r="W333" s="146" t="str">
        <x:v>not_applicable</x:v>
      </x:c>
      <x:c r="X333" s="146" t="str">
        <x:v>not_applicable</x:v>
      </x:c>
      <x:c r="Y333" s="146" t="n">
        <x:v>2</x:v>
      </x:c>
      <x:c r="Z333" s="146" t="n">
        <x:v>3</x:v>
      </x:c>
      <x:c r="AA333" s="146" t="str">
        <x:v>high</x:v>
      </x:c>
      <x:c r="AB333" s="146" t="str">
        <x:v>high</x:v>
      </x:c>
      <x:c r="AC333" s="146"/>
      <x:c r="AD333" s="146" t="str">
        <x:v>x</x:v>
      </x:c>
      <x:c r="AE333" s="151" t="str">
        <x:v>SYS.design</x:v>
      </x:c>
      <x:c r="AF333" s="151" t="str">
        <x:v>KYC.TIER</x:v>
      </x:c>
      <x:c r="AG333" s="151" t="str">
        <x:v>decision</x:v>
      </x:c>
      <x:c r="AH333" s="151" t="str">
        <x:v>decision</x:v>
      </x:c>
      <x:c r="AI333" s="154" t="n">
        <x:f>IF(K333,0,1)</x:f>
        <x:v>1</x:v>
      </x:c>
      <x:c r="AJ333" s="154" t="n">
        <x:f>IF(L333="keep",1,0)</x:f>
        <x:v>1</x:v>
      </x:c>
      <x:c r="AK333" s="154" t="n">
        <x:f>IF(M333="keep",1,0)</x:f>
        <x:v>1</x:v>
      </x:c>
      <x:c r="AL333" s="154" t="n">
        <x:f>(AJ333+AK333)/2</x:f>
        <x:v>1</x:v>
      </x:c>
      <x:c r="AM333" s="154" t="n">
        <x:f>MIN(AJ333,AK333)</x:f>
        <x:v>1</x:v>
      </x:c>
      <x:c r="AN333" s="154" t="n">
        <x:f>MAX(AJ333,AK333)</x:f>
        <x:v>1</x:v>
      </x:c>
      <x:c r="AO333" s="154" t="n">
        <x:f>IF(L333=M333,1,0)</x:f>
        <x:v>1</x:v>
      </x:c>
    </x:row>
    <x:row r="334">
      <x:c r="A334" s="38" t="str">
        <x:v>SV-0333</x:v>
      </x:c>
      <x:c r="B334" s="38" t="str">
        <x:v>PC-04352</x:v>
      </x:c>
      <x:c r="C334" s="38" t="str">
        <x:v>en|both</x:v>
      </x:c>
      <x:c r="D334" s="87" t="n">
        <x:v>19.069444444444443</x:v>
      </x:c>
      <x:c r="E334" s="38" t="str">
        <x:v>both</x:v>
      </x:c>
      <x:c r="F334" s="38" t="str">
        <x:v>NO_Norway_norges-bank-memo-1-2021</x:v>
      </x:c>
      <x:c r="G334" s="38" t="n">
        <x:v>28</x:v>
      </x:c>
      <x:c r="H334" s="38" t="str">
        <x:v>en</x:v>
      </x:c>
      <x:c r="I334" s="38" t="str">
        <x:v>Norges Bank (Norwegian CBDC work)</x:v>
      </x:c>
      <x:c r="J334" s="38" t="str">
        <x:v>En forutsetning for å kunne analysere data er at DSP-systemet har en 
statistikkmodul eller i det minste et verktøy for å hente ut informasjon på egnet 
form for analyse i andre program.</x:v>
      </x:c>
      <x:c r="K334" s="142" t="b">
        <x:v>0</x:v>
      </x:c>
      <x:c r="L334" s="146" t="str">
        <x:v>keep</x:v>
      </x:c>
      <x:c r="M334" s="146" t="str">
        <x:v>keep</x:v>
      </x:c>
      <x:c r="N334" s="147" t="b">
        <x:v>1</x:v>
      </x:c>
      <x:c r="O334" s="146" t="str">
        <x:v>SYS.design</x:v>
      </x:c>
      <x:c r="P334" s="146" t="str">
        <x:v>SYS.design</x:v>
      </x:c>
      <x:c r="Q334" s="146" t="str">
        <x:v>SYS</x:v>
      </x:c>
      <x:c r="R334" s="146" t="str">
        <x:v>SYS</x:v>
      </x:c>
      <x:c r="S334" s="146" t="str">
        <x:v>proposal</x:v>
      </x:c>
      <x:c r="T334" s="146" t="str">
        <x:v>proposal</x:v>
      </x:c>
      <x:c r="U334" s="146" t="str">
        <x:v>neutral</x:v>
      </x:c>
      <x:c r="V334" s="146" t="str">
        <x:v>neutral</x:v>
      </x:c>
      <x:c r="W334" s="146" t="str">
        <x:v>not_applicable</x:v>
      </x:c>
      <x:c r="X334" s="146" t="str">
        <x:v>not_applicable</x:v>
      </x:c>
      <x:c r="Y334" s="146" t="n">
        <x:v>2</x:v>
      </x:c>
      <x:c r="Z334" s="146" t="n">
        <x:v>2</x:v>
      </x:c>
      <x:c r="AA334" s="146" t="str">
        <x:v>high</x:v>
      </x:c>
      <x:c r="AB334" s="146" t="str">
        <x:v>high</x:v>
      </x:c>
      <x:c r="AC334" s="146"/>
      <x:c r="AD334" s="146"/>
      <x:c r="AE334" s="151" t="str">
        <x:v>SYS.design</x:v>
      </x:c>
      <x:c r="AF334" s="151" t="str">
        <x:v>SYS.design</x:v>
      </x:c>
      <x:c r="AG334" s="151" t="str">
        <x:v>proposal</x:v>
      </x:c>
      <x:c r="AH334" s="151" t="str">
        <x:v>proposal</x:v>
      </x:c>
      <x:c r="AI334" s="154" t="n">
        <x:f>IF(K334,0,1)</x:f>
        <x:v>1</x:v>
      </x:c>
      <x:c r="AJ334" s="154" t="n">
        <x:f>IF(L334="keep",1,0)</x:f>
        <x:v>1</x:v>
      </x:c>
      <x:c r="AK334" s="154" t="n">
        <x:f>IF(M334="keep",1,0)</x:f>
        <x:v>1</x:v>
      </x:c>
      <x:c r="AL334" s="154" t="n">
        <x:f>(AJ334+AK334)/2</x:f>
        <x:v>1</x:v>
      </x:c>
      <x:c r="AM334" s="154" t="n">
        <x:f>MIN(AJ334,AK334)</x:f>
        <x:v>1</x:v>
      </x:c>
      <x:c r="AN334" s="154" t="n">
        <x:f>MAX(AJ334,AK334)</x:f>
        <x:v>1</x:v>
      </x:c>
      <x:c r="AO334" s="154" t="n">
        <x:f>IF(L334=M334,1,0)</x:f>
        <x:v>1</x:v>
      </x:c>
    </x:row>
    <x:row r="335">
      <x:c r="A335" s="38" t="str">
        <x:v>SV-0334</x:v>
      </x:c>
      <x:c r="B335" s="38" t="str">
        <x:v>PC-03634</x:v>
      </x:c>
      <x:c r="C335" s="38" t="str">
        <x:v>en|claude_only</x:v>
      </x:c>
      <x:c r="D335" s="87" t="n">
        <x:v>19.375</x:v>
      </x:c>
      <x:c r="E335" s="38" t="str">
        <x:v>claude_only</x:v>
      </x:c>
      <x:c r="F335" s="38" t="str">
        <x:v>IT_BdI_MISP_2021</x:v>
      </x:c>
      <x:c r="G335" s="38" t="n">
        <x:v>56</x:v>
      </x:c>
      <x:c r="H335" s="38" t="str">
        <x:v>en</x:v>
      </x:c>
      <x:c r="I335" s="38" t="str">
        <x:v>Banca d'Italia research context</x:v>
      </x:c>
      <x:c r="J335" s="38" t="str">
        <x:v>It would be possible to apply limits and thresholds in TIPS+, 
depending on additional information collected by the platform 
and provided by gatekeepers, to set up accounts with specific 
characteristics for non-euro area residents.</x:v>
      </x:c>
      <x:c r="K335" s="142" t="b">
        <x:v>0</x:v>
      </x:c>
      <x:c r="L335" s="146" t="str">
        <x:v>exclude</x:v>
      </x:c>
      <x:c r="M335" s="146" t="str">
        <x:v>keep</x:v>
      </x:c>
      <x:c r="N335" s="147" t="b">
        <x:v>0</x:v>
      </x:c>
      <x:c r="O335" s="146"/>
      <x:c r="P335" s="146" t="str">
        <x:v>INTEROP.crossborder</x:v>
      </x:c>
      <x:c r="Q335" s="146" t="str"/>
      <x:c r="R335" s="146" t="str">
        <x:v>INTEROP</x:v>
      </x:c>
      <x:c r="S335" s="146"/>
      <x:c r="T335" s="146" t="str">
        <x:v>proposal</x:v>
      </x:c>
      <x:c r="U335" s="146"/>
      <x:c r="V335" s="146" t="str">
        <x:v>neutral</x:v>
      </x:c>
      <x:c r="W335" s="146"/>
      <x:c r="X335" s="146" t="str">
        <x:v>not_applicable</x:v>
      </x:c>
      <x:c r="Y335" s="146"/>
      <x:c r="Z335" s="146" t="n">
        <x:v>2</x:v>
      </x:c>
      <x:c r="AA335" s="146" t="str">
        <x:v>high</x:v>
      </x:c>
      <x:c r="AB335" s="146" t="str">
        <x:v>high</x:v>
      </x:c>
      <x:c r="AC335" s="146"/>
      <x:c r="AD335" s="146"/>
      <x:c r="AE335" s="151"/>
      <x:c r="AF335" s="151" t="str">
        <x:v>INTEROP.crossborder</x:v>
      </x:c>
      <x:c r="AG335" s="151"/>
      <x:c r="AH335" s="151" t="str">
        <x:v>proposal</x:v>
      </x:c>
      <x:c r="AI335" s="154" t="n">
        <x:f>IF(K335,0,1)</x:f>
        <x:v>1</x:v>
      </x:c>
      <x:c r="AJ335" s="154" t="n">
        <x:f>IF(L335="keep",1,0)</x:f>
        <x:v>0</x:v>
      </x:c>
      <x:c r="AK335" s="154" t="n">
        <x:f>IF(M335="keep",1,0)</x:f>
        <x:v>1</x:v>
      </x:c>
      <x:c r="AL335" s="154" t="n">
        <x:f>(AJ335+AK335)/2</x:f>
        <x:v>0.5</x:v>
      </x:c>
      <x:c r="AM335" s="154" t="n">
        <x:f>MIN(AJ335,AK335)</x:f>
        <x:v>0</x:v>
      </x:c>
      <x:c r="AN335" s="154" t="n">
        <x:f>MAX(AJ335,AK335)</x:f>
        <x:v>1</x:v>
      </x:c>
      <x:c r="AO335" s="154" t="n">
        <x:f>IF(L335=M335,1,0)</x:f>
        <x:v>0</x:v>
      </x:c>
    </x:row>
    <x:row r="336">
      <x:c r="A336" s="38" t="str">
        <x:v>SV-0335</x:v>
      </x:c>
      <x:c r="B336" s="38" t="str">
        <x:v>PC-04222</x:v>
      </x:c>
      <x:c r="C336" s="38" t="str">
        <x:v>en|both</x:v>
      </x:c>
      <x:c r="D336" s="87" t="n">
        <x:v>19.069444444444443</x:v>
      </x:c>
      <x:c r="E336" s="38" t="str">
        <x:v>both</x:v>
      </x:c>
      <x:c r="F336" s="38" t="str">
        <x:v>NO_Norway_nbmemo-1-2018</x:v>
      </x:c>
      <x:c r="G336" s="38" t="n">
        <x:v>30</x:v>
      </x:c>
      <x:c r="H336" s="38" t="str">
        <x:v>en</x:v>
      </x:c>
      <x:c r="I336" s="38" t="str">
        <x:v>Norges Bank</x:v>
      </x:c>
      <x:c r="J336" s="38" t="str">
        <x:v>Sikkerhet: IT-løsningen for DSP skal etterleve risikobaserte krav til 
driftssikkerhet, sikring mot brudd på konfidensialitet, integritet og 
tilgjengelighet, samt beskyttelse mot cyberangrep.</x:v>
      </x:c>
      <x:c r="K336" s="142" t="b">
        <x:v>0</x:v>
      </x:c>
      <x:c r="L336" s="146" t="str">
        <x:v>keep</x:v>
      </x:c>
      <x:c r="M336" s="146" t="str">
        <x:v>keep</x:v>
      </x:c>
      <x:c r="N336" s="147" t="b">
        <x:v>1</x:v>
      </x:c>
      <x:c r="O336" s="146" t="str">
        <x:v>SYS.design</x:v>
      </x:c>
      <x:c r="P336" s="146" t="str">
        <x:v>OPS.resilience</x:v>
      </x:c>
      <x:c r="Q336" s="146" t="str">
        <x:v>SYS</x:v>
      </x:c>
      <x:c r="R336" s="146" t="str">
        <x:v>OPS</x:v>
      </x:c>
      <x:c r="S336" s="146" t="str">
        <x:v>decision</x:v>
      </x:c>
      <x:c r="T336" s="146" t="str">
        <x:v>decision</x:v>
      </x:c>
      <x:c r="U336" s="146" t="str">
        <x:v>neutral</x:v>
      </x:c>
      <x:c r="V336" s="146" t="str">
        <x:v>neutral</x:v>
      </x:c>
      <x:c r="W336" s="146" t="str">
        <x:v>not_applicable</x:v>
      </x:c>
      <x:c r="X336" s="146" t="str">
        <x:v>not_applicable</x:v>
      </x:c>
      <x:c r="Y336" s="146" t="n">
        <x:v>2</x:v>
      </x:c>
      <x:c r="Z336" s="146" t="n">
        <x:v>2</x:v>
      </x:c>
      <x:c r="AA336" s="146" t="str">
        <x:v>high</x:v>
      </x:c>
      <x:c r="AB336" s="146" t="str">
        <x:v>high</x:v>
      </x:c>
      <x:c r="AC336" s="146"/>
      <x:c r="AD336" s="146"/>
      <x:c r="AE336" s="151" t="str">
        <x:v>SYS.design</x:v>
      </x:c>
      <x:c r="AF336" s="151" t="str">
        <x:v>OPS.resilience</x:v>
      </x:c>
      <x:c r="AG336" s="151" t="str">
        <x:v>decision</x:v>
      </x:c>
      <x:c r="AH336" s="151" t="str">
        <x:v>decision</x:v>
      </x:c>
      <x:c r="AI336" s="154" t="n">
        <x:f>IF(K336,0,1)</x:f>
        <x:v>1</x:v>
      </x:c>
      <x:c r="AJ336" s="154" t="n">
        <x:f>IF(L336="keep",1,0)</x:f>
        <x:v>1</x:v>
      </x:c>
      <x:c r="AK336" s="154" t="n">
        <x:f>IF(M336="keep",1,0)</x:f>
        <x:v>1</x:v>
      </x:c>
      <x:c r="AL336" s="154" t="n">
        <x:f>(AJ336+AK336)/2</x:f>
        <x:v>1</x:v>
      </x:c>
      <x:c r="AM336" s="154" t="n">
        <x:f>MIN(AJ336,AK336)</x:f>
        <x:v>1</x:v>
      </x:c>
      <x:c r="AN336" s="154" t="n">
        <x:f>MAX(AJ336,AK336)</x:f>
        <x:v>1</x:v>
      </x:c>
      <x:c r="AO336" s="154" t="n">
        <x:f>IF(L336=M336,1,0)</x:f>
        <x:v>1</x:v>
      </x:c>
    </x:row>
    <x:row r="337">
      <x:c r="A337" s="38" t="str">
        <x:v>SV-0336</x:v>
      </x:c>
      <x:c r="B337" s="38" t="str">
        <x:v>PC-03020</x:v>
      </x:c>
      <x:c r="C337" s="38" t="str">
        <x:v>en|both</x:v>
      </x:c>
      <x:c r="D337" s="87" t="n">
        <x:v>19.069444444444443</x:v>
      </x:c>
      <x:c r="E337" s="38" t="str">
        <x:v>both</x:v>
      </x:c>
      <x:c r="F337" s="38" t="str">
        <x:v>IL_BoI_2024</x:v>
      </x:c>
      <x:c r="G337" s="38" t="n">
        <x:v>98</x:v>
      </x:c>
      <x:c r="H337" s="38" t="str">
        <x:v>en</x:v>
      </x:c>
      <x:c r="I337" s="38" t="str">
        <x:v>Bank of Israel (digital shekel)</x:v>
      </x:c>
      <x:c r="J337" s="38" t="str">
        <x:v>The PSP will configure the offline 
wallet to prevent receiving amounts that exceed the defined limit, and a wallet in this state 
will not be able to receive funds.</x:v>
      </x:c>
      <x:c r="K337" s="142" t="b">
        <x:v>0</x:v>
      </x:c>
      <x:c r="L337" s="146" t="str">
        <x:v>keep</x:v>
      </x:c>
      <x:c r="M337" s="146" t="str">
        <x:v>keep</x:v>
      </x:c>
      <x:c r="N337" s="147" t="b">
        <x:v>1</x:v>
      </x:c>
      <x:c r="O337" s="146" t="str">
        <x:v>AML.LIMIT</x:v>
      </x:c>
      <x:c r="P337" s="146" t="str">
        <x:v>AML.LIMIT</x:v>
      </x:c>
      <x:c r="Q337" s="146" t="str">
        <x:v>AML</x:v>
      </x:c>
      <x:c r="R337" s="146" t="str">
        <x:v>AML</x:v>
      </x:c>
      <x:c r="S337" s="146" t="str">
        <x:v>proposal</x:v>
      </x:c>
      <x:c r="T337" s="146" t="str">
        <x:v>decision</x:v>
      </x:c>
      <x:c r="U337" s="146" t="str">
        <x:v>neutral</x:v>
      </x:c>
      <x:c r="V337" s="146" t="str">
        <x:v>neutral</x:v>
      </x:c>
      <x:c r="W337" s="146" t="str">
        <x:v>not_applicable</x:v>
      </x:c>
      <x:c r="X337" s="146" t="str">
        <x:v>not_applicable</x:v>
      </x:c>
      <x:c r="Y337" s="146" t="n">
        <x:v>2</x:v>
      </x:c>
      <x:c r="Z337" s="146" t="n">
        <x:v>2</x:v>
      </x:c>
      <x:c r="AA337" s="146" t="str">
        <x:v>high</x:v>
      </x:c>
      <x:c r="AB337" s="146" t="str">
        <x:v>high</x:v>
      </x:c>
      <x:c r="AC337" s="146"/>
      <x:c r="AD337" s="146"/>
      <x:c r="AE337" s="151" t="str">
        <x:v>AML.LIMIT</x:v>
      </x:c>
      <x:c r="AF337" s="151" t="str">
        <x:v>AML.LIMIT</x:v>
      </x:c>
      <x:c r="AG337" s="151" t="str">
        <x:v>proposal</x:v>
      </x:c>
      <x:c r="AH337" s="151" t="str">
        <x:v>decision</x:v>
      </x:c>
      <x:c r="AI337" s="154" t="n">
        <x:f>IF(K337,0,1)</x:f>
        <x:v>1</x:v>
      </x:c>
      <x:c r="AJ337" s="154" t="n">
        <x:f>IF(L337="keep",1,0)</x:f>
        <x:v>1</x:v>
      </x:c>
      <x:c r="AK337" s="154" t="n">
        <x:f>IF(M337="keep",1,0)</x:f>
        <x:v>1</x:v>
      </x:c>
      <x:c r="AL337" s="154" t="n">
        <x:f>(AJ337+AK337)/2</x:f>
        <x:v>1</x:v>
      </x:c>
      <x:c r="AM337" s="154" t="n">
        <x:f>MIN(AJ337,AK337)</x:f>
        <x:v>1</x:v>
      </x:c>
      <x:c r="AN337" s="154" t="n">
        <x:f>MAX(AJ337,AK337)</x:f>
        <x:v>1</x:v>
      </x:c>
      <x:c r="AO337" s="154" t="n">
        <x:f>IF(L337=M337,1,0)</x:f>
        <x:v>1</x:v>
      </x:c>
    </x:row>
    <x:row r="338">
      <x:c r="A338" s="38" t="str">
        <x:v>SV-0337</x:v>
      </x:c>
      <x:c r="B338" s="38" t="str">
        <x:v>PC-04955</x:v>
      </x:c>
      <x:c r="C338" s="38" t="str">
        <x:v>en|both</x:v>
      </x:c>
      <x:c r="D338" s="87" t="n">
        <x:v>19.069444444444443</x:v>
      </x:c>
      <x:c r="E338" s="38" t="str">
        <x:v>both</x:v>
      </x:c>
      <x:c r="F338" s="38" t="str">
        <x:v>RU_Russia_consultation_paper_201013</x:v>
      </x:c>
      <x:c r="G338" s="38" t="n">
        <x:v>15</x:v>
      </x:c>
      <x:c r="H338" s="38" t="str">
        <x:v>en</x:v>
      </x:c>
      <x:c r="I338" s="38" t="str">
        <x:v>Bank of Russia (digital ruble)</x:v>
      </x:c>
      <x:c r="J338" s="38" t="str">
        <x:v>use their wallets with digital rubles via various financial intermediaries without tying it to a 
single financial intermediary where it was opened (subject to adequate user identification).</x:v>
      </x:c>
      <x:c r="K338" s="142" t="b">
        <x:v>0</x:v>
      </x:c>
      <x:c r="L338" s="146" t="str">
        <x:v>keep</x:v>
      </x:c>
      <x:c r="M338" s="146" t="str">
        <x:v>keep</x:v>
      </x:c>
      <x:c r="N338" s="147" t="b">
        <x:v>1</x:v>
      </x:c>
      <x:c r="O338" s="146" t="str">
        <x:v>PRIV.MIN</x:v>
      </x:c>
      <x:c r="P338" s="146" t="str">
        <x:v>SYS.design</x:v>
      </x:c>
      <x:c r="Q338" s="146" t="str">
        <x:v>PRIV</x:v>
      </x:c>
      <x:c r="R338" s="146" t="str">
        <x:v>SYS</x:v>
      </x:c>
      <x:c r="S338" s="146" t="str">
        <x:v>proposal</x:v>
      </x:c>
      <x:c r="T338" s="146" t="str">
        <x:v>decision</x:v>
      </x:c>
      <x:c r="U338" s="146" t="str">
        <x:v>neutral</x:v>
      </x:c>
      <x:c r="V338" s="146" t="str">
        <x:v>neutral</x:v>
      </x:c>
      <x:c r="W338" s="146" t="str">
        <x:v>not_applicable</x:v>
      </x:c>
      <x:c r="X338" s="146" t="str">
        <x:v>not_applicable</x:v>
      </x:c>
      <x:c r="Y338" s="146" t="n">
        <x:v>2</x:v>
      </x:c>
      <x:c r="Z338" s="146" t="n">
        <x:v>2</x:v>
      </x:c>
      <x:c r="AA338" s="146" t="str">
        <x:v>high</x:v>
      </x:c>
      <x:c r="AB338" s="146" t="str">
        <x:v>high</x:v>
      </x:c>
      <x:c r="AC338" s="146"/>
      <x:c r="AD338" s="146"/>
      <x:c r="AE338" s="151" t="str">
        <x:v>AML.LIMIT</x:v>
      </x:c>
      <x:c r="AF338" s="151" t="str">
        <x:v>SYS.design</x:v>
      </x:c>
      <x:c r="AG338" s="151" t="str">
        <x:v>proposal</x:v>
      </x:c>
      <x:c r="AH338" s="151" t="str">
        <x:v>decision</x:v>
      </x:c>
      <x:c r="AI338" s="154" t="n">
        <x:f>IF(K338,0,1)</x:f>
        <x:v>1</x:v>
      </x:c>
      <x:c r="AJ338" s="154" t="n">
        <x:f>IF(L338="keep",1,0)</x:f>
        <x:v>1</x:v>
      </x:c>
      <x:c r="AK338" s="154" t="n">
        <x:f>IF(M338="keep",1,0)</x:f>
        <x:v>1</x:v>
      </x:c>
      <x:c r="AL338" s="154" t="n">
        <x:f>(AJ338+AK338)/2</x:f>
        <x:v>1</x:v>
      </x:c>
      <x:c r="AM338" s="154" t="n">
        <x:f>MIN(AJ338,AK338)</x:f>
        <x:v>1</x:v>
      </x:c>
      <x:c r="AN338" s="154" t="n">
        <x:f>MAX(AJ338,AK338)</x:f>
        <x:v>1</x:v>
      </x:c>
      <x:c r="AO338" s="154" t="n">
        <x:f>IF(L338=M338,1,0)</x:f>
        <x:v>1</x:v>
      </x:c>
    </x:row>
    <x:row r="339">
      <x:c r="A339" s="38" t="str">
        <x:v>SV-0338</x:v>
      </x:c>
      <x:c r="B339" s="38" t="str">
        <x:v>PC-03923</x:v>
      </x:c>
      <x:c r="C339" s="38" t="str">
        <x:v>en|openai_only</x:v>
      </x:c>
      <x:c r="D339" s="87" t="n">
        <x:v>19.21875</x:v>
      </x:c>
      <x:c r="E339" s="38" t="str">
        <x:v>openai_only</x:v>
      </x:c>
      <x:c r="F339" s="38" t="str">
        <x:v>MO_AMCM_eMOP_WP</x:v>
      </x:c>
      <x:c r="G339" s="38" t="n">
        <x:v>25</x:v>
      </x:c>
      <x:c r="H339" s="38" t="str">
        <x:v>en</x:v>
      </x:c>
      <x:c r="I339" s="38" t="str">
        <x:v>Monetary Authority of Macao (e-MOP)</x:v>
      </x:c>
      <x:c r="J339" s="38" t="str">
        <x:v>the adoption 
of e-MOP is envisaged not only to enhance the payment experience 
for inbound visitors, but also to strengthen Macao’s strategic 
positioning as a  “world centre of tourism and leisure”.</x:v>
      </x:c>
      <x:c r="K339" s="142" t="b">
        <x:v>0</x:v>
      </x:c>
      <x:c r="L339" s="146" t="str">
        <x:v>keep</x:v>
      </x:c>
      <x:c r="M339" s="146" t="str">
        <x:v>exclude</x:v>
      </x:c>
      <x:c r="N339" s="147" t="b">
        <x:v>0</x:v>
      </x:c>
      <x:c r="O339" s="146" t="str">
        <x:v>ADOPT.experience</x:v>
      </x:c>
      <x:c r="P339" s="146"/>
      <x:c r="Q339" s="146" t="str">
        <x:v>ADOPT</x:v>
      </x:c>
      <x:c r="R339" s="146" t="str"/>
      <x:c r="S339" s="146" t="str">
        <x:v>proposal</x:v>
      </x:c>
      <x:c r="T339" s="146"/>
      <x:c r="U339" s="146" t="str">
        <x:v>neutral</x:v>
      </x:c>
      <x:c r="V339" s="146"/>
      <x:c r="W339" s="146" t="str">
        <x:v>not_applicable</x:v>
      </x:c>
      <x:c r="X339" s="146"/>
      <x:c r="Y339" s="146" t="n">
        <x:v>2</x:v>
      </x:c>
      <x:c r="Z339" s="146"/>
      <x:c r="AA339" s="146" t="str">
        <x:v>high</x:v>
      </x:c>
      <x:c r="AB339" s="146" t="str">
        <x:v>high</x:v>
      </x:c>
      <x:c r="AC339" s="146"/>
      <x:c r="AD339" s="146"/>
      <x:c r="AE339" s="151" t="str">
        <x:v>ADOPT.experience</x:v>
      </x:c>
      <x:c r="AF339" s="151"/>
      <x:c r="AG339" s="151" t="str">
        <x:v>proposal</x:v>
      </x:c>
      <x:c r="AH339" s="151"/>
      <x:c r="AI339" s="154" t="n">
        <x:f>IF(K339,0,1)</x:f>
        <x:v>1</x:v>
      </x:c>
      <x:c r="AJ339" s="154" t="n">
        <x:f>IF(L339="keep",1,0)</x:f>
        <x:v>1</x:v>
      </x:c>
      <x:c r="AK339" s="154" t="n">
        <x:f>IF(M339="keep",1,0)</x:f>
        <x:v>0</x:v>
      </x:c>
      <x:c r="AL339" s="154" t="n">
        <x:f>(AJ339+AK339)/2</x:f>
        <x:v>0.5</x:v>
      </x:c>
      <x:c r="AM339" s="154" t="n">
        <x:f>MIN(AJ339,AK339)</x:f>
        <x:v>0</x:v>
      </x:c>
      <x:c r="AN339" s="154" t="n">
        <x:f>MAX(AJ339,AK339)</x:f>
        <x:v>1</x:v>
      </x:c>
      <x:c r="AO339" s="154" t="n">
        <x:f>IF(L339=M339,1,0)</x:f>
        <x:v>0</x:v>
      </x:c>
    </x:row>
    <x:row r="340">
      <x:c r="A340" s="38" t="str">
        <x:v>SV-0339</x:v>
      </x:c>
      <x:c r="B340" s="38" t="str">
        <x:v>PC-04706</x:v>
      </x:c>
      <x:c r="C340" s="38" t="str">
        <x:v>en|both</x:v>
      </x:c>
      <x:c r="D340" s="87" t="n">
        <x:v>19.069444444444443</x:v>
      </x:c>
      <x:c r="E340" s="38" t="str">
        <x:v>both</x:v>
      </x:c>
      <x:c r="F340" s="38" t="str">
        <x:v>PW_Palau_Phase1_Report</x:v>
      </x:c>
      <x:c r="G340" s="38" t="n">
        <x:v>3</x:v>
      </x:c>
      <x:c r="H340" s="38" t="str">
        <x:v>en</x:v>
      </x:c>
      <x:c r="I340" s="38" t="str">
        <x:v>Republic of Palau (Palau Stablecoin programme)</x:v>
      </x:c>
      <x:c r="J340" s="38" t="str">
        <x:v>The Ministry of Finance (MOF) of the Republic of Palau recently completed Phase 1 of the Palau Stablecoin 
(PSC) Program focusing on a Solution Design Pilot and Research and Development Project in partnership 
with Ripple’s Central Bank Digital Currencies (CBDC) and Central Bank Engagements team and using the 
Ripple CBDC platform.</x:v>
      </x:c>
      <x:c r="K340" s="142" t="b">
        <x:v>0</x:v>
      </x:c>
      <x:c r="L340" s="146" t="str">
        <x:v>keep</x:v>
      </x:c>
      <x:c r="M340" s="146" t="str">
        <x:v>exclude</x:v>
      </x:c>
      <x:c r="N340" s="147" t="b">
        <x:v>0</x:v>
      </x:c>
      <x:c r="O340" s="146" t="str">
        <x:v>SYS.design</x:v>
      </x:c>
      <x:c r="P340" s="146" t="str">
        <x:v>ACCESS.universal</x:v>
      </x:c>
      <x:c r="Q340" s="146" t="str">
        <x:v>SYS</x:v>
      </x:c>
      <x:c r="R340" s="146" t="str">
        <x:v>ACCESS</x:v>
      </x:c>
      <x:c r="S340" s="146" t="str">
        <x:v>decision</x:v>
      </x:c>
      <x:c r="T340" s="146" t="str">
        <x:v>proposal</x:v>
      </x:c>
      <x:c r="U340" s="146" t="str">
        <x:v>neutral</x:v>
      </x:c>
      <x:c r="V340" s="146" t="str">
        <x:v>neutral</x:v>
      </x:c>
      <x:c r="W340" s="146" t="str">
        <x:v>not_applicable</x:v>
      </x:c>
      <x:c r="X340" s="146" t="str">
        <x:v>not_applicable</x:v>
      </x:c>
      <x:c r="Y340" s="146" t="n">
        <x:v>2</x:v>
      </x:c>
      <x:c r="Z340" s="146" t="n">
        <x:v>2</x:v>
      </x:c>
      <x:c r="AA340" s="146" t="str">
        <x:v>high</x:v>
      </x:c>
      <x:c r="AB340" s="146" t="str">
        <x:v>high</x:v>
      </x:c>
      <x:c r="AC340" s="146"/>
      <x:c r="AD340" s="146" t="str">
        <x:v>x</x:v>
      </x:c>
      <x:c r="AE340" s="151" t="str">
        <x:v>SYS.design</x:v>
      </x:c>
      <x:c r="AF340" s="151" t="str">
        <x:v>ACCESS.universal</x:v>
      </x:c>
      <x:c r="AG340" s="151" t="str">
        <x:v>decision</x:v>
      </x:c>
      <x:c r="AH340" s="151" t="str">
        <x:v>proposal</x:v>
      </x:c>
      <x:c r="AI340" s="154" t="n">
        <x:f>IF(K340,0,1)</x:f>
        <x:v>1</x:v>
      </x:c>
      <x:c r="AJ340" s="154" t="n">
        <x:f>IF(L340="keep",1,0)</x:f>
        <x:v>1</x:v>
      </x:c>
      <x:c r="AK340" s="154" t="n">
        <x:f>IF(M340="keep",1,0)</x:f>
        <x:v>0</x:v>
      </x:c>
      <x:c r="AL340" s="154" t="n">
        <x:f>(AJ340+AK340)/2</x:f>
        <x:v>0.5</x:v>
      </x:c>
      <x:c r="AM340" s="154" t="n">
        <x:f>MIN(AJ340,AK340)</x:f>
        <x:v>0</x:v>
      </x:c>
      <x:c r="AN340" s="154" t="n">
        <x:f>MAX(AJ340,AK340)</x:f>
        <x:v>1</x:v>
      </x:c>
      <x:c r="AO340" s="154" t="n">
        <x:f>IF(L340=M340,1,0)</x:f>
        <x:v>0</x:v>
      </x:c>
    </x:row>
    <x:row r="341">
      <x:c r="A341" s="38" t="str">
        <x:v>SV-0340</x:v>
      </x:c>
      <x:c r="B341" s="38" t="str">
        <x:v>PC-02925</x:v>
      </x:c>
      <x:c r="C341" s="38" t="str">
        <x:v>en|openai_only</x:v>
      </x:c>
      <x:c r="D341" s="87" t="n">
        <x:v>19.21875</x:v>
      </x:c>
      <x:c r="E341" s="38" t="str">
        <x:v>openai_only</x:v>
      </x:c>
      <x:c r="F341" s="38" t="str">
        <x:v>IL_BoI_2024</x:v>
      </x:c>
      <x:c r="G341" s="38" t="n">
        <x:v>78</x:v>
      </x:c>
      <x:c r="H341" s="38" t="str">
        <x:v>en</x:v>
      </x:c>
      <x:c r="I341" s="38" t="str">
        <x:v>Bank of Israel (digital shekel)</x:v>
      </x:c>
      <x:c r="J341" s="38" t="str">
        <x:v>Special 
connectivity between the digital shekel  system and MASAV will allow splitting these 
payments also to the payees' digital shekel wallets.</x:v>
      </x:c>
      <x:c r="K341" s="142" t="b">
        <x:v>0</x:v>
      </x:c>
      <x:c r="L341" s="146" t="str">
        <x:v>keep</x:v>
      </x:c>
      <x:c r="M341" s="146" t="str">
        <x:v>exclude</x:v>
      </x:c>
      <x:c r="N341" s="147" t="b">
        <x:v>0</x:v>
      </x:c>
      <x:c r="O341" s="146" t="str">
        <x:v>INTEROP.domestic</x:v>
      </x:c>
      <x:c r="P341" s="146"/>
      <x:c r="Q341" s="146" t="str">
        <x:v>INTEROP</x:v>
      </x:c>
      <x:c r="R341" s="146" t="str"/>
      <x:c r="S341" s="146" t="str">
        <x:v>proposal</x:v>
      </x:c>
      <x:c r="T341" s="146"/>
      <x:c r="U341" s="146" t="str">
        <x:v>neutral</x:v>
      </x:c>
      <x:c r="V341" s="146"/>
      <x:c r="W341" s="146" t="str">
        <x:v>not_applicable</x:v>
      </x:c>
      <x:c r="X341" s="146"/>
      <x:c r="Y341" s="146" t="n">
        <x:v>2</x:v>
      </x:c>
      <x:c r="Z341" s="146"/>
      <x:c r="AA341" s="146" t="str">
        <x:v>high</x:v>
      </x:c>
      <x:c r="AB341" s="146" t="str">
        <x:v>high</x:v>
      </x:c>
      <x:c r="AC341" s="146"/>
      <x:c r="AD341" s="146"/>
      <x:c r="AE341" s="151" t="str">
        <x:v>INTEROP.domestic</x:v>
      </x:c>
      <x:c r="AF341" s="151"/>
      <x:c r="AG341" s="151" t="str">
        <x:v>proposal</x:v>
      </x:c>
      <x:c r="AH341" s="151"/>
      <x:c r="AI341" s="154" t="n">
        <x:f>IF(K341,0,1)</x:f>
        <x:v>1</x:v>
      </x:c>
      <x:c r="AJ341" s="154" t="n">
        <x:f>IF(L341="keep",1,0)</x:f>
        <x:v>1</x:v>
      </x:c>
      <x:c r="AK341" s="154" t="n">
        <x:f>IF(M341="keep",1,0)</x:f>
        <x:v>0</x:v>
      </x:c>
      <x:c r="AL341" s="154" t="n">
        <x:f>(AJ341+AK341)/2</x:f>
        <x:v>0.5</x:v>
      </x:c>
      <x:c r="AM341" s="154" t="n">
        <x:f>MIN(AJ341,AK341)</x:f>
        <x:v>0</x:v>
      </x:c>
      <x:c r="AN341" s="154" t="n">
        <x:f>MAX(AJ341,AK341)</x:f>
        <x:v>1</x:v>
      </x:c>
      <x:c r="AO341" s="154" t="n">
        <x:f>IF(L341=M341,1,0)</x:f>
        <x:v>0</x:v>
      </x:c>
    </x:row>
    <x:row r="342">
      <x:c r="A342" s="38" t="str">
        <x:v>SV-0341</x:v>
      </x:c>
      <x:c r="B342" s="38" t="str">
        <x:v>PC-00654</x:v>
      </x:c>
      <x:c r="C342" s="38" t="str">
        <x:v>en|claude_only</x:v>
      </x:c>
      <x:c r="D342" s="87" t="n">
        <x:v>19.375</x:v>
      </x:c>
      <x:c r="E342" s="38" t="str">
        <x:v>claude_only</x:v>
      </x:c>
      <x:c r="F342" s="38" t="str">
        <x:v>CA_BoC_PETs_SDP2025_1</x:v>
      </x:c>
      <x:c r="G342" s="38" t="n">
        <x:v>20</x:v>
      </x:c>
      <x:c r="H342" s="38" t="str">
        <x:v>en</x:v>
      </x:c>
      <x:c r="I342" s="38" t="str">
        <x:v>Bank of Canada research on privacy-enhancing technologies for a potential CBDC</x:v>
      </x:c>
      <x:c r="J342" s="38" t="str">
        <x:v>In general, we
follow two principles to balance privacy and compliance requirements: (1) minimize the number of entities
that have visibility of PII;</x:v>
      </x:c>
      <x:c r="K342" s="142" t="b">
        <x:v>0</x:v>
      </x:c>
      <x:c r="L342" s="146" t="str">
        <x:v>exclude</x:v>
      </x:c>
      <x:c r="M342" s="146" t="str">
        <x:v>keep</x:v>
      </x:c>
      <x:c r="N342" s="147" t="b">
        <x:v>0</x:v>
      </x:c>
      <x:c r="O342" s="146"/>
      <x:c r="P342" s="146" t="str">
        <x:v>PRIV.MIN</x:v>
      </x:c>
      <x:c r="Q342" s="146" t="str"/>
      <x:c r="R342" s="146" t="str">
        <x:v>PRIV</x:v>
      </x:c>
      <x:c r="S342" s="146"/>
      <x:c r="T342" s="146" t="str">
        <x:v>decision</x:v>
      </x:c>
      <x:c r="U342" s="146"/>
      <x:c r="V342" s="146" t="str">
        <x:v>increases</x:v>
      </x:c>
      <x:c r="W342" s="146"/>
      <x:c r="X342" s="146" t="str">
        <x:v>not_applicable</x:v>
      </x:c>
      <x:c r="Y342" s="146"/>
      <x:c r="Z342" s="146" t="n">
        <x:v>3</x:v>
      </x:c>
      <x:c r="AA342" s="146" t="str">
        <x:v>high</x:v>
      </x:c>
      <x:c r="AB342" s="146" t="str">
        <x:v>high</x:v>
      </x:c>
      <x:c r="AC342" s="146"/>
      <x:c r="AD342" s="146"/>
      <x:c r="AE342" s="151"/>
      <x:c r="AF342" s="151" t="str">
        <x:v>PRIV.MIN</x:v>
      </x:c>
      <x:c r="AG342" s="151"/>
      <x:c r="AH342" s="151" t="str">
        <x:v>decision</x:v>
      </x:c>
      <x:c r="AI342" s="154" t="n">
        <x:f>IF(K342,0,1)</x:f>
        <x:v>1</x:v>
      </x:c>
      <x:c r="AJ342" s="154" t="n">
        <x:f>IF(L342="keep",1,0)</x:f>
        <x:v>0</x:v>
      </x:c>
      <x:c r="AK342" s="154" t="n">
        <x:f>IF(M342="keep",1,0)</x:f>
        <x:v>1</x:v>
      </x:c>
      <x:c r="AL342" s="154" t="n">
        <x:f>(AJ342+AK342)/2</x:f>
        <x:v>0.5</x:v>
      </x:c>
      <x:c r="AM342" s="154" t="n">
        <x:f>MIN(AJ342,AK342)</x:f>
        <x:v>0</x:v>
      </x:c>
      <x:c r="AN342" s="154" t="n">
        <x:f>MAX(AJ342,AK342)</x:f>
        <x:v>1</x:v>
      </x:c>
      <x:c r="AO342" s="154" t="n">
        <x:f>IF(L342=M342,1,0)</x:f>
        <x:v>0</x:v>
      </x:c>
    </x:row>
    <x:row r="343">
      <x:c r="A343" s="38" t="str">
        <x:v>SV-0342</x:v>
      </x:c>
      <x:c r="B343" s="38" t="str">
        <x:v>PC-00503</x:v>
      </x:c>
      <x:c r="C343" s="38" t="str">
        <x:v>en|both</x:v>
      </x:c>
      <x:c r="D343" s="87" t="n">
        <x:v>19.069444444444443</x:v>
      </x:c>
      <x:c r="E343" s="38" t="str">
        <x:v>both</x:v>
      </x:c>
      <x:c r="F343" s="38" t="str">
        <x:v>BR_Brazil_2023</x:v>
      </x:c>
      <x:c r="G343" s="38" t="n">
        <x:v>7</x:v>
      </x:c>
      <x:c r="H343" s="38" t="str">
        <x:v>en</x:v>
      </x:c>
      <x:c r="I343" s="38" t="str">
        <x:v>Banco Central do Brasil (Drex / Digital Real)</x:v>
      </x:c>
      <x:c r="J343" s="38" t="str">
        <x:v>Adoption of resiliency and cybersecurity standards equivalent to 
those applicable to critical infrastructures in the financial market.</x:v>
      </x:c>
      <x:c r="K343" s="142" t="b">
        <x:v>0</x:v>
      </x:c>
      <x:c r="L343" s="146" t="str">
        <x:v>keep</x:v>
      </x:c>
      <x:c r="M343" s="146" t="str">
        <x:v>keep</x:v>
      </x:c>
      <x:c r="N343" s="147" t="b">
        <x:v>1</x:v>
      </x:c>
      <x:c r="O343" s="146" t="str">
        <x:v>TECH.DLT</x:v>
      </x:c>
      <x:c r="P343" s="146" t="str">
        <x:v>OPS.resilience</x:v>
      </x:c>
      <x:c r="Q343" s="146" t="str">
        <x:v>TECH</x:v>
      </x:c>
      <x:c r="R343" s="146" t="str">
        <x:v>OPS</x:v>
      </x:c>
      <x:c r="S343" s="146" t="str">
        <x:v>decision</x:v>
      </x:c>
      <x:c r="T343" s="146" t="str">
        <x:v>decision</x:v>
      </x:c>
      <x:c r="U343" s="146" t="str">
        <x:v>neutral</x:v>
      </x:c>
      <x:c r="V343" s="146" t="str">
        <x:v>neutral</x:v>
      </x:c>
      <x:c r="W343" s="146" t="str">
        <x:v>not_applicable</x:v>
      </x:c>
      <x:c r="X343" s="146" t="str">
        <x:v>not_applicable</x:v>
      </x:c>
      <x:c r="Y343" s="146" t="n">
        <x:v>3</x:v>
      </x:c>
      <x:c r="Z343" s="146" t="n">
        <x:v>3</x:v>
      </x:c>
      <x:c r="AA343" s="146" t="str">
        <x:v>high</x:v>
      </x:c>
      <x:c r="AB343" s="146" t="str">
        <x:v>high</x:v>
      </x:c>
      <x:c r="AC343" s="146"/>
      <x:c r="AD343" s="146"/>
      <x:c r="AE343" s="151" t="str">
        <x:v>SYS.design;TECH.DLT</x:v>
      </x:c>
      <x:c r="AF343" s="151" t="str">
        <x:v>OPS.resilience</x:v>
      </x:c>
      <x:c r="AG343" s="151" t="str">
        <x:v>decision</x:v>
      </x:c>
      <x:c r="AH343" s="151" t="str">
        <x:v>decision</x:v>
      </x:c>
      <x:c r="AI343" s="154" t="n">
        <x:f>IF(K343,0,1)</x:f>
        <x:v>1</x:v>
      </x:c>
      <x:c r="AJ343" s="154" t="n">
        <x:f>IF(L343="keep",1,0)</x:f>
        <x:v>1</x:v>
      </x:c>
      <x:c r="AK343" s="154" t="n">
        <x:f>IF(M343="keep",1,0)</x:f>
        <x:v>1</x:v>
      </x:c>
      <x:c r="AL343" s="154" t="n">
        <x:f>(AJ343+AK343)/2</x:f>
        <x:v>1</x:v>
      </x:c>
      <x:c r="AM343" s="154" t="n">
        <x:f>MIN(AJ343,AK343)</x:f>
        <x:v>1</x:v>
      </x:c>
      <x:c r="AN343" s="154" t="n">
        <x:f>MAX(AJ343,AK343)</x:f>
        <x:v>1</x:v>
      </x:c>
      <x:c r="AO343" s="154" t="n">
        <x:f>IF(L343=M343,1,0)</x:f>
        <x:v>1</x:v>
      </x:c>
    </x:row>
    <x:row r="344">
      <x:c r="A344" s="38" t="str">
        <x:v>SV-0343</x:v>
      </x:c>
      <x:c r="B344" s="38" t="str">
        <x:v>PC-05912</x:v>
      </x:c>
      <x:c r="C344" s="38" t="str">
        <x:v>en|claude_only</x:v>
      </x:c>
      <x:c r="D344" s="87" t="n">
        <x:v>19.375</x:v>
      </x:c>
      <x:c r="E344" s="38" t="str">
        <x:v>claude_only</x:v>
      </x:c>
      <x:c r="F344" s="38" t="str">
        <x:v>UA_NBU_E-hryvnia_2019</x:v>
      </x:c>
      <x:c r="G344" s="38" t="n">
        <x:v>25</x:v>
      </x:c>
      <x:c r="H344" s="38" t="str">
        <x:v>en</x:v>
      </x:c>
      <x:c r="I344" s="38" t="str">
        <x:v>National Bank of Ukraine (e-hryvnia pilot)</x:v>
      </x:c>
      <x:c r="J344" s="38" t="str">
        <x:v>We consider the risk of influencing inflation to be improbable, 
as the full -scale implementation of the domestic digital 
currency foresees no uncontrollable issuance of hryvnia.</x:v>
      </x:c>
      <x:c r="K344" s="142" t="b">
        <x:v>0</x:v>
      </x:c>
      <x:c r="L344" s="146" t="str">
        <x:v>exclude</x:v>
      </x:c>
      <x:c r="M344" s="146" t="str">
        <x:v>keep</x:v>
      </x:c>
      <x:c r="N344" s="147" t="b">
        <x:v>0</x:v>
      </x:c>
      <x:c r="O344" s="146"/>
      <x:c r="P344" s="146" t="str">
        <x:v>STAB.disintermediation</x:v>
      </x:c>
      <x:c r="Q344" s="146" t="str"/>
      <x:c r="R344" s="146" t="str">
        <x:v>STAB</x:v>
      </x:c>
      <x:c r="S344" s="146"/>
      <x:c r="T344" s="146" t="str">
        <x:v>finding</x:v>
      </x:c>
      <x:c r="U344" s="146"/>
      <x:c r="V344" s="146" t="str">
        <x:v>neutral</x:v>
      </x:c>
      <x:c r="W344" s="146"/>
      <x:c r="X344" s="146" t="str">
        <x:v>not_applicable</x:v>
      </x:c>
      <x:c r="Y344" s="146"/>
      <x:c r="Z344" s="146" t="n">
        <x:v>2</x:v>
      </x:c>
      <x:c r="AA344" s="146" t="str">
        <x:v>high</x:v>
      </x:c>
      <x:c r="AB344" s="146" t="str">
        <x:v>high</x:v>
      </x:c>
      <x:c r="AC344" s="146"/>
      <x:c r="AD344" s="146"/>
      <x:c r="AE344" s="151"/>
      <x:c r="AF344" s="151" t="str">
        <x:v>STAB.disintermediation</x:v>
      </x:c>
      <x:c r="AG344" s="151"/>
      <x:c r="AH344" s="151" t="str">
        <x:v>finding</x:v>
      </x:c>
      <x:c r="AI344" s="154" t="n">
        <x:f>IF(K344,0,1)</x:f>
        <x:v>1</x:v>
      </x:c>
      <x:c r="AJ344" s="154" t="n">
        <x:f>IF(L344="keep",1,0)</x:f>
        <x:v>0</x:v>
      </x:c>
      <x:c r="AK344" s="154" t="n">
        <x:f>IF(M344="keep",1,0)</x:f>
        <x:v>1</x:v>
      </x:c>
      <x:c r="AL344" s="154" t="n">
        <x:f>(AJ344+AK344)/2</x:f>
        <x:v>0.5</x:v>
      </x:c>
      <x:c r="AM344" s="154" t="n">
        <x:f>MIN(AJ344,AK344)</x:f>
        <x:v>0</x:v>
      </x:c>
      <x:c r="AN344" s="154" t="n">
        <x:f>MAX(AJ344,AK344)</x:f>
        <x:v>1</x:v>
      </x:c>
      <x:c r="AO344" s="154" t="n">
        <x:f>IF(L344=M344,1,0)</x:f>
        <x:v>0</x:v>
      </x:c>
    </x:row>
    <x:row r="345">
      <x:c r="A345" s="38" t="str">
        <x:v>SV-0344</x:v>
      </x:c>
      <x:c r="B345" s="38" t="str">
        <x:v>PC-00141</x:v>
      </x:c>
      <x:c r="C345" s="38" t="str">
        <x:v>en|both</x:v>
      </x:c>
      <x:c r="D345" s="87" t="n">
        <x:v>19.069444444444443</x:v>
      </x:c>
      <x:c r="E345" s="38" t="str">
        <x:v>both</x:v>
      </x:c>
      <x:c r="F345" s="38" t="str">
        <x:v>AU_RBA_001</x:v>
      </x:c>
      <x:c r="G345" s="38" t="n">
        <x:v>13</x:v>
      </x:c>
      <x:c r="H345" s="38" t="str">
        <x:v>en</x:v>
      </x:c>
      <x:c r="I345" s="38" t="str">
        <x:v>Reserve Bank of Australia and Digital Finance CRC (Australian CBDC pilot)</x:v>
      </x:c>
      <x:c r="J345" s="38" t="str">
        <x:v>The identity of end users was held by each industry participant, with no identity information stored 
on the pilot CBDC platform; identity management was not a research focus of the project.</x:v>
      </x:c>
      <x:c r="K345" s="142" t="b">
        <x:v>0</x:v>
      </x:c>
      <x:c r="L345" s="146" t="str">
        <x:v>exclude</x:v>
      </x:c>
      <x:c r="M345" s="146" t="str">
        <x:v>keep</x:v>
      </x:c>
      <x:c r="N345" s="147" t="b">
        <x:v>0</x:v>
      </x:c>
      <x:c r="O345" s="146"/>
      <x:c r="P345" s="146" t="str">
        <x:v>SYS.design</x:v>
      </x:c>
      <x:c r="Q345" s="146" t="str"/>
      <x:c r="R345" s="146" t="str">
        <x:v>SYS</x:v>
      </x:c>
      <x:c r="S345" s="146"/>
      <x:c r="T345" s="146" t="str">
        <x:v>decision</x:v>
      </x:c>
      <x:c r="U345" s="146"/>
      <x:c r="V345" s="146" t="str">
        <x:v>neutral</x:v>
      </x:c>
      <x:c r="W345" s="146"/>
      <x:c r="X345" s="146" t="str">
        <x:v>not_applicable</x:v>
      </x:c>
      <x:c r="Y345" s="146"/>
      <x:c r="Z345" s="146" t="n">
        <x:v>2</x:v>
      </x:c>
      <x:c r="AA345" s="146" t="str">
        <x:v>high</x:v>
      </x:c>
      <x:c r="AB345" s="146" t="str">
        <x:v>high</x:v>
      </x:c>
      <x:c r="AC345" s="146"/>
      <x:c r="AD345" s="146"/>
      <x:c r="AE345" s="151" t="str">
        <x:v>PRIV.CB.visibility.opaque</x:v>
      </x:c>
      <x:c r="AF345" s="151" t="str">
        <x:v>SYS.design</x:v>
      </x:c>
      <x:c r="AG345" s="151" t="str">
        <x:v>decision</x:v>
      </x:c>
      <x:c r="AH345" s="151" t="str">
        <x:v>decision</x:v>
      </x:c>
      <x:c r="AI345" s="154" t="n">
        <x:f>IF(K345,0,1)</x:f>
        <x:v>1</x:v>
      </x:c>
      <x:c r="AJ345" s="154" t="n">
        <x:f>IF(L345="keep",1,0)</x:f>
        <x:v>0</x:v>
      </x:c>
      <x:c r="AK345" s="154" t="n">
        <x:f>IF(M345="keep",1,0)</x:f>
        <x:v>1</x:v>
      </x:c>
      <x:c r="AL345" s="154" t="n">
        <x:f>(AJ345+AK345)/2</x:f>
        <x:v>0.5</x:v>
      </x:c>
      <x:c r="AM345" s="154" t="n">
        <x:f>MIN(AJ345,AK345)</x:f>
        <x:v>0</x:v>
      </x:c>
      <x:c r="AN345" s="154" t="n">
        <x:f>MAX(AJ345,AK345)</x:f>
        <x:v>1</x:v>
      </x:c>
      <x:c r="AO345" s="154" t="n">
        <x:f>IF(L345=M345,1,0)</x:f>
        <x:v>0</x:v>
      </x:c>
    </x:row>
    <x:row r="346">
      <x:c r="A346" s="38" t="str">
        <x:v>SV-0345</x:v>
      </x:c>
      <x:c r="B346" s="38" t="str">
        <x:v>PC-01105</x:v>
      </x:c>
      <x:c r="C346" s="38" t="str">
        <x:v>en|both</x:v>
      </x:c>
      <x:c r="D346" s="87" t="n">
        <x:v>19.069444444444443</x:v>
      </x:c>
      <x:c r="E346" s="38" t="str">
        <x:v>both</x:v>
      </x:c>
      <x:c r="F346" s="38" t="str">
        <x:v>CA_Jasper_Phase12_2017</x:v>
      </x:c>
      <x:c r="G346" s="38" t="n">
        <x:v>48</x:v>
      </x:c>
      <x:c r="H346" s="38" t="str">
        <x:v>en</x:v>
      </x:c>
      <x:c r="I346" s="38" t="str">
        <x:v>Bank of Canada and Payments Canada (Project Jasper)</x:v>
      </x:c>
      <x:c r="J346" s="38" t="str">
        <x:v>I
n Phase 2, the prototype was built using the Corda 
platform. Corda was selected after a detailed  
review of the options.</x:v>
      </x:c>
      <x:c r="K346" s="142" t="b">
        <x:v>0</x:v>
      </x:c>
      <x:c r="L346" s="146" t="str">
        <x:v>keep</x:v>
      </x:c>
      <x:c r="M346" s="146" t="str">
        <x:v>keep</x:v>
      </x:c>
      <x:c r="N346" s="147" t="b">
        <x:v>1</x:v>
      </x:c>
      <x:c r="O346" s="146" t="str">
        <x:v>INTEROP.domestic</x:v>
      </x:c>
      <x:c r="P346" s="146" t="str">
        <x:v>TECH.DLT</x:v>
      </x:c>
      <x:c r="Q346" s="146" t="str">
        <x:v>INTEROP</x:v>
      </x:c>
      <x:c r="R346" s="146" t="str">
        <x:v>TECH</x:v>
      </x:c>
      <x:c r="S346" s="146" t="str">
        <x:v>decision</x:v>
      </x:c>
      <x:c r="T346" s="146" t="str">
        <x:v>decision</x:v>
      </x:c>
      <x:c r="U346" s="146" t="str">
        <x:v>neutral</x:v>
      </x:c>
      <x:c r="V346" s="146" t="str">
        <x:v>neutral</x:v>
      </x:c>
      <x:c r="W346" s="146" t="str">
        <x:v>not_applicable</x:v>
      </x:c>
      <x:c r="X346" s="146" t="str">
        <x:v>not_applicable</x:v>
      </x:c>
      <x:c r="Y346" s="146" t="n">
        <x:v>3</x:v>
      </x:c>
      <x:c r="Z346" s="146" t="n">
        <x:v>3</x:v>
      </x:c>
      <x:c r="AA346" s="146" t="str">
        <x:v>high</x:v>
      </x:c>
      <x:c r="AB346" s="146" t="str">
        <x:v>high</x:v>
      </x:c>
      <x:c r="AC346" s="146"/>
      <x:c r="AD346" s="146"/>
      <x:c r="AE346" s="151" t="str">
        <x:v>INTEROP.domestic</x:v>
      </x:c>
      <x:c r="AF346" s="151" t="str">
        <x:v>TECH.DLT</x:v>
      </x:c>
      <x:c r="AG346" s="151" t="str">
        <x:v>decision</x:v>
      </x:c>
      <x:c r="AH346" s="151" t="str">
        <x:v>decision</x:v>
      </x:c>
      <x:c r="AI346" s="154" t="n">
        <x:f>IF(K346,0,1)</x:f>
        <x:v>1</x:v>
      </x:c>
      <x:c r="AJ346" s="154" t="n">
        <x:f>IF(L346="keep",1,0)</x:f>
        <x:v>1</x:v>
      </x:c>
      <x:c r="AK346" s="154" t="n">
        <x:f>IF(M346="keep",1,0)</x:f>
        <x:v>1</x:v>
      </x:c>
      <x:c r="AL346" s="154" t="n">
        <x:f>(AJ346+AK346)/2</x:f>
        <x:v>1</x:v>
      </x:c>
      <x:c r="AM346" s="154" t="n">
        <x:f>MIN(AJ346,AK346)</x:f>
        <x:v>1</x:v>
      </x:c>
      <x:c r="AN346" s="154" t="n">
        <x:f>MAX(AJ346,AK346)</x:f>
        <x:v>1</x:v>
      </x:c>
      <x:c r="AO346" s="154" t="n">
        <x:f>IF(L346=M346,1,0)</x:f>
        <x:v>1</x:v>
      </x:c>
    </x:row>
    <x:row r="347">
      <x:c r="A347" s="38" t="str">
        <x:v>SV-0346</x:v>
      </x:c>
      <x:c r="B347" s="38" t="str">
        <x:v>PC-06836</x:v>
      </x:c>
      <x:c r="C347" s="38" t="str">
        <x:v>en|both</x:v>
      </x:c>
      <x:c r="D347" s="87" t="n">
        <x:v>19.069444444444443</x:v>
      </x:c>
      <x:c r="E347" s="38" t="str">
        <x:v>both</x:v>
      </x:c>
      <x:c r="F347" s="38" t="str">
        <x:v>ZA_SARB_SARB_ProjectKhokha-20180605</x:v>
      </x:c>
      <x:c r="G347" s="38" t="n">
        <x:v>6</x:v>
      </x:c>
      <x:c r="H347" s="38" t="str">
        <x:v>en</x:v>
      </x:c>
      <x:c r="I347" s="38" t="str">
        <x:v>South African Reserve Bank</x:v>
      </x:c>
      <x:c r="J347" s="38" t="str">
        <x:v>Each bank was responsible for configuring  
its own node on the network, and the seven banks used  
a mixture of physical machines, on-premise virtual 
machines and cloud-based virtual machines.</x:v>
      </x:c>
      <x:c r="K347" s="142" t="b">
        <x:v>0</x:v>
      </x:c>
      <x:c r="L347" s="146" t="str">
        <x:v>keep</x:v>
      </x:c>
      <x:c r="M347" s="146" t="str">
        <x:v>keep</x:v>
      </x:c>
      <x:c r="N347" s="147" t="b">
        <x:v>1</x:v>
      </x:c>
      <x:c r="O347" s="146" t="str">
        <x:v>SYS.design</x:v>
      </x:c>
      <x:c r="P347" s="146" t="str">
        <x:v>SYS.design</x:v>
      </x:c>
      <x:c r="Q347" s="146" t="str">
        <x:v>SYS</x:v>
      </x:c>
      <x:c r="R347" s="146" t="str">
        <x:v>SYS</x:v>
      </x:c>
      <x:c r="S347" s="146" t="str">
        <x:v>decision</x:v>
      </x:c>
      <x:c r="T347" s="146" t="str">
        <x:v>decision</x:v>
      </x:c>
      <x:c r="U347" s="146" t="str">
        <x:v>neutral</x:v>
      </x:c>
      <x:c r="V347" s="146" t="str">
        <x:v>neutral</x:v>
      </x:c>
      <x:c r="W347" s="146" t="str">
        <x:v>not_applicable</x:v>
      </x:c>
      <x:c r="X347" s="146" t="str">
        <x:v>not_applicable</x:v>
      </x:c>
      <x:c r="Y347" s="146" t="n">
        <x:v>2</x:v>
      </x:c>
      <x:c r="Z347" s="146" t="n">
        <x:v>2</x:v>
      </x:c>
      <x:c r="AA347" s="146" t="str">
        <x:v>high</x:v>
      </x:c>
      <x:c r="AB347" s="146" t="str">
        <x:v>high</x:v>
      </x:c>
      <x:c r="AC347" s="146"/>
      <x:c r="AD347" s="146"/>
      <x:c r="AE347" s="151" t="str">
        <x:v>SYS.design</x:v>
      </x:c>
      <x:c r="AF347" s="151" t="str">
        <x:v>SYS.design</x:v>
      </x:c>
      <x:c r="AG347" s="151" t="str">
        <x:v>decision</x:v>
      </x:c>
      <x:c r="AH347" s="151" t="str">
        <x:v>decision</x:v>
      </x:c>
      <x:c r="AI347" s="154" t="n">
        <x:f>IF(K347,0,1)</x:f>
        <x:v>1</x:v>
      </x:c>
      <x:c r="AJ347" s="154" t="n">
        <x:f>IF(L347="keep",1,0)</x:f>
        <x:v>1</x:v>
      </x:c>
      <x:c r="AK347" s="154" t="n">
        <x:f>IF(M347="keep",1,0)</x:f>
        <x:v>1</x:v>
      </x:c>
      <x:c r="AL347" s="154" t="n">
        <x:f>(AJ347+AK347)/2</x:f>
        <x:v>1</x:v>
      </x:c>
      <x:c r="AM347" s="154" t="n">
        <x:f>MIN(AJ347,AK347)</x:f>
        <x:v>1</x:v>
      </x:c>
      <x:c r="AN347" s="154" t="n">
        <x:f>MAX(AJ347,AK347)</x:f>
        <x:v>1</x:v>
      </x:c>
      <x:c r="AO347" s="154" t="n">
        <x:f>IF(L347=M347,1,0)</x:f>
        <x:v>1</x:v>
      </x:c>
    </x:row>
    <x:row r="348">
      <x:c r="A348" s="38" t="str">
        <x:v>SV-0347</x:v>
      </x:c>
      <x:c r="B348" s="38" t="str">
        <x:v>PC-06647</x:v>
      </x:c>
      <x:c r="C348" s="38" t="str">
        <x:v>en|openai_only</x:v>
      </x:c>
      <x:c r="D348" s="87" t="n">
        <x:v>19.21875</x:v>
      </x:c>
      <x:c r="E348" s="38" t="str">
        <x:v>openai_only</x:v>
      </x:c>
      <x:c r="F348" s="38" t="str">
        <x:v>UY_BCU_Seven_Lessons_2022</x:v>
      </x:c>
      <x:c r="G348" s="38" t="n">
        <x:v>6</x:v>
      </x:c>
      <x:c r="H348" s="38" t="str">
        <x:v>en</x:v>
      </x:c>
      <x:c r="I348" s="38" t="str">
        <x:v>Banco Central del Uruguay (e-Peso pilot)</x:v>
      </x:c>
      <x:c r="J348" s="38" t="str">
        <x:v>to limit CBDC to small amounts for each user is the 
strategy to fulfill cash use without harming other instruments.</x:v>
      </x:c>
      <x:c r="K348" s="142" t="b">
        <x:v>0</x:v>
      </x:c>
      <x:c r="L348" s="146" t="str">
        <x:v>keep</x:v>
      </x:c>
      <x:c r="M348" s="146" t="str">
        <x:v>exclude</x:v>
      </x:c>
      <x:c r="N348" s="147" t="b">
        <x:v>0</x:v>
      </x:c>
      <x:c r="O348" s="146" t="str">
        <x:v>AML.LIMIT</x:v>
      </x:c>
      <x:c r="P348" s="146"/>
      <x:c r="Q348" s="146" t="str">
        <x:v>AML</x:v>
      </x:c>
      <x:c r="R348" s="146" t="str"/>
      <x:c r="S348" s="146" t="str">
        <x:v>proposal</x:v>
      </x:c>
      <x:c r="T348" s="146"/>
      <x:c r="U348" s="146" t="str">
        <x:v>neutral</x:v>
      </x:c>
      <x:c r="V348" s="146"/>
      <x:c r="W348" s="146" t="str">
        <x:v>not_applicable</x:v>
      </x:c>
      <x:c r="X348" s="146"/>
      <x:c r="Y348" s="146" t="n">
        <x:v>2</x:v>
      </x:c>
      <x:c r="Z348" s="146"/>
      <x:c r="AA348" s="146" t="str">
        <x:v>high</x:v>
      </x:c>
      <x:c r="AB348" s="146" t="str">
        <x:v>high</x:v>
      </x:c>
      <x:c r="AC348" s="146"/>
      <x:c r="AD348" s="146"/>
      <x:c r="AE348" s="151" t="str">
        <x:v>AML.LIMIT</x:v>
      </x:c>
      <x:c r="AF348" s="151"/>
      <x:c r="AG348" s="151" t="str">
        <x:v>proposal</x:v>
      </x:c>
      <x:c r="AH348" s="151"/>
      <x:c r="AI348" s="154" t="n">
        <x:f>IF(K348,0,1)</x:f>
        <x:v>1</x:v>
      </x:c>
      <x:c r="AJ348" s="154" t="n">
        <x:f>IF(L348="keep",1,0)</x:f>
        <x:v>1</x:v>
      </x:c>
      <x:c r="AK348" s="154" t="n">
        <x:f>IF(M348="keep",1,0)</x:f>
        <x:v>0</x:v>
      </x:c>
      <x:c r="AL348" s="154" t="n">
        <x:f>(AJ348+AK348)/2</x:f>
        <x:v>0.5</x:v>
      </x:c>
      <x:c r="AM348" s="154" t="n">
        <x:f>MIN(AJ348,AK348)</x:f>
        <x:v>0</x:v>
      </x:c>
      <x:c r="AN348" s="154" t="n">
        <x:f>MAX(AJ348,AK348)</x:f>
        <x:v>1</x:v>
      </x:c>
      <x:c r="AO348" s="154" t="n">
        <x:f>IF(L348=M348,1,0)</x:f>
        <x:v>0</x:v>
      </x:c>
    </x:row>
    <x:row r="349">
      <x:c r="A349" s="38" t="str">
        <x:v>SV-0348</x:v>
      </x:c>
      <x:c r="B349" s="38" t="str">
        <x:v>PC-06898</x:v>
      </x:c>
      <x:c r="C349" s="38" t="str">
        <x:v>en|both</x:v>
      </x:c>
      <x:c r="D349" s="87" t="n">
        <x:v>19.069444444444443</x:v>
      </x:c>
      <x:c r="E349" s="38" t="str">
        <x:v>both</x:v>
      </x:c>
      <x:c r="F349" s="38" t="str">
        <x:v>ZA_SARB_SARB_ProjectKhokha-20180605</x:v>
      </x:c>
      <x:c r="G349" s="38" t="n">
        <x:v>42</x:v>
      </x:c>
      <x:c r="H349" s="38" t="str">
        <x:v>en</x:v>
      </x:c>
      <x:c r="I349" s="38" t="str">
        <x:v>South African Reserve Bank</x:v>
      </x:c>
      <x:c r="J349" s="38" t="str">
        <x:v>In iteration 3 the transactions are confidential and the 
SARB node approves all the transactions after checks.</x:v>
      </x:c>
      <x:c r="K349" s="142" t="b">
        <x:v>0</x:v>
      </x:c>
      <x:c r="L349" s="146" t="str">
        <x:v>keep</x:v>
      </x:c>
      <x:c r="M349" s="146" t="str">
        <x:v>exclude</x:v>
      </x:c>
      <x:c r="N349" s="147" t="b">
        <x:v>0</x:v>
      </x:c>
      <x:c r="O349" s="146" t="str">
        <x:v>PRIV.ANON</x:v>
      </x:c>
      <x:c r="P349" s="146" t="str">
        <x:v>PRIV.CB.visibility.transparent</x:v>
      </x:c>
      <x:c r="Q349" s="146" t="str">
        <x:v>PRIV</x:v>
      </x:c>
      <x:c r="R349" s="146" t="str">
        <x:v>PRIV</x:v>
      </x:c>
      <x:c r="S349" s="146" t="str">
        <x:v>finding</x:v>
      </x:c>
      <x:c r="T349" s="146" t="str">
        <x:v>finding</x:v>
      </x:c>
      <x:c r="U349" s="146" t="str">
        <x:v>increases</x:v>
      </x:c>
      <x:c r="V349" s="146" t="str">
        <x:v>decreases</x:v>
      </x:c>
      <x:c r="W349" s="146" t="str">
        <x:v>from_state</x:v>
      </x:c>
      <x:c r="X349" s="146" t="str">
        <x:v>from_state</x:v>
      </x:c>
      <x:c r="Y349" s="146" t="n">
        <x:v>2</x:v>
      </x:c>
      <x:c r="Z349" s="146" t="n">
        <x:v>2</x:v>
      </x:c>
      <x:c r="AA349" s="146" t="str">
        <x:v>high</x:v>
      </x:c>
      <x:c r="AB349" s="146" t="str">
        <x:v>high</x:v>
      </x:c>
      <x:c r="AC349" s="146"/>
      <x:c r="AD349" s="146" t="str">
        <x:v>x</x:v>
      </x:c>
      <x:c r="AE349" s="151" t="str">
        <x:v>OTHER.keep</x:v>
      </x:c>
      <x:c r="AF349" s="151" t="str">
        <x:v>PRIV.CB.visibility.transparent</x:v>
      </x:c>
      <x:c r="AG349" s="151" t="str">
        <x:v>finding</x:v>
      </x:c>
      <x:c r="AH349" s="151" t="str">
        <x:v>finding</x:v>
      </x:c>
      <x:c r="AI349" s="154" t="n">
        <x:f>IF(K349,0,1)</x:f>
        <x:v>1</x:v>
      </x:c>
      <x:c r="AJ349" s="154" t="n">
        <x:f>IF(L349="keep",1,0)</x:f>
        <x:v>1</x:v>
      </x:c>
      <x:c r="AK349" s="154" t="n">
        <x:f>IF(M349="keep",1,0)</x:f>
        <x:v>0</x:v>
      </x:c>
      <x:c r="AL349" s="154" t="n">
        <x:f>(AJ349+AK349)/2</x:f>
        <x:v>0.5</x:v>
      </x:c>
      <x:c r="AM349" s="154" t="n">
        <x:f>MIN(AJ349,AK349)</x:f>
        <x:v>0</x:v>
      </x:c>
      <x:c r="AN349" s="154" t="n">
        <x:f>MAX(AJ349,AK349)</x:f>
        <x:v>1</x:v>
      </x:c>
      <x:c r="AO349" s="154" t="n">
        <x:f>IF(L349=M349,1,0)</x:f>
        <x:v>0</x:v>
      </x:c>
    </x:row>
    <x:row r="350">
      <x:c r="A350" s="38" t="str">
        <x:v>SV-0349</x:v>
      </x:c>
      <x:c r="B350" s="38" t="str">
        <x:v>PC-02064</x:v>
      </x:c>
      <x:c r="C350" s="38" t="str">
        <x:v>en|openai_only</x:v>
      </x:c>
      <x:c r="D350" s="87" t="n">
        <x:v>19.21875</x:v>
      </x:c>
      <x:c r="E350" s="38" t="str">
        <x:v>openai_only</x:v>
      </x:c>
      <x:c r="F350" s="38" t="str">
        <x:v>HK_HKMA_eHKD_Phase2_2025</x:v>
      </x:c>
      <x:c r="G350" s="38" t="n">
        <x:v>36</x:v>
      </x:c>
      <x:c r="H350" s="38" t="str">
        <x:v>en</x:v>
      </x:c>
      <x:c r="I350" s="38" t="str">
        <x:v>Hong Kong Monetary Authority (e-HKD Phase 2 pilots)</x:v>
      </x:c>
      <x:c r="J350" s="38" t="str">
        <x:v>The performance of public DLTs in handling 
high-volume retail transactions is a major issue.</x:v>
      </x:c>
      <x:c r="K350" s="142" t="b">
        <x:v>0</x:v>
      </x:c>
      <x:c r="L350" s="146" t="str">
        <x:v>keep</x:v>
      </x:c>
      <x:c r="M350" s="146" t="str">
        <x:v>exclude</x:v>
      </x:c>
      <x:c r="N350" s="147" t="b">
        <x:v>0</x:v>
      </x:c>
      <x:c r="O350" s="146" t="str">
        <x:v>TECH.DLT</x:v>
      </x:c>
      <x:c r="P350" s="146"/>
      <x:c r="Q350" s="146" t="str">
        <x:v>TECH</x:v>
      </x:c>
      <x:c r="R350" s="146" t="str"/>
      <x:c r="S350" s="146" t="str">
        <x:v>finding</x:v>
      </x:c>
      <x:c r="T350" s="146"/>
      <x:c r="U350" s="146" t="str">
        <x:v>neutral</x:v>
      </x:c>
      <x:c r="V350" s="146"/>
      <x:c r="W350" s="146" t="str">
        <x:v>not_applicable</x:v>
      </x:c>
      <x:c r="X350" s="146"/>
      <x:c r="Y350" s="146" t="n">
        <x:v>2</x:v>
      </x:c>
      <x:c r="Z350" s="146"/>
      <x:c r="AA350" s="146" t="str">
        <x:v>high</x:v>
      </x:c>
      <x:c r="AB350" s="146" t="str">
        <x:v>high</x:v>
      </x:c>
      <x:c r="AC350" s="146"/>
      <x:c r="AD350" s="146"/>
      <x:c r="AE350" s="151" t="str">
        <x:v>TECH.DLT</x:v>
      </x:c>
      <x:c r="AF350" s="151"/>
      <x:c r="AG350" s="151" t="str">
        <x:v>finding</x:v>
      </x:c>
      <x:c r="AH350" s="151"/>
      <x:c r="AI350" s="154" t="n">
        <x:f>IF(K350,0,1)</x:f>
        <x:v>1</x:v>
      </x:c>
      <x:c r="AJ350" s="154" t="n">
        <x:f>IF(L350="keep",1,0)</x:f>
        <x:v>1</x:v>
      </x:c>
      <x:c r="AK350" s="154" t="n">
        <x:f>IF(M350="keep",1,0)</x:f>
        <x:v>0</x:v>
      </x:c>
      <x:c r="AL350" s="154" t="n">
        <x:f>(AJ350+AK350)/2</x:f>
        <x:v>0.5</x:v>
      </x:c>
      <x:c r="AM350" s="154" t="n">
        <x:f>MIN(AJ350,AK350)</x:f>
        <x:v>0</x:v>
      </x:c>
      <x:c r="AN350" s="154" t="n">
        <x:f>MAX(AJ350,AK350)</x:f>
        <x:v>1</x:v>
      </x:c>
      <x:c r="AO350" s="154" t="n">
        <x:f>IF(L350=M350,1,0)</x:f>
        <x:v>0</x:v>
      </x:c>
    </x:row>
    <x:row r="351">
      <x:c r="A351" s="38" t="str">
        <x:v>SV-0350</x:v>
      </x:c>
      <x:c r="B351" s="38" t="str">
        <x:v>PC-00991</x:v>
      </x:c>
      <x:c r="C351" s="38" t="str">
        <x:v>en|openai_only</x:v>
      </x:c>
      <x:c r="D351" s="87" t="n">
        <x:v>19.21875</x:v>
      </x:c>
      <x:c r="E351" s="38" t="str">
        <x:v>openai_only</x:v>
      </x:c>
      <x:c r="F351" s="38" t="str">
        <x:v>CA_Jasper_Phase12_2017</x:v>
      </x:c>
      <x:c r="G351" s="38" t="n">
        <x:v>26</x:v>
      </x:c>
      <x:c r="H351" s="38" t="str">
        <x:v>en</x:v>
      </x:c>
      <x:c r="I351" s="38" t="str">
        <x:v>Bank of Canada and Payments Canada (Project Jasper)</x:v>
      </x:c>
      <x:c r="J351" s="38" t="str">
        <x:v>The signature of the supervisory node is 
then sought, and upon obtaining this signature, the 
sender initiates the last leg of the transaction by sub-
mitting the DDR Object to the notary for its signature.</x:v>
      </x:c>
      <x:c r="K351" s="142" t="b">
        <x:v>0</x:v>
      </x:c>
      <x:c r="L351" s="146" t="str">
        <x:v>keep</x:v>
      </x:c>
      <x:c r="M351" s="146" t="str">
        <x:v>exclude</x:v>
      </x:c>
      <x:c r="N351" s="147" t="b">
        <x:v>0</x:v>
      </x:c>
      <x:c r="O351" s="146" t="str">
        <x:v>SYS.design</x:v>
      </x:c>
      <x:c r="P351" s="146"/>
      <x:c r="Q351" s="146" t="str">
        <x:v>SYS</x:v>
      </x:c>
      <x:c r="R351" s="146" t="str"/>
      <x:c r="S351" s="146" t="str">
        <x:v>decision</x:v>
      </x:c>
      <x:c r="T351" s="146"/>
      <x:c r="U351" s="146" t="str">
        <x:v>neutral</x:v>
      </x:c>
      <x:c r="V351" s="146"/>
      <x:c r="W351" s="146" t="str">
        <x:v>not_applicable</x:v>
      </x:c>
      <x:c r="X351" s="146"/>
      <x:c r="Y351" s="146" t="n">
        <x:v>2</x:v>
      </x:c>
      <x:c r="Z351" s="146"/>
      <x:c r="AA351" s="146" t="str">
        <x:v>high</x:v>
      </x:c>
      <x:c r="AB351" s="146" t="str">
        <x:v>high</x:v>
      </x:c>
      <x:c r="AC351" s="146"/>
      <x:c r="AD351" s="146"/>
      <x:c r="AE351" s="151" t="str">
        <x:v>SYS.design</x:v>
      </x:c>
      <x:c r="AF351" s="151"/>
      <x:c r="AG351" s="151" t="str">
        <x:v>decision</x:v>
      </x:c>
      <x:c r="AH351" s="151"/>
      <x:c r="AI351" s="154" t="n">
        <x:f>IF(K351,0,1)</x:f>
        <x:v>1</x:v>
      </x:c>
      <x:c r="AJ351" s="154" t="n">
        <x:f>IF(L351="keep",1,0)</x:f>
        <x:v>1</x:v>
      </x:c>
      <x:c r="AK351" s="154" t="n">
        <x:f>IF(M351="keep",1,0)</x:f>
        <x:v>0</x:v>
      </x:c>
      <x:c r="AL351" s="154" t="n">
        <x:f>(AJ351+AK351)/2</x:f>
        <x:v>0.5</x:v>
      </x:c>
      <x:c r="AM351" s="154" t="n">
        <x:f>MIN(AJ351,AK351)</x:f>
        <x:v>0</x:v>
      </x:c>
      <x:c r="AN351" s="154" t="n">
        <x:f>MAX(AJ351,AK351)</x:f>
        <x:v>1</x:v>
      </x:c>
      <x:c r="AO351" s="154" t="n">
        <x:f>IF(L351=M351,1,0)</x:f>
        <x:v>0</x:v>
      </x:c>
    </x:row>
    <x:row r="352">
      <x:c r="A352" s="38" t="str">
        <x:v>SV-0351</x:v>
      </x:c>
      <x:c r="B352" s="38" t="str">
        <x:v>PC-06565</x:v>
      </x:c>
      <x:c r="C352" s="38" t="str">
        <x:v>en|both</x:v>
      </x:c>
      <x:c r="D352" s="87" t="n">
        <x:v>19.069444444444443</x:v>
      </x:c>
      <x:c r="E352" s="38" t="str">
        <x:v>both</x:v>
      </x:c>
      <x:c r="F352" s="38" t="str">
        <x:v>US_NYFed_CedarPhaseOne_2022</x:v>
      </x:c>
      <x:c r="G352" s="38" t="n">
        <x:v>12</x:v>
      </x:c>
      <x:c r="H352" s="38" t="str">
        <x:v>en</x:v>
      </x:c>
      <x:c r="I352" s="38" t="str">
        <x:v>Federal Reserve Bank of New York (Project Cedar Phase I)</x:v>
      </x:c>
      <x:c r="J352" s="38" t="str">
        <x:v>Phase I of Project Cedar was 
designed around a multi-ledger construct in which each currency was 
maintained on a separate ledger, operated by its respective simulated central 
bank.</x:v>
      </x:c>
      <x:c r="K352" s="142" t="b">
        <x:v>0</x:v>
      </x:c>
      <x:c r="L352" s="146" t="str">
        <x:v>keep</x:v>
      </x:c>
      <x:c r="M352" s="146" t="str">
        <x:v>keep</x:v>
      </x:c>
      <x:c r="N352" s="147" t="b">
        <x:v>1</x:v>
      </x:c>
      <x:c r="O352" s="146" t="str">
        <x:v>SYS.design</x:v>
      </x:c>
      <x:c r="P352" s="146" t="str">
        <x:v>SYS.design</x:v>
      </x:c>
      <x:c r="Q352" s="146" t="str">
        <x:v>SYS</x:v>
      </x:c>
      <x:c r="R352" s="146" t="str">
        <x:v>SYS</x:v>
      </x:c>
      <x:c r="S352" s="146" t="str">
        <x:v>decision</x:v>
      </x:c>
      <x:c r="T352" s="146" t="str">
        <x:v>decision</x:v>
      </x:c>
      <x:c r="U352" s="146" t="str">
        <x:v>neutral</x:v>
      </x:c>
      <x:c r="V352" s="146" t="str">
        <x:v>neutral</x:v>
      </x:c>
      <x:c r="W352" s="146" t="str">
        <x:v>not_applicable</x:v>
      </x:c>
      <x:c r="X352" s="146" t="str">
        <x:v>not_applicable</x:v>
      </x:c>
      <x:c r="Y352" s="146" t="n">
        <x:v>3</x:v>
      </x:c>
      <x:c r="Z352" s="146" t="n">
        <x:v>3</x:v>
      </x:c>
      <x:c r="AA352" s="146" t="str">
        <x:v>high</x:v>
      </x:c>
      <x:c r="AB352" s="146" t="str">
        <x:v>high</x:v>
      </x:c>
      <x:c r="AC352" s="146"/>
      <x:c r="AD352" s="146"/>
      <x:c r="AE352" s="151" t="str">
        <x:v>SYS.design</x:v>
      </x:c>
      <x:c r="AF352" s="151" t="str">
        <x:v>SYS.design</x:v>
      </x:c>
      <x:c r="AG352" s="151" t="str">
        <x:v>decision</x:v>
      </x:c>
      <x:c r="AH352" s="151" t="str">
        <x:v>decision</x:v>
      </x:c>
      <x:c r="AI352" s="154" t="n">
        <x:f>IF(K352,0,1)</x:f>
        <x:v>1</x:v>
      </x:c>
      <x:c r="AJ352" s="154" t="n">
        <x:f>IF(L352="keep",1,0)</x:f>
        <x:v>1</x:v>
      </x:c>
      <x:c r="AK352" s="154" t="n">
        <x:f>IF(M352="keep",1,0)</x:f>
        <x:v>1</x:v>
      </x:c>
      <x:c r="AL352" s="154" t="n">
        <x:f>(AJ352+AK352)/2</x:f>
        <x:v>1</x:v>
      </x:c>
      <x:c r="AM352" s="154" t="n">
        <x:f>MIN(AJ352,AK352)</x:f>
        <x:v>1</x:v>
      </x:c>
      <x:c r="AN352" s="154" t="n">
        <x:f>MAX(AJ352,AK352)</x:f>
        <x:v>1</x:v>
      </x:c>
      <x:c r="AO352" s="154" t="n">
        <x:f>IF(L352=M352,1,0)</x:f>
        <x:v>1</x:v>
      </x:c>
    </x:row>
    <x:row r="353">
      <x:c r="A353" s="38" t="str">
        <x:v>SV-0352</x:v>
      </x:c>
      <x:c r="B353" s="38" t="str">
        <x:v>PC-05960</x:v>
      </x:c>
      <x:c r="C353" s="38" t="str">
        <x:v>en|both</x:v>
      </x:c>
      <x:c r="D353" s="87" t="n">
        <x:v>19.069444444444443</x:v>
      </x:c>
      <x:c r="E353" s="38" t="str">
        <x:v>both</x:v>
      </x:c>
      <x:c r="F353" s="38" t="str">
        <x:v>UA_NBU_E-hryvnia_2019</x:v>
      </x:c>
      <x:c r="G353" s="38" t="n">
        <x:v>33</x:v>
      </x:c>
      <x:c r="H353" s="38" t="str">
        <x:v>en</x:v>
      </x:c>
      <x:c r="I353" s="38" t="str">
        <x:v>National Bank of Ukraine (e-hryvnia pilot)</x:v>
      </x:c>
      <x:c r="J353" s="38" t="str">
        <x:v>The distributed ledger technology (DLT, blockchain) can be used as a platform for e-hryvnia issuance and circulation. 
 However, main advantages of the technology, including the absence of a single center of trust and the capability of any 
person to check any transaction, cannot be used together with the centralized e -hryvnia issuance model. Thus, it is not 
critical whether this technology is used if the centralized model is chosen.</x:v>
      </x:c>
      <x:c r="K353" s="142" t="b">
        <x:v>0</x:v>
      </x:c>
      <x:c r="L353" s="146" t="str">
        <x:v>keep</x:v>
      </x:c>
      <x:c r="M353" s="146" t="str">
        <x:v>keep</x:v>
      </x:c>
      <x:c r="N353" s="147" t="b">
        <x:v>1</x:v>
      </x:c>
      <x:c r="O353" s="146" t="str">
        <x:v>TECH.DLT</x:v>
      </x:c>
      <x:c r="P353" s="146" t="str">
        <x:v>TECH.TOKEN.decided_yes</x:v>
      </x:c>
      <x:c r="Q353" s="146" t="str">
        <x:v>TECH</x:v>
      </x:c>
      <x:c r="R353" s="146" t="str">
        <x:v>TECH</x:v>
      </x:c>
      <x:c r="S353" s="146" t="str">
        <x:v>finding</x:v>
      </x:c>
      <x:c r="T353" s="146" t="str">
        <x:v>finding</x:v>
      </x:c>
      <x:c r="U353" s="146" t="str">
        <x:v>neutral</x:v>
      </x:c>
      <x:c r="V353" s="146" t="str">
        <x:v>neutral</x:v>
      </x:c>
      <x:c r="W353" s="146" t="str">
        <x:v>not_applicable</x:v>
      </x:c>
      <x:c r="X353" s="146" t="str">
        <x:v>not_applicable</x:v>
      </x:c>
      <x:c r="Y353" s="146" t="n">
        <x:v>3</x:v>
      </x:c>
      <x:c r="Z353" s="146" t="n">
        <x:v>2</x:v>
      </x:c>
      <x:c r="AA353" s="146" t="str">
        <x:v>high</x:v>
      </x:c>
      <x:c r="AB353" s="146" t="str">
        <x:v>high</x:v>
      </x:c>
      <x:c r="AC353" s="146"/>
      <x:c r="AD353" s="146" t="str">
        <x:v>x</x:v>
      </x:c>
      <x:c r="AE353" s="151" t="str">
        <x:v>TECH.DLT</x:v>
      </x:c>
      <x:c r="AF353" s="151" t="str">
        <x:v>ADOPT.experience</x:v>
      </x:c>
      <x:c r="AG353" s="151" t="str">
        <x:v>finding</x:v>
      </x:c>
      <x:c r="AH353" s="151" t="str">
        <x:v>finding</x:v>
      </x:c>
      <x:c r="AI353" s="154" t="n">
        <x:f>IF(K353,0,1)</x:f>
        <x:v>1</x:v>
      </x:c>
      <x:c r="AJ353" s="154" t="n">
        <x:f>IF(L353="keep",1,0)</x:f>
        <x:v>1</x:v>
      </x:c>
      <x:c r="AK353" s="154" t="n">
        <x:f>IF(M353="keep",1,0)</x:f>
        <x:v>1</x:v>
      </x:c>
      <x:c r="AL353" s="154" t="n">
        <x:f>(AJ353+AK353)/2</x:f>
        <x:v>1</x:v>
      </x:c>
      <x:c r="AM353" s="154" t="n">
        <x:f>MIN(AJ353,AK353)</x:f>
        <x:v>1</x:v>
      </x:c>
      <x:c r="AN353" s="154" t="n">
        <x:f>MAX(AJ353,AK353)</x:f>
        <x:v>1</x:v>
      </x:c>
      <x:c r="AO353" s="154" t="n">
        <x:f>IF(L353=M353,1,0)</x:f>
        <x:v>1</x:v>
      </x:c>
    </x:row>
    <x:row r="354">
      <x:c r="A354" s="38" t="str">
        <x:v>SV-0353</x:v>
      </x:c>
      <x:c r="B354" s="38" t="str">
        <x:v>PC-05566</x:v>
      </x:c>
      <x:c r="C354" s="38" t="str">
        <x:v>en|both</x:v>
      </x:c>
      <x:c r="D354" s="87" t="n">
        <x:v>19.069444444444443</x:v>
      </x:c>
      <x:c r="E354" s="38" t="str">
        <x:v>both</x:v>
      </x:c>
      <x:c r="F354" s="38" t="str">
        <x:v>SZ_Eswatini_2024-Fintech-Digital-Lilangeni-Design-Paper</x:v>
      </x:c>
      <x:c r="G354" s="38" t="n">
        <x:v>38</x:v>
      </x:c>
      <x:c r="H354" s="38" t="str">
        <x:v>en</x:v>
      </x:c>
      <x:c r="I354" s="38" t="str">
        <x:v>Central Bank of Eswatini (Digital Lilangeni)</x:v>
      </x:c>
      <x:c r="J354" s="38" t="str">
        <x:v>With regard to a 
potential roll-out of CBDC in the Kingdom of Eswatini, the CBE will treat the topic 
of information security with the highest priority.</x:v>
      </x:c>
      <x:c r="K354" s="142" t="b">
        <x:v>0</x:v>
      </x:c>
      <x:c r="L354" s="146" t="str">
        <x:v>exclude</x:v>
      </x:c>
      <x:c r="M354" s="146" t="str">
        <x:v>keep</x:v>
      </x:c>
      <x:c r="N354" s="147" t="b">
        <x:v>0</x:v>
      </x:c>
      <x:c r="O354" s="146"/>
      <x:c r="P354" s="146" t="str">
        <x:v>OPS.resilience</x:v>
      </x:c>
      <x:c r="Q354" s="146" t="str"/>
      <x:c r="R354" s="146" t="str">
        <x:v>OPS</x:v>
      </x:c>
      <x:c r="S354" s="146"/>
      <x:c r="T354" s="146" t="str">
        <x:v>proposal</x:v>
      </x:c>
      <x:c r="U354" s="146"/>
      <x:c r="V354" s="146" t="str">
        <x:v>neutral</x:v>
      </x:c>
      <x:c r="W354" s="146"/>
      <x:c r="X354" s="146" t="str">
        <x:v>not_applicable</x:v>
      </x:c>
      <x:c r="Y354" s="146"/>
      <x:c r="Z354" s="146" t="n">
        <x:v>2</x:v>
      </x:c>
      <x:c r="AA354" s="146" t="str">
        <x:v>high</x:v>
      </x:c>
      <x:c r="AB354" s="146" t="str">
        <x:v>high</x:v>
      </x:c>
      <x:c r="AC354" s="146"/>
      <x:c r="AD354" s="146"/>
      <x:c r="AE354" s="151" t="str">
        <x:v>PROC.pilot_learning</x:v>
      </x:c>
      <x:c r="AF354" s="151" t="str">
        <x:v>OPS.resilience</x:v>
      </x:c>
      <x:c r="AG354" s="151" t="str">
        <x:v>finding</x:v>
      </x:c>
      <x:c r="AH354" s="151" t="str">
        <x:v>proposal</x:v>
      </x:c>
      <x:c r="AI354" s="154" t="n">
        <x:f>IF(K354,0,1)</x:f>
        <x:v>1</x:v>
      </x:c>
      <x:c r="AJ354" s="154" t="n">
        <x:f>IF(L354="keep",1,0)</x:f>
        <x:v>0</x:v>
      </x:c>
      <x:c r="AK354" s="154" t="n">
        <x:f>IF(M354="keep",1,0)</x:f>
        <x:v>1</x:v>
      </x:c>
      <x:c r="AL354" s="154" t="n">
        <x:f>(AJ354+AK354)/2</x:f>
        <x:v>0.5</x:v>
      </x:c>
      <x:c r="AM354" s="154" t="n">
        <x:f>MIN(AJ354,AK354)</x:f>
        <x:v>0</x:v>
      </x:c>
      <x:c r="AN354" s="154" t="n">
        <x:f>MAX(AJ354,AK354)</x:f>
        <x:v>1</x:v>
      </x:c>
      <x:c r="AO354" s="154" t="n">
        <x:f>IF(L354=M354,1,0)</x:f>
        <x:v>0</x:v>
      </x:c>
    </x:row>
    <x:row r="355">
      <x:c r="A355" s="38" t="str">
        <x:v>SV-0354</x:v>
      </x:c>
      <x:c r="B355" s="38" t="str">
        <x:v>PC-03308</x:v>
      </x:c>
      <x:c r="C355" s="38" t="str">
        <x:v>en|both</x:v>
      </x:c>
      <x:c r="D355" s="87" t="n">
        <x:v>19.069444444444443</x:v>
      </x:c>
      <x:c r="E355" s="38" t="str">
        <x:v>both</x:v>
      </x:c>
      <x:c r="F355" s="38" t="str">
        <x:v>IN_RBI_2025</x:v>
      </x:c>
      <x:c r="G355" s="38" t="n">
        <x:v>4</x:v>
      </x:c>
      <x:c r="H355" s="38" t="str">
        <x:v>en</x:v>
      </x:c>
      <x:c r="I355" s="38" t="str">
        <x:v>Reserve Bank of India (digital rupee)</x:v>
      </x:c>
      <x:c r="J355" s="38" t="str">
        <x:v>In the case of P2P and P2M payments made at any CBDC QR, the transactions 
happen between two e₹ wallets, and are settled instantaneously without passing 
through user’s bank accounts.</x:v>
      </x:c>
      <x:c r="K355" s="142" t="b">
        <x:v>0</x:v>
      </x:c>
      <x:c r="L355" s="146" t="str">
        <x:v>keep</x:v>
      </x:c>
      <x:c r="M355" s="146" t="str">
        <x:v>keep</x:v>
      </x:c>
      <x:c r="N355" s="147" t="b">
        <x:v>1</x:v>
      </x:c>
      <x:c r="O355" s="146" t="str">
        <x:v>TECH.TOKEN.considered</x:v>
      </x:c>
      <x:c r="P355" s="146" t="str">
        <x:v>SYS.design</x:v>
      </x:c>
      <x:c r="Q355" s="146" t="str">
        <x:v>TECH</x:v>
      </x:c>
      <x:c r="R355" s="146" t="str">
        <x:v>SYS</x:v>
      </x:c>
      <x:c r="S355" s="146" t="str">
        <x:v>decision</x:v>
      </x:c>
      <x:c r="T355" s="146" t="str">
        <x:v>decision</x:v>
      </x:c>
      <x:c r="U355" s="146" t="str">
        <x:v>neutral</x:v>
      </x:c>
      <x:c r="V355" s="146" t="str">
        <x:v>neutral</x:v>
      </x:c>
      <x:c r="W355" s="146" t="str">
        <x:v>not_applicable</x:v>
      </x:c>
      <x:c r="X355" s="146" t="str">
        <x:v>not_applicable</x:v>
      </x:c>
      <x:c r="Y355" s="146" t="n">
        <x:v>3</x:v>
      </x:c>
      <x:c r="Z355" s="146" t="n">
        <x:v>2</x:v>
      </x:c>
      <x:c r="AA355" s="146" t="str">
        <x:v>high</x:v>
      </x:c>
      <x:c r="AB355" s="146" t="str">
        <x:v>high</x:v>
      </x:c>
      <x:c r="AC355" s="146"/>
      <x:c r="AD355" s="146"/>
      <x:c r="AE355" s="151" t="str">
        <x:v>INTEROP.domestic</x:v>
      </x:c>
      <x:c r="AF355" s="151" t="str">
        <x:v>SYS.design</x:v>
      </x:c>
      <x:c r="AG355" s="151" t="str">
        <x:v>decision</x:v>
      </x:c>
      <x:c r="AH355" s="151" t="str">
        <x:v>decision</x:v>
      </x:c>
      <x:c r="AI355" s="154" t="n">
        <x:f>IF(K355,0,1)</x:f>
        <x:v>1</x:v>
      </x:c>
      <x:c r="AJ355" s="154" t="n">
        <x:f>IF(L355="keep",1,0)</x:f>
        <x:v>1</x:v>
      </x:c>
      <x:c r="AK355" s="154" t="n">
        <x:f>IF(M355="keep",1,0)</x:f>
        <x:v>1</x:v>
      </x:c>
      <x:c r="AL355" s="154" t="n">
        <x:f>(AJ355+AK355)/2</x:f>
        <x:v>1</x:v>
      </x:c>
      <x:c r="AM355" s="154" t="n">
        <x:f>MIN(AJ355,AK355)</x:f>
        <x:v>1</x:v>
      </x:c>
      <x:c r="AN355" s="154" t="n">
        <x:f>MAX(AJ355,AK355)</x:f>
        <x:v>1</x:v>
      </x:c>
      <x:c r="AO355" s="154" t="n">
        <x:f>IF(L355=M355,1,0)</x:f>
        <x:v>1</x:v>
      </x:c>
    </x:row>
    <x:row r="356">
      <x:c r="A356" s="38" t="str">
        <x:v>SV-0355</x:v>
      </x:c>
      <x:c r="B356" s="38" t="str">
        <x:v>PC-06306</x:v>
      </x:c>
      <x:c r="C356" s="38" t="str">
        <x:v>en|both</x:v>
      </x:c>
      <x:c r="D356" s="87" t="n">
        <x:v>19.069444444444443</x:v>
      </x:c>
      <x:c r="E356" s="38" t="str">
        <x:v>both</x:v>
      </x:c>
      <x:c r="F356" s="38" t="str">
        <x:v>UK_BoE_2023_TechWP</x:v>
      </x:c>
      <x:c r="G356" s="38" t="n">
        <x:v>54</x:v>
      </x:c>
      <x:c r="H356" s="38" t="str">
        <x:v>en</x:v>
      </x:c>
      <x:c r="I356" s="38" t="str">
        <x:v>Bank of England and HM Treasury (digital pound)</x:v>
      </x:c>
      <x:c r="J356" s="38" t="str">
        <x:v>the Bank may also wish to collect 
aggregate data, which have been effectively anonymised, for the purposes of economic and 
policy analysis, in the course of its duties for monetary and financial stability.</x:v>
      </x:c>
      <x:c r="K356" s="142" t="b">
        <x:v>0</x:v>
      </x:c>
      <x:c r="L356" s="146" t="str">
        <x:v>keep</x:v>
      </x:c>
      <x:c r="M356" s="146" t="str">
        <x:v>exclude</x:v>
      </x:c>
      <x:c r="N356" s="147" t="b">
        <x:v>0</x:v>
      </x:c>
      <x:c r="O356" s="146" t="str">
        <x:v>PRIV.CB.visibility.opaque</x:v>
      </x:c>
      <x:c r="P356" s="146" t="str">
        <x:v>PRIV.ANON</x:v>
      </x:c>
      <x:c r="Q356" s="146" t="str">
        <x:v>PRIV</x:v>
      </x:c>
      <x:c r="R356" s="146" t="str">
        <x:v>PRIV</x:v>
      </x:c>
      <x:c r="S356" s="146" t="str">
        <x:v>proposal</x:v>
      </x:c>
      <x:c r="T356" s="146" t="str">
        <x:v>proposal</x:v>
      </x:c>
      <x:c r="U356" s="146" t="str">
        <x:v>conditional</x:v>
      </x:c>
      <x:c r="V356" s="146" t="str">
        <x:v>increases</x:v>
      </x:c>
      <x:c r="W356" s="146" t="str">
        <x:v>from_state</x:v>
      </x:c>
      <x:c r="X356" s="146" t="str">
        <x:v>from_state</x:v>
      </x:c>
      <x:c r="Y356" s="146" t="n">
        <x:v>1</x:v>
      </x:c>
      <x:c r="Z356" s="146" t="n">
        <x:v>2</x:v>
      </x:c>
      <x:c r="AA356" s="146" t="str">
        <x:v>high</x:v>
      </x:c>
      <x:c r="AB356" s="146" t="str">
        <x:v>high</x:v>
      </x:c>
      <x:c r="AC356" s="146"/>
      <x:c r="AD356" s="146" t="str">
        <x:v>x</x:v>
      </x:c>
      <x:c r="AE356" s="151" t="str">
        <x:v>SYS.design</x:v>
      </x:c>
      <x:c r="AF356" s="151" t="str">
        <x:v>PRIV.ANON</x:v>
      </x:c>
      <x:c r="AG356" s="151" t="str">
        <x:v>proposal</x:v>
      </x:c>
      <x:c r="AH356" s="151" t="str">
        <x:v>proposal</x:v>
      </x:c>
      <x:c r="AI356" s="154" t="n">
        <x:f>IF(K356,0,1)</x:f>
        <x:v>1</x:v>
      </x:c>
      <x:c r="AJ356" s="154" t="n">
        <x:f>IF(L356="keep",1,0)</x:f>
        <x:v>1</x:v>
      </x:c>
      <x:c r="AK356" s="154" t="n">
        <x:f>IF(M356="keep",1,0)</x:f>
        <x:v>0</x:v>
      </x:c>
      <x:c r="AL356" s="154" t="n">
        <x:f>(AJ356+AK356)/2</x:f>
        <x:v>0.5</x:v>
      </x:c>
      <x:c r="AM356" s="154" t="n">
        <x:f>MIN(AJ356,AK356)</x:f>
        <x:v>0</x:v>
      </x:c>
      <x:c r="AN356" s="154" t="n">
        <x:f>MAX(AJ356,AK356)</x:f>
        <x:v>1</x:v>
      </x:c>
      <x:c r="AO356" s="154" t="n">
        <x:f>IF(L356=M356,1,0)</x:f>
        <x:v>0</x:v>
      </x:c>
    </x:row>
    <x:row r="357">
      <x:c r="A357" s="38" t="str">
        <x:v>SV-0356</x:v>
      </x:c>
      <x:c r="B357" s="38" t="str">
        <x:v>PC-02789</x:v>
      </x:c>
      <x:c r="C357" s="38" t="str">
        <x:v>en|both</x:v>
      </x:c>
      <x:c r="D357" s="87" t="n">
        <x:v>19.069444444444443</x:v>
      </x:c>
      <x:c r="E357" s="38" t="str">
        <x:v>both</x:v>
      </x:c>
      <x:c r="F357" s="38" t="str">
        <x:v>IL_BoI_2024</x:v>
      </x:c>
      <x:c r="G357" s="38" t="n">
        <x:v>42</x:v>
      </x:c>
      <x:c r="H357" s="38" t="str">
        <x:v>en</x:v>
      </x:c>
      <x:c r="I357" s="38" t="str">
        <x:v>Bank of Israel (digital shekel)</x:v>
      </x:c>
      <x:c r="J357" s="38" t="str">
        <x:v>To increase the ability of PSPs to develop a sustainable business model, they will not be 
required to onboard every end user who approaches them but will be allowed to specialise 
in certain user segments.</x:v>
      </x:c>
      <x:c r="K357" s="142" t="b">
        <x:v>0</x:v>
      </x:c>
      <x:c r="L357" s="146" t="str">
        <x:v>keep</x:v>
      </x:c>
      <x:c r="M357" s="146" t="str">
        <x:v>keep</x:v>
      </x:c>
      <x:c r="N357" s="147" t="b">
        <x:v>1</x:v>
      </x:c>
      <x:c r="O357" s="146" t="str">
        <x:v>SYS.design</x:v>
      </x:c>
      <x:c r="P357" s="146" t="str">
        <x:v>ACCESS.universal</x:v>
      </x:c>
      <x:c r="Q357" s="146" t="str">
        <x:v>SYS</x:v>
      </x:c>
      <x:c r="R357" s="146" t="str">
        <x:v>ACCESS</x:v>
      </x:c>
      <x:c r="S357" s="146" t="str">
        <x:v>proposal</x:v>
      </x:c>
      <x:c r="T357" s="146" t="str">
        <x:v>decision</x:v>
      </x:c>
      <x:c r="U357" s="146" t="str">
        <x:v>neutral</x:v>
      </x:c>
      <x:c r="V357" s="146" t="str">
        <x:v>neutral</x:v>
      </x:c>
      <x:c r="W357" s="146" t="str">
        <x:v>not_applicable</x:v>
      </x:c>
      <x:c r="X357" s="146" t="str">
        <x:v>not_applicable</x:v>
      </x:c>
      <x:c r="Y357" s="146" t="n">
        <x:v>3</x:v>
      </x:c>
      <x:c r="Z357" s="146" t="n">
        <x:v>1</x:v>
      </x:c>
      <x:c r="AA357" s="146" t="str">
        <x:v>high</x:v>
      </x:c>
      <x:c r="AB357" s="146" t="str">
        <x:v>high</x:v>
      </x:c>
      <x:c r="AC357" s="146"/>
      <x:c r="AD357" s="146"/>
      <x:c r="AE357" s="151" t="str">
        <x:v>SYS.design</x:v>
      </x:c>
      <x:c r="AF357" s="151" t="str">
        <x:v>ACCESS.universal</x:v>
      </x:c>
      <x:c r="AG357" s="151" t="str">
        <x:v>proposal</x:v>
      </x:c>
      <x:c r="AH357" s="151" t="str">
        <x:v>decision</x:v>
      </x:c>
      <x:c r="AI357" s="154" t="n">
        <x:f>IF(K357,0,1)</x:f>
        <x:v>1</x:v>
      </x:c>
      <x:c r="AJ357" s="154" t="n">
        <x:f>IF(L357="keep",1,0)</x:f>
        <x:v>1</x:v>
      </x:c>
      <x:c r="AK357" s="154" t="n">
        <x:f>IF(M357="keep",1,0)</x:f>
        <x:v>1</x:v>
      </x:c>
      <x:c r="AL357" s="154" t="n">
        <x:f>(AJ357+AK357)/2</x:f>
        <x:v>1</x:v>
      </x:c>
      <x:c r="AM357" s="154" t="n">
        <x:f>MIN(AJ357,AK357)</x:f>
        <x:v>1</x:v>
      </x:c>
      <x:c r="AN357" s="154" t="n">
        <x:f>MAX(AJ357,AK357)</x:f>
        <x:v>1</x:v>
      </x:c>
      <x:c r="AO357" s="154" t="n">
        <x:f>IF(L357=M357,1,0)</x:f>
        <x:v>1</x:v>
      </x:c>
    </x:row>
    <x:row r="358">
      <x:c r="A358" s="38" t="str">
        <x:v>SV-0357</x:v>
      </x:c>
      <x:c r="B358" s="38" t="str">
        <x:v>PC-02981</x:v>
      </x:c>
      <x:c r="C358" s="38" t="str">
        <x:v>en|both</x:v>
      </x:c>
      <x:c r="D358" s="87" t="n">
        <x:v>19.069444444444443</x:v>
      </x:c>
      <x:c r="E358" s="38" t="str">
        <x:v>both</x:v>
      </x:c>
      <x:c r="F358" s="38" t="str">
        <x:v>IL_BoI_2024</x:v>
      </x:c>
      <x:c r="G358" s="38" t="n">
        <x:v>93</x:v>
      </x:c>
      <x:c r="H358" s="38" t="str">
        <x:v>en</x:v>
      </x:c>
      <x:c r="I358" s="38" t="str">
        <x:v>Bank of Israel (digital shekel)</x:v>
      </x:c>
      <x:c r="J358" s="38" t="str">
        <x:v>Based on the prop osed design of 
the backend layer, an end user can 
open multiple wallets at the 
central database, with the PSP 
managing the hierarchy between 
the wallets.</x:v>
      </x:c>
      <x:c r="K358" s="142" t="b">
        <x:v>0</x:v>
      </x:c>
      <x:c r="L358" s="146" t="str">
        <x:v>keep</x:v>
      </x:c>
      <x:c r="M358" s="146" t="str">
        <x:v>keep</x:v>
      </x:c>
      <x:c r="N358" s="147" t="b">
        <x:v>1</x:v>
      </x:c>
      <x:c r="O358" s="146" t="str">
        <x:v>SYS.design</x:v>
      </x:c>
      <x:c r="P358" s="146" t="str">
        <x:v>SYS.design</x:v>
      </x:c>
      <x:c r="Q358" s="146" t="str">
        <x:v>SYS</x:v>
      </x:c>
      <x:c r="R358" s="146" t="str">
        <x:v>SYS</x:v>
      </x:c>
      <x:c r="S358" s="146" t="str">
        <x:v>proposal</x:v>
      </x:c>
      <x:c r="T358" s="146" t="str">
        <x:v>decision</x:v>
      </x:c>
      <x:c r="U358" s="146" t="str">
        <x:v>neutral</x:v>
      </x:c>
      <x:c r="V358" s="146" t="str">
        <x:v>neutral</x:v>
      </x:c>
      <x:c r="W358" s="146" t="str">
        <x:v>not_applicable</x:v>
      </x:c>
      <x:c r="X358" s="146" t="str">
        <x:v>not_applicable</x:v>
      </x:c>
      <x:c r="Y358" s="146" t="n">
        <x:v>2</x:v>
      </x:c>
      <x:c r="Z358" s="146" t="n">
        <x:v>2</x:v>
      </x:c>
      <x:c r="AA358" s="146" t="str">
        <x:v>high</x:v>
      </x:c>
      <x:c r="AB358" s="146" t="str">
        <x:v>high</x:v>
      </x:c>
      <x:c r="AC358" s="146"/>
      <x:c r="AD358" s="146"/>
      <x:c r="AE358" s="151" t="str">
        <x:v>SYS.design</x:v>
      </x:c>
      <x:c r="AF358" s="151" t="str">
        <x:v>SYS.design</x:v>
      </x:c>
      <x:c r="AG358" s="151" t="str">
        <x:v>proposal</x:v>
      </x:c>
      <x:c r="AH358" s="151" t="str">
        <x:v>decision</x:v>
      </x:c>
      <x:c r="AI358" s="154" t="n">
        <x:f>IF(K358,0,1)</x:f>
        <x:v>1</x:v>
      </x:c>
      <x:c r="AJ358" s="154" t="n">
        <x:f>IF(L358="keep",1,0)</x:f>
        <x:v>1</x:v>
      </x:c>
      <x:c r="AK358" s="154" t="n">
        <x:f>IF(M358="keep",1,0)</x:f>
        <x:v>1</x:v>
      </x:c>
      <x:c r="AL358" s="154" t="n">
        <x:f>(AJ358+AK358)/2</x:f>
        <x:v>1</x:v>
      </x:c>
      <x:c r="AM358" s="154" t="n">
        <x:f>MIN(AJ358,AK358)</x:f>
        <x:v>1</x:v>
      </x:c>
      <x:c r="AN358" s="154" t="n">
        <x:f>MAX(AJ358,AK358)</x:f>
        <x:v>1</x:v>
      </x:c>
      <x:c r="AO358" s="154" t="n">
        <x:f>IF(L358=M358,1,0)</x:f>
        <x:v>1</x:v>
      </x:c>
    </x:row>
    <x:row r="359">
      <x:c r="A359" s="38" t="str">
        <x:v>SV-0358</x:v>
      </x:c>
      <x:c r="B359" s="38" t="str">
        <x:v>PC-04726</x:v>
      </x:c>
      <x:c r="C359" s="38" t="str">
        <x:v>en|both</x:v>
      </x:c>
      <x:c r="D359" s="87" t="n">
        <x:v>19.069444444444443</x:v>
      </x:c>
      <x:c r="E359" s="38" t="str">
        <x:v>both</x:v>
      </x:c>
      <x:c r="F359" s="38" t="str">
        <x:v>PW_Palau_Phase1_Report</x:v>
      </x:c>
      <x:c r="G359" s="38" t="n">
        <x:v>10</x:v>
      </x:c>
      <x:c r="H359" s="38" t="str">
        <x:v>en</x:v>
      </x:c>
      <x:c r="I359" s="38" t="str">
        <x:v>Republic of Palau (Palau Stablecoin programme)</x:v>
      </x:c>
      <x:c r="J359" s="38" t="str">
        <x:v>A weekly batch upload and distribution of 100 PSC to each approved 
user account was scheduled and executed by the MOF.</x:v>
      </x:c>
      <x:c r="K359" s="142" t="b">
        <x:v>0</x:v>
      </x:c>
      <x:c r="L359" s="146" t="str">
        <x:v>exclude</x:v>
      </x:c>
      <x:c r="M359" s="146" t="str">
        <x:v>keep</x:v>
      </x:c>
      <x:c r="N359" s="147" t="b">
        <x:v>0</x:v>
      </x:c>
      <x:c r="O359" s="146"/>
      <x:c r="P359" s="146" t="str">
        <x:v>SYS.design</x:v>
      </x:c>
      <x:c r="Q359" s="146" t="str"/>
      <x:c r="R359" s="146" t="str">
        <x:v>SYS</x:v>
      </x:c>
      <x:c r="S359" s="146"/>
      <x:c r="T359" s="146" t="str">
        <x:v>decision</x:v>
      </x:c>
      <x:c r="U359" s="146"/>
      <x:c r="V359" s="146" t="str">
        <x:v>neutral</x:v>
      </x:c>
      <x:c r="W359" s="146"/>
      <x:c r="X359" s="146" t="str">
        <x:v>not_applicable</x:v>
      </x:c>
      <x:c r="Y359" s="146"/>
      <x:c r="Z359" s="146" t="n">
        <x:v>2</x:v>
      </x:c>
      <x:c r="AA359" s="146" t="str">
        <x:v>high</x:v>
      </x:c>
      <x:c r="AB359" s="146" t="str">
        <x:v>high</x:v>
      </x:c>
      <x:c r="AC359" s="146"/>
      <x:c r="AD359" s="146"/>
      <x:c r="AE359" s="151" t="str">
        <x:v>SYS.design</x:v>
      </x:c>
      <x:c r="AF359" s="151" t="str">
        <x:v>SYS.design</x:v>
      </x:c>
      <x:c r="AG359" s="151" t="str">
        <x:v>decision</x:v>
      </x:c>
      <x:c r="AH359" s="151" t="str">
        <x:v>decision</x:v>
      </x:c>
      <x:c r="AI359" s="154" t="n">
        <x:f>IF(K359,0,1)</x:f>
        <x:v>1</x:v>
      </x:c>
      <x:c r="AJ359" s="154" t="n">
        <x:f>IF(L359="keep",1,0)</x:f>
        <x:v>0</x:v>
      </x:c>
      <x:c r="AK359" s="154" t="n">
        <x:f>IF(M359="keep",1,0)</x:f>
        <x:v>1</x:v>
      </x:c>
      <x:c r="AL359" s="154" t="n">
        <x:f>(AJ359+AK359)/2</x:f>
        <x:v>0.5</x:v>
      </x:c>
      <x:c r="AM359" s="154" t="n">
        <x:f>MIN(AJ359,AK359)</x:f>
        <x:v>0</x:v>
      </x:c>
      <x:c r="AN359" s="154" t="n">
        <x:f>MAX(AJ359,AK359)</x:f>
        <x:v>1</x:v>
      </x:c>
      <x:c r="AO359" s="154" t="n">
        <x:f>IF(L359=M359,1,0)</x:f>
        <x:v>0</x:v>
      </x:c>
    </x:row>
    <x:row r="360">
      <x:c r="A360" s="38" t="str">
        <x:v>SV-0359</x:v>
      </x:c>
      <x:c r="B360" s="38" t="str">
        <x:v>PC-05969</x:v>
      </x:c>
      <x:c r="C360" s="38" t="str">
        <x:v>en|openai_only</x:v>
      </x:c>
      <x:c r="D360" s="87" t="n">
        <x:v>19.21875</x:v>
      </x:c>
      <x:c r="E360" s="38" t="str">
        <x:v>openai_only</x:v>
      </x:c>
      <x:c r="F360" s="38" t="str">
        <x:v>UA_NBU_E-hryvnia_2019</x:v>
      </x:c>
      <x:c r="G360" s="38" t="n">
        <x:v>34</x:v>
      </x:c>
      <x:c r="H360" s="38" t="str">
        <x:v>en</x:v>
      </x:c>
      <x:c r="I360" s="38" t="str">
        <x:v>National Bank of Ukraine (e-hryvnia pilot)</x:v>
      </x:c>
      <x:c r="J360" s="38" t="str">
        <x:v>Under the decentralized model, e-hryvnia will no longer be classified as CBDC, since it will be issued not by the central 
bank but by payment market participants under the regulator’s control.</x:v>
      </x:c>
      <x:c r="K360" s="142" t="b">
        <x:v>0</x:v>
      </x:c>
      <x:c r="L360" s="146" t="str">
        <x:v>keep</x:v>
      </x:c>
      <x:c r="M360" s="146" t="str">
        <x:v>exclude</x:v>
      </x:c>
      <x:c r="N360" s="147" t="b">
        <x:v>0</x:v>
      </x:c>
      <x:c r="O360" s="146" t="str">
        <x:v>SYS.design</x:v>
      </x:c>
      <x:c r="P360" s="146"/>
      <x:c r="Q360" s="146" t="str">
        <x:v>SYS</x:v>
      </x:c>
      <x:c r="R360" s="146" t="str"/>
      <x:c r="S360" s="146" t="str">
        <x:v>proposal</x:v>
      </x:c>
      <x:c r="T360" s="146"/>
      <x:c r="U360" s="146" t="str">
        <x:v>neutral</x:v>
      </x:c>
      <x:c r="V360" s="146"/>
      <x:c r="W360" s="146" t="str">
        <x:v>not_applicable</x:v>
      </x:c>
      <x:c r="X360" s="146"/>
      <x:c r="Y360" s="146" t="n">
        <x:v>2</x:v>
      </x:c>
      <x:c r="Z360" s="146"/>
      <x:c r="AA360" s="146" t="str">
        <x:v>high</x:v>
      </x:c>
      <x:c r="AB360" s="146" t="str">
        <x:v>high</x:v>
      </x:c>
      <x:c r="AC360" s="146"/>
      <x:c r="AD360" s="146"/>
      <x:c r="AE360" s="151" t="str">
        <x:v>SYS.design</x:v>
      </x:c>
      <x:c r="AF360" s="151"/>
      <x:c r="AG360" s="151" t="str">
        <x:v>proposal</x:v>
      </x:c>
      <x:c r="AH360" s="151"/>
      <x:c r="AI360" s="154" t="n">
        <x:f>IF(K360,0,1)</x:f>
        <x:v>1</x:v>
      </x:c>
      <x:c r="AJ360" s="154" t="n">
        <x:f>IF(L360="keep",1,0)</x:f>
        <x:v>1</x:v>
      </x:c>
      <x:c r="AK360" s="154" t="n">
        <x:f>IF(M360="keep",1,0)</x:f>
        <x:v>0</x:v>
      </x:c>
      <x:c r="AL360" s="154" t="n">
        <x:f>(AJ360+AK360)/2</x:f>
        <x:v>0.5</x:v>
      </x:c>
      <x:c r="AM360" s="154" t="n">
        <x:f>MIN(AJ360,AK360)</x:f>
        <x:v>0</x:v>
      </x:c>
      <x:c r="AN360" s="154" t="n">
        <x:f>MAX(AJ360,AK360)</x:f>
        <x:v>1</x:v>
      </x:c>
      <x:c r="AO360" s="154" t="n">
        <x:f>IF(L360=M360,1,0)</x:f>
        <x:v>0</x:v>
      </x:c>
    </x:row>
    <x:row r="361">
      <x:c r="A361" s="38" t="str">
        <x:v>SV-0360</x:v>
      </x:c>
      <x:c r="B361" s="38" t="str">
        <x:v>PC-03329</x:v>
      </x:c>
      <x:c r="C361" s="38" t="str">
        <x:v>en|both</x:v>
      </x:c>
      <x:c r="D361" s="87" t="n">
        <x:v>19.069444444444443</x:v>
      </x:c>
      <x:c r="E361" s="38" t="str">
        <x:v>both</x:v>
      </x:c>
      <x:c r="F361" s="38" t="str">
        <x:v>IN_RBI_ConceptNote_2022</x:v>
      </x:c>
      <x:c r="G361" s="38" t="n">
        <x:v>8</x:v>
      </x:c>
      <x:c r="H361" s="38" t="str">
        <x:v>en</x:v>
      </x:c>
      <x:c r="I361" s="38" t="str">
        <x:v>Reserve Bank of India (digital rupee)</x:v>
      </x:c>
      <x:c r="J361" s="38" t="str">
        <x:v>account-based 
CBDC may be considered for CBDC-W.</x:v>
      </x:c>
      <x:c r="K361" s="142" t="b">
        <x:v>0</x:v>
      </x:c>
      <x:c r="L361" s="146" t="str">
        <x:v>exclude</x:v>
      </x:c>
      <x:c r="M361" s="146" t="str">
        <x:v>keep</x:v>
      </x:c>
      <x:c r="N361" s="147" t="b">
        <x:v>0</x:v>
      </x:c>
      <x:c r="O361" s="146"/>
      <x:c r="P361" s="146" t="str">
        <x:v>TECH.TOKEN.decided_no</x:v>
      </x:c>
      <x:c r="Q361" s="146" t="str"/>
      <x:c r="R361" s="146" t="str">
        <x:v>TECH</x:v>
      </x:c>
      <x:c r="S361" s="146"/>
      <x:c r="T361" s="146" t="str">
        <x:v>proposal</x:v>
      </x:c>
      <x:c r="U361" s="146"/>
      <x:c r="V361" s="146" t="str">
        <x:v>neutral</x:v>
      </x:c>
      <x:c r="W361" s="146"/>
      <x:c r="X361" s="146" t="str">
        <x:v>not_applicable</x:v>
      </x:c>
      <x:c r="Y361" s="146"/>
      <x:c r="Z361" s="146" t="n">
        <x:v>1</x:v>
      </x:c>
      <x:c r="AA361" s="146" t="str">
        <x:v>high</x:v>
      </x:c>
      <x:c r="AB361" s="146" t="str">
        <x:v>high</x:v>
      </x:c>
      <x:c r="AC361" s="146"/>
      <x:c r="AD361" s="146" t="str">
        <x:v>x</x:v>
      </x:c>
      <x:c r="AE361" s="151" t="str">
        <x:v>TECH.TOKEN.considered</x:v>
      </x:c>
      <x:c r="AF361" s="151" t="str">
        <x:v>TECH.TOKEN.considered</x:v>
      </x:c>
      <x:c r="AG361" s="151" t="str">
        <x:v>proposal</x:v>
      </x:c>
      <x:c r="AH361" s="151" t="str">
        <x:v>proposal</x:v>
      </x:c>
      <x:c r="AI361" s="154" t="n">
        <x:f>IF(K361,0,1)</x:f>
        <x:v>1</x:v>
      </x:c>
      <x:c r="AJ361" s="154" t="n">
        <x:f>IF(L361="keep",1,0)</x:f>
        <x:v>0</x:v>
      </x:c>
      <x:c r="AK361" s="154" t="n">
        <x:f>IF(M361="keep",1,0)</x:f>
        <x:v>1</x:v>
      </x:c>
      <x:c r="AL361" s="154" t="n">
        <x:f>(AJ361+AK361)/2</x:f>
        <x:v>0.5</x:v>
      </x:c>
      <x:c r="AM361" s="154" t="n">
        <x:f>MIN(AJ361,AK361)</x:f>
        <x:v>0</x:v>
      </x:c>
      <x:c r="AN361" s="154" t="n">
        <x:f>MAX(AJ361,AK361)</x:f>
        <x:v>1</x:v>
      </x:c>
      <x:c r="AO361" s="154" t="n">
        <x:f>IF(L361=M361,1,0)</x:f>
        <x:v>0</x:v>
      </x:c>
    </x:row>
    <x:row r="362">
      <x:c r="A362" s="38" t="str">
        <x:v>SV-0361</x:v>
      </x:c>
      <x:c r="B362" s="38" t="str">
        <x:v>PC-01034</x:v>
      </x:c>
      <x:c r="C362" s="38" t="str">
        <x:v>en|openai_only</x:v>
      </x:c>
      <x:c r="D362" s="87" t="n">
        <x:v>19.21875</x:v>
      </x:c>
      <x:c r="E362" s="38" t="str">
        <x:v>openai_only</x:v>
      </x:c>
      <x:c r="F362" s="38" t="str">
        <x:v>CA_Jasper_Phase12_2017</x:v>
      </x:c>
      <x:c r="G362" s="38" t="n">
        <x:v>32</x:v>
      </x:c>
      <x:c r="H362" s="38" t="str">
        <x:v>en</x:v>
      </x:c>
      <x:c r="I362" s="38" t="str">
        <x:v>Bank of Canada and Payments Canada (Project Jasper)</x:v>
      </x:c>
      <x:c r="J362" s="38" t="str">
        <x:v>while the platform 
demonstrated the ability to process 14 transactions 
per second (similar to throughput levels observed in 
incumbent systems), this represented maximum  
capacity.</x:v>
      </x:c>
      <x:c r="K362" s="142" t="b">
        <x:v>0</x:v>
      </x:c>
      <x:c r="L362" s="146" t="str">
        <x:v>keep</x:v>
      </x:c>
      <x:c r="M362" s="146" t="str">
        <x:v>exclude</x:v>
      </x:c>
      <x:c r="N362" s="147" t="b">
        <x:v>0</x:v>
      </x:c>
      <x:c r="O362" s="146" t="str">
        <x:v>OPS.resilience</x:v>
      </x:c>
      <x:c r="P362" s="146"/>
      <x:c r="Q362" s="146" t="str">
        <x:v>OPS</x:v>
      </x:c>
      <x:c r="R362" s="146" t="str"/>
      <x:c r="S362" s="146" t="str">
        <x:v>finding</x:v>
      </x:c>
      <x:c r="T362" s="146"/>
      <x:c r="U362" s="146" t="str">
        <x:v>neutral</x:v>
      </x:c>
      <x:c r="V362" s="146"/>
      <x:c r="W362" s="146" t="str">
        <x:v>not_applicable</x:v>
      </x:c>
      <x:c r="X362" s="146"/>
      <x:c r="Y362" s="146" t="n">
        <x:v>2</x:v>
      </x:c>
      <x:c r="Z362" s="146"/>
      <x:c r="AA362" s="146" t="str">
        <x:v>high</x:v>
      </x:c>
      <x:c r="AB362" s="146" t="str">
        <x:v>high</x:v>
      </x:c>
      <x:c r="AC362" s="146"/>
      <x:c r="AD362" s="146"/>
      <x:c r="AE362" s="151" t="str">
        <x:v>OPS.resilience</x:v>
      </x:c>
      <x:c r="AF362" s="151"/>
      <x:c r="AG362" s="151" t="str">
        <x:v>finding</x:v>
      </x:c>
      <x:c r="AH362" s="151"/>
      <x:c r="AI362" s="154" t="n">
        <x:f>IF(K362,0,1)</x:f>
        <x:v>1</x:v>
      </x:c>
      <x:c r="AJ362" s="154" t="n">
        <x:f>IF(L362="keep",1,0)</x:f>
        <x:v>1</x:v>
      </x:c>
      <x:c r="AK362" s="154" t="n">
        <x:f>IF(M362="keep",1,0)</x:f>
        <x:v>0</x:v>
      </x:c>
      <x:c r="AL362" s="154" t="n">
        <x:f>(AJ362+AK362)/2</x:f>
        <x:v>0.5</x:v>
      </x:c>
      <x:c r="AM362" s="154" t="n">
        <x:f>MIN(AJ362,AK362)</x:f>
        <x:v>0</x:v>
      </x:c>
      <x:c r="AN362" s="154" t="n">
        <x:f>MAX(AJ362,AK362)</x:f>
        <x:v>1</x:v>
      </x:c>
      <x:c r="AO362" s="154" t="n">
        <x:f>IF(L362=M362,1,0)</x:f>
        <x:v>0</x:v>
      </x:c>
    </x:row>
    <x:row r="363">
      <x:c r="A363" s="38" t="str">
        <x:v>SV-0362</x:v>
      </x:c>
      <x:c r="B363" s="38" t="str">
        <x:v>PC-01136</x:v>
      </x:c>
      <x:c r="C363" s="38" t="str">
        <x:v>en|openai_only</x:v>
      </x:c>
      <x:c r="D363" s="87" t="n">
        <x:v>19.21875</x:v>
      </x:c>
      <x:c r="E363" s="38" t="str">
        <x:v>openai_only</x:v>
      </x:c>
      <x:c r="F363" s="38" t="str">
        <x:v>CA_Jasper_Phase12_2017</x:v>
      </x:c>
      <x:c r="G363" s="38" t="n">
        <x:v>55</x:v>
      </x:c>
      <x:c r="H363" s="38" t="str">
        <x:v>en</x:v>
      </x:c>
      <x:c r="I363" s="38" t="str">
        <x:v>Bank of Canada and Payments Canada (Project Jasper)</x:v>
      </x:c>
      <x:c r="J363" s="38" t="str">
        <x:v>If n &gt; l  we identify the single lowest payment from the party with the largest liquidity shortfall,  
 and ask if removing this payment would put any other bank into a liquidity shortfall. If not, we remove  
 the payment and start over . If it does, we leave that payment in the queue and remove the next smallest  
 payment from the party with the largest liquidity shortfall.</x:v>
      </x:c>
      <x:c r="K363" s="142" t="b">
        <x:v>0</x:v>
      </x:c>
      <x:c r="L363" s="146" t="str">
        <x:v>keep</x:v>
      </x:c>
      <x:c r="M363" s="146" t="str">
        <x:v>exclude</x:v>
      </x:c>
      <x:c r="N363" s="147" t="b">
        <x:v>0</x:v>
      </x:c>
      <x:c r="O363" s="146" t="str">
        <x:v>SYS.design</x:v>
      </x:c>
      <x:c r="P363" s="146"/>
      <x:c r="Q363" s="146" t="str">
        <x:v>SYS</x:v>
      </x:c>
      <x:c r="R363" s="146" t="str"/>
      <x:c r="S363" s="146" t="str">
        <x:v>decision</x:v>
      </x:c>
      <x:c r="T363" s="146"/>
      <x:c r="U363" s="146" t="str">
        <x:v>neutral</x:v>
      </x:c>
      <x:c r="V363" s="146"/>
      <x:c r="W363" s="146" t="str">
        <x:v>not_applicable</x:v>
      </x:c>
      <x:c r="X363" s="146"/>
      <x:c r="Y363" s="146" t="n">
        <x:v>3</x:v>
      </x:c>
      <x:c r="Z363" s="146"/>
      <x:c r="AA363" s="146" t="str">
        <x:v>high</x:v>
      </x:c>
      <x:c r="AB363" s="146" t="str">
        <x:v>high</x:v>
      </x:c>
      <x:c r="AC363" s="146"/>
      <x:c r="AD363" s="146"/>
      <x:c r="AE363" s="151" t="str">
        <x:v>SYS.design</x:v>
      </x:c>
      <x:c r="AF363" s="151"/>
      <x:c r="AG363" s="151" t="str">
        <x:v>decision</x:v>
      </x:c>
      <x:c r="AH363" s="151"/>
      <x:c r="AI363" s="154" t="n">
        <x:f>IF(K363,0,1)</x:f>
        <x:v>1</x:v>
      </x:c>
      <x:c r="AJ363" s="154" t="n">
        <x:f>IF(L363="keep",1,0)</x:f>
        <x:v>1</x:v>
      </x:c>
      <x:c r="AK363" s="154" t="n">
        <x:f>IF(M363="keep",1,0)</x:f>
        <x:v>0</x:v>
      </x:c>
      <x:c r="AL363" s="154" t="n">
        <x:f>(AJ363+AK363)/2</x:f>
        <x:v>0.5</x:v>
      </x:c>
      <x:c r="AM363" s="154" t="n">
        <x:f>MIN(AJ363,AK363)</x:f>
        <x:v>0</x:v>
      </x:c>
      <x:c r="AN363" s="154" t="n">
        <x:f>MAX(AJ363,AK363)</x:f>
        <x:v>1</x:v>
      </x:c>
      <x:c r="AO363" s="154" t="n">
        <x:f>IF(L363=M363,1,0)</x:f>
        <x:v>0</x:v>
      </x:c>
    </x:row>
    <x:row r="364">
      <x:c r="A364" s="38" t="str">
        <x:v>SV-0363</x:v>
      </x:c>
      <x:c r="B364" s="38" t="str">
        <x:v>PC-00671</x:v>
      </x:c>
      <x:c r="C364" s="38" t="str">
        <x:v>en|openai_only</x:v>
      </x:c>
      <x:c r="D364" s="87" t="n">
        <x:v>19.21875</x:v>
      </x:c>
      <x:c r="E364" s="38" t="str">
        <x:v>openai_only</x:v>
      </x:c>
      <x:c r="F364" s="38" t="str">
        <x:v>CA_BoC_PETs_SDP2025_1</x:v>
      </x:c>
      <x:c r="G364" s="38" t="n">
        <x:v>29</x:v>
      </x:c>
      <x:c r="H364" s="38" t="str">
        <x:v>en</x:v>
      </x:c>
      <x:c r="I364" s="38" t="str">
        <x:v>Bank of Canada research on privacy-enhancing technologies for a potential CBDC</x:v>
      </x:c>
      <x:c r="J364" s="38" t="str">
        <x:v>we find that
challenges persist regarding their performance, maturity, and security in the context of CBDCs.</x:v>
      </x:c>
      <x:c r="K364" s="142" t="b">
        <x:v>0</x:v>
      </x:c>
      <x:c r="L364" s="146" t="str">
        <x:v>exclude</x:v>
      </x:c>
      <x:c r="M364" s="146" t="str">
        <x:v>exclude</x:v>
      </x:c>
      <x:c r="N364" s="147" t="b">
        <x:v>1</x:v>
      </x:c>
      <x:c r="O364" s="146"/>
      <x:c r="P364" s="146"/>
      <x:c r="Q364" s="146" t="str"/>
      <x:c r="R364" s="146" t="str"/>
      <x:c r="S364" s="146"/>
      <x:c r="T364" s="146"/>
      <x:c r="U364" s="146"/>
      <x:c r="V364" s="146"/>
      <x:c r="W364" s="146"/>
      <x:c r="X364" s="146"/>
      <x:c r="Y364" s="146"/>
      <x:c r="Z364" s="146"/>
      <x:c r="AA364" s="146" t="str">
        <x:v>high</x:v>
      </x:c>
      <x:c r="AB364" s="146" t="str">
        <x:v>high</x:v>
      </x:c>
      <x:c r="AC364" s="146"/>
      <x:c r="AD364" s="146"/>
      <x:c r="AE364" s="151" t="str">
        <x:v>PRIV.PET</x:v>
      </x:c>
      <x:c r="AF364" s="151"/>
      <x:c r="AG364" s="151" t="str">
        <x:v>finding</x:v>
      </x:c>
      <x:c r="AH364" s="151"/>
      <x:c r="AI364" s="154" t="n">
        <x:f>IF(K364,0,1)</x:f>
        <x:v>1</x:v>
      </x:c>
      <x:c r="AJ364" s="154" t="n">
        <x:f>IF(L364="keep",1,0)</x:f>
        <x:v>0</x:v>
      </x:c>
      <x:c r="AK364" s="154" t="n">
        <x:f>IF(M364="keep",1,0)</x:f>
        <x:v>0</x:v>
      </x:c>
      <x:c r="AL364" s="154" t="n">
        <x:f>(AJ364+AK364)/2</x:f>
        <x:v>0</x:v>
      </x:c>
      <x:c r="AM364" s="154" t="n">
        <x:f>MIN(AJ364,AK364)</x:f>
        <x:v>0</x:v>
      </x:c>
      <x:c r="AN364" s="154" t="n">
        <x:f>MAX(AJ364,AK364)</x:f>
        <x:v>0</x:v>
      </x:c>
      <x:c r="AO364" s="154" t="n">
        <x:f>IF(L364=M364,1,0)</x:f>
        <x:v>1</x:v>
      </x:c>
    </x:row>
    <x:row r="365">
      <x:c r="A365" s="38" t="str">
        <x:v>SV-0364</x:v>
      </x:c>
      <x:c r="B365" s="38" t="str">
        <x:v>PC-01094</x:v>
      </x:c>
      <x:c r="C365" s="38" t="str">
        <x:v>en|both</x:v>
      </x:c>
      <x:c r="D365" s="87" t="n">
        <x:v>19.069444444444443</x:v>
      </x:c>
      <x:c r="E365" s="38" t="str">
        <x:v>both</x:v>
      </x:c>
      <x:c r="F365" s="38" t="str">
        <x:v>CA_Jasper_Phase12_2017</x:v>
      </x:c>
      <x:c r="G365" s="38" t="n">
        <x:v>47</x:v>
      </x:c>
      <x:c r="H365" s="38" t="str">
        <x:v>en</x:v>
      </x:c>
      <x:c r="I365" s="38" t="str">
        <x:v>Bank of Canada and Payments Canada (Project Jasper)</x:v>
      </x:c>
      <x:c r="J365" s="38" t="str">
        <x:v>• Slow mining and expensive network—R3N1 still 
uses Proof of Work and it isn’t that much faster 
than the public network.</x:v>
      </x:c>
      <x:c r="K365" s="142" t="b">
        <x:v>0</x:v>
      </x:c>
      <x:c r="L365" s="146" t="str">
        <x:v>keep</x:v>
      </x:c>
      <x:c r="M365" s="146" t="str">
        <x:v>keep</x:v>
      </x:c>
      <x:c r="N365" s="147" t="b">
        <x:v>1</x:v>
      </x:c>
      <x:c r="O365" s="146" t="str">
        <x:v>TECH.DLT</x:v>
      </x:c>
      <x:c r="P365" s="146" t="str">
        <x:v>TECH.TOKEN.considered</x:v>
      </x:c>
      <x:c r="Q365" s="146" t="str">
        <x:v>TECH</x:v>
      </x:c>
      <x:c r="R365" s="146" t="str">
        <x:v>TECH</x:v>
      </x:c>
      <x:c r="S365" s="146" t="str">
        <x:v>finding</x:v>
      </x:c>
      <x:c r="T365" s="146" t="str">
        <x:v>finding</x:v>
      </x:c>
      <x:c r="U365" s="146" t="str">
        <x:v>neutral</x:v>
      </x:c>
      <x:c r="V365" s="146" t="str">
        <x:v>neutral</x:v>
      </x:c>
      <x:c r="W365" s="146" t="str">
        <x:v>not_applicable</x:v>
      </x:c>
      <x:c r="X365" s="146" t="str">
        <x:v>not_applicable</x:v>
      </x:c>
      <x:c r="Y365" s="146" t="n">
        <x:v>2</x:v>
      </x:c>
      <x:c r="Z365" s="146" t="n">
        <x:v>2</x:v>
      </x:c>
      <x:c r="AA365" s="146" t="str">
        <x:v>high</x:v>
      </x:c>
      <x:c r="AB365" s="146" t="str">
        <x:v>high</x:v>
      </x:c>
      <x:c r="AC365" s="146"/>
      <x:c r="AD365" s="146" t="str">
        <x:v>x</x:v>
      </x:c>
      <x:c r="AE365" s="151" t="str">
        <x:v>TECH.DLT</x:v>
      </x:c>
      <x:c r="AF365" s="151" t="str">
        <x:v>OPS.resilience</x:v>
      </x:c>
      <x:c r="AG365" s="151" t="str">
        <x:v>finding</x:v>
      </x:c>
      <x:c r="AH365" s="151" t="str">
        <x:v>finding</x:v>
      </x:c>
      <x:c r="AI365" s="154" t="n">
        <x:f>IF(K365,0,1)</x:f>
        <x:v>1</x:v>
      </x:c>
      <x:c r="AJ365" s="154" t="n">
        <x:f>IF(L365="keep",1,0)</x:f>
        <x:v>1</x:v>
      </x:c>
      <x:c r="AK365" s="154" t="n">
        <x:f>IF(M365="keep",1,0)</x:f>
        <x:v>1</x:v>
      </x:c>
      <x:c r="AL365" s="154" t="n">
        <x:f>(AJ365+AK365)/2</x:f>
        <x:v>1</x:v>
      </x:c>
      <x:c r="AM365" s="154" t="n">
        <x:f>MIN(AJ365,AK365)</x:f>
        <x:v>1</x:v>
      </x:c>
      <x:c r="AN365" s="154" t="n">
        <x:f>MAX(AJ365,AK365)</x:f>
        <x:v>1</x:v>
      </x:c>
      <x:c r="AO365" s="154" t="n">
        <x:f>IF(L365=M365,1,0)</x:f>
        <x:v>1</x:v>
      </x:c>
    </x:row>
    <x:row r="366">
      <x:c r="A366" s="39" t="str">
        <x:v>SV-0365</x:v>
      </x:c>
      <x:c r="B366" s="39" t="str">
        <x:v>PC-04290</x:v>
      </x:c>
      <x:c r="C366" s="39" t="str">
        <x:v>en|openai_only</x:v>
      </x:c>
      <x:c r="D366" s="88" t="n">
        <x:v>19.21875</x:v>
      </x:c>
      <x:c r="E366" s="39" t="str">
        <x:v>openai_only</x:v>
      </x:c>
      <x:c r="F366" s="39" t="str">
        <x:v>NO_Norway_norges-bank-memo-1-2021</x:v>
      </x:c>
      <x:c r="G366" s="39" t="n">
        <x:v>10</x:v>
      </x:c>
      <x:c r="H366" s="39" t="str">
        <x:v>en</x:v>
      </x:c>
      <x:c r="I366" s="39" t="str">
        <x:v>Norges Bank (Norwegian CBDC work)</x:v>
      </x:c>
      <x:c r="J366" s="39" t="str">
        <x:v>Arbeidsgruppen har heller ikke funnet grunnlag for å revurdere de to hovedgruppene av tekniske løsninger gitt i Norges Bank (2019).</x:v>
      </x:c>
      <x:c r="K366" s="143" t="b">
        <x:v>0</x:v>
      </x:c>
      <x:c r="L366" s="148" t="str">
        <x:v>keep</x:v>
      </x:c>
      <x:c r="M366" s="148" t="str">
        <x:v>exclude</x:v>
      </x:c>
      <x:c r="N366" s="149" t="b">
        <x:v>0</x:v>
      </x:c>
      <x:c r="O366" s="148" t="str">
        <x:v>SYS.design</x:v>
      </x:c>
      <x:c r="P366" s="148"/>
      <x:c r="Q366" s="148" t="str">
        <x:v>SYS</x:v>
      </x:c>
      <x:c r="R366" s="148" t="str"/>
      <x:c r="S366" s="148" t="str">
        <x:v>decision</x:v>
      </x:c>
      <x:c r="T366" s="148"/>
      <x:c r="U366" s="148" t="str">
        <x:v>neutral</x:v>
      </x:c>
      <x:c r="V366" s="148"/>
      <x:c r="W366" s="148" t="str">
        <x:v>not_applicable</x:v>
      </x:c>
      <x:c r="X366" s="148"/>
      <x:c r="Y366" s="148" t="n">
        <x:v>2</x:v>
      </x:c>
      <x:c r="Z366" s="148"/>
      <x:c r="AA366" s="148" t="str">
        <x:v>high</x:v>
      </x:c>
      <x:c r="AB366" s="148" t="str">
        <x:v>high</x:v>
      </x:c>
      <x:c r="AC366" s="148"/>
      <x:c r="AD366" s="148"/>
      <x:c r="AE366" s="152" t="str">
        <x:v>SYS.design</x:v>
      </x:c>
      <x:c r="AF366" s="152"/>
      <x:c r="AG366" s="152" t="str">
        <x:v>decision</x:v>
      </x:c>
      <x:c r="AH366" s="152"/>
      <x:c r="AI366" s="155" t="n">
        <x:f>IF(K366,0,1)</x:f>
        <x:v>1</x:v>
      </x:c>
      <x:c r="AJ366" s="155" t="n">
        <x:f>IF(L366="keep",1,0)</x:f>
        <x:v>1</x:v>
      </x:c>
      <x:c r="AK366" s="155" t="n">
        <x:f>IF(M366="keep",1,0)</x:f>
        <x:v>0</x:v>
      </x:c>
      <x:c r="AL366" s="155" t="n">
        <x:f>(AJ366+AK366)/2</x:f>
        <x:v>0.5</x:v>
      </x:c>
      <x:c r="AM366" s="155" t="n">
        <x:f>MIN(AJ366,AK366)</x:f>
        <x:v>0</x:v>
      </x:c>
      <x:c r="AN366" s="155" t="n">
        <x:f>MAX(AJ366,AK366)</x:f>
        <x:v>1</x:v>
      </x:c>
      <x:c r="AO366" s="155" t="n">
        <x:f>IF(L366=M366,1,0)</x:f>
        <x:v>0</x:v>
      </x:c>
    </x:row>
  </x:sheetData>
  <x:pageMargins left="0.7" right="0.7" top="0.75" bottom="0.75" header="0.3" footer="0.3"/>
  <x:tableParts count="1">
    <x:tablePart xmlns:r="http://schemas.openxmlformats.org/officeDocument/2006/relationships" r:id="R7e510c856fb2489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30" hidden="0" customWidth="1"/>
    <x:col min="7" max="7" width="52"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20" hidden="0" customWidth="1"/>
    <x:col min="25" max="25" width="20" hidden="0" customWidth="1"/>
    <x:col min="26" max="26" width="20" hidden="0" customWidth="1"/>
    <x:col min="27" max="27" width="20" hidden="0" customWidth="1"/>
    <x:col min="28" max="28" width="20" hidden="0" customWidth="1"/>
    <x:col min="29" max="29" width="20" hidden="0" customWidth="1"/>
    <x:col min="30" max="30" width="20" hidden="0" customWidth="1"/>
    <x:col min="31" max="31" width="20" hidden="0" customWidth="1"/>
    <x:col min="32" max="32" width="20" hidden="0" customWidth="1"/>
  </x:cols>
  <x:sheetData>
    <x:row r="1">
      <x:c r="A1" s="29" t="str">
        <x:v>Issue(s)</x:v>
      </x:c>
      <x:c r="B1" s="29" t="str">
        <x:v>Blind ID</x:v>
      </x:c>
      <x:c r="C1" s="29" t="str">
        <x:v>Machine ID</x:v>
      </x:c>
      <x:c r="D1" s="29" t="str">
        <x:v>Stratum</x:v>
      </x:c>
      <x:c r="E1" s="29" t="str">
        <x:v>Weight</x:v>
      </x:c>
      <x:c r="F1" s="29" t="str">
        <x:v>Authority</x:v>
      </x:c>
      <x:c r="G1" s="29" t="str">
        <x:v>Candidate span</x:v>
      </x:c>
      <x:c r="H1" s="29" t="str">
        <x:v>Martin decision</x:v>
      </x:c>
      <x:c r="I1" s="29" t="str">
        <x:v>Dominik decision</x:v>
      </x:c>
      <x:c r="J1" s="29" t="str">
        <x:v>Martin code</x:v>
      </x:c>
      <x:c r="K1" s="29" t="str">
        <x:v>Dominik code</x:v>
      </x:c>
      <x:c r="L1" s="29" t="str">
        <x:v>Martin family</x:v>
      </x:c>
      <x:c r="M1" s="29" t="str">
        <x:v>Dominik family</x:v>
      </x:c>
      <x:c r="N1" s="29" t="str">
        <x:v>Martin ODR</x:v>
      </x:c>
      <x:c r="O1" s="29" t="str">
        <x:v>Dominik ODR</x:v>
      </x:c>
      <x:c r="P1" s="29" t="str">
        <x:v>Martin privacy direction</x:v>
      </x:c>
      <x:c r="Q1" s="29" t="str">
        <x:v>Dominik privacy direction</x:v>
      </x:c>
      <x:c r="R1" s="29" t="str">
        <x:v>Martin privacy relation</x:v>
      </x:c>
      <x:c r="S1" s="29" t="str">
        <x:v>Dominik privacy relation</x:v>
      </x:c>
      <x:c r="T1" s="29" t="str">
        <x:v>Martin strength</x:v>
      </x:c>
      <x:c r="U1" s="29" t="str">
        <x:v>Dominik strength</x:v>
      </x:c>
      <x:c r="V1" s="29" t="str">
        <x:v>Martin notes</x:v>
      </x:c>
      <x:c r="W1" s="29" t="str">
        <x:v>Dominik notes</x:v>
      </x:c>
      <x:c r="X1" s="29" t="str">
        <x:v>Consensus decision</x:v>
      </x:c>
      <x:c r="Y1" s="29" t="str">
        <x:v>Consensus code</x:v>
      </x:c>
      <x:c r="Z1" s="29" t="str">
        <x:v>Consensus ODR</x:v>
      </x:c>
      <x:c r="AA1" s="29" t="str">
        <x:v>Consensus privacy direction</x:v>
      </x:c>
      <x:c r="AB1" s="29" t="str">
        <x:v>Consensus privacy relation</x:v>
      </x:c>
      <x:c r="AC1" s="29" t="str">
        <x:v>Consensus strength</x:v>
      </x:c>
      <x:c r="AD1" s="29" t="str">
        <x:v>Adjudicator</x:v>
      </x:c>
      <x:c r="AE1" s="29" t="str">
        <x:v>Adjudication notes</x:v>
      </x:c>
      <x:c r="AF1" s="29" t="str">
        <x:v>QC status</x:v>
      </x:c>
    </x:row>
    <x:row r="2">
      <x:c r="A2" s="150" t="str">
        <x:v>strength</x:v>
      </x:c>
      <x:c r="B2" s="150" t="str">
        <x:v>SV-0002</x:v>
      </x:c>
      <x:c r="C2" s="150" t="str">
        <x:v>PC-06104</x:v>
      </x:c>
      <x:c r="D2" s="150" t="str">
        <x:v>en|claude_only</x:v>
      </x:c>
      <x:c r="E2" s="150" t="n">
        <x:v>19.375</x:v>
      </x:c>
      <x:c r="F2" s="150" t="str">
        <x:v>Bank of England and HM Treasury (digital pound)</x:v>
      </x:c>
      <x:c r="G2" s="150" t="str">
        <x:v>The most important design decision for CBDC would be whether to remunerate, ie pay interest on CBDC balances.</x:v>
      </x:c>
      <x:c r="H2" s="150" t="str">
        <x:v>keep</x:v>
      </x:c>
      <x:c r="I2" s="150" t="str">
        <x:v>keep</x:v>
      </x:c>
      <x:c r="J2" s="150" t="str">
        <x:v>PROG.remuneration_considered</x:v>
      </x:c>
      <x:c r="K2" s="150" t="str">
        <x:v>PROG.remuneration_considered</x:v>
      </x:c>
      <x:c r="L2" s="150" t="str">
        <x:v>PROG</x:v>
      </x:c>
      <x:c r="M2" s="150" t="str">
        <x:v>PROG</x:v>
      </x:c>
      <x:c r="N2" s="150" t="str">
        <x:v>finding</x:v>
      </x:c>
      <x:c r="O2" s="150" t="str">
        <x:v>finding</x:v>
      </x:c>
      <x:c r="P2" s="150" t="str">
        <x:v>neutral</x:v>
      </x:c>
      <x:c r="Q2" s="150" t="str">
        <x:v>neutral</x:v>
      </x:c>
      <x:c r="R2" s="150" t="str">
        <x:v>not_applicable</x:v>
      </x:c>
      <x:c r="S2" s="150" t="str">
        <x:v>not_applicable</x:v>
      </x:c>
      <x:c r="T2" s="150" t="n">
        <x:v>1</x:v>
      </x:c>
      <x:c r="U2" s="150" t="n">
        <x:v>3</x:v>
      </x:c>
      <x:c r="V2" s="150"/>
      <x:c r="W2" s="150" t="str">
        <x:v>x</x:v>
      </x:c>
      <x:c r="X2" s="144"/>
      <x:c r="Y2" s="144"/>
      <x:c r="Z2" s="144"/>
      <x:c r="AA2" s="144"/>
      <x:c r="AB2" s="144"/>
      <x:c r="AC2" s="144"/>
      <x:c r="AD2" s="144"/>
      <x:c r="AE2" s="144"/>
      <x:c r="AF2" s="153" t="str">
        <x:f>IF(X2="","PENDING",IF(X2="exclude","DONE",IF(COUNTA(Y2:AC2)=5,"DONE","INCOMPLETE")))</x:f>
        <x:v>PENDING</x:v>
      </x:c>
    </x:row>
    <x:row r="3">
      <x:c r="A3" s="151" t="str">
        <x:v>inclusion</x:v>
      </x:c>
      <x:c r="B3" s="151" t="str">
        <x:v>SV-0003</x:v>
      </x:c>
      <x:c r="C3" s="151" t="str">
        <x:v>PC-02107</x:v>
      </x:c>
      <x:c r="D3" s="151" t="str">
        <x:v>en|claude_only</x:v>
      </x:c>
      <x:c r="E3" s="151" t="n">
        <x:v>19.375</x:v>
      </x:c>
      <x:c r="F3" s="151" t="str">
        <x:v>Hong Kong Monetary Authority (e-HKD)</x:v>
      </x:c>
      <x:c r="G3" s="151" t="str">
        <x:v>our 
assessment is that run risk for banks in Hong Kong would be very low given depositors ’ 
confidence in the Deposit Protection Scheme and the HKMA ’s prudential regulations 
and oversight, and e-HKD would not change the picture.</x:v>
      </x:c>
      <x:c r="H3" s="151" t="str">
        <x:v>exclude</x:v>
      </x:c>
      <x:c r="I3" s="151" t="str">
        <x:v>keep</x:v>
      </x:c>
      <x:c r="J3" s="151"/>
      <x:c r="K3" s="151" t="str">
        <x:v>STAB.disintermediation</x:v>
      </x:c>
      <x:c r="L3" s="151" t="str"/>
      <x:c r="M3" s="151" t="str">
        <x:v>STAB</x:v>
      </x:c>
      <x:c r="N3" s="151"/>
      <x:c r="O3" s="151" t="str">
        <x:v>finding</x:v>
      </x:c>
      <x:c r="P3" s="151"/>
      <x:c r="Q3" s="151" t="str">
        <x:v>neutral</x:v>
      </x:c>
      <x:c r="R3" s="151"/>
      <x:c r="S3" s="151" t="str">
        <x:v>not_applicable</x:v>
      </x:c>
      <x:c r="T3" s="151"/>
      <x:c r="U3" s="151" t="n">
        <x:v>3</x:v>
      </x:c>
      <x:c r="V3" s="151"/>
      <x:c r="W3" s="151"/>
      <x:c r="X3" s="146"/>
      <x:c r="Y3" s="146"/>
      <x:c r="Z3" s="146"/>
      <x:c r="AA3" s="146"/>
      <x:c r="AB3" s="146"/>
      <x:c r="AC3" s="146"/>
      <x:c r="AD3" s="146"/>
      <x:c r="AE3" s="146"/>
      <x:c r="AF3" s="154" t="str">
        <x:f>IF(X3="","PENDING",IF(X3="exclude","DONE",IF(COUNTA(Y3:AC3)=5,"DONE","INCOMPLETE")))</x:f>
        <x:v>PENDING</x:v>
      </x:c>
    </x:row>
    <x:row r="4">
      <x:c r="A4" s="151" t="str">
        <x:v>odr|strength</x:v>
      </x:c>
      <x:c r="B4" s="151" t="str">
        <x:v>SV-0005</x:v>
      </x:c>
      <x:c r="C4" s="151" t="str">
        <x:v>PC-05552</x:v>
      </x:c>
      <x:c r="D4" s="151" t="str">
        <x:v>en|both</x:v>
      </x:c>
      <x:c r="E4" s="151" t="n">
        <x:v>19.069444444444443</x:v>
      </x:c>
      <x:c r="F4" s="151" t="str">
        <x:v>Central Bank of Eswatini (Digital Lilangeni)</x:v>
      </x:c>
      <x:c r="G4" s="151" t="str">
        <x:v>The CBE keeps 
in mind the importance of a resilient CBDC solution, thereby focussing on both 
online and offline solutions.</x:v>
      </x:c>
      <x:c r="H4" s="151" t="str">
        <x:v>keep</x:v>
      </x:c>
      <x:c r="I4" s="151" t="str">
        <x:v>keep</x:v>
      </x:c>
      <x:c r="J4" s="151" t="str">
        <x:v>OPS.resilience</x:v>
      </x:c>
      <x:c r="K4" s="151" t="str">
        <x:v>OPS.resilience</x:v>
      </x:c>
      <x:c r="L4" s="151" t="str">
        <x:v>OPS</x:v>
      </x:c>
      <x:c r="M4" s="151" t="str">
        <x:v>OPS</x:v>
      </x:c>
      <x:c r="N4" s="151" t="str">
        <x:v>proposal</x:v>
      </x:c>
      <x:c r="O4" s="151" t="str">
        <x:v>decision</x:v>
      </x:c>
      <x:c r="P4" s="151" t="str">
        <x:v>neutral</x:v>
      </x:c>
      <x:c r="Q4" s="151" t="str">
        <x:v>neutral</x:v>
      </x:c>
      <x:c r="R4" s="151" t="str">
        <x:v>not_applicable</x:v>
      </x:c>
      <x:c r="S4" s="151" t="str">
        <x:v>not_applicable</x:v>
      </x:c>
      <x:c r="T4" s="151" t="n">
        <x:v>2</x:v>
      </x:c>
      <x:c r="U4" s="151" t="n">
        <x:v>3</x:v>
      </x:c>
      <x:c r="V4" s="151"/>
      <x:c r="W4" s="151" t="str">
        <x:v>x</x:v>
      </x:c>
      <x:c r="X4" s="146"/>
      <x:c r="Y4" s="146"/>
      <x:c r="Z4" s="146"/>
      <x:c r="AA4" s="146"/>
      <x:c r="AB4" s="146"/>
      <x:c r="AC4" s="146"/>
      <x:c r="AD4" s="146"/>
      <x:c r="AE4" s="146"/>
      <x:c r="AF4" s="154" t="str">
        <x:f>IF(X4="","PENDING",IF(X4="exclude","DONE",IF(COUNTA(Y4:AC4)=5,"DONE","INCOMPLETE")))</x:f>
        <x:v>PENDING</x:v>
      </x:c>
    </x:row>
    <x:row r="5">
      <x:c r="A5" s="151" t="str">
        <x:v>odr</x:v>
      </x:c>
      <x:c r="B5" s="151" t="str">
        <x:v>SV-0006</x:v>
      </x:c>
      <x:c r="C5" s="151" t="str">
        <x:v>PC-02398</x:v>
      </x:c>
      <x:c r="D5" s="151" t="str">
        <x:v>en|both</x:v>
      </x:c>
      <x:c r="E5" s="151" t="n">
        <x:v>19.069444444444443</x:v>
      </x:c>
      <x:c r="F5" s="151" t="str">
        <x:v>Bank Indonesia (Digital Rupiah)</x:v>
      </x:c>
      <x:c r="G5" s="151" t="str">
        <x:v>These	risks	would	be	tackled	through 	
stronger capital provisioning. Measures 
ranging from minimum capital 
requirements, systemic capital surcharge, 
to the establishment of a more prudent 
liquidity cushion will be taken as an integral 
part of Digital Rupiah design.</x:v>
      </x:c>
      <x:c r="H5" s="151" t="str">
        <x:v>keep</x:v>
      </x:c>
      <x:c r="I5" s="151" t="str">
        <x:v>keep</x:v>
      </x:c>
      <x:c r="J5" s="151" t="str">
        <x:v>STAB.disintermediation</x:v>
      </x:c>
      <x:c r="K5" s="151" t="str">
        <x:v>STAB.disintermediation</x:v>
      </x:c>
      <x:c r="L5" s="151" t="str">
        <x:v>STAB</x:v>
      </x:c>
      <x:c r="M5" s="151" t="str">
        <x:v>STAB</x:v>
      </x:c>
      <x:c r="N5" s="151" t="str">
        <x:v>proposal</x:v>
      </x:c>
      <x:c r="O5" s="151" t="str">
        <x:v>decision</x:v>
      </x:c>
      <x:c r="P5" s="151" t="str">
        <x:v>neutral</x:v>
      </x:c>
      <x:c r="Q5" s="151" t="str">
        <x:v>neutral</x:v>
      </x:c>
      <x:c r="R5" s="151" t="str">
        <x:v>not_applicable</x:v>
      </x:c>
      <x:c r="S5" s="151" t="str">
        <x:v>not_applicable</x:v>
      </x:c>
      <x:c r="T5" s="151" t="n">
        <x:v>2</x:v>
      </x:c>
      <x:c r="U5" s="151" t="n">
        <x:v>2</x:v>
      </x:c>
      <x:c r="V5" s="151"/>
      <x:c r="W5" s="151"/>
      <x:c r="X5" s="146"/>
      <x:c r="Y5" s="146"/>
      <x:c r="Z5" s="146"/>
      <x:c r="AA5" s="146"/>
      <x:c r="AB5" s="146"/>
      <x:c r="AC5" s="146"/>
      <x:c r="AD5" s="146"/>
      <x:c r="AE5" s="146"/>
      <x:c r="AF5" s="154" t="str">
        <x:f>IF(X5="","PENDING",IF(X5="exclude","DONE",IF(COUNTA(Y5:AC5)=5,"DONE","INCOMPLETE")))</x:f>
        <x:v>PENDING</x:v>
      </x:c>
    </x:row>
    <x:row r="6">
      <x:c r="A6" s="151" t="str">
        <x:v>inclusion</x:v>
      </x:c>
      <x:c r="B6" s="151" t="str">
        <x:v>SV-0007</x:v>
      </x:c>
      <x:c r="C6" s="151" t="str">
        <x:v>PC-06396</x:v>
      </x:c>
      <x:c r="D6" s="151" t="str">
        <x:v>en|claude_only</x:v>
      </x:c>
      <x:c r="E6" s="151" t="n">
        <x:v>19.375</x:v>
      </x:c>
      <x:c r="F6" s="151" t="str">
        <x:v>Maldives Monetary Authority / Maldives CBDC policy study</x:v>
      </x:c>
      <x:c r="G6" s="151" t="str">
        <x:v>There will need 
to be a unit within MMA (possibly two or three people) to deal with customer 
complaints and disputes.</x:v>
      </x:c>
      <x:c r="H6" s="151" t="str">
        <x:v>exclude</x:v>
      </x:c>
      <x:c r="I6" s="151" t="str">
        <x:v>keep</x:v>
      </x:c>
      <x:c r="J6" s="151"/>
      <x:c r="K6" s="151" t="str">
        <x:v>INST.mandate</x:v>
      </x:c>
      <x:c r="L6" s="151" t="str"/>
      <x:c r="M6" s="151" t="str">
        <x:v>INST</x:v>
      </x:c>
      <x:c r="N6" s="151"/>
      <x:c r="O6" s="151" t="str">
        <x:v>proposal</x:v>
      </x:c>
      <x:c r="P6" s="151"/>
      <x:c r="Q6" s="151" t="str">
        <x:v>neutral</x:v>
      </x:c>
      <x:c r="R6" s="151"/>
      <x:c r="S6" s="151" t="str">
        <x:v>not_applicable</x:v>
      </x:c>
      <x:c r="T6" s="151"/>
      <x:c r="U6" s="151" t="n">
        <x:v>2</x:v>
      </x:c>
      <x:c r="V6" s="151"/>
      <x:c r="W6" s="151"/>
      <x:c r="X6" s="146"/>
      <x:c r="Y6" s="146"/>
      <x:c r="Z6" s="146"/>
      <x:c r="AA6" s="146"/>
      <x:c r="AB6" s="146"/>
      <x:c r="AC6" s="146"/>
      <x:c r="AD6" s="146"/>
      <x:c r="AE6" s="146"/>
      <x:c r="AF6" s="154" t="str">
        <x:f>IF(X6="","PENDING",IF(X6="exclude","DONE",IF(COUNTA(Y6:AC6)=5,"DONE","INCOMPLETE")))</x:f>
        <x:v>PENDING</x:v>
      </x:c>
    </x:row>
    <x:row r="7">
      <x:c r="A7" s="151" t="str">
        <x:v>code|odr</x:v>
      </x:c>
      <x:c r="B7" s="151" t="str">
        <x:v>SV-0008</x:v>
      </x:c>
      <x:c r="C7" s="151" t="str">
        <x:v>PC-03790</x:v>
      </x:c>
      <x:c r="D7" s="151" t="str">
        <x:v>en|both</x:v>
      </x:c>
      <x:c r="E7" s="151" t="n">
        <x:v>19.069444444444443</x:v>
      </x:c>
      <x:c r="F7" s="151" t="str">
        <x:v>Bank of Japan</x:v>
      </x:c>
      <x:c r="G7" s="151" t="str">
        <x:v>After the orchestration system calculates the amount in excess of the holding limit s and 
identifies user attributes, such as corporate or individual, it sends an automatic acceptance 
instruction to convert the subject amount to bank deposits, etc., to the ledger and the 
intermediary mockup.</x:v>
      </x:c>
      <x:c r="H7" s="151" t="str">
        <x:v>keep</x:v>
      </x:c>
      <x:c r="I7" s="151" t="str">
        <x:v>keep</x:v>
      </x:c>
      <x:c r="J7" s="151" t="str">
        <x:v>INTEROP.domestic</x:v>
      </x:c>
      <x:c r="K7" s="151" t="str">
        <x:v>SYS.design</x:v>
      </x:c>
      <x:c r="L7" s="151" t="str">
        <x:v>INTEROP</x:v>
      </x:c>
      <x:c r="M7" s="151" t="str">
        <x:v>SYS</x:v>
      </x:c>
      <x:c r="N7" s="151" t="str">
        <x:v>decision</x:v>
      </x:c>
      <x:c r="O7" s="151" t="str">
        <x:v>finding</x:v>
      </x:c>
      <x:c r="P7" s="151" t="str">
        <x:v>neutral</x:v>
      </x:c>
      <x:c r="Q7" s="151" t="str">
        <x:v>neutral</x:v>
      </x:c>
      <x:c r="R7" s="151" t="str">
        <x:v>not_applicable</x:v>
      </x:c>
      <x:c r="S7" s="151" t="str">
        <x:v>not_applicable</x:v>
      </x:c>
      <x:c r="T7" s="151" t="n">
        <x:v>2</x:v>
      </x:c>
      <x:c r="U7" s="151" t="n">
        <x:v>2</x:v>
      </x:c>
      <x:c r="V7" s="151"/>
      <x:c r="W7" s="151"/>
      <x:c r="X7" s="146"/>
      <x:c r="Y7" s="146"/>
      <x:c r="Z7" s="146"/>
      <x:c r="AA7" s="146"/>
      <x:c r="AB7" s="146"/>
      <x:c r="AC7" s="146"/>
      <x:c r="AD7" s="146"/>
      <x:c r="AE7" s="146"/>
      <x:c r="AF7" s="154" t="str">
        <x:f>IF(X7="","PENDING",IF(X7="exclude","DONE",IF(COUNTA(Y7:AC7)=5,"DONE","INCOMPLETE")))</x:f>
        <x:v>PENDING</x:v>
      </x:c>
    </x:row>
    <x:row r="8">
      <x:c r="A8" s="151" t="str">
        <x:v>inclusion</x:v>
      </x:c>
      <x:c r="B8" s="151" t="str">
        <x:v>SV-0010</x:v>
      </x:c>
      <x:c r="C8" s="151" t="str">
        <x:v>PC-02545</x:v>
      </x:c>
      <x:c r="D8" s="151" t="str">
        <x:v>en|both</x:v>
      </x:c>
      <x:c r="E8" s="151" t="n">
        <x:v>19.069444444444443</x:v>
      </x:c>
      <x:c r="F8" s="151" t="str">
        <x:v>Bank Indonesia (Digital Rupiah)</x:v>
      </x:c>
      <x:c r="G8" s="151" t="str">
        <x:v>In the 
wRD technology architecture, Bank Indonesia can 
manage 2 (two) types of digital assets: the Rupiah 
Digital and the digital securities.</x:v>
      </x:c>
      <x:c r="H8" s="151" t="str">
        <x:v>keep</x:v>
      </x:c>
      <x:c r="I8" s="151" t="str">
        <x:v>exclude</x:v>
      </x:c>
      <x:c r="J8" s="151" t="str">
        <x:v>SYS.design</x:v>
      </x:c>
      <x:c r="K8" s="151" t="str">
        <x:v>PRIV.BAL</x:v>
      </x:c>
      <x:c r="L8" s="151" t="str">
        <x:v>SYS</x:v>
      </x:c>
      <x:c r="M8" s="151" t="str">
        <x:v>PRIV</x:v>
      </x:c>
      <x:c r="N8" s="151" t="str">
        <x:v>decision</x:v>
      </x:c>
      <x:c r="O8" s="151" t="str">
        <x:v>finding</x:v>
      </x:c>
      <x:c r="P8" s="151" t="str">
        <x:v>neutral</x:v>
      </x:c>
      <x:c r="Q8" s="151" t="str">
        <x:v>conditional</x:v>
      </x:c>
      <x:c r="R8" s="151" t="str">
        <x:v>not_applicable</x:v>
      </x:c>
      <x:c r="S8" s="151" t="str">
        <x:v>from_state</x:v>
      </x:c>
      <x:c r="T8" s="151" t="n">
        <x:v>3</x:v>
      </x:c>
      <x:c r="U8" s="151" t="n">
        <x:v>3</x:v>
      </x:c>
      <x:c r="V8" s="151"/>
      <x:c r="W8" s="151" t="str">
        <x:v>x</x:v>
      </x:c>
      <x:c r="X8" s="146"/>
      <x:c r="Y8" s="146"/>
      <x:c r="Z8" s="146"/>
      <x:c r="AA8" s="146"/>
      <x:c r="AB8" s="146"/>
      <x:c r="AC8" s="146"/>
      <x:c r="AD8" s="146"/>
      <x:c r="AE8" s="146"/>
      <x:c r="AF8" s="154" t="str">
        <x:f>IF(X8="","PENDING",IF(X8="exclude","DONE",IF(COUNTA(Y8:AC8)=5,"DONE","INCOMPLETE")))</x:f>
        <x:v>PENDING</x:v>
      </x:c>
    </x:row>
    <x:row r="9">
      <x:c r="A9" s="151" t="str">
        <x:v>inclusion</x:v>
      </x:c>
      <x:c r="B9" s="151" t="str">
        <x:v>SV-0011</x:v>
      </x:c>
      <x:c r="C9" s="151" t="str">
        <x:v>PC-01383</x:v>
      </x:c>
      <x:c r="D9" s="151" t="str">
        <x:v>en|claude_only</x:v>
      </x:c>
      <x:c r="E9" s="151" t="n">
        <x:v>19.375</x:v>
      </x:c>
      <x:c r="F9" s="151" t="str">
        <x:v>European Central Bank / Eurosystem (digital euro)</x:v>
      </x:c>
      <x:c r="G9" s="151" t="str">
        <x:v>Payment service providers 
(PSPs) would be able to use the digital euro infrastructure to create new payment 
services, which would in turn increase innovation and competition in the European 
payments sector.</x:v>
      </x:c>
      <x:c r="H9" s="151" t="str">
        <x:v>exclude</x:v>
      </x:c>
      <x:c r="I9" s="151" t="str">
        <x:v>keep</x:v>
      </x:c>
      <x:c r="J9" s="151"/>
      <x:c r="K9" s="151" t="str">
        <x:v>SYS.design</x:v>
      </x:c>
      <x:c r="L9" s="151" t="str"/>
      <x:c r="M9" s="151" t="str">
        <x:v>SYS</x:v>
      </x:c>
      <x:c r="N9" s="151"/>
      <x:c r="O9" s="151" t="str">
        <x:v>proposal</x:v>
      </x:c>
      <x:c r="P9" s="151"/>
      <x:c r="Q9" s="151" t="str">
        <x:v>neutral</x:v>
      </x:c>
      <x:c r="R9" s="151"/>
      <x:c r="S9" s="151" t="str">
        <x:v>not_applicable</x:v>
      </x:c>
      <x:c r="T9" s="151"/>
      <x:c r="U9" s="151" t="n">
        <x:v>1</x:v>
      </x:c>
      <x:c r="V9" s="151"/>
      <x:c r="W9" s="151"/>
      <x:c r="X9" s="146"/>
      <x:c r="Y9" s="146"/>
      <x:c r="Z9" s="146"/>
      <x:c r="AA9" s="146"/>
      <x:c r="AB9" s="146"/>
      <x:c r="AC9" s="146"/>
      <x:c r="AD9" s="146"/>
      <x:c r="AE9" s="146"/>
      <x:c r="AF9" s="154" t="str">
        <x:f>IF(X9="","PENDING",IF(X9="exclude","DONE",IF(COUNTA(Y9:AC9)=5,"DONE","INCOMPLETE")))</x:f>
        <x:v>PENDING</x:v>
      </x:c>
    </x:row>
    <x:row r="10">
      <x:c r="A10" s="151" t="str">
        <x:v>code</x:v>
      </x:c>
      <x:c r="B10" s="151" t="str">
        <x:v>SV-0012</x:v>
      </x:c>
      <x:c r="C10" s="151" t="str">
        <x:v>PC-06084</x:v>
      </x:c>
      <x:c r="D10" s="151" t="str">
        <x:v>en|both</x:v>
      </x:c>
      <x:c r="E10" s="151" t="n">
        <x:v>19.069444444444443</x:v>
      </x:c>
      <x:c r="F10" s="151" t="str">
        <x:v>Bank of England and HM Treasury (digital pound)</x:v>
      </x:c>
      <x:c r="G10" s="151" t="str">
        <x:v>the Bank and relevant regulators would need to set standards to ensure that Payment Interface 
Providers build systems that support inclusion and avoid barriers that arise as a result of technical literacy, 
disabilities or reliance on more expensive hardware (such as smartphones).</x:v>
      </x:c>
      <x:c r="H10" s="151" t="str">
        <x:v>keep</x:v>
      </x:c>
      <x:c r="I10" s="151" t="str">
        <x:v>keep</x:v>
      </x:c>
      <x:c r="J10" s="151" t="str">
        <x:v>INTEROP.domestic</x:v>
      </x:c>
      <x:c r="K10" s="151" t="str">
        <x:v>ACCESS.universal</x:v>
      </x:c>
      <x:c r="L10" s="151" t="str">
        <x:v>INTEROP</x:v>
      </x:c>
      <x:c r="M10" s="151" t="str">
        <x:v>ACCESS</x:v>
      </x:c>
      <x:c r="N10" s="151" t="str">
        <x:v>proposal</x:v>
      </x:c>
      <x:c r="O10" s="151" t="str">
        <x:v>proposal</x:v>
      </x:c>
      <x:c r="P10" s="151" t="str">
        <x:v>neutral</x:v>
      </x:c>
      <x:c r="Q10" s="151" t="str">
        <x:v>neutral</x:v>
      </x:c>
      <x:c r="R10" s="151" t="str">
        <x:v>not_applicable</x:v>
      </x:c>
      <x:c r="S10" s="151" t="str">
        <x:v>not_applicable</x:v>
      </x:c>
      <x:c r="T10" s="151" t="n">
        <x:v>2</x:v>
      </x:c>
      <x:c r="U10" s="151" t="n">
        <x:v>2</x:v>
      </x:c>
      <x:c r="V10" s="151"/>
      <x:c r="W10" s="151"/>
      <x:c r="X10" s="146"/>
      <x:c r="Y10" s="146"/>
      <x:c r="Z10" s="146"/>
      <x:c r="AA10" s="146"/>
      <x:c r="AB10" s="146"/>
      <x:c r="AC10" s="146"/>
      <x:c r="AD10" s="146"/>
      <x:c r="AE10" s="146"/>
      <x:c r="AF10" s="154" t="str">
        <x:f>IF(X10="","PENDING",IF(X10="exclude","DONE",IF(COUNTA(Y10:AC10)=5,"DONE","INCOMPLETE")))</x:f>
        <x:v>PENDING</x:v>
      </x:c>
    </x:row>
    <x:row r="11">
      <x:c r="A11" s="151" t="str">
        <x:v>code|strength</x:v>
      </x:c>
      <x:c r="B11" s="151" t="str">
        <x:v>SV-0013</x:v>
      </x:c>
      <x:c r="C11" s="151" t="str">
        <x:v>PC-04571</x:v>
      </x:c>
      <x:c r="D11" s="151" t="str">
        <x:v>en|both</x:v>
      </x:c>
      <x:c r="E11" s="151" t="n">
        <x:v>19.069444444444443</x:v>
      </x:c>
      <x:c r="F11" s="151" t="str">
        <x:v>Reserve Bank of New Zealand</x:v>
      </x:c>
      <x:c r="G11" s="151" t="str">
        <x:v>Managed issuance: A CBDC should be issued and governed by the Reserve Bank in a manner that 
avoids unnecessary disruption to the cash system, the wider financial system and monetary policy 
settings</x:v>
      </x:c>
      <x:c r="H11" s="151" t="str">
        <x:v>keep</x:v>
      </x:c>
      <x:c r="I11" s="151" t="str">
        <x:v>keep</x:v>
      </x:c>
      <x:c r="J11" s="151" t="str">
        <x:v>OPS.resilience</x:v>
      </x:c>
      <x:c r="K11" s="151" t="str">
        <x:v>INST.mandate</x:v>
      </x:c>
      <x:c r="L11" s="151" t="str">
        <x:v>OPS</x:v>
      </x:c>
      <x:c r="M11" s="151" t="str">
        <x:v>INST</x:v>
      </x:c>
      <x:c r="N11" s="151" t="str">
        <x:v>proposal</x:v>
      </x:c>
      <x:c r="O11" s="151" t="str">
        <x:v>proposal</x:v>
      </x:c>
      <x:c r="P11" s="151" t="str">
        <x:v>neutral</x:v>
      </x:c>
      <x:c r="Q11" s="151" t="str">
        <x:v>neutral</x:v>
      </x:c>
      <x:c r="R11" s="151" t="str">
        <x:v>not_applicable</x:v>
      </x:c>
      <x:c r="S11" s="151" t="str">
        <x:v>not_applicable</x:v>
      </x:c>
      <x:c r="T11" s="151" t="n">
        <x:v>3</x:v>
      </x:c>
      <x:c r="U11" s="151" t="n">
        <x:v>2</x:v>
      </x:c>
      <x:c r="V11" s="151"/>
      <x:c r="W11" s="151"/>
      <x:c r="X11" s="146"/>
      <x:c r="Y11" s="146"/>
      <x:c r="Z11" s="146"/>
      <x:c r="AA11" s="146"/>
      <x:c r="AB11" s="146"/>
      <x:c r="AC11" s="146"/>
      <x:c r="AD11" s="146"/>
      <x:c r="AE11" s="146"/>
      <x:c r="AF11" s="154" t="str">
        <x:f>IF(X11="","PENDING",IF(X11="exclude","DONE",IF(COUNTA(Y11:AC11)=5,"DONE","INCOMPLETE")))</x:f>
        <x:v>PENDING</x:v>
      </x:c>
    </x:row>
    <x:row r="12">
      <x:c r="A12" s="151" t="str">
        <x:v>code|odr</x:v>
      </x:c>
      <x:c r="B12" s="151" t="str">
        <x:v>SV-0014</x:v>
      </x:c>
      <x:c r="C12" s="151" t="str">
        <x:v>PC-00927</x:v>
      </x:c>
      <x:c r="D12" s="151" t="str">
        <x:v>en|both</x:v>
      </x:c>
      <x:c r="E12" s="151" t="n">
        <x:v>19.069444444444443</x:v>
      </x:c>
      <x:c r="F12" s="151" t="str">
        <x:v>Bank of Canada and Payments Canada (Project Jasper)</x:v>
      </x:c>
      <x:c r="G12" s="151" t="str">
        <x:v>The Phase 1 solution was also not integrated with any 
external systems (including collateral management 
capabilities) and relied on a prefunded account, which 
is very inefficient and, if adopted, would substantially 
increase settlement costs for FI participants.</x:v>
      </x:c>
      <x:c r="H12" s="151" t="str">
        <x:v>keep</x:v>
      </x:c>
      <x:c r="I12" s="151" t="str">
        <x:v>keep</x:v>
      </x:c>
      <x:c r="J12" s="151" t="str">
        <x:v>SYS.design</x:v>
      </x:c>
      <x:c r="K12" s="151" t="str">
        <x:v>PROC.pilot_learning</x:v>
      </x:c>
      <x:c r="L12" s="151" t="str">
        <x:v>SYS</x:v>
      </x:c>
      <x:c r="M12" s="151" t="str">
        <x:v>PROC</x:v>
      </x:c>
      <x:c r="N12" s="151" t="str">
        <x:v>decision</x:v>
      </x:c>
      <x:c r="O12" s="151" t="str">
        <x:v>finding</x:v>
      </x:c>
      <x:c r="P12" s="151" t="str">
        <x:v>neutral</x:v>
      </x:c>
      <x:c r="Q12" s="151" t="str">
        <x:v>neutral</x:v>
      </x:c>
      <x:c r="R12" s="151" t="str">
        <x:v>not_applicable</x:v>
      </x:c>
      <x:c r="S12" s="151" t="str">
        <x:v>not_applicable</x:v>
      </x:c>
      <x:c r="T12" s="151" t="n">
        <x:v>3</x:v>
      </x:c>
      <x:c r="U12" s="151" t="n">
        <x:v>3</x:v>
      </x:c>
      <x:c r="V12" s="151"/>
      <x:c r="W12" s="151"/>
      <x:c r="X12" s="146"/>
      <x:c r="Y12" s="146"/>
      <x:c r="Z12" s="146"/>
      <x:c r="AA12" s="146"/>
      <x:c r="AB12" s="146"/>
      <x:c r="AC12" s="146"/>
      <x:c r="AD12" s="146"/>
      <x:c r="AE12" s="146"/>
      <x:c r="AF12" s="154" t="str">
        <x:f>IF(X12="","PENDING",IF(X12="exclude","DONE",IF(COUNTA(Y12:AC12)=5,"DONE","INCOMPLETE")))</x:f>
        <x:v>PENDING</x:v>
      </x:c>
    </x:row>
    <x:row r="13">
      <x:c r="A13" s="151" t="str">
        <x:v>inclusion</x:v>
      </x:c>
      <x:c r="B13" s="151" t="str">
        <x:v>SV-0015</x:v>
      </x:c>
      <x:c r="C13" s="151" t="str">
        <x:v>PC-04546</x:v>
      </x:c>
      <x:c r="D13" s="151" t="str">
        <x:v>en|openai_only</x:v>
      </x:c>
      <x:c r="E13" s="151" t="n">
        <x:v>19.21875</x:v>
      </x:c>
      <x:c r="F13" s="151" t="str">
        <x:v>Reserve Bank of New Zealand</x:v>
      </x:c>
      <x:c r="G13" s="151" t="str">
        <x:v>The Reserve Bank has high requirements for the reliability, scalability, 
throughput and resilience of its existing systemically important payments and settlement systems, 
and these would also apply to a CBDC.</x:v>
      </x:c>
      <x:c r="H13" s="151" t="str">
        <x:v>keep</x:v>
      </x:c>
      <x:c r="I13" s="151" t="str">
        <x:v>exclude</x:v>
      </x:c>
      <x:c r="J13" s="151" t="str">
        <x:v>OPS.resilience</x:v>
      </x:c>
      <x:c r="K13" s="151"/>
      <x:c r="L13" s="151" t="str">
        <x:v>OPS</x:v>
      </x:c>
      <x:c r="M13" s="151" t="str"/>
      <x:c r="N13" s="151" t="str">
        <x:v>proposal</x:v>
      </x:c>
      <x:c r="O13" s="151"/>
      <x:c r="P13" s="151" t="str">
        <x:v>neutral</x:v>
      </x:c>
      <x:c r="Q13" s="151"/>
      <x:c r="R13" s="151" t="str">
        <x:v>not_applicable</x:v>
      </x:c>
      <x:c r="S13" s="151"/>
      <x:c r="T13" s="151" t="n">
        <x:v>3</x:v>
      </x:c>
      <x:c r="U13" s="151"/>
      <x:c r="V13" s="151"/>
      <x:c r="W13" s="151"/>
      <x:c r="X13" s="146"/>
      <x:c r="Y13" s="146"/>
      <x:c r="Z13" s="146"/>
      <x:c r="AA13" s="146"/>
      <x:c r="AB13" s="146"/>
      <x:c r="AC13" s="146"/>
      <x:c r="AD13" s="146"/>
      <x:c r="AE13" s="146"/>
      <x:c r="AF13" s="154" t="str">
        <x:f>IF(X13="","PENDING",IF(X13="exclude","DONE",IF(COUNTA(Y13:AC13)=5,"DONE","INCOMPLETE")))</x:f>
        <x:v>PENDING</x:v>
      </x:c>
    </x:row>
    <x:row r="14">
      <x:c r="A14" s="151" t="str">
        <x:v>code|odr|privacy_direction|privacy_relation|strength</x:v>
      </x:c>
      <x:c r="B14" s="151" t="str">
        <x:v>SV-0016</x:v>
      </x:c>
      <x:c r="C14" s="151" t="str">
        <x:v>PC-06786</x:v>
      </x:c>
      <x:c r="D14" s="151" t="str">
        <x:v>en|claude_only</x:v>
      </x:c>
      <x:c r="E14" s="151" t="n">
        <x:v>19.375</x:v>
      </x:c>
      <x:c r="F14" s="151" t="str">
        <x:v>South African Reserve Bank</x:v>
      </x:c>
      <x:c r="G14" s="151" t="str">
        <x:v>The wCBDC and wToken implemented in the PK2 PoC, 
for example, could be limited in their usage to selected participants (e.g. only 
licensed banks) who had been placed on an approved participant list, that is 
white listed, by the SARB.</x:v>
      </x:c>
      <x:c r="H14" s="151" t="str">
        <x:v>keep</x:v>
      </x:c>
      <x:c r="I14" s="151" t="str">
        <x:v>keep</x:v>
      </x:c>
      <x:c r="J14" s="151" t="str">
        <x:v>INTEROP.domestic</x:v>
      </x:c>
      <x:c r="K14" s="151" t="str">
        <x:v>SYS.design</x:v>
      </x:c>
      <x:c r="L14" s="151" t="str">
        <x:v>INTEROP</x:v>
      </x:c>
      <x:c r="M14" s="151" t="str">
        <x:v>SYS</x:v>
      </x:c>
      <x:c r="N14" s="151" t="str">
        <x:v>proposal</x:v>
      </x:c>
      <x:c r="O14" s="151" t="str">
        <x:v>finding</x:v>
      </x:c>
      <x:c r="P14" s="151" t="str">
        <x:v>decreases</x:v>
      </x:c>
      <x:c r="Q14" s="151" t="str">
        <x:v>neutral</x:v>
      </x:c>
      <x:c r="R14" s="151" t="str">
        <x:v>from_intermediary</x:v>
      </x:c>
      <x:c r="S14" s="151" t="str">
        <x:v>not_applicable</x:v>
      </x:c>
      <x:c r="T14" s="151" t="n">
        <x:v>2</x:v>
      </x:c>
      <x:c r="U14" s="151" t="n">
        <x:v>3</x:v>
      </x:c>
      <x:c r="V14" s="151"/>
      <x:c r="W14" s="151"/>
      <x:c r="X14" s="146"/>
      <x:c r="Y14" s="146"/>
      <x:c r="Z14" s="146"/>
      <x:c r="AA14" s="146"/>
      <x:c r="AB14" s="146"/>
      <x:c r="AC14" s="146"/>
      <x:c r="AD14" s="146"/>
      <x:c r="AE14" s="146"/>
      <x:c r="AF14" s="154" t="str">
        <x:f>IF(X14="","PENDING",IF(X14="exclude","DONE",IF(COUNTA(Y14:AC14)=5,"DONE","INCOMPLETE")))</x:f>
        <x:v>PENDING</x:v>
      </x:c>
    </x:row>
    <x:row r="15">
      <x:c r="A15" s="151" t="str">
        <x:v>inclusion</x:v>
      </x:c>
      <x:c r="B15" s="151" t="str">
        <x:v>SV-0018</x:v>
      </x:c>
      <x:c r="C15" s="151" t="str">
        <x:v>PC-04693</x:v>
      </x:c>
      <x:c r="D15" s="151" t="str">
        <x:v>en|claude_only</x:v>
      </x:c>
      <x:c r="E15" s="151" t="n">
        <x:v>19.375</x:v>
      </x:c>
      <x:c r="F15" s="151" t="str">
        <x:v>Bangko Sentral ng Pilipinas</x:v>
      </x:c>
      <x:c r="G15" s="151" t="str">
        <x:v>Potential legal concern on retail CBDC issuance</x:v>
      </x:c>
      <x:c r="H15" s="151" t="str">
        <x:v>exclude</x:v>
      </x:c>
      <x:c r="I15" s="151" t="str">
        <x:v>keep</x:v>
      </x:c>
      <x:c r="J15" s="151"/>
      <x:c r="K15" s="151" t="str">
        <x:v>LEGAL.basis</x:v>
      </x:c>
      <x:c r="L15" s="151" t="str"/>
      <x:c r="M15" s="151" t="str">
        <x:v>LEGAL</x:v>
      </x:c>
      <x:c r="N15" s="151"/>
      <x:c r="O15" s="151" t="str">
        <x:v>finding</x:v>
      </x:c>
      <x:c r="P15" s="151"/>
      <x:c r="Q15" s="151" t="str">
        <x:v>neutral</x:v>
      </x:c>
      <x:c r="R15" s="151"/>
      <x:c r="S15" s="151" t="str">
        <x:v>not_applicable</x:v>
      </x:c>
      <x:c r="T15" s="151"/>
      <x:c r="U15" s="151" t="n">
        <x:v>1</x:v>
      </x:c>
      <x:c r="V15" s="151"/>
      <x:c r="W15" s="151"/>
      <x:c r="X15" s="146"/>
      <x:c r="Y15" s="146"/>
      <x:c r="Z15" s="146"/>
      <x:c r="AA15" s="146"/>
      <x:c r="AB15" s="146"/>
      <x:c r="AC15" s="146"/>
      <x:c r="AD15" s="146"/>
      <x:c r="AE15" s="146"/>
      <x:c r="AF15" s="154" t="str">
        <x:f>IF(X15="","PENDING",IF(X15="exclude","DONE",IF(COUNTA(Y15:AC15)=5,"DONE","INCOMPLETE")))</x:f>
        <x:v>PENDING</x:v>
      </x:c>
    </x:row>
    <x:row r="16">
      <x:c r="A16" s="151" t="str">
        <x:v>inclusion</x:v>
      </x:c>
      <x:c r="B16" s="151" t="str">
        <x:v>SV-0020</x:v>
      </x:c>
      <x:c r="C16" s="151" t="str">
        <x:v>PC-04952</x:v>
      </x:c>
      <x:c r="D16" s="151" t="str">
        <x:v>en|openai_only</x:v>
      </x:c>
      <x:c r="E16" s="151" t="n">
        <x:v>19.21875</x:v>
      </x:c>
      <x:c r="F16" s="151" t="str">
        <x:v>Bank of Russia (digital ruble)</x:v>
      </x:c>
      <x:c r="G16" s="151" t="str">
        <x:v>the introduction of a limit on the amount of funds to be transferred between an online wallet and 
an offline device;</x:v>
      </x:c>
      <x:c r="H16" s="151" t="str">
        <x:v>keep</x:v>
      </x:c>
      <x:c r="I16" s="151" t="str">
        <x:v>exclude</x:v>
      </x:c>
      <x:c r="J16" s="151" t="str">
        <x:v>AML.LIMIT</x:v>
      </x:c>
      <x:c r="K16" s="151"/>
      <x:c r="L16" s="151" t="str">
        <x:v>AML</x:v>
      </x:c>
      <x:c r="M16" s="151" t="str"/>
      <x:c r="N16" s="151" t="str">
        <x:v>proposal</x:v>
      </x:c>
      <x:c r="O16" s="151"/>
      <x:c r="P16" s="151" t="str">
        <x:v>neutral</x:v>
      </x:c>
      <x:c r="Q16" s="151"/>
      <x:c r="R16" s="151" t="str">
        <x:v>not_applicable</x:v>
      </x:c>
      <x:c r="S16" s="151"/>
      <x:c r="T16" s="151" t="n">
        <x:v>2</x:v>
      </x:c>
      <x:c r="U16" s="151"/>
      <x:c r="V16" s="151"/>
      <x:c r="W16" s="151"/>
      <x:c r="X16" s="146"/>
      <x:c r="Y16" s="146"/>
      <x:c r="Z16" s="146"/>
      <x:c r="AA16" s="146"/>
      <x:c r="AB16" s="146"/>
      <x:c r="AC16" s="146"/>
      <x:c r="AD16" s="146"/>
      <x:c r="AE16" s="146"/>
      <x:c r="AF16" s="154" t="str">
        <x:f>IF(X16="","PENDING",IF(X16="exclude","DONE",IF(COUNTA(Y16:AC16)=5,"DONE","INCOMPLETE")))</x:f>
        <x:v>PENDING</x:v>
      </x:c>
    </x:row>
    <x:row r="17">
      <x:c r="A17" s="151" t="str">
        <x:v>odr|privacy_relation|strength</x:v>
      </x:c>
      <x:c r="B17" s="151" t="str">
        <x:v>SV-0021</x:v>
      </x:c>
      <x:c r="C17" s="151" t="str">
        <x:v>PC-04091</x:v>
      </x:c>
      <x:c r="D17" s="151" t="str">
        <x:v>en|both</x:v>
      </x:c>
      <x:c r="E17" s="151" t="n">
        <x:v>19.069444444444443</x:v>
      </x:c>
      <x:c r="F17" s="151" t="str">
        <x:v>Norges Bank (Norwegian CBDC work)</x:v>
      </x:c>
      <x:c r="G17" s="151" t="str">
        <x:v>Det vurderes ikke som nødvendig at DSP skal 
gi samme grad av anonymitet som kontanter.</x:v>
      </x:c>
      <x:c r="H17" s="151" t="str">
        <x:v>keep</x:v>
      </x:c>
      <x:c r="I17" s="151" t="str">
        <x:v>keep</x:v>
      </x:c>
      <x:c r="J17" s="151" t="str">
        <x:v>PRIV.ANON</x:v>
      </x:c>
      <x:c r="K17" s="151" t="str">
        <x:v>PRIV.ANON</x:v>
      </x:c>
      <x:c r="L17" s="151" t="str">
        <x:v>PRIV</x:v>
      </x:c>
      <x:c r="M17" s="151" t="str">
        <x:v>PRIV</x:v>
      </x:c>
      <x:c r="N17" s="151" t="str">
        <x:v>proposal</x:v>
      </x:c>
      <x:c r="O17" s="151" t="str">
        <x:v>decision</x:v>
      </x:c>
      <x:c r="P17" s="151" t="str">
        <x:v>decreases</x:v>
      </x:c>
      <x:c r="Q17" s="151" t="str">
        <x:v>decreases</x:v>
      </x:c>
      <x:c r="R17" s="151" t="str">
        <x:v>from_state</x:v>
      </x:c>
      <x:c r="S17" s="151" t="str">
        <x:v>not_applicable</x:v>
      </x:c>
      <x:c r="T17" s="151" t="n">
        <x:v>2</x:v>
      </x:c>
      <x:c r="U17" s="151" t="n">
        <x:v>3</x:v>
      </x:c>
      <x:c r="V17" s="151"/>
      <x:c r="W17" s="151"/>
      <x:c r="X17" s="146"/>
      <x:c r="Y17" s="146"/>
      <x:c r="Z17" s="146"/>
      <x:c r="AA17" s="146"/>
      <x:c r="AB17" s="146"/>
      <x:c r="AC17" s="146"/>
      <x:c r="AD17" s="146"/>
      <x:c r="AE17" s="146"/>
      <x:c r="AF17" s="154" t="str">
        <x:f>IF(X17="","PENDING",IF(X17="exclude","DONE",IF(COUNTA(Y17:AC17)=5,"DONE","INCOMPLETE")))</x:f>
        <x:v>PENDING</x:v>
      </x:c>
    </x:row>
    <x:row r="18">
      <x:c r="A18" s="151" t="str">
        <x:v>inclusion</x:v>
      </x:c>
      <x:c r="B18" s="151" t="str">
        <x:v>SV-0022</x:v>
      </x:c>
      <x:c r="C18" s="151" t="str">
        <x:v>PC-00402</x:v>
      </x:c>
      <x:c r="D18" s="151" t="str">
        <x:v>en|both</x:v>
      </x:c>
      <x:c r="E18" s="151" t="n">
        <x:v>19.069444444444443</x:v>
      </x:c>
      <x:c r="F18" s="151" t="str">
        <x:v>Aruba policy study / Central Bank of Aruba</x:v>
      </x:c>
      <x:c r="G18" s="151" t="str">
        <x:v>This policy paper advises central banks 
to decentralize the customer-facing duties (retail payments 
clearing, KYC checks) to foster competition in the payments 
system.</x:v>
      </x:c>
      <x:c r="H18" s="151" t="str">
        <x:v>keep</x:v>
      </x:c>
      <x:c r="I18" s="151" t="str">
        <x:v>exclude</x:v>
      </x:c>
      <x:c r="J18" s="151" t="str">
        <x:v>KYC.INTERMED</x:v>
      </x:c>
      <x:c r="K18" s="151" t="str">
        <x:v>AML.LIMIT</x:v>
      </x:c>
      <x:c r="L18" s="151" t="str">
        <x:v>KYC</x:v>
      </x:c>
      <x:c r="M18" s="151" t="str">
        <x:v>AML</x:v>
      </x:c>
      <x:c r="N18" s="151" t="str">
        <x:v>proposal</x:v>
      </x:c>
      <x:c r="O18" s="151" t="str">
        <x:v>proposal</x:v>
      </x:c>
      <x:c r="P18" s="151" t="str">
        <x:v>neutral</x:v>
      </x:c>
      <x:c r="Q18" s="151" t="str">
        <x:v>neutral</x:v>
      </x:c>
      <x:c r="R18" s="151" t="str">
        <x:v>not_applicable</x:v>
      </x:c>
      <x:c r="S18" s="151" t="str">
        <x:v>not_applicable</x:v>
      </x:c>
      <x:c r="T18" s="151" t="n">
        <x:v>2</x:v>
      </x:c>
      <x:c r="U18" s="151" t="n">
        <x:v>3</x:v>
      </x:c>
      <x:c r="V18" s="151"/>
      <x:c r="W18" s="151" t="str">
        <x:v>x</x:v>
      </x:c>
      <x:c r="X18" s="146"/>
      <x:c r="Y18" s="146"/>
      <x:c r="Z18" s="146"/>
      <x:c r="AA18" s="146"/>
      <x:c r="AB18" s="146"/>
      <x:c r="AC18" s="146"/>
      <x:c r="AD18" s="146"/>
      <x:c r="AE18" s="146"/>
      <x:c r="AF18" s="154" t="str">
        <x:f>IF(X18="","PENDING",IF(X18="exclude","DONE",IF(COUNTA(Y18:AC18)=5,"DONE","INCOMPLETE")))</x:f>
        <x:v>PENDING</x:v>
      </x:c>
    </x:row>
    <x:row r="19">
      <x:c r="A19" s="151" t="str">
        <x:v>code</x:v>
      </x:c>
      <x:c r="B19" s="151" t="str">
        <x:v>SV-0023</x:v>
      </x:c>
      <x:c r="C19" s="151" t="str">
        <x:v>PC-03711</x:v>
      </x:c>
      <x:c r="D19" s="151" t="str">
        <x:v>en|both</x:v>
      </x:c>
      <x:c r="E19" s="151" t="n">
        <x:v>19.069444444444443</x:v>
      </x:c>
      <x:c r="F19" s="151" t="str">
        <x:v>Bank of Japan</x:v>
      </x:c>
      <x:c r="G19" s="151" t="str">
        <x:v>we also looked at resistance to security risks 
and availability, but did not see any significant differences arising from the variation in the 
designs.</x:v>
      </x:c>
      <x:c r="H19" s="151" t="str">
        <x:v>keep</x:v>
      </x:c>
      <x:c r="I19" s="151" t="str">
        <x:v>keep</x:v>
      </x:c>
      <x:c r="J19" s="151" t="str">
        <x:v>PROC.pilot_learning</x:v>
      </x:c>
      <x:c r="K19" s="151" t="str">
        <x:v>OPS.resilience</x:v>
      </x:c>
      <x:c r="L19" s="151" t="str">
        <x:v>PROC</x:v>
      </x:c>
      <x:c r="M19" s="151" t="str">
        <x:v>OPS</x:v>
      </x:c>
      <x:c r="N19" s="151" t="str">
        <x:v>finding</x:v>
      </x:c>
      <x:c r="O19" s="151" t="str">
        <x:v>finding</x:v>
      </x:c>
      <x:c r="P19" s="151" t="str">
        <x:v>neutral</x:v>
      </x:c>
      <x:c r="Q19" s="151" t="str">
        <x:v>neutral</x:v>
      </x:c>
      <x:c r="R19" s="151" t="str">
        <x:v>not_applicable</x:v>
      </x:c>
      <x:c r="S19" s="151" t="str">
        <x:v>not_applicable</x:v>
      </x:c>
      <x:c r="T19" s="151" t="n">
        <x:v>2</x:v>
      </x:c>
      <x:c r="U19" s="151" t="n">
        <x:v>2</x:v>
      </x:c>
      <x:c r="V19" s="151"/>
      <x:c r="W19" s="151"/>
      <x:c r="X19" s="146"/>
      <x:c r="Y19" s="146"/>
      <x:c r="Z19" s="146"/>
      <x:c r="AA19" s="146"/>
      <x:c r="AB19" s="146"/>
      <x:c r="AC19" s="146"/>
      <x:c r="AD19" s="146"/>
      <x:c r="AE19" s="146"/>
      <x:c r="AF19" s="154" t="str">
        <x:f>IF(X19="","PENDING",IF(X19="exclude","DONE",IF(COUNTA(Y19:AC19)=5,"DONE","INCOMPLETE")))</x:f>
        <x:v>PENDING</x:v>
      </x:c>
    </x:row>
    <x:row r="20">
      <x:c r="A20" s="151" t="str">
        <x:v>odr|strength</x:v>
      </x:c>
      <x:c r="B20" s="151" t="str">
        <x:v>SV-0024</x:v>
      </x:c>
      <x:c r="C20" s="151" t="str">
        <x:v>PC-02783</x:v>
      </x:c>
      <x:c r="D20" s="151" t="str">
        <x:v>en|both</x:v>
      </x:c>
      <x:c r="E20" s="151" t="n">
        <x:v>19.069444444444443</x:v>
      </x:c>
      <x:c r="F20" s="151" t="str">
        <x:v>Bank of Israel (digital shekel)</x:v>
      </x:c>
      <x:c r="G20" s="151" t="str">
        <x:v>The digital shekel system will also suppor t a model of an indirect PSP – an entity that 
provides end users with all the services that a PSP provides but is not directly connected 
technologically to the system , rather it  provides the services based on the technological 
connection of another PSP.</x:v>
      </x:c>
      <x:c r="H20" s="151" t="str">
        <x:v>keep</x:v>
      </x:c>
      <x:c r="I20" s="151" t="str">
        <x:v>keep</x:v>
      </x:c>
      <x:c r="J20" s="151" t="str">
        <x:v>SYS.design</x:v>
      </x:c>
      <x:c r="K20" s="151" t="str">
        <x:v>SYS.design</x:v>
      </x:c>
      <x:c r="L20" s="151" t="str">
        <x:v>SYS</x:v>
      </x:c>
      <x:c r="M20" s="151" t="str">
        <x:v>SYS</x:v>
      </x:c>
      <x:c r="N20" s="151" t="str">
        <x:v>proposal</x:v>
      </x:c>
      <x:c r="O20" s="151" t="str">
        <x:v>decision</x:v>
      </x:c>
      <x:c r="P20" s="151" t="str">
        <x:v>neutral</x:v>
      </x:c>
      <x:c r="Q20" s="151" t="str">
        <x:v>neutral</x:v>
      </x:c>
      <x:c r="R20" s="151" t="str">
        <x:v>not_applicable</x:v>
      </x:c>
      <x:c r="S20" s="151" t="str">
        <x:v>not_applicable</x:v>
      </x:c>
      <x:c r="T20" s="151" t="n">
        <x:v>3</x:v>
      </x:c>
      <x:c r="U20" s="151" t="n">
        <x:v>2</x:v>
      </x:c>
      <x:c r="V20" s="151"/>
      <x:c r="W20" s="151"/>
      <x:c r="X20" s="146"/>
      <x:c r="Y20" s="146"/>
      <x:c r="Z20" s="146"/>
      <x:c r="AA20" s="146"/>
      <x:c r="AB20" s="146"/>
      <x:c r="AC20" s="146"/>
      <x:c r="AD20" s="146"/>
      <x:c r="AE20" s="146"/>
      <x:c r="AF20" s="154" t="str">
        <x:f>IF(X20="","PENDING",IF(X20="exclude","DONE",IF(COUNTA(Y20:AC20)=5,"DONE","INCOMPLETE")))</x:f>
        <x:v>PENDING</x:v>
      </x:c>
    </x:row>
    <x:row r="21">
      <x:c r="A21" s="151" t="str">
        <x:v>odr|strength</x:v>
      </x:c>
      <x:c r="B21" s="151" t="str">
        <x:v>SV-0025</x:v>
      </x:c>
      <x:c r="C21" s="151" t="str">
        <x:v>PC-00709</x:v>
      </x:c>
      <x:c r="D21" s="151" t="str">
        <x:v>en|both</x:v>
      </x:c>
      <x:c r="E21" s="151" t="n">
        <x:v>19.069444444444443</x:v>
      </x:c>
      <x:c r="F21" s="151" t="str">
        <x:v>Bank of Canada research on retail CBDC feasibility</x:v>
      </x:c>
      <x:c r="G21" s="151" t="str">
        <x:v>Macro-partitioned systems are less flexible than micro-partitioned systems 
because they do not support custody by end users.</x:v>
      </x:c>
      <x:c r="H21" s="151" t="str">
        <x:v>keep</x:v>
      </x:c>
      <x:c r="I21" s="151" t="str">
        <x:v>keep</x:v>
      </x:c>
      <x:c r="J21" s="151" t="str">
        <x:v>SYS.design</x:v>
      </x:c>
      <x:c r="K21" s="151" t="str">
        <x:v>SYS.design</x:v>
      </x:c>
      <x:c r="L21" s="151" t="str">
        <x:v>SYS</x:v>
      </x:c>
      <x:c r="M21" s="151" t="str">
        <x:v>SYS</x:v>
      </x:c>
      <x:c r="N21" s="151" t="str">
        <x:v>proposal</x:v>
      </x:c>
      <x:c r="O21" s="151" t="str">
        <x:v>finding</x:v>
      </x:c>
      <x:c r="P21" s="151" t="str">
        <x:v>neutral</x:v>
      </x:c>
      <x:c r="Q21" s="151" t="str">
        <x:v>neutral</x:v>
      </x:c>
      <x:c r="R21" s="151" t="str">
        <x:v>not_applicable</x:v>
      </x:c>
      <x:c r="S21" s="151" t="str">
        <x:v>not_applicable</x:v>
      </x:c>
      <x:c r="T21" s="151" t="n">
        <x:v>2</x:v>
      </x:c>
      <x:c r="U21" s="151" t="n">
        <x:v>1</x:v>
      </x:c>
      <x:c r="V21" s="151"/>
      <x:c r="W21" s="151"/>
      <x:c r="X21" s="146"/>
      <x:c r="Y21" s="146"/>
      <x:c r="Z21" s="146"/>
      <x:c r="AA21" s="146"/>
      <x:c r="AB21" s="146"/>
      <x:c r="AC21" s="146"/>
      <x:c r="AD21" s="146"/>
      <x:c r="AE21" s="146"/>
      <x:c r="AF21" s="154" t="str">
        <x:f>IF(X21="","PENDING",IF(X21="exclude","DONE",IF(COUNTA(Y21:AC21)=5,"DONE","INCOMPLETE")))</x:f>
        <x:v>PENDING</x:v>
      </x:c>
    </x:row>
    <x:row r="22">
      <x:c r="A22" s="151" t="str">
        <x:v>odr</x:v>
      </x:c>
      <x:c r="B22" s="151" t="str">
        <x:v>SV-0028</x:v>
      </x:c>
      <x:c r="C22" s="151" t="str">
        <x:v>PC-05447</x:v>
      </x:c>
      <x:c r="D22" s="151" t="str">
        <x:v>en|both</x:v>
      </x:c>
      <x:c r="E22" s="151" t="n">
        <x:v>19.069444444444443</x:v>
      </x:c>
      <x:c r="F22" s="151" t="str">
        <x:v>Central Bank of Eswatini (Digital Lilangeni)</x:v>
      </x:c>
      <x:c r="G22" s="151" t="str">
        <x:v>As with the online use case, people are granted convertibility to physical Lilangeni at any 
time</x:v>
      </x:c>
      <x:c r="H22" s="151" t="str">
        <x:v>keep</x:v>
      </x:c>
      <x:c r="I22" s="151" t="str">
        <x:v>keep</x:v>
      </x:c>
      <x:c r="J22" s="151" t="str">
        <x:v>CASH.relation</x:v>
      </x:c>
      <x:c r="K22" s="151" t="str">
        <x:v>CASH.relation</x:v>
      </x:c>
      <x:c r="L22" s="151" t="str">
        <x:v>CASH</x:v>
      </x:c>
      <x:c r="M22" s="151" t="str">
        <x:v>CASH</x:v>
      </x:c>
      <x:c r="N22" s="151" t="str">
        <x:v>proposal</x:v>
      </x:c>
      <x:c r="O22" s="151" t="str">
        <x:v>decision</x:v>
      </x:c>
      <x:c r="P22" s="151" t="str">
        <x:v>neutral</x:v>
      </x:c>
      <x:c r="Q22" s="151" t="str">
        <x:v>neutral</x:v>
      </x:c>
      <x:c r="R22" s="151" t="str">
        <x:v>not_applicable</x:v>
      </x:c>
      <x:c r="S22" s="151" t="str">
        <x:v>not_applicable</x:v>
      </x:c>
      <x:c r="T22" s="151" t="n">
        <x:v>3</x:v>
      </x:c>
      <x:c r="U22" s="151" t="n">
        <x:v>3</x:v>
      </x:c>
      <x:c r="V22" s="151"/>
      <x:c r="W22" s="151"/>
      <x:c r="X22" s="146"/>
      <x:c r="Y22" s="146"/>
      <x:c r="Z22" s="146"/>
      <x:c r="AA22" s="146"/>
      <x:c r="AB22" s="146"/>
      <x:c r="AC22" s="146"/>
      <x:c r="AD22" s="146"/>
      <x:c r="AE22" s="146"/>
      <x:c r="AF22" s="154" t="str">
        <x:f>IF(X22="","PENDING",IF(X22="exclude","DONE",IF(COUNTA(Y22:AC22)=5,"DONE","INCOMPLETE")))</x:f>
        <x:v>PENDING</x:v>
      </x:c>
    </x:row>
    <x:row r="23">
      <x:c r="A23" s="151" t="str">
        <x:v>inclusion</x:v>
      </x:c>
      <x:c r="B23" s="151" t="str">
        <x:v>SV-0029</x:v>
      </x:c>
      <x:c r="C23" s="151" t="str">
        <x:v>PC-00267</x:v>
      </x:c>
      <x:c r="D23" s="151" t="str">
        <x:v>en|openai_only</x:v>
      </x:c>
      <x:c r="E23" s="151" t="n">
        <x:v>19.21875</x:v>
      </x:c>
      <x:c r="F23" s="151" t="str">
        <x:v>Reserve Bank of Australia and Digital Finance CRC (Australian CBDC pilot)</x:v>
      </x:c>
      <x:c r="G23" s="151" t="str">
        <x:v>This will be a stand-alone 
platform solely for the issuance and transactional operation of the pilot CBDC.</x:v>
      </x:c>
      <x:c r="H23" s="151" t="str">
        <x:v>keep</x:v>
      </x:c>
      <x:c r="I23" s="151" t="str">
        <x:v>exclude</x:v>
      </x:c>
      <x:c r="J23" s="151" t="str">
        <x:v>SYS.design</x:v>
      </x:c>
      <x:c r="K23" s="151"/>
      <x:c r="L23" s="151" t="str">
        <x:v>SYS</x:v>
      </x:c>
      <x:c r="M23" s="151" t="str"/>
      <x:c r="N23" s="151" t="str">
        <x:v>decision</x:v>
      </x:c>
      <x:c r="O23" s="151"/>
      <x:c r="P23" s="151" t="str">
        <x:v>neutral</x:v>
      </x:c>
      <x:c r="Q23" s="151"/>
      <x:c r="R23" s="151" t="str">
        <x:v>not_applicable</x:v>
      </x:c>
      <x:c r="S23" s="151"/>
      <x:c r="T23" s="151" t="n">
        <x:v>3</x:v>
      </x:c>
      <x:c r="U23" s="151"/>
      <x:c r="V23" s="151"/>
      <x:c r="W23" s="151"/>
      <x:c r="X23" s="146"/>
      <x:c r="Y23" s="146"/>
      <x:c r="Z23" s="146"/>
      <x:c r="AA23" s="146"/>
      <x:c r="AB23" s="146"/>
      <x:c r="AC23" s="146"/>
      <x:c r="AD23" s="146"/>
      <x:c r="AE23" s="146"/>
      <x:c r="AF23" s="154" t="str">
        <x:f>IF(X23="","PENDING",IF(X23="exclude","DONE",IF(COUNTA(Y23:AC23)=5,"DONE","INCOMPLETE")))</x:f>
        <x:v>PENDING</x:v>
      </x:c>
    </x:row>
    <x:row r="24">
      <x:c r="A24" s="151" t="str">
        <x:v>code|strength</x:v>
      </x:c>
      <x:c r="B24" s="151" t="str">
        <x:v>SV-0030</x:v>
      </x:c>
      <x:c r="C24" s="151" t="str">
        <x:v>PC-03943</x:v>
      </x:c>
      <x:c r="D24" s="151" t="str">
        <x:v>en|both</x:v>
      </x:c>
      <x:c r="E24" s="151" t="n">
        <x:v>19.069444444444443</x:v>
      </x:c>
      <x:c r="F24" s="151" t="str">
        <x:v>Monetary Authority of Macao (e-MOP)</x:v>
      </x:c>
      <x:c r="G24" s="151" t="str">
        <x:v>as a 
fully convertible currency, the design of e-MOP respects the policies 
and legal frameworks, as well as the monetary sovereignty, exchange 
rate regimes, and relevant exchange and remittance rules of other 
jurisdictions, in an endeavour to fulfill their regulatory and compliance 
requirements.</x:v>
      </x:c>
      <x:c r="H24" s="151" t="str">
        <x:v>keep</x:v>
      </x:c>
      <x:c r="I24" s="151" t="str">
        <x:v>keep</x:v>
      </x:c>
      <x:c r="J24" s="151" t="str">
        <x:v>INTEROP.domestic</x:v>
      </x:c>
      <x:c r="K24" s="151" t="str">
        <x:v>INTEROP.crossborder</x:v>
      </x:c>
      <x:c r="L24" s="151" t="str">
        <x:v>INTEROP</x:v>
      </x:c>
      <x:c r="M24" s="151" t="str">
        <x:v>INTEROP</x:v>
      </x:c>
      <x:c r="N24" s="151" t="str">
        <x:v>decision</x:v>
      </x:c>
      <x:c r="O24" s="151" t="str">
        <x:v>decision</x:v>
      </x:c>
      <x:c r="P24" s="151" t="str">
        <x:v>neutral</x:v>
      </x:c>
      <x:c r="Q24" s="151" t="str">
        <x:v>neutral</x:v>
      </x:c>
      <x:c r="R24" s="151" t="str">
        <x:v>not_applicable</x:v>
      </x:c>
      <x:c r="S24" s="151" t="str">
        <x:v>not_applicable</x:v>
      </x:c>
      <x:c r="T24" s="151" t="n">
        <x:v>3</x:v>
      </x:c>
      <x:c r="U24" s="151" t="n">
        <x:v>2</x:v>
      </x:c>
      <x:c r="V24" s="151"/>
      <x:c r="W24" s="151"/>
      <x:c r="X24" s="146"/>
      <x:c r="Y24" s="146"/>
      <x:c r="Z24" s="146"/>
      <x:c r="AA24" s="146"/>
      <x:c r="AB24" s="146"/>
      <x:c r="AC24" s="146"/>
      <x:c r="AD24" s="146"/>
      <x:c r="AE24" s="146"/>
      <x:c r="AF24" s="154" t="str">
        <x:f>IF(X24="","PENDING",IF(X24="exclude","DONE",IF(COUNTA(Y24:AC24)=5,"DONE","INCOMPLETE")))</x:f>
        <x:v>PENDING</x:v>
      </x:c>
    </x:row>
    <x:row r="25">
      <x:c r="A25" s="151" t="str">
        <x:v>code|strength</x:v>
      </x:c>
      <x:c r="B25" s="151" t="str">
        <x:v>SV-0031</x:v>
      </x:c>
      <x:c r="C25" s="151" t="str">
        <x:v>PC-03970</x:v>
      </x:c>
      <x:c r="D25" s="151" t="str">
        <x:v>en|claude_only</x:v>
      </x:c>
      <x:c r="E25" s="151" t="n">
        <x:v>19.375</x:v>
      </x:c>
      <x:c r="F25" s="151" t="str">
        <x:v>Monetary Authority of Macao (e-MOP)</x:v>
      </x:c>
      <x:c r="G25" s="151" t="str">
        <x:v>On the premise of preserving 
the functions of currency, smart contracts with tamper-proof features 
and mechanisms to guarantee execution will be embedded into the 
system.</x:v>
      </x:c>
      <x:c r="H25" s="151" t="str">
        <x:v>keep</x:v>
      </x:c>
      <x:c r="I25" s="151" t="str">
        <x:v>keep</x:v>
      </x:c>
      <x:c r="J25" s="151" t="str">
        <x:v>PROG.generic</x:v>
      </x:c>
      <x:c r="K25" s="151" t="str">
        <x:v>SYS.design</x:v>
      </x:c>
      <x:c r="L25" s="151" t="str">
        <x:v>PROG</x:v>
      </x:c>
      <x:c r="M25" s="151" t="str">
        <x:v>SYS</x:v>
      </x:c>
      <x:c r="N25" s="151" t="str">
        <x:v>decision</x:v>
      </x:c>
      <x:c r="O25" s="151" t="str">
        <x:v>decision</x:v>
      </x:c>
      <x:c r="P25" s="151" t="str">
        <x:v>neutral</x:v>
      </x:c>
      <x:c r="Q25" s="151" t="str">
        <x:v>neutral</x:v>
      </x:c>
      <x:c r="R25" s="151" t="str">
        <x:v>not_applicable</x:v>
      </x:c>
      <x:c r="S25" s="151" t="str">
        <x:v>not_applicable</x:v>
      </x:c>
      <x:c r="T25" s="151" t="n">
        <x:v>3</x:v>
      </x:c>
      <x:c r="U25" s="151" t="n">
        <x:v>2</x:v>
      </x:c>
      <x:c r="V25" s="151"/>
      <x:c r="W25" s="151"/>
      <x:c r="X25" s="146"/>
      <x:c r="Y25" s="146"/>
      <x:c r="Z25" s="146"/>
      <x:c r="AA25" s="146"/>
      <x:c r="AB25" s="146"/>
      <x:c r="AC25" s="146"/>
      <x:c r="AD25" s="146"/>
      <x:c r="AE25" s="146"/>
      <x:c r="AF25" s="154" t="str">
        <x:f>IF(X25="","PENDING",IF(X25="exclude","DONE",IF(COUNTA(Y25:AC25)=5,"DONE","INCOMPLETE")))</x:f>
        <x:v>PENDING</x:v>
      </x:c>
    </x:row>
    <x:row r="26">
      <x:c r="A26" s="151" t="str">
        <x:v>odr|strength</x:v>
      </x:c>
      <x:c r="B26" s="151" t="str">
        <x:v>SV-0032</x:v>
      </x:c>
      <x:c r="C26" s="151" t="str">
        <x:v>PC-01013</x:v>
      </x:c>
      <x:c r="D26" s="151" t="str">
        <x:v>en|both</x:v>
      </x:c>
      <x:c r="E26" s="151" t="n">
        <x:v>19.069444444444443</x:v>
      </x:c>
      <x:c r="F26" s="151" t="str">
        <x:v>Bank of Canada and Payments Canada (Project Jasper)</x:v>
      </x:c>
      <x:c r="G26" s="151" t="str">
        <x:v>The exhale process in the Jasper LSM option involves 
the Bank of Canada paying out the pooled DDR  
balance that it accumulated during the inhale step to 
each participant in accordance with the outcome of 
the offsetting process.</x:v>
      </x:c>
      <x:c r="H26" s="151" t="str">
        <x:v>keep</x:v>
      </x:c>
      <x:c r="I26" s="151" t="str">
        <x:v>keep</x:v>
      </x:c>
      <x:c r="J26" s="151" t="str">
        <x:v>SYS.design</x:v>
      </x:c>
      <x:c r="K26" s="151" t="str">
        <x:v>SYS.design</x:v>
      </x:c>
      <x:c r="L26" s="151" t="str">
        <x:v>SYS</x:v>
      </x:c>
      <x:c r="M26" s="151" t="str">
        <x:v>SYS</x:v>
      </x:c>
      <x:c r="N26" s="151" t="str">
        <x:v>finding</x:v>
      </x:c>
      <x:c r="O26" s="151" t="str">
        <x:v>decision</x:v>
      </x:c>
      <x:c r="P26" s="151" t="str">
        <x:v>neutral</x:v>
      </x:c>
      <x:c r="Q26" s="151" t="str">
        <x:v>neutral</x:v>
      </x:c>
      <x:c r="R26" s="151" t="str">
        <x:v>not_applicable</x:v>
      </x:c>
      <x:c r="S26" s="151" t="str">
        <x:v>not_applicable</x:v>
      </x:c>
      <x:c r="T26" s="151" t="n">
        <x:v>1</x:v>
      </x:c>
      <x:c r="U26" s="151" t="n">
        <x:v>2</x:v>
      </x:c>
      <x:c r="V26" s="151"/>
      <x:c r="W26" s="151"/>
      <x:c r="X26" s="146"/>
      <x:c r="Y26" s="146"/>
      <x:c r="Z26" s="146"/>
      <x:c r="AA26" s="146"/>
      <x:c r="AB26" s="146"/>
      <x:c r="AC26" s="146"/>
      <x:c r="AD26" s="146"/>
      <x:c r="AE26" s="146"/>
      <x:c r="AF26" s="154" t="str">
        <x:f>IF(X26="","PENDING",IF(X26="exclude","DONE",IF(COUNTA(Y26:AC26)=5,"DONE","INCOMPLETE")))</x:f>
        <x:v>PENDING</x:v>
      </x:c>
    </x:row>
    <x:row r="27">
      <x:c r="A27" s="151" t="str">
        <x:v>code|odr</x:v>
      </x:c>
      <x:c r="B27" s="151" t="str">
        <x:v>SV-0034</x:v>
      </x:c>
      <x:c r="C27" s="151" t="str">
        <x:v>PC-06666</x:v>
      </x:c>
      <x:c r="D27" s="151" t="str">
        <x:v>en|both</x:v>
      </x:c>
      <x:c r="E27" s="151" t="n">
        <x:v>19.069444444444443</x:v>
      </x:c>
      <x:c r="F27" s="151" t="str">
        <x:v>Banco Central del Uruguay (e-Peso pilot)</x:v>
      </x:c>
      <x:c r="G27" s="151" t="str">
        <x:v>The design decision of a token -based CBDC that involves the transfer of a token directly 
between wallets has worked properly in many ways</x:v>
      </x:c>
      <x:c r="H27" s="151" t="str">
        <x:v>keep</x:v>
      </x:c>
      <x:c r="I27" s="151" t="str">
        <x:v>keep</x:v>
      </x:c>
      <x:c r="J27" s="151" t="str">
        <x:v>TECH.TOKEN.considered</x:v>
      </x:c>
      <x:c r="K27" s="151" t="str">
        <x:v>TECH.TOKEN.decided_yes</x:v>
      </x:c>
      <x:c r="L27" s="151" t="str">
        <x:v>TECH</x:v>
      </x:c>
      <x:c r="M27" s="151" t="str">
        <x:v>TECH</x:v>
      </x:c>
      <x:c r="N27" s="151" t="str">
        <x:v>finding</x:v>
      </x:c>
      <x:c r="O27" s="151" t="str">
        <x:v>decision</x:v>
      </x:c>
      <x:c r="P27" s="151" t="str">
        <x:v>neutral</x:v>
      </x:c>
      <x:c r="Q27" s="151" t="str">
        <x:v>neutral</x:v>
      </x:c>
      <x:c r="R27" s="151" t="str">
        <x:v>not_applicable</x:v>
      </x:c>
      <x:c r="S27" s="151" t="str">
        <x:v>not_applicable</x:v>
      </x:c>
      <x:c r="T27" s="151" t="n">
        <x:v>3</x:v>
      </x:c>
      <x:c r="U27" s="151" t="n">
        <x:v>3</x:v>
      </x:c>
      <x:c r="V27" s="151"/>
      <x:c r="W27" s="151"/>
      <x:c r="X27" s="146"/>
      <x:c r="Y27" s="146"/>
      <x:c r="Z27" s="146"/>
      <x:c r="AA27" s="146"/>
      <x:c r="AB27" s="146"/>
      <x:c r="AC27" s="146"/>
      <x:c r="AD27" s="146"/>
      <x:c r="AE27" s="146"/>
      <x:c r="AF27" s="154" t="str">
        <x:f>IF(X27="","PENDING",IF(X27="exclude","DONE",IF(COUNTA(Y27:AC27)=5,"DONE","INCOMPLETE")))</x:f>
        <x:v>PENDING</x:v>
      </x:c>
    </x:row>
    <x:row r="28">
      <x:c r="A28" s="151" t="str">
        <x:v>code|strength</x:v>
      </x:c>
      <x:c r="B28" s="151" t="str">
        <x:v>SV-0036</x:v>
      </x:c>
      <x:c r="C28" s="151" t="str">
        <x:v>PC-06197</x:v>
      </x:c>
      <x:c r="D28" s="151" t="str">
        <x:v>en|both</x:v>
      </x:c>
      <x:c r="E28" s="151" t="n">
        <x:v>19.069444444444443</x:v>
      </x:c>
      <x:c r="F28" s="151" t="str">
        <x:v>Bank of England and HM Treasury (digital pound)</x:v>
      </x:c>
      <x:c r="G28" s="151" t="str">
        <x:v>Not everyone has a smart device or finds it easy to use one, so 
users could also have physical card options for CBDC payments.</x:v>
      </x:c>
      <x:c r="H28" s="151" t="str">
        <x:v>keep</x:v>
      </x:c>
      <x:c r="I28" s="151" t="str">
        <x:v>keep</x:v>
      </x:c>
      <x:c r="J28" s="151" t="str">
        <x:v>ACCESS.universal</x:v>
      </x:c>
      <x:c r="K28" s="151" t="str">
        <x:v>SYS.design</x:v>
      </x:c>
      <x:c r="L28" s="151" t="str">
        <x:v>ACCESS</x:v>
      </x:c>
      <x:c r="M28" s="151" t="str">
        <x:v>SYS</x:v>
      </x:c>
      <x:c r="N28" s="151" t="str">
        <x:v>proposal</x:v>
      </x:c>
      <x:c r="O28" s="151" t="str">
        <x:v>proposal</x:v>
      </x:c>
      <x:c r="P28" s="151" t="str">
        <x:v>neutral</x:v>
      </x:c>
      <x:c r="Q28" s="151" t="str">
        <x:v>neutral</x:v>
      </x:c>
      <x:c r="R28" s="151" t="str">
        <x:v>not_applicable</x:v>
      </x:c>
      <x:c r="S28" s="151" t="str">
        <x:v>not_applicable</x:v>
      </x:c>
      <x:c r="T28" s="151" t="n">
        <x:v>2</x:v>
      </x:c>
      <x:c r="U28" s="151" t="n">
        <x:v>3</x:v>
      </x:c>
      <x:c r="V28" s="151"/>
      <x:c r="W28" s="151"/>
      <x:c r="X28" s="146"/>
      <x:c r="Y28" s="146"/>
      <x:c r="Z28" s="146"/>
      <x:c r="AA28" s="146"/>
      <x:c r="AB28" s="146"/>
      <x:c r="AC28" s="146"/>
      <x:c r="AD28" s="146"/>
      <x:c r="AE28" s="146"/>
      <x:c r="AF28" s="154" t="str">
        <x:f>IF(X28="","PENDING",IF(X28="exclude","DONE",IF(COUNTA(Y28:AC28)=5,"DONE","INCOMPLETE")))</x:f>
        <x:v>PENDING</x:v>
      </x:c>
    </x:row>
    <x:row r="29">
      <x:c r="A29" s="151" t="str">
        <x:v>code|odr</x:v>
      </x:c>
      <x:c r="B29" s="151" t="str">
        <x:v>SV-0037</x:v>
      </x:c>
      <x:c r="C29" s="151" t="str">
        <x:v>PC-00575</x:v>
      </x:c>
      <x:c r="D29" s="151" t="str">
        <x:v>en|both</x:v>
      </x:c>
      <x:c r="E29" s="151" t="n">
        <x:v>19.069444444444443</x:v>
      </x:c>
      <x:c r="F29" s="151" t="str">
        <x:v>Central Bank of The Bahamas (Sand Dollar)</x:v>
      </x:c>
      <x:c r="G29" s="151" t="str">
        <x:v>The Central Bank will vary these limits over time as may be necessary to satisfy the robustness of 
the AML/CFT regime, under the p rinciple that the more elevated due -diligence would always 
enable accounts to operate with higher transactions limits.</x:v>
      </x:c>
      <x:c r="H29" s="151" t="str">
        <x:v>keep</x:v>
      </x:c>
      <x:c r="I29" s="151" t="str">
        <x:v>keep</x:v>
      </x:c>
      <x:c r="J29" s="151" t="str">
        <x:v>KYC.INTERMED</x:v>
      </x:c>
      <x:c r="K29" s="151" t="str">
        <x:v>KYC.TIER</x:v>
      </x:c>
      <x:c r="L29" s="151" t="str">
        <x:v>KYC</x:v>
      </x:c>
      <x:c r="M29" s="151" t="str">
        <x:v>KYC</x:v>
      </x:c>
      <x:c r="N29" s="151" t="str">
        <x:v>proposal</x:v>
      </x:c>
      <x:c r="O29" s="151" t="str">
        <x:v>decision</x:v>
      </x:c>
      <x:c r="P29" s="151" t="str">
        <x:v>neutral</x:v>
      </x:c>
      <x:c r="Q29" s="151" t="str">
        <x:v>neutral</x:v>
      </x:c>
      <x:c r="R29" s="151" t="str">
        <x:v>not_applicable</x:v>
      </x:c>
      <x:c r="S29" s="151" t="str">
        <x:v>not_applicable</x:v>
      </x:c>
      <x:c r="T29" s="151" t="n">
        <x:v>2</x:v>
      </x:c>
      <x:c r="U29" s="151" t="n">
        <x:v>2</x:v>
      </x:c>
      <x:c r="V29" s="151"/>
      <x:c r="W29" s="151"/>
      <x:c r="X29" s="146"/>
      <x:c r="Y29" s="146"/>
      <x:c r="Z29" s="146"/>
      <x:c r="AA29" s="146"/>
      <x:c r="AB29" s="146"/>
      <x:c r="AC29" s="146"/>
      <x:c r="AD29" s="146"/>
      <x:c r="AE29" s="146"/>
      <x:c r="AF29" s="154" t="str">
        <x:f>IF(X29="","PENDING",IF(X29="exclude","DONE",IF(COUNTA(Y29:AC29)=5,"DONE","INCOMPLETE")))</x:f>
        <x:v>PENDING</x:v>
      </x:c>
    </x:row>
    <x:row r="30">
      <x:c r="A30" s="151" t="str">
        <x:v>code</x:v>
      </x:c>
      <x:c r="B30" s="151" t="str">
        <x:v>SV-0038</x:v>
      </x:c>
      <x:c r="C30" s="151" t="str">
        <x:v>PC-01438</x:v>
      </x:c>
      <x:c r="D30" s="151" t="str">
        <x:v>en|both</x:v>
      </x:c>
      <x:c r="E30" s="151" t="n">
        <x:v>19.069444444444443</x:v>
      </x:c>
      <x:c r="F30" s="151" t="str">
        <x:v>European Central Bank / Eurosystem (digital euro)</x:v>
      </x:c>
      <x:c r="G30" s="151" t="str">
        <x:v>It
would ensure that PSPs deliver consistent basic digital euro services, enabling a uniform user
experience regardless of the country or PSP involved.</x:v>
      </x:c>
      <x:c r="H30" s="151" t="str">
        <x:v>keep</x:v>
      </x:c>
      <x:c r="I30" s="151" t="str">
        <x:v>keep</x:v>
      </x:c>
      <x:c r="J30" s="151" t="str">
        <x:v>INTEROP.crossborder</x:v>
      </x:c>
      <x:c r="K30" s="151" t="str">
        <x:v>INTEROP.domestic</x:v>
      </x:c>
      <x:c r="L30" s="151" t="str">
        <x:v>INTEROP</x:v>
      </x:c>
      <x:c r="M30" s="151" t="str">
        <x:v>INTEROP</x:v>
      </x:c>
      <x:c r="N30" s="151" t="str">
        <x:v>proposal</x:v>
      </x:c>
      <x:c r="O30" s="151" t="str">
        <x:v>proposal</x:v>
      </x:c>
      <x:c r="P30" s="151" t="str">
        <x:v>neutral</x:v>
      </x:c>
      <x:c r="Q30" s="151" t="str">
        <x:v>neutral</x:v>
      </x:c>
      <x:c r="R30" s="151" t="str">
        <x:v>not_applicable</x:v>
      </x:c>
      <x:c r="S30" s="151" t="str">
        <x:v>not_applicable</x:v>
      </x:c>
      <x:c r="T30" s="151" t="n">
        <x:v>2</x:v>
      </x:c>
      <x:c r="U30" s="151" t="n">
        <x:v>2</x:v>
      </x:c>
      <x:c r="V30" s="151"/>
      <x:c r="W30" s="151"/>
      <x:c r="X30" s="146"/>
      <x:c r="Y30" s="146"/>
      <x:c r="Z30" s="146"/>
      <x:c r="AA30" s="146"/>
      <x:c r="AB30" s="146"/>
      <x:c r="AC30" s="146"/>
      <x:c r="AD30" s="146"/>
      <x:c r="AE30" s="146"/>
      <x:c r="AF30" s="154" t="str">
        <x:f>IF(X30="","PENDING",IF(X30="exclude","DONE",IF(COUNTA(Y30:AC30)=5,"DONE","INCOMPLETE")))</x:f>
        <x:v>PENDING</x:v>
      </x:c>
    </x:row>
    <x:row r="31">
      <x:c r="A31" s="151" t="str">
        <x:v>code|strength</x:v>
      </x:c>
      <x:c r="B31" s="151" t="str">
        <x:v>SV-0039</x:v>
      </x:c>
      <x:c r="C31" s="151" t="str">
        <x:v>PC-04717</x:v>
      </x:c>
      <x:c r="D31" s="151" t="str">
        <x:v>en|both</x:v>
      </x:c>
      <x:c r="E31" s="151" t="n">
        <x:v>19.069444444444443</x:v>
      </x:c>
      <x:c r="F31" s="151" t="str">
        <x:v>Republic of Palau (Palau Stablecoin programme)</x:v>
      </x:c>
      <x:c r="G31" s="151" t="str">
        <x:v>Once created, those wallets were then registered in the CBDC Platform (i.e. 
the PSC issuer &amp; distribution system) with both user registration and PSC distribution managed by the 
MOF staff.</x:v>
      </x:c>
      <x:c r="H31" s="151" t="str">
        <x:v>keep</x:v>
      </x:c>
      <x:c r="I31" s="151" t="str">
        <x:v>keep</x:v>
      </x:c>
      <x:c r="J31" s="151" t="str">
        <x:v>INST.mandate</x:v>
      </x:c>
      <x:c r="K31" s="151" t="str">
        <x:v>SYS.design</x:v>
      </x:c>
      <x:c r="L31" s="151" t="str">
        <x:v>INST</x:v>
      </x:c>
      <x:c r="M31" s="151" t="str">
        <x:v>SYS</x:v>
      </x:c>
      <x:c r="N31" s="151" t="str">
        <x:v>decision</x:v>
      </x:c>
      <x:c r="O31" s="151" t="str">
        <x:v>decision</x:v>
      </x:c>
      <x:c r="P31" s="151" t="str">
        <x:v>neutral</x:v>
      </x:c>
      <x:c r="Q31" s="151" t="str">
        <x:v>neutral</x:v>
      </x:c>
      <x:c r="R31" s="151" t="str">
        <x:v>not_applicable</x:v>
      </x:c>
      <x:c r="S31" s="151" t="str">
        <x:v>not_applicable</x:v>
      </x:c>
      <x:c r="T31" s="151" t="n">
        <x:v>3</x:v>
      </x:c>
      <x:c r="U31" s="151" t="n">
        <x:v>2</x:v>
      </x:c>
      <x:c r="V31" s="151"/>
      <x:c r="W31" s="151"/>
      <x:c r="X31" s="146"/>
      <x:c r="Y31" s="146"/>
      <x:c r="Z31" s="146"/>
      <x:c r="AA31" s="146"/>
      <x:c r="AB31" s="146"/>
      <x:c r="AC31" s="146"/>
      <x:c r="AD31" s="146"/>
      <x:c r="AE31" s="146"/>
      <x:c r="AF31" s="154" t="str">
        <x:f>IF(X31="","PENDING",IF(X31="exclude","DONE",IF(COUNTA(Y31:AC31)=5,"DONE","INCOMPLETE")))</x:f>
        <x:v>PENDING</x:v>
      </x:c>
    </x:row>
    <x:row r="32">
      <x:c r="A32" s="151" t="str">
        <x:v>odr</x:v>
      </x:c>
      <x:c r="B32" s="151" t="str">
        <x:v>SV-0040</x:v>
      </x:c>
      <x:c r="C32" s="151" t="str">
        <x:v>PC-06262</x:v>
      </x:c>
      <x:c r="D32" s="151" t="str">
        <x:v>en|both</x:v>
      </x:c>
      <x:c r="E32" s="151" t="n">
        <x:v>19.069444444444443</x:v>
      </x:c>
      <x:c r="F32" s="151" t="str">
        <x:v>Bank of England and HM Treasury (digital pound)</x:v>
      </x:c>
      <x:c r="G32" s="151" t="str">
        <x:v>The introduction of offline payments for payment resilience in the event of 
network disruption introduces the double spend risk (Section 4.8).</x:v>
      </x:c>
      <x:c r="H32" s="151" t="str">
        <x:v>keep</x:v>
      </x:c>
      <x:c r="I32" s="151" t="str">
        <x:v>keep</x:v>
      </x:c>
      <x:c r="J32" s="151" t="str">
        <x:v>OPS.resilience</x:v>
      </x:c>
      <x:c r="K32" s="151" t="str">
        <x:v>OPS.resilience</x:v>
      </x:c>
      <x:c r="L32" s="151" t="str">
        <x:v>OPS</x:v>
      </x:c>
      <x:c r="M32" s="151" t="str">
        <x:v>OPS</x:v>
      </x:c>
      <x:c r="N32" s="151" t="str">
        <x:v>proposal</x:v>
      </x:c>
      <x:c r="O32" s="151" t="str">
        <x:v>finding</x:v>
      </x:c>
      <x:c r="P32" s="151" t="str">
        <x:v>neutral</x:v>
      </x:c>
      <x:c r="Q32" s="151" t="str">
        <x:v>neutral</x:v>
      </x:c>
      <x:c r="R32" s="151" t="str">
        <x:v>not_applicable</x:v>
      </x:c>
      <x:c r="S32" s="151" t="str">
        <x:v>not_applicable</x:v>
      </x:c>
      <x:c r="T32" s="151" t="n">
        <x:v>2</x:v>
      </x:c>
      <x:c r="U32" s="151" t="n">
        <x:v>2</x:v>
      </x:c>
      <x:c r="V32" s="151"/>
      <x:c r="W32" s="151"/>
      <x:c r="X32" s="146"/>
      <x:c r="Y32" s="146"/>
      <x:c r="Z32" s="146"/>
      <x:c r="AA32" s="146"/>
      <x:c r="AB32" s="146"/>
      <x:c r="AC32" s="146"/>
      <x:c r="AD32" s="146"/>
      <x:c r="AE32" s="146"/>
      <x:c r="AF32" s="154" t="str">
        <x:f>IF(X32="","PENDING",IF(X32="exclude","DONE",IF(COUNTA(Y32:AC32)=5,"DONE","INCOMPLETE")))</x:f>
        <x:v>PENDING</x:v>
      </x:c>
    </x:row>
    <x:row r="33">
      <x:c r="A33" s="151" t="str">
        <x:v>inclusion</x:v>
      </x:c>
      <x:c r="B33" s="151" t="str">
        <x:v>SV-0042</x:v>
      </x:c>
      <x:c r="C33" s="151" t="str">
        <x:v>PC-03432</x:v>
      </x:c>
      <x:c r="D33" s="151" t="str">
        <x:v>en|openai_only</x:v>
      </x:c>
      <x:c r="E33" s="151" t="n">
        <x:v>19.21875</x:v>
      </x:c>
      <x:c r="F33" s="151" t="str">
        <x:v>Reserve Bank of India (digital rupee)</x:v>
      </x:c>
      <x:c r="G33" s="151" t="str">
        <x:v>The customer protection 
framework for CBDC must consider the 
variations in the digital l iteracy of consumers 
and ways to increase consumer understanding 
and transparency so that an informed choice is 
made by them while adopting the CBDC.</x:v>
      </x:c>
      <x:c r="H33" s="151" t="str">
        <x:v>keep</x:v>
      </x:c>
      <x:c r="I33" s="151" t="str">
        <x:v>exclude</x:v>
      </x:c>
      <x:c r="J33" s="151" t="str">
        <x:v>ADOPT.experience</x:v>
      </x:c>
      <x:c r="K33" s="151"/>
      <x:c r="L33" s="151" t="str">
        <x:v>ADOPT</x:v>
      </x:c>
      <x:c r="M33" s="151" t="str"/>
      <x:c r="N33" s="151" t="str">
        <x:v>proposal</x:v>
      </x:c>
      <x:c r="O33" s="151"/>
      <x:c r="P33" s="151" t="str">
        <x:v>neutral</x:v>
      </x:c>
      <x:c r="Q33" s="151"/>
      <x:c r="R33" s="151" t="str">
        <x:v>not_applicable</x:v>
      </x:c>
      <x:c r="S33" s="151"/>
      <x:c r="T33" s="151" t="n">
        <x:v>2</x:v>
      </x:c>
      <x:c r="U33" s="151"/>
      <x:c r="V33" s="151"/>
      <x:c r="W33" s="151"/>
      <x:c r="X33" s="146"/>
      <x:c r="Y33" s="146"/>
      <x:c r="Z33" s="146"/>
      <x:c r="AA33" s="146"/>
      <x:c r="AB33" s="146"/>
      <x:c r="AC33" s="146"/>
      <x:c r="AD33" s="146"/>
      <x:c r="AE33" s="146"/>
      <x:c r="AF33" s="154" t="str">
        <x:f>IF(X33="","PENDING",IF(X33="exclude","DONE",IF(COUNTA(Y33:AC33)=5,"DONE","INCOMPLETE")))</x:f>
        <x:v>PENDING</x:v>
      </x:c>
    </x:row>
    <x:row r="34">
      <x:c r="A34" s="151" t="str">
        <x:v>odr|strength</x:v>
      </x:c>
      <x:c r="B34" s="151" t="str">
        <x:v>SV-0043</x:v>
      </x:c>
      <x:c r="C34" s="151" t="str">
        <x:v>PC-01682</x:v>
      </x:c>
      <x:c r="D34" s="151" t="str">
        <x:v>en|both</x:v>
      </x:c>
      <x:c r="E34" s="151" t="n">
        <x:v>19.069444444444443</x:v>
      </x:c>
      <x:c r="F34" s="151" t="str">
        <x:v>Bank of Ghana (eCedi)</x:v>
      </x:c>
      <x:c r="G34" s="151" t="str">
        <x:v>One 
of the eCedi’s technical solutions addressing cyber-
attack prevention is the separation of the issuance 
and distribution modules of the core infrastructure.</x:v>
      </x:c>
      <x:c r="H34" s="151" t="str">
        <x:v>keep</x:v>
      </x:c>
      <x:c r="I34" s="151" t="str">
        <x:v>keep</x:v>
      </x:c>
      <x:c r="J34" s="151" t="str">
        <x:v>OPS.resilience</x:v>
      </x:c>
      <x:c r="K34" s="151" t="str">
        <x:v>OPS.resilience</x:v>
      </x:c>
      <x:c r="L34" s="151" t="str">
        <x:v>OPS</x:v>
      </x:c>
      <x:c r="M34" s="151" t="str">
        <x:v>OPS</x:v>
      </x:c>
      <x:c r="N34" s="151" t="str">
        <x:v>decision</x:v>
      </x:c>
      <x:c r="O34" s="151" t="str">
        <x:v>proposal</x:v>
      </x:c>
      <x:c r="P34" s="151" t="str">
        <x:v>neutral</x:v>
      </x:c>
      <x:c r="Q34" s="151" t="str">
        <x:v>neutral</x:v>
      </x:c>
      <x:c r="R34" s="151" t="str">
        <x:v>not_applicable</x:v>
      </x:c>
      <x:c r="S34" s="151" t="str">
        <x:v>not_applicable</x:v>
      </x:c>
      <x:c r="T34" s="151" t="n">
        <x:v>3</x:v>
      </x:c>
      <x:c r="U34" s="151" t="n">
        <x:v>2</x:v>
      </x:c>
      <x:c r="V34" s="151"/>
      <x:c r="W34" s="151"/>
      <x:c r="X34" s="146"/>
      <x:c r="Y34" s="146"/>
      <x:c r="Z34" s="146"/>
      <x:c r="AA34" s="146"/>
      <x:c r="AB34" s="146"/>
      <x:c r="AC34" s="146"/>
      <x:c r="AD34" s="146"/>
      <x:c r="AE34" s="146"/>
      <x:c r="AF34" s="154" t="str">
        <x:f>IF(X34="","PENDING",IF(X34="exclude","DONE",IF(COUNTA(Y34:AC34)=5,"DONE","INCOMPLETE")))</x:f>
        <x:v>PENDING</x:v>
      </x:c>
    </x:row>
    <x:row r="35">
      <x:c r="A35" s="151" t="str">
        <x:v>odr|strength</x:v>
      </x:c>
      <x:c r="B35" s="151" t="str">
        <x:v>SV-0044</x:v>
      </x:c>
      <x:c r="C35" s="151" t="str">
        <x:v>PC-01665</x:v>
      </x:c>
      <x:c r="D35" s="151" t="str">
        <x:v>en|both</x:v>
      </x:c>
      <x:c r="E35" s="151" t="n">
        <x:v>19.069444444444443</x:v>
      </x:c>
      <x:c r="F35" s="151" t="str">
        <x:v>Bank of Ghana (eCedi)</x:v>
      </x:c>
      <x:c r="G35" s="151" t="str">
        <x:v>The KYC regime for eCedi will be risk-based and 
therefore provide for tiered KYC access criteria 
to meet the needs of diverse user groups. In this 
regard, eCedi wallets with different requirements 
for the identification checks depending on the 
thresholds and daily/aggregate transaction limits, 
and maximum account balances will be available.</x:v>
      </x:c>
      <x:c r="H35" s="151" t="str">
        <x:v>keep</x:v>
      </x:c>
      <x:c r="I35" s="151" t="str">
        <x:v>keep</x:v>
      </x:c>
      <x:c r="J35" s="151" t="str">
        <x:v>KYC.TIER</x:v>
      </x:c>
      <x:c r="K35" s="151" t="str">
        <x:v>KYC.TIER</x:v>
      </x:c>
      <x:c r="L35" s="151" t="str">
        <x:v>KYC</x:v>
      </x:c>
      <x:c r="M35" s="151" t="str">
        <x:v>KYC</x:v>
      </x:c>
      <x:c r="N35" s="151" t="str">
        <x:v>proposal</x:v>
      </x:c>
      <x:c r="O35" s="151" t="str">
        <x:v>decision</x:v>
      </x:c>
      <x:c r="P35" s="151" t="str">
        <x:v>neutral</x:v>
      </x:c>
      <x:c r="Q35" s="151" t="str">
        <x:v>neutral</x:v>
      </x:c>
      <x:c r="R35" s="151" t="str">
        <x:v>not_applicable</x:v>
      </x:c>
      <x:c r="S35" s="151" t="str">
        <x:v>not_applicable</x:v>
      </x:c>
      <x:c r="T35" s="151" t="n">
        <x:v>2</x:v>
      </x:c>
      <x:c r="U35" s="151" t="n">
        <x:v>3</x:v>
      </x:c>
      <x:c r="V35" s="151"/>
      <x:c r="W35" s="151"/>
      <x:c r="X35" s="146"/>
      <x:c r="Y35" s="146"/>
      <x:c r="Z35" s="146"/>
      <x:c r="AA35" s="146"/>
      <x:c r="AB35" s="146"/>
      <x:c r="AC35" s="146"/>
      <x:c r="AD35" s="146"/>
      <x:c r="AE35" s="146"/>
      <x:c r="AF35" s="154" t="str">
        <x:f>IF(X35="","PENDING",IF(X35="exclude","DONE",IF(COUNTA(Y35:AC35)=5,"DONE","INCOMPLETE")))</x:f>
        <x:v>PENDING</x:v>
      </x:c>
    </x:row>
    <x:row r="36">
      <x:c r="A36" s="151" t="str">
        <x:v>code|strength</x:v>
      </x:c>
      <x:c r="B36" s="151" t="str">
        <x:v>SV-0045</x:v>
      </x:c>
      <x:c r="C36" s="151" t="str">
        <x:v>PC-01204</x:v>
      </x:c>
      <x:c r="D36" s="151" t="str">
        <x:v>en|both</x:v>
      </x:c>
      <x:c r="E36" s="151" t="n">
        <x:v>19.069444444444443</x:v>
      </x:c>
      <x:c r="F36" s="151" t="str">
        <x:v>People's Bank of China (e-CNY)</x:v>
      </x:c>
      <x:c r="G36" s="151" t="str">
        <x:v>a
s
e
-
C
N
Y
i
s
s
e
t
t
l
e
d
upon
pa
y
m
e
nt
,
bus
i
ne
s
s
e
s
a
nd
r
e
l
a
t
e
d
pa
r
t
i
e
s
c
a
n
i
m
pr
ove
c
a
s
h
f
l
ow
w
hi
l
e
e
nj
oy
i
ng
m
or
e
c
onve
ni
e
nt
pa
y
m
e
nt
s
e
r
vi
c
e
s
.</x:v>
      </x:c>
      <x:c r="H36" s="151" t="str">
        <x:v>keep</x:v>
      </x:c>
      <x:c r="I36" s="151" t="str">
        <x:v>keep</x:v>
      </x:c>
      <x:c r="J36" s="151" t="str">
        <x:v>LEGAL.basis</x:v>
      </x:c>
      <x:c r="K36" s="151" t="str">
        <x:v>ADOPT.experience</x:v>
      </x:c>
      <x:c r="L36" s="151" t="str">
        <x:v>LEGAL</x:v>
      </x:c>
      <x:c r="M36" s="151" t="str">
        <x:v>ADOPT</x:v>
      </x:c>
      <x:c r="N36" s="151" t="str">
        <x:v>decision</x:v>
      </x:c>
      <x:c r="O36" s="151" t="str">
        <x:v>decision</x:v>
      </x:c>
      <x:c r="P36" s="151" t="str">
        <x:v>neutral</x:v>
      </x:c>
      <x:c r="Q36" s="151" t="str">
        <x:v>neutral</x:v>
      </x:c>
      <x:c r="R36" s="151" t="str">
        <x:v>not_applicable</x:v>
      </x:c>
      <x:c r="S36" s="151" t="str">
        <x:v>not_applicable</x:v>
      </x:c>
      <x:c r="T36" s="151" t="n">
        <x:v>3</x:v>
      </x:c>
      <x:c r="U36" s="151" t="n">
        <x:v>2</x:v>
      </x:c>
      <x:c r="V36" s="151"/>
      <x:c r="W36" s="151"/>
      <x:c r="X36" s="146"/>
      <x:c r="Y36" s="146"/>
      <x:c r="Z36" s="146"/>
      <x:c r="AA36" s="146"/>
      <x:c r="AB36" s="146"/>
      <x:c r="AC36" s="146"/>
      <x:c r="AD36" s="146"/>
      <x:c r="AE36" s="146"/>
      <x:c r="AF36" s="154" t="str">
        <x:f>IF(X36="","PENDING",IF(X36="exclude","DONE",IF(COUNTA(Y36:AC36)=5,"DONE","INCOMPLETE")))</x:f>
        <x:v>PENDING</x:v>
      </x:c>
    </x:row>
    <x:row r="37">
      <x:c r="A37" s="151" t="str">
        <x:v>odr|strength</x:v>
      </x:c>
      <x:c r="B37" s="151" t="str">
        <x:v>SV-0046</x:v>
      </x:c>
      <x:c r="C37" s="151" t="str">
        <x:v>PC-02886</x:v>
      </x:c>
      <x:c r="D37" s="151" t="str">
        <x:v>en|both</x:v>
      </x:c>
      <x:c r="E37" s="151" t="n">
        <x:v>19.069444444444443</x:v>
      </x:c>
      <x:c r="F37" s="151" t="str">
        <x:v>Bank of Israel (digital shekel)</x:v>
      </x:c>
      <x:c r="G37" s="151" t="str">
        <x:v>In the described mechanism, the Bank of Israel acts as an intermediary between the end user 
and the FI operating the ATM.</x:v>
      </x:c>
      <x:c r="H37" s="151" t="str">
        <x:v>keep</x:v>
      </x:c>
      <x:c r="I37" s="151" t="str">
        <x:v>keep</x:v>
      </x:c>
      <x:c r="J37" s="151" t="str">
        <x:v>SYS.design</x:v>
      </x:c>
      <x:c r="K37" s="151" t="str">
        <x:v>SYS.design</x:v>
      </x:c>
      <x:c r="L37" s="151" t="str">
        <x:v>SYS</x:v>
      </x:c>
      <x:c r="M37" s="151" t="str">
        <x:v>SYS</x:v>
      </x:c>
      <x:c r="N37" s="151" t="str">
        <x:v>proposal</x:v>
      </x:c>
      <x:c r="O37" s="151" t="str">
        <x:v>decision</x:v>
      </x:c>
      <x:c r="P37" s="151" t="str">
        <x:v>neutral</x:v>
      </x:c>
      <x:c r="Q37" s="151" t="str">
        <x:v>neutral</x:v>
      </x:c>
      <x:c r="R37" s="151" t="str">
        <x:v>not_applicable</x:v>
      </x:c>
      <x:c r="S37" s="151" t="str">
        <x:v>not_applicable</x:v>
      </x:c>
      <x:c r="T37" s="151" t="n">
        <x:v>3</x:v>
      </x:c>
      <x:c r="U37" s="151" t="n">
        <x:v>2</x:v>
      </x:c>
      <x:c r="V37" s="151"/>
      <x:c r="W37" s="151"/>
      <x:c r="X37" s="146"/>
      <x:c r="Y37" s="146"/>
      <x:c r="Z37" s="146"/>
      <x:c r="AA37" s="146"/>
      <x:c r="AB37" s="146"/>
      <x:c r="AC37" s="146"/>
      <x:c r="AD37" s="146"/>
      <x:c r="AE37" s="146"/>
      <x:c r="AF37" s="154" t="str">
        <x:f>IF(X37="","PENDING",IF(X37="exclude","DONE",IF(COUNTA(Y37:AC37)=5,"DONE","INCOMPLETE")))</x:f>
        <x:v>PENDING</x:v>
      </x:c>
    </x:row>
    <x:row r="38">
      <x:c r="A38" s="151" t="str">
        <x:v>strength</x:v>
      </x:c>
      <x:c r="B38" s="151" t="str">
        <x:v>SV-0047</x:v>
      </x:c>
      <x:c r="C38" s="151" t="str">
        <x:v>PC-01596</x:v>
      </x:c>
      <x:c r="D38" s="151" t="str">
        <x:v>en|both</x:v>
      </x:c>
      <x:c r="E38" s="151" t="n">
        <x:v>19.069444444444443</x:v>
      </x:c>
      <x:c r="F38" s="151" t="str">
        <x:v>Bank of Ghana (eCedi)</x:v>
      </x:c>
      <x:c r="G38" s="151" t="str">
        <x:v>increase the speed and convenience 
of cashless payments</x:v>
      </x:c>
      <x:c r="H38" s="151" t="str">
        <x:v>keep</x:v>
      </x:c>
      <x:c r="I38" s="151" t="str">
        <x:v>keep</x:v>
      </x:c>
      <x:c r="J38" s="151" t="str">
        <x:v>ADOPT.experience</x:v>
      </x:c>
      <x:c r="K38" s="151" t="str">
        <x:v>ADOPT.experience</x:v>
      </x:c>
      <x:c r="L38" s="151" t="str">
        <x:v>ADOPT</x:v>
      </x:c>
      <x:c r="M38" s="151" t="str">
        <x:v>ADOPT</x:v>
      </x:c>
      <x:c r="N38" s="151" t="str">
        <x:v>proposal</x:v>
      </x:c>
      <x:c r="O38" s="151" t="str">
        <x:v>proposal</x:v>
      </x:c>
      <x:c r="P38" s="151" t="str">
        <x:v>neutral</x:v>
      </x:c>
      <x:c r="Q38" s="151" t="str">
        <x:v>neutral</x:v>
      </x:c>
      <x:c r="R38" s="151" t="str">
        <x:v>not_applicable</x:v>
      </x:c>
      <x:c r="S38" s="151" t="str">
        <x:v>not_applicable</x:v>
      </x:c>
      <x:c r="T38" s="151" t="n">
        <x:v>2</x:v>
      </x:c>
      <x:c r="U38" s="151" t="n">
        <x:v>1</x:v>
      </x:c>
      <x:c r="V38" s="151"/>
      <x:c r="W38" s="151"/>
      <x:c r="X38" s="146"/>
      <x:c r="Y38" s="146"/>
      <x:c r="Z38" s="146"/>
      <x:c r="AA38" s="146"/>
      <x:c r="AB38" s="146"/>
      <x:c r="AC38" s="146"/>
      <x:c r="AD38" s="146"/>
      <x:c r="AE38" s="146"/>
      <x:c r="AF38" s="154" t="str">
        <x:f>IF(X38="","PENDING",IF(X38="exclude","DONE",IF(COUNTA(Y38:AC38)=5,"DONE","INCOMPLETE")))</x:f>
        <x:v>PENDING</x:v>
      </x:c>
    </x:row>
    <x:row r="39">
      <x:c r="A39" s="151" t="str">
        <x:v>inclusion</x:v>
      </x:c>
      <x:c r="B39" s="151" t="str">
        <x:v>SV-0048</x:v>
      </x:c>
      <x:c r="C39" s="151" t="str">
        <x:v>PC-01217</x:v>
      </x:c>
      <x:c r="D39" s="151" t="str">
        <x:v>en|openai_only</x:v>
      </x:c>
      <x:c r="E39" s="151" t="n">
        <x:v>19.21875</x:v>
      </x:c>
      <x:c r="F39" s="151" t="str">
        <x:v>People's Bank of China (e-CNY)</x:v>
      </x:c>
      <x:c r="G39" s="151" t="str">
        <x:v>C
ons
i
s
t
e
nt
w
i
t
h
t
he
m
a
na
ge
m
e
nt
of
phy
s
i
c
a
l
R
M
B
,
t
he
P
B
O
C
doe
s
not
c
ha
r
g
e
a
ut
hor
i
z
e
d
ope
r
a
t
or
s
f
or
e
x
c
ha
nge
a
nd
c
i
r
c
ul
a
t
i
on
s
e
r
vi
c
e
s
,
a
nd
t
he
ope
r
a
t
or
s
do
not
c
ha
r
g
e
i
ndi
vi
dua
l
c
l
i
e
nt
s
f
or
t
he
e
xc
ha
nge
of
e
-
C
N
Y
e
i
t
he
r
.</x:v>
      </x:c>
      <x:c r="H39" s="151" t="str">
        <x:v>keep</x:v>
      </x:c>
      <x:c r="I39" s="151" t="str">
        <x:v>exclude</x:v>
      </x:c>
      <x:c r="J39" s="151" t="str">
        <x:v>ADOPT.experience</x:v>
      </x:c>
      <x:c r="K39" s="151"/>
      <x:c r="L39" s="151" t="str">
        <x:v>ADOPT</x:v>
      </x:c>
      <x:c r="M39" s="151" t="str"/>
      <x:c r="N39" s="151" t="str">
        <x:v>decision</x:v>
      </x:c>
      <x:c r="O39" s="151"/>
      <x:c r="P39" s="151" t="str">
        <x:v>neutral</x:v>
      </x:c>
      <x:c r="Q39" s="151"/>
      <x:c r="R39" s="151" t="str">
        <x:v>not_applicable</x:v>
      </x:c>
      <x:c r="S39" s="151"/>
      <x:c r="T39" s="151" t="n">
        <x:v>2</x:v>
      </x:c>
      <x:c r="U39" s="151"/>
      <x:c r="V39" s="151"/>
      <x:c r="W39" s="151"/>
      <x:c r="X39" s="146"/>
      <x:c r="Y39" s="146"/>
      <x:c r="Z39" s="146"/>
      <x:c r="AA39" s="146"/>
      <x:c r="AB39" s="146"/>
      <x:c r="AC39" s="146"/>
      <x:c r="AD39" s="146"/>
      <x:c r="AE39" s="146"/>
      <x:c r="AF39" s="154" t="str">
        <x:f>IF(X39="","PENDING",IF(X39="exclude","DONE",IF(COUNTA(Y39:AC39)=5,"DONE","INCOMPLETE")))</x:f>
        <x:v>PENDING</x:v>
      </x:c>
    </x:row>
    <x:row r="40">
      <x:c r="A40" s="151" t="str">
        <x:v>code|odr</x:v>
      </x:c>
      <x:c r="B40" s="151" t="str">
        <x:v>SV-0050</x:v>
      </x:c>
      <x:c r="C40" s="151" t="str">
        <x:v>PC-03820</x:v>
      </x:c>
      <x:c r="D40" s="151" t="str">
        <x:v>en|both</x:v>
      </x:c>
      <x:c r="E40" s="151" t="n">
        <x:v>19.069444444444443</x:v>
      </x:c>
      <x:c r="F40" s="151" t="str">
        <x:v>Bank of Japan</x:v>
      </x:c>
      <x:c r="G40" s="151" t="str">
        <x:v>To prevent a situation where only one transfer succeeds 
and the other fails, the following is implemented:
(1) Only the amount of A’s CBDC and B’s other asset to be 
transferred should be set aside to avoid transfer failures 
due to insufficient balances, etc.
(2)
・ Transfer the reserved portion only if the process in (1) is 
successful for both CBDC and the other asset.
・ If either CBDC or the other asset fails to process in (1), return 
to the original state (release reserved amount).</x:v>
      </x:c>
      <x:c r="H40" s="151" t="str">
        <x:v>keep</x:v>
      </x:c>
      <x:c r="I40" s="151" t="str">
        <x:v>keep</x:v>
      </x:c>
      <x:c r="J40" s="151" t="str">
        <x:v>INTEROP.domestic</x:v>
      </x:c>
      <x:c r="K40" s="151" t="str">
        <x:v>SYS.design</x:v>
      </x:c>
      <x:c r="L40" s="151" t="str">
        <x:v>INTEROP</x:v>
      </x:c>
      <x:c r="M40" s="151" t="str">
        <x:v>SYS</x:v>
      </x:c>
      <x:c r="N40" s="151" t="str">
        <x:v>decision</x:v>
      </x:c>
      <x:c r="O40" s="151" t="str">
        <x:v>finding</x:v>
      </x:c>
      <x:c r="P40" s="151" t="str">
        <x:v>neutral</x:v>
      </x:c>
      <x:c r="Q40" s="151" t="str">
        <x:v>neutral</x:v>
      </x:c>
      <x:c r="R40" s="151" t="str">
        <x:v>not_applicable</x:v>
      </x:c>
      <x:c r="S40" s="151" t="str">
        <x:v>not_applicable</x:v>
      </x:c>
      <x:c r="T40" s="151" t="n">
        <x:v>2</x:v>
      </x:c>
      <x:c r="U40" s="151" t="n">
        <x:v>2</x:v>
      </x:c>
      <x:c r="V40" s="151"/>
      <x:c r="W40" s="151"/>
      <x:c r="X40" s="146"/>
      <x:c r="Y40" s="146"/>
      <x:c r="Z40" s="146"/>
      <x:c r="AA40" s="146"/>
      <x:c r="AB40" s="146"/>
      <x:c r="AC40" s="146"/>
      <x:c r="AD40" s="146"/>
      <x:c r="AE40" s="146"/>
      <x:c r="AF40" s="154" t="str">
        <x:f>IF(X40="","PENDING",IF(X40="exclude","DONE",IF(COUNTA(Y40:AC40)=5,"DONE","INCOMPLETE")))</x:f>
        <x:v>PENDING</x:v>
      </x:c>
    </x:row>
    <x:row r="41">
      <x:c r="A41" s="151" t="str">
        <x:v>odr|strength</x:v>
      </x:c>
      <x:c r="B41" s="151" t="str">
        <x:v>SV-0052</x:v>
      </x:c>
      <x:c r="C41" s="151" t="str">
        <x:v>PC-05864</x:v>
      </x:c>
      <x:c r="D41" s="151" t="str">
        <x:v>en|both</x:v>
      </x:c>
      <x:c r="E41" s="151" t="n">
        <x:v>19.069444444444443</x:v>
      </x:c>
      <x:c r="F41" s="151" t="str">
        <x:v>National Bank of Ukraine (e-hryvnia pilot)</x:v>
      </x:c>
      <x:c r="G41" s="151" t="str">
        <x:v>the e-hryvnia is not a  yield bearing instrument, and 
therefore, it works as a medium of exchange, not as 
a store of value.</x:v>
      </x:c>
      <x:c r="H41" s="151" t="str">
        <x:v>keep</x:v>
      </x:c>
      <x:c r="I41" s="151" t="str">
        <x:v>keep</x:v>
      </x:c>
      <x:c r="J41" s="151" t="str">
        <x:v>PROG.remuneration_no</x:v>
      </x:c>
      <x:c r="K41" s="151" t="str">
        <x:v>PROG.remuneration_no</x:v>
      </x:c>
      <x:c r="L41" s="151" t="str">
        <x:v>PROG</x:v>
      </x:c>
      <x:c r="M41" s="151" t="str">
        <x:v>PROG</x:v>
      </x:c>
      <x:c r="N41" s="151" t="str">
        <x:v>proposal</x:v>
      </x:c>
      <x:c r="O41" s="151" t="str">
        <x:v>decision</x:v>
      </x:c>
      <x:c r="P41" s="151" t="str">
        <x:v>neutral</x:v>
      </x:c>
      <x:c r="Q41" s="151" t="str">
        <x:v>neutral</x:v>
      </x:c>
      <x:c r="R41" s="151" t="str">
        <x:v>not_applicable</x:v>
      </x:c>
      <x:c r="S41" s="151" t="str">
        <x:v>not_applicable</x:v>
      </x:c>
      <x:c r="T41" s="151" t="n">
        <x:v>1</x:v>
      </x:c>
      <x:c r="U41" s="151" t="n">
        <x:v>3</x:v>
      </x:c>
      <x:c r="V41" s="151"/>
      <x:c r="W41" s="151"/>
      <x:c r="X41" s="146"/>
      <x:c r="Y41" s="146"/>
      <x:c r="Z41" s="146"/>
      <x:c r="AA41" s="146"/>
      <x:c r="AB41" s="146"/>
      <x:c r="AC41" s="146"/>
      <x:c r="AD41" s="146"/>
      <x:c r="AE41" s="146"/>
      <x:c r="AF41" s="154" t="str">
        <x:f>IF(X41="","PENDING",IF(X41="exclude","DONE",IF(COUNTA(Y41:AC41)=5,"DONE","INCOMPLETE")))</x:f>
        <x:v>PENDING</x:v>
      </x:c>
    </x:row>
    <x:row r="42">
      <x:c r="A42" s="151" t="str">
        <x:v>inclusion</x:v>
      </x:c>
      <x:c r="B42" s="151" t="str">
        <x:v>SV-0053</x:v>
      </x:c>
      <x:c r="C42" s="151" t="str">
        <x:v>PC-06178</x:v>
      </x:c>
      <x:c r="D42" s="151" t="str">
        <x:v>en|both</x:v>
      </x:c>
      <x:c r="E42" s="151" t="n">
        <x:v>19.069444444444443</x:v>
      </x:c>
      <x:c r="F42" s="151" t="str">
        <x:v>Bank of England and HM Treasury (digital pound)</x:v>
      </x:c>
      <x:c r="G42" s="151" t="str">
        <x:v>The Bank will not pursue central bank-initiated programmable functions. 
This means that the Bank will not program CBDC to restrict its use.</x:v>
      </x:c>
      <x:c r="H42" s="151" t="str">
        <x:v>keep</x:v>
      </x:c>
      <x:c r="I42" s="151" t="str">
        <x:v>exclude</x:v>
      </x:c>
      <x:c r="J42" s="151" t="str">
        <x:v>PROG.generic</x:v>
      </x:c>
      <x:c r="K42" s="151" t="str">
        <x:v>PROG.restriction</x:v>
      </x:c>
      <x:c r="L42" s="151" t="str">
        <x:v>PROG</x:v>
      </x:c>
      <x:c r="M42" s="151" t="str">
        <x:v>PROG</x:v>
      </x:c>
      <x:c r="N42" s="151" t="str">
        <x:v>proposal</x:v>
      </x:c>
      <x:c r="O42" s="151" t="str">
        <x:v>decision</x:v>
      </x:c>
      <x:c r="P42" s="151" t="str">
        <x:v>neutral</x:v>
      </x:c>
      <x:c r="Q42" s="151" t="str">
        <x:v>neutral</x:v>
      </x:c>
      <x:c r="R42" s="151" t="str">
        <x:v>not_applicable</x:v>
      </x:c>
      <x:c r="S42" s="151" t="str">
        <x:v>not_applicable</x:v>
      </x:c>
      <x:c r="T42" s="151" t="n">
        <x:v>2</x:v>
      </x:c>
      <x:c r="U42" s="151" t="n">
        <x:v>3</x:v>
      </x:c>
      <x:c r="V42" s="151"/>
      <x:c r="W42" s="151" t="str">
        <x:v>x</x:v>
      </x:c>
      <x:c r="X42" s="146"/>
      <x:c r="Y42" s="146"/>
      <x:c r="Z42" s="146"/>
      <x:c r="AA42" s="146"/>
      <x:c r="AB42" s="146"/>
      <x:c r="AC42" s="146"/>
      <x:c r="AD42" s="146"/>
      <x:c r="AE42" s="146"/>
      <x:c r="AF42" s="154" t="str">
        <x:f>IF(X42="","PENDING",IF(X42="exclude","DONE",IF(COUNTA(Y42:AC42)=5,"DONE","INCOMPLETE")))</x:f>
        <x:v>PENDING</x:v>
      </x:c>
    </x:row>
    <x:row r="43">
      <x:c r="A43" s="151" t="str">
        <x:v>inclusion</x:v>
      </x:c>
      <x:c r="B43" s="151" t="str">
        <x:v>SV-0054</x:v>
      </x:c>
      <x:c r="C43" s="151" t="str">
        <x:v>PC-02424</x:v>
      </x:c>
      <x:c r="D43" s="151" t="str">
        <x:v>en|claude_only</x:v>
      </x:c>
      <x:c r="E43" s="151" t="n">
        <x:v>19.375</x:v>
      </x:c>
      <x:c r="F43" s="151" t="str">
        <x:v>Bank Indonesia (Digital Rupiah)</x:v>
      </x:c>
      <x:c r="G43" s="151" t="str">
        <x:v>This CP provides an overview of the Digital Rupiah design for the
first stage of its development (immediate stage), namely the wholesale
Digital Rupiah cash ledger which includes the introduction of the
technology and basic functionalities constituting the issuance, redemption,
and transference of funds.</x:v>
      </x:c>
      <x:c r="H43" s="151" t="str">
        <x:v>exclude</x:v>
      </x:c>
      <x:c r="I43" s="151" t="str">
        <x:v>keep</x:v>
      </x:c>
      <x:c r="J43" s="151"/>
      <x:c r="K43" s="151" t="str">
        <x:v>SYS.design</x:v>
      </x:c>
      <x:c r="L43" s="151" t="str"/>
      <x:c r="M43" s="151" t="str">
        <x:v>SYS</x:v>
      </x:c>
      <x:c r="N43" s="151"/>
      <x:c r="O43" s="151" t="str">
        <x:v>decision</x:v>
      </x:c>
      <x:c r="P43" s="151"/>
      <x:c r="Q43" s="151" t="str">
        <x:v>neutral</x:v>
      </x:c>
      <x:c r="R43" s="151"/>
      <x:c r="S43" s="151" t="str">
        <x:v>not_applicable</x:v>
      </x:c>
      <x:c r="T43" s="151"/>
      <x:c r="U43" s="151" t="n">
        <x:v>2</x:v>
      </x:c>
      <x:c r="V43" s="151"/>
      <x:c r="W43" s="151"/>
      <x:c r="X43" s="146"/>
      <x:c r="Y43" s="146"/>
      <x:c r="Z43" s="146"/>
      <x:c r="AA43" s="146"/>
      <x:c r="AB43" s="146"/>
      <x:c r="AC43" s="146"/>
      <x:c r="AD43" s="146"/>
      <x:c r="AE43" s="146"/>
      <x:c r="AF43" s="154" t="str">
        <x:f>IF(X43="","PENDING",IF(X43="exclude","DONE",IF(COUNTA(Y43:AC43)=5,"DONE","INCOMPLETE")))</x:f>
        <x:v>PENDING</x:v>
      </x:c>
    </x:row>
    <x:row r="44">
      <x:c r="A44" s="151" t="str">
        <x:v>inclusion</x:v>
      </x:c>
      <x:c r="B44" s="151" t="str">
        <x:v>SV-0057</x:v>
      </x:c>
      <x:c r="C44" s="151" t="str">
        <x:v>PC-00637</x:v>
      </x:c>
      <x:c r="D44" s="151" t="str">
        <x:v>en|openai_only</x:v>
      </x:c>
      <x:c r="E44" s="151" t="n">
        <x:v>19.21875</x:v>
      </x:c>
      <x:c r="F44" s="151" t="str">
        <x:v>Bank of Canada</x:v>
      </x:c>
      <x:c r="G44" s="151" t="str">
        <x:v>I-CBDC would not be anonymous (as noted above), which would impair its appeal for 
some retail transactions.</x:v>
      </x:c>
      <x:c r="H44" s="151" t="str">
        <x:v>keep</x:v>
      </x:c>
      <x:c r="I44" s="151" t="str">
        <x:v>exclude</x:v>
      </x:c>
      <x:c r="J44" s="151" t="str">
        <x:v>PRIV.ANON</x:v>
      </x:c>
      <x:c r="K44" s="151"/>
      <x:c r="L44" s="151" t="str">
        <x:v>PRIV</x:v>
      </x:c>
      <x:c r="M44" s="151" t="str"/>
      <x:c r="N44" s="151" t="str">
        <x:v>finding</x:v>
      </x:c>
      <x:c r="O44" s="151"/>
      <x:c r="P44" s="151" t="str">
        <x:v>decreases</x:v>
      </x:c>
      <x:c r="Q44" s="151"/>
      <x:c r="R44" s="151" t="str">
        <x:v>from_state</x:v>
      </x:c>
      <x:c r="S44" s="151"/>
      <x:c r="T44" s="151" t="n">
        <x:v>2</x:v>
      </x:c>
      <x:c r="U44" s="151"/>
      <x:c r="V44" s="151"/>
      <x:c r="W44" s="151"/>
      <x:c r="X44" s="146"/>
      <x:c r="Y44" s="146"/>
      <x:c r="Z44" s="146"/>
      <x:c r="AA44" s="146"/>
      <x:c r="AB44" s="146"/>
      <x:c r="AC44" s="146"/>
      <x:c r="AD44" s="146"/>
      <x:c r="AE44" s="146"/>
      <x:c r="AF44" s="154" t="str">
        <x:f>IF(X44="","PENDING",IF(X44="exclude","DONE",IF(COUNTA(Y44:AC44)=5,"DONE","INCOMPLETE")))</x:f>
        <x:v>PENDING</x:v>
      </x:c>
    </x:row>
    <x:row r="45">
      <x:c r="A45" s="151" t="str">
        <x:v>inclusion</x:v>
      </x:c>
      <x:c r="B45" s="151" t="str">
        <x:v>SV-0058</x:v>
      </x:c>
      <x:c r="C45" s="151" t="str">
        <x:v>PC-04445</x:v>
      </x:c>
      <x:c r="D45" s="151" t="str">
        <x:v>en|claude_only</x:v>
      </x:c>
      <x:c r="E45" s="151" t="n">
        <x:v>19.375</x:v>
      </x:c>
      <x:c r="F45" s="151" t="str">
        <x:v>Norges Bank (Norwegian CBDC work)</x:v>
      </x:c>
      <x:c r="G45" s="151" t="str">
        <x:v>Da Norges Bank startet arbeidet med DSP, var hovedmotivasjonen 
sentralbankens formål med å legge til rette for et sikkert og effektivt 
betalingssystem, uten å virke negativt for de andre formålene i 
sentralbankloven.</x:v>
      </x:c>
      <x:c r="H45" s="151" t="str">
        <x:v>exclude</x:v>
      </x:c>
      <x:c r="I45" s="151" t="str">
        <x:v>keep</x:v>
      </x:c>
      <x:c r="J45" s="151"/>
      <x:c r="K45" s="151" t="str">
        <x:v>INST.mandate</x:v>
      </x:c>
      <x:c r="L45" s="151" t="str"/>
      <x:c r="M45" s="151" t="str">
        <x:v>INST</x:v>
      </x:c>
      <x:c r="N45" s="151"/>
      <x:c r="O45" s="151" t="str">
        <x:v>finding</x:v>
      </x:c>
      <x:c r="P45" s="151"/>
      <x:c r="Q45" s="151" t="str">
        <x:v>neutral</x:v>
      </x:c>
      <x:c r="R45" s="151"/>
      <x:c r="S45" s="151" t="str">
        <x:v>not_applicable</x:v>
      </x:c>
      <x:c r="T45" s="151"/>
      <x:c r="U45" s="151" t="n">
        <x:v>2</x:v>
      </x:c>
      <x:c r="V45" s="151"/>
      <x:c r="W45" s="151"/>
      <x:c r="X45" s="146"/>
      <x:c r="Y45" s="146"/>
      <x:c r="Z45" s="146"/>
      <x:c r="AA45" s="146"/>
      <x:c r="AB45" s="146"/>
      <x:c r="AC45" s="146"/>
      <x:c r="AD45" s="146"/>
      <x:c r="AE45" s="146"/>
      <x:c r="AF45" s="154" t="str">
        <x:f>IF(X45="","PENDING",IF(X45="exclude","DONE",IF(COUNTA(Y45:AC45)=5,"DONE","INCOMPLETE")))</x:f>
        <x:v>PENDING</x:v>
      </x:c>
    </x:row>
    <x:row r="46">
      <x:c r="A46" s="151" t="str">
        <x:v>code|odr|privacy_direction|privacy_relation</x:v>
      </x:c>
      <x:c r="B46" s="151" t="str">
        <x:v>SV-0059</x:v>
      </x:c>
      <x:c r="C46" s="151" t="str">
        <x:v>PC-00792</x:v>
      </x:c>
      <x:c r="D46" s="151" t="str">
        <x:v>en|both</x:v>
      </x:c>
      <x:c r="E46" s="151" t="n">
        <x:v>19.069444444444443</x:v>
      </x:c>
      <x:c r="F46" s="151" t="str">
        <x:v>Bank of Canada research on retail CBDC feasibility</x:v>
      </x:c>
      <x:c r="G46" s="151" t="str">
        <x:v>Our assessment of two variants of OpenCBDC 2PC for auditability 
indicates that mechanisms similar to either of them would be feasible functionally to audit the 
supply and detect a discrepancy , i.e., furnish a binary yes/no answer to the question “ Did 
tampering occur?”</x:v>
      </x:c>
      <x:c r="H46" s="151" t="str">
        <x:v>keep</x:v>
      </x:c>
      <x:c r="I46" s="151" t="str">
        <x:v>keep</x:v>
      </x:c>
      <x:c r="J46" s="151" t="str">
        <x:v>PRIV.MIN</x:v>
      </x:c>
      <x:c r="K46" s="151" t="str">
        <x:v>SYS.design</x:v>
      </x:c>
      <x:c r="L46" s="151" t="str">
        <x:v>PRIV</x:v>
      </x:c>
      <x:c r="M46" s="151" t="str">
        <x:v>SYS</x:v>
      </x:c>
      <x:c r="N46" s="151" t="str">
        <x:v>proposal</x:v>
      </x:c>
      <x:c r="O46" s="151" t="str">
        <x:v>finding</x:v>
      </x:c>
      <x:c r="P46" s="151" t="str">
        <x:v>increases</x:v>
      </x:c>
      <x:c r="Q46" s="151" t="str">
        <x:v>neutral</x:v>
      </x:c>
      <x:c r="R46" s="151" t="str">
        <x:v>from_state</x:v>
      </x:c>
      <x:c r="S46" s="151" t="str">
        <x:v>not_applicable</x:v>
      </x:c>
      <x:c r="T46" s="151" t="n">
        <x:v>2</x:v>
      </x:c>
      <x:c r="U46" s="151" t="n">
        <x:v>2</x:v>
      </x:c>
      <x:c r="V46" s="151"/>
      <x:c r="W46" s="151"/>
      <x:c r="X46" s="146"/>
      <x:c r="Y46" s="146"/>
      <x:c r="Z46" s="146"/>
      <x:c r="AA46" s="146"/>
      <x:c r="AB46" s="146"/>
      <x:c r="AC46" s="146"/>
      <x:c r="AD46" s="146"/>
      <x:c r="AE46" s="146"/>
      <x:c r="AF46" s="154" t="str">
        <x:f>IF(X46="","PENDING",IF(X46="exclude","DONE",IF(COUNTA(Y46:AC46)=5,"DONE","INCOMPLETE")))</x:f>
        <x:v>PENDING</x:v>
      </x:c>
    </x:row>
    <x:row r="47">
      <x:c r="A47" s="151" t="str">
        <x:v>inclusion</x:v>
      </x:c>
      <x:c r="B47" s="151" t="str">
        <x:v>SV-0060</x:v>
      </x:c>
      <x:c r="C47" s="151" t="str">
        <x:v>PC-05581</x:v>
      </x:c>
      <x:c r="D47" s="151" t="str">
        <x:v>en|both</x:v>
      </x:c>
      <x:c r="E47" s="151" t="n">
        <x:v>19.069444444444443</x:v>
      </x:c>
      <x:c r="F47" s="151" t="str">
        <x:v>Bank of Thailand (retail CBDC pilot)</x:v>
      </x:c>
      <x:c r="G47" s="151" t="str">
        <x:v>Retail CBDC Pilot Program
Real-value CBDC pilot testing with 
retail users and merchants, as well 
as exploration for feasibility of 
innovative use cases</x:v>
      </x:c>
      <x:c r="H47" s="151" t="str">
        <x:v>exclude</x:v>
      </x:c>
      <x:c r="I47" s="151" t="str">
        <x:v>keep</x:v>
      </x:c>
      <x:c r="J47" s="151"/>
      <x:c r="K47" s="151" t="str">
        <x:v>SYS.design</x:v>
      </x:c>
      <x:c r="L47" s="151" t="str"/>
      <x:c r="M47" s="151" t="str">
        <x:v>SYS</x:v>
      </x:c>
      <x:c r="N47" s="151"/>
      <x:c r="O47" s="151" t="str">
        <x:v>decision</x:v>
      </x:c>
      <x:c r="P47" s="151"/>
      <x:c r="Q47" s="151" t="str">
        <x:v>neutral</x:v>
      </x:c>
      <x:c r="R47" s="151"/>
      <x:c r="S47" s="151" t="str">
        <x:v>not_applicable</x:v>
      </x:c>
      <x:c r="T47" s="151"/>
      <x:c r="U47" s="151" t="n">
        <x:v>2</x:v>
      </x:c>
      <x:c r="V47" s="151"/>
      <x:c r="W47" s="151"/>
      <x:c r="X47" s="146"/>
      <x:c r="Y47" s="146"/>
      <x:c r="Z47" s="146"/>
      <x:c r="AA47" s="146"/>
      <x:c r="AB47" s="146"/>
      <x:c r="AC47" s="146"/>
      <x:c r="AD47" s="146"/>
      <x:c r="AE47" s="146"/>
      <x:c r="AF47" s="154" t="str">
        <x:f>IF(X47="","PENDING",IF(X47="exclude","DONE",IF(COUNTA(Y47:AC47)=5,"DONE","INCOMPLETE")))</x:f>
        <x:v>PENDING</x:v>
      </x:c>
    </x:row>
    <x:row r="48">
      <x:c r="A48" s="151" t="str">
        <x:v>code|strength</x:v>
      </x:c>
      <x:c r="B48" s="151" t="str">
        <x:v>SV-0062</x:v>
      </x:c>
      <x:c r="C48" s="151" t="str">
        <x:v>PC-02059</x:v>
      </x:c>
      <x:c r="D48" s="151" t="str">
        <x:v>en|both</x:v>
      </x:c>
      <x:c r="E48" s="151" t="n">
        <x:v>19.069444444444443</x:v>
      </x:c>
      <x:c r="F48" s="151" t="str">
        <x:v>Hong Kong Monetary Authority (e-HKD Phase 2 pilots)</x:v>
      </x:c>
      <x:c r="G48" s="151" t="str">
        <x:v>It was found that ZKPs improved privacy 
with similar settlement times but significantly 
increased gas fees37, making them up to 320 
times more expensive than transactions which 
do not use any PETs, due to their computational 
intensity.</x:v>
      </x:c>
      <x:c r="H48" s="151" t="str">
        <x:v>keep</x:v>
      </x:c>
      <x:c r="I48" s="151" t="str">
        <x:v>keep</x:v>
      </x:c>
      <x:c r="J48" s="151" t="str">
        <x:v>PRIV.BAL</x:v>
      </x:c>
      <x:c r="K48" s="151" t="str">
        <x:v>SYS.design</x:v>
      </x:c>
      <x:c r="L48" s="151" t="str">
        <x:v>PRIV</x:v>
      </x:c>
      <x:c r="M48" s="151" t="str">
        <x:v>SYS</x:v>
      </x:c>
      <x:c r="N48" s="151" t="str">
        <x:v>finding</x:v>
      </x:c>
      <x:c r="O48" s="151" t="str">
        <x:v>finding</x:v>
      </x:c>
      <x:c r="P48" s="151" t="str">
        <x:v>neutral</x:v>
      </x:c>
      <x:c r="Q48" s="151" t="str">
        <x:v>neutral</x:v>
      </x:c>
      <x:c r="R48" s="151" t="str">
        <x:v>not_applicable</x:v>
      </x:c>
      <x:c r="S48" s="151" t="str">
        <x:v>not_applicable</x:v>
      </x:c>
      <x:c r="T48" s="151" t="n">
        <x:v>3</x:v>
      </x:c>
      <x:c r="U48" s="151" t="n">
        <x:v>1</x:v>
      </x:c>
      <x:c r="V48" s="151"/>
      <x:c r="W48" s="151"/>
      <x:c r="X48" s="146"/>
      <x:c r="Y48" s="146"/>
      <x:c r="Z48" s="146"/>
      <x:c r="AA48" s="146"/>
      <x:c r="AB48" s="146"/>
      <x:c r="AC48" s="146"/>
      <x:c r="AD48" s="146"/>
      <x:c r="AE48" s="146"/>
      <x:c r="AF48" s="154" t="str">
        <x:f>IF(X48="","PENDING",IF(X48="exclude","DONE",IF(COUNTA(Y48:AC48)=5,"DONE","INCOMPLETE")))</x:f>
        <x:v>PENDING</x:v>
      </x:c>
    </x:row>
    <x:row r="49">
      <x:c r="A49" s="151" t="str">
        <x:v>inclusion</x:v>
      </x:c>
      <x:c r="B49" s="151" t="str">
        <x:v>SV-0063</x:v>
      </x:c>
      <x:c r="C49" s="151" t="str">
        <x:v>PC-00719</x:v>
      </x:c>
      <x:c r="D49" s="151" t="str">
        <x:v>en|openai_only</x:v>
      </x:c>
      <x:c r="E49" s="151" t="n">
        <x:v>19.21875</x:v>
      </x:c>
      <x:c r="F49" s="151" t="str">
        <x:v>Bank of Canada research on retail CBDC feasibility</x:v>
      </x:c>
      <x:c r="G49" s="151" t="str">
        <x:v>Hence, a type-U receiver must be present to receive 
payment.</x:v>
      </x:c>
      <x:c r="H49" s="151" t="str">
        <x:v>keep</x:v>
      </x:c>
      <x:c r="I49" s="151" t="str">
        <x:v>exclude</x:v>
      </x:c>
      <x:c r="J49" s="151" t="str">
        <x:v>SYS.design</x:v>
      </x:c>
      <x:c r="K49" s="151"/>
      <x:c r="L49" s="151" t="str">
        <x:v>SYS</x:v>
      </x:c>
      <x:c r="M49" s="151" t="str"/>
      <x:c r="N49" s="151" t="str">
        <x:v>finding</x:v>
      </x:c>
      <x:c r="O49" s="151"/>
      <x:c r="P49" s="151" t="str">
        <x:v>neutral</x:v>
      </x:c>
      <x:c r="Q49" s="151"/>
      <x:c r="R49" s="151" t="str">
        <x:v>not_applicable</x:v>
      </x:c>
      <x:c r="S49" s="151"/>
      <x:c r="T49" s="151" t="n">
        <x:v>2</x:v>
      </x:c>
      <x:c r="U49" s="151"/>
      <x:c r="V49" s="151"/>
      <x:c r="W49" s="151"/>
      <x:c r="X49" s="146"/>
      <x:c r="Y49" s="146"/>
      <x:c r="Z49" s="146"/>
      <x:c r="AA49" s="146"/>
      <x:c r="AB49" s="146"/>
      <x:c r="AC49" s="146"/>
      <x:c r="AD49" s="146"/>
      <x:c r="AE49" s="146"/>
      <x:c r="AF49" s="154" t="str">
        <x:f>IF(X49="","PENDING",IF(X49="exclude","DONE",IF(COUNTA(Y49:AC49)=5,"DONE","INCOMPLETE")))</x:f>
        <x:v>PENDING</x:v>
      </x:c>
    </x:row>
    <x:row r="50">
      <x:c r="A50" s="151" t="str">
        <x:v>code</x:v>
      </x:c>
      <x:c r="B50" s="151" t="str">
        <x:v>SV-0064</x:v>
      </x:c>
      <x:c r="C50" s="151" t="str">
        <x:v>PC-06791</x:v>
      </x:c>
      <x:c r="D50" s="151" t="str">
        <x:v>en|both</x:v>
      </x:c>
      <x:c r="E50" s="151" t="n">
        <x:v>19.069444444444443</x:v>
      </x:c>
      <x:c r="F50" s="151" t="str">
        <x:v>South African Reserve Bank</x:v>
      </x:c>
      <x:c r="G50" s="151" t="str">
        <x:v>Additionally, the 
wToken was redeemable for wCBDC, which 
increased participants’ options and further 
reduced (liquidity) risk.</x:v>
      </x:c>
      <x:c r="H50" s="151" t="str">
        <x:v>keep</x:v>
      </x:c>
      <x:c r="I50" s="151" t="str">
        <x:v>keep</x:v>
      </x:c>
      <x:c r="J50" s="151" t="str">
        <x:v>INTEROP.domestic</x:v>
      </x:c>
      <x:c r="K50" s="151" t="str">
        <x:v>SYS.design</x:v>
      </x:c>
      <x:c r="L50" s="151" t="str">
        <x:v>INTEROP</x:v>
      </x:c>
      <x:c r="M50" s="151" t="str">
        <x:v>SYS</x:v>
      </x:c>
      <x:c r="N50" s="151" t="str">
        <x:v>finding</x:v>
      </x:c>
      <x:c r="O50" s="151" t="str">
        <x:v>finding</x:v>
      </x:c>
      <x:c r="P50" s="151" t="str">
        <x:v>neutral</x:v>
      </x:c>
      <x:c r="Q50" s="151" t="str">
        <x:v>neutral</x:v>
      </x:c>
      <x:c r="R50" s="151" t="str">
        <x:v>not_applicable</x:v>
      </x:c>
      <x:c r="S50" s="151" t="str">
        <x:v>not_applicable</x:v>
      </x:c>
      <x:c r="T50" s="151" t="n">
        <x:v>2</x:v>
      </x:c>
      <x:c r="U50" s="151" t="n">
        <x:v>2</x:v>
      </x:c>
      <x:c r="V50" s="151"/>
      <x:c r="W50" s="151"/>
      <x:c r="X50" s="146"/>
      <x:c r="Y50" s="146"/>
      <x:c r="Z50" s="146"/>
      <x:c r="AA50" s="146"/>
      <x:c r="AB50" s="146"/>
      <x:c r="AC50" s="146"/>
      <x:c r="AD50" s="146"/>
      <x:c r="AE50" s="146"/>
      <x:c r="AF50" s="154" t="str">
        <x:f>IF(X50="","PENDING",IF(X50="exclude","DONE",IF(COUNTA(Y50:AC50)=5,"DONE","INCOMPLETE")))</x:f>
        <x:v>PENDING</x:v>
      </x:c>
    </x:row>
    <x:row r="51">
      <x:c r="A51" s="151" t="str">
        <x:v>odr</x:v>
      </x:c>
      <x:c r="B51" s="151" t="str">
        <x:v>SV-0065</x:v>
      </x:c>
      <x:c r="C51" s="151" t="str">
        <x:v>PC-05464</x:v>
      </x:c>
      <x:c r="D51" s="151" t="str">
        <x:v>en|both</x:v>
      </x:c>
      <x:c r="E51" s="151" t="n">
        <x:v>19.069444444444443</x:v>
      </x:c>
      <x:c r="F51" s="151" t="str">
        <x:v>Central Bank of Eswatini (Digital Lilangeni)</x:v>
      </x:c>
      <x:c r="G51" s="151" t="str">
        <x:v>Only if universal access to digital central bank money is ensured 
would it be seen as a true complement to cash and be accepted as such.</x:v>
      </x:c>
      <x:c r="H51" s="151" t="str">
        <x:v>keep</x:v>
      </x:c>
      <x:c r="I51" s="151" t="str">
        <x:v>keep</x:v>
      </x:c>
      <x:c r="J51" s="151" t="str">
        <x:v>CASH.relation</x:v>
      </x:c>
      <x:c r="K51" s="151" t="str">
        <x:v>CASH.relation</x:v>
      </x:c>
      <x:c r="L51" s="151" t="str">
        <x:v>CASH</x:v>
      </x:c>
      <x:c r="M51" s="151" t="str">
        <x:v>CASH</x:v>
      </x:c>
      <x:c r="N51" s="151" t="str">
        <x:v>proposal</x:v>
      </x:c>
      <x:c r="O51" s="151" t="str">
        <x:v>decision</x:v>
      </x:c>
      <x:c r="P51" s="151" t="str">
        <x:v>neutral</x:v>
      </x:c>
      <x:c r="Q51" s="151" t="str">
        <x:v>neutral</x:v>
      </x:c>
      <x:c r="R51" s="151" t="str">
        <x:v>not_applicable</x:v>
      </x:c>
      <x:c r="S51" s="151" t="str">
        <x:v>not_applicable</x:v>
      </x:c>
      <x:c r="T51" s="151" t="n">
        <x:v>2</x:v>
      </x:c>
      <x:c r="U51" s="151" t="n">
        <x:v>2</x:v>
      </x:c>
      <x:c r="V51" s="151"/>
      <x:c r="W51" s="151"/>
      <x:c r="X51" s="146"/>
      <x:c r="Y51" s="146"/>
      <x:c r="Z51" s="146"/>
      <x:c r="AA51" s="146"/>
      <x:c r="AB51" s="146"/>
      <x:c r="AC51" s="146"/>
      <x:c r="AD51" s="146"/>
      <x:c r="AE51" s="146"/>
      <x:c r="AF51" s="154" t="str">
        <x:f>IF(X51="","PENDING",IF(X51="exclude","DONE",IF(COUNTA(Y51:AC51)=5,"DONE","INCOMPLETE")))</x:f>
        <x:v>PENDING</x:v>
      </x:c>
    </x:row>
    <x:row r="52">
      <x:c r="A52" s="151" t="str">
        <x:v>inclusion</x:v>
      </x:c>
      <x:c r="B52" s="151" t="str">
        <x:v>SV-0066</x:v>
      </x:c>
      <x:c r="C52" s="151" t="str">
        <x:v>PC-06434</x:v>
      </x:c>
      <x:c r="D52" s="151" t="str">
        <x:v>en|claude_only</x:v>
      </x:c>
      <x:c r="E52" s="151" t="n">
        <x:v>19.375</x:v>
      </x:c>
      <x:c r="F52" s="151" t="str">
        <x:v>Maldives Monetary Authority / Maldives CBDC policy study</x:v>
      </x:c>
      <x:c r="G52" s="151" t="str">
        <x:v>3. Reduction in costs (cash supply, cash handling, transaction costs etc) 
by identifying functions that would create public benefits from 
reduction in the use of cash.</x:v>
      </x:c>
      <x:c r="H52" s="151" t="str">
        <x:v>exclude</x:v>
      </x:c>
      <x:c r="I52" s="151" t="str">
        <x:v>keep</x:v>
      </x:c>
      <x:c r="J52" s="151"/>
      <x:c r="K52" s="151" t="str">
        <x:v>CASH.relation</x:v>
      </x:c>
      <x:c r="L52" s="151" t="str"/>
      <x:c r="M52" s="151" t="str">
        <x:v>CASH</x:v>
      </x:c>
      <x:c r="N52" s="151"/>
      <x:c r="O52" s="151" t="str">
        <x:v>proposal</x:v>
      </x:c>
      <x:c r="P52" s="151"/>
      <x:c r="Q52" s="151" t="str">
        <x:v>neutral</x:v>
      </x:c>
      <x:c r="R52" s="151"/>
      <x:c r="S52" s="151" t="str">
        <x:v>not_applicable</x:v>
      </x:c>
      <x:c r="T52" s="151"/>
      <x:c r="U52" s="151" t="n">
        <x:v>2</x:v>
      </x:c>
      <x:c r="V52" s="151"/>
      <x:c r="W52" s="151"/>
      <x:c r="X52" s="146"/>
      <x:c r="Y52" s="146"/>
      <x:c r="Z52" s="146"/>
      <x:c r="AA52" s="146"/>
      <x:c r="AB52" s="146"/>
      <x:c r="AC52" s="146"/>
      <x:c r="AD52" s="146"/>
      <x:c r="AE52" s="146"/>
      <x:c r="AF52" s="154" t="str">
        <x:f>IF(X52="","PENDING",IF(X52="exclude","DONE",IF(COUNTA(Y52:AC52)=5,"DONE","INCOMPLETE")))</x:f>
        <x:v>PENDING</x:v>
      </x:c>
    </x:row>
    <x:row r="53">
      <x:c r="A53" s="151" t="str">
        <x:v>inclusion</x:v>
      </x:c>
      <x:c r="B53" s="151" t="str">
        <x:v>SV-0067</x:v>
      </x:c>
      <x:c r="C53" s="151" t="str">
        <x:v>PC-01564</x:v>
      </x:c>
      <x:c r="D53" s="151" t="str">
        <x:v>fr|openai_only</x:v>
      </x:c>
      <x:c r="E53" s="151" t="n">
        <x:v>1</x:v>
      </x:c>
      <x:c r="F53" s="151" t="str">
        <x:v>Banque de France (wholesale CBDC programme)</x:v>
      </x:c>
      <x:c r="G53" s="151" t="str">
        <x:v>They 
also confirmed that central banks can retain 
control of the CBDC over these different 
types of DLTs, in particular by exploiting 
the programmability features of central bank 
money provided by this technology.</x:v>
      </x:c>
      <x:c r="H53" s="151" t="str">
        <x:v>keep</x:v>
      </x:c>
      <x:c r="I53" s="151" t="str">
        <x:v>exclude</x:v>
      </x:c>
      <x:c r="J53" s="151" t="str">
        <x:v>PROG.generic</x:v>
      </x:c>
      <x:c r="K53" s="151"/>
      <x:c r="L53" s="151" t="str">
        <x:v>PROG</x:v>
      </x:c>
      <x:c r="M53" s="151" t="str"/>
      <x:c r="N53" s="151" t="str">
        <x:v>finding</x:v>
      </x:c>
      <x:c r="O53" s="151"/>
      <x:c r="P53" s="151" t="str">
        <x:v>neutral</x:v>
      </x:c>
      <x:c r="Q53" s="151"/>
      <x:c r="R53" s="151" t="str">
        <x:v>not_applicable</x:v>
      </x:c>
      <x:c r="S53" s="151"/>
      <x:c r="T53" s="151" t="n">
        <x:v>2</x:v>
      </x:c>
      <x:c r="U53" s="151"/>
      <x:c r="V53" s="151"/>
      <x:c r="W53" s="151"/>
      <x:c r="X53" s="146"/>
      <x:c r="Y53" s="146"/>
      <x:c r="Z53" s="146"/>
      <x:c r="AA53" s="146"/>
      <x:c r="AB53" s="146"/>
      <x:c r="AC53" s="146"/>
      <x:c r="AD53" s="146"/>
      <x:c r="AE53" s="146"/>
      <x:c r="AF53" s="154" t="str">
        <x:f>IF(X53="","PENDING",IF(X53="exclude","DONE",IF(COUNTA(Y53:AC53)=5,"DONE","INCOMPLETE")))</x:f>
        <x:v>PENDING</x:v>
      </x:c>
    </x:row>
    <x:row r="54">
      <x:c r="A54" s="151" t="str">
        <x:v>inclusion</x:v>
      </x:c>
      <x:c r="B54" s="151" t="str">
        <x:v>SV-0068</x:v>
      </x:c>
      <x:c r="C54" s="151" t="str">
        <x:v>PC-03487</x:v>
      </x:c>
      <x:c r="D54" s="151" t="str">
        <x:v>en|openai_only</x:v>
      </x:c>
      <x:c r="E54" s="151" t="n">
        <x:v>19.21875</x:v>
      </x:c>
      <x:c r="F54" s="151" t="str">
        <x:v>Banca d'Italia research context</x:v>
      </x:c>
      <x:c r="G54" s="151" t="str">
        <x:v>should the D€ be made 
available for cross-border and cross-currency operations, one should keep in 
mind that this could affect financial stability in various ways, which would 
need to be properly investigated in order to prevent undesired spillovers and 
additional international linkages.</x:v>
      </x:c>
      <x:c r="H54" s="151" t="str">
        <x:v>keep</x:v>
      </x:c>
      <x:c r="I54" s="151" t="str">
        <x:v>exclude</x:v>
      </x:c>
      <x:c r="J54" s="151" t="str">
        <x:v>INTEROP.crossborder</x:v>
      </x:c>
      <x:c r="K54" s="151"/>
      <x:c r="L54" s="151" t="str">
        <x:v>INTEROP</x:v>
      </x:c>
      <x:c r="M54" s="151" t="str"/>
      <x:c r="N54" s="151" t="str">
        <x:v>proposal</x:v>
      </x:c>
      <x:c r="O54" s="151"/>
      <x:c r="P54" s="151" t="str">
        <x:v>neutral</x:v>
      </x:c>
      <x:c r="Q54" s="151"/>
      <x:c r="R54" s="151" t="str">
        <x:v>not_applicable</x:v>
      </x:c>
      <x:c r="S54" s="151"/>
      <x:c r="T54" s="151" t="n">
        <x:v>2</x:v>
      </x:c>
      <x:c r="U54" s="151"/>
      <x:c r="V54" s="151"/>
      <x:c r="W54" s="151"/>
      <x:c r="X54" s="146"/>
      <x:c r="Y54" s="146"/>
      <x:c r="Z54" s="146"/>
      <x:c r="AA54" s="146"/>
      <x:c r="AB54" s="146"/>
      <x:c r="AC54" s="146"/>
      <x:c r="AD54" s="146"/>
      <x:c r="AE54" s="146"/>
      <x:c r="AF54" s="154" t="str">
        <x:f>IF(X54="","PENDING",IF(X54="exclude","DONE",IF(COUNTA(Y54:AC54)=5,"DONE","INCOMPLETE")))</x:f>
        <x:v>PENDING</x:v>
      </x:c>
    </x:row>
    <x:row r="55">
      <x:c r="A55" s="151" t="str">
        <x:v>code|odr</x:v>
      </x:c>
      <x:c r="B55" s="151" t="str">
        <x:v>SV-0069</x:v>
      </x:c>
      <x:c r="C55" s="151" t="str">
        <x:v>PC-02597</x:v>
      </x:c>
      <x:c r="D55" s="151" t="str">
        <x:v>en|both</x:v>
      </x:c>
      <x:c r="E55" s="151" t="n">
        <x:v>19.069444444444443</x:v>
      </x:c>
      <x:c r="F55" s="151" t="str">
        <x:v>Bank Indonesia (Digital Rupiah)</x:v>
      </x:c>
      <x:c r="G55" s="151" t="str">
        <x:v>In R3 Corda, which utilizes the Unspent Transaction 
Output (UTXO) model, the creation process involves 
a transaction that produces the Rupiah Digital 
token. This transaction is executed by invoking the 
issuance flow on the Rupiah Digital CorDapps.</x:v>
      </x:c>
      <x:c r="H55" s="151" t="str">
        <x:v>keep</x:v>
      </x:c>
      <x:c r="I55" s="151" t="str">
        <x:v>keep</x:v>
      </x:c>
      <x:c r="J55" s="151" t="str">
        <x:v>SYS.design</x:v>
      </x:c>
      <x:c r="K55" s="151" t="str">
        <x:v>TECH.TOKEN.considered</x:v>
      </x:c>
      <x:c r="L55" s="151" t="str">
        <x:v>SYS</x:v>
      </x:c>
      <x:c r="M55" s="151" t="str">
        <x:v>TECH</x:v>
      </x:c>
      <x:c r="N55" s="151" t="str">
        <x:v>decision</x:v>
      </x:c>
      <x:c r="O55" s="151" t="str">
        <x:v>finding</x:v>
      </x:c>
      <x:c r="P55" s="151" t="str">
        <x:v>neutral</x:v>
      </x:c>
      <x:c r="Q55" s="151" t="str">
        <x:v>neutral</x:v>
      </x:c>
      <x:c r="R55" s="151" t="str">
        <x:v>not_applicable</x:v>
      </x:c>
      <x:c r="S55" s="151" t="str">
        <x:v>not_applicable</x:v>
      </x:c>
      <x:c r="T55" s="151" t="n">
        <x:v>2</x:v>
      </x:c>
      <x:c r="U55" s="151" t="n">
        <x:v>2</x:v>
      </x:c>
      <x:c r="V55" s="151"/>
      <x:c r="W55" s="151"/>
      <x:c r="X55" s="146"/>
      <x:c r="Y55" s="146"/>
      <x:c r="Z55" s="146"/>
      <x:c r="AA55" s="146"/>
      <x:c r="AB55" s="146"/>
      <x:c r="AC55" s="146"/>
      <x:c r="AD55" s="146"/>
      <x:c r="AE55" s="146"/>
      <x:c r="AF55" s="154" t="str">
        <x:f>IF(X55="","PENDING",IF(X55="exclude","DONE",IF(COUNTA(Y55:AC55)=5,"DONE","INCOMPLETE")))</x:f>
        <x:v>PENDING</x:v>
      </x:c>
    </x:row>
    <x:row r="56">
      <x:c r="A56" s="151" t="str">
        <x:v>odr|privacy_relation</x:v>
      </x:c>
      <x:c r="B56" s="151" t="str">
        <x:v>SV-0070</x:v>
      </x:c>
      <x:c r="C56" s="151" t="str">
        <x:v>PC-03967</x:v>
      </x:c>
      <x:c r="D56" s="151" t="str">
        <x:v>en|both</x:v>
      </x:c>
      <x:c r="E56" s="151" t="n">
        <x:v>19.069444444444443</x:v>
      </x:c>
      <x:c r="F56" s="151" t="str">
        <x:v>Monetary Authority of Macao (e-MOP)</x:v>
      </x:c>
      <x:c r="G56" s="151" t="str">
        <x:v>it is necessary for both the AMCM and 
designated authorised operators to establish personal information 
protection regimes and internal control management mechanisms 
that comply with the legal requirements.</x:v>
      </x:c>
      <x:c r="H56" s="151" t="str">
        <x:v>keep</x:v>
      </x:c>
      <x:c r="I56" s="151" t="str">
        <x:v>keep</x:v>
      </x:c>
      <x:c r="J56" s="151" t="str">
        <x:v>PRIV.MIN</x:v>
      </x:c>
      <x:c r="K56" s="151" t="str">
        <x:v>PRIV.MIN</x:v>
      </x:c>
      <x:c r="L56" s="151" t="str">
        <x:v>PRIV</x:v>
      </x:c>
      <x:c r="M56" s="151" t="str">
        <x:v>PRIV</x:v>
      </x:c>
      <x:c r="N56" s="151" t="str">
        <x:v>proposal</x:v>
      </x:c>
      <x:c r="O56" s="151" t="str">
        <x:v>decision</x:v>
      </x:c>
      <x:c r="P56" s="151" t="str">
        <x:v>increases</x:v>
      </x:c>
      <x:c r="Q56" s="151" t="str">
        <x:v>increases</x:v>
      </x:c>
      <x:c r="R56" s="151" t="str">
        <x:v>from_intermediary</x:v>
      </x:c>
      <x:c r="S56" s="151" t="str">
        <x:v>from_state</x:v>
      </x:c>
      <x:c r="T56" s="151" t="n">
        <x:v>2</x:v>
      </x:c>
      <x:c r="U56" s="151" t="n">
        <x:v>2</x:v>
      </x:c>
      <x:c r="V56" s="151"/>
      <x:c r="W56" s="151"/>
      <x:c r="X56" s="146"/>
      <x:c r="Y56" s="146"/>
      <x:c r="Z56" s="146"/>
      <x:c r="AA56" s="146"/>
      <x:c r="AB56" s="146"/>
      <x:c r="AC56" s="146"/>
      <x:c r="AD56" s="146"/>
      <x:c r="AE56" s="146"/>
      <x:c r="AF56" s="154" t="str">
        <x:f>IF(X56="","PENDING",IF(X56="exclude","DONE",IF(COUNTA(Y56:AC56)=5,"DONE","INCOMPLETE")))</x:f>
        <x:v>PENDING</x:v>
      </x:c>
    </x:row>
    <x:row r="57">
      <x:c r="A57" s="151" t="str">
        <x:v>code|odr|strength</x:v>
      </x:c>
      <x:c r="B57" s="151" t="str">
        <x:v>SV-0071</x:v>
      </x:c>
      <x:c r="C57" s="151" t="str">
        <x:v>PC-02579</x:v>
      </x:c>
      <x:c r="D57" s="151" t="str">
        <x:v>en|claude_only</x:v>
      </x:c>
      <x:c r="E57" s="151" t="n">
        <x:v>19.375</x:v>
      </x:c>
      <x:c r="F57" s="151" t="str">
        <x:v>Bank Indonesia (Digital Rupiah)</x:v>
      </x:c>
      <x:c r="G57" s="151" t="str">
        <x:v>R3 Corda’s Token SDK supports the 
issuance and management of digital tokens, 
while Kaleido Hyperledger Besu uses the ERC20 
standard for the Rupiah Digital token base and 
ERC1400 for digital securities tokens.</x:v>
      </x:c>
      <x:c r="H57" s="151" t="str">
        <x:v>keep</x:v>
      </x:c>
      <x:c r="I57" s="151" t="str">
        <x:v>keep</x:v>
      </x:c>
      <x:c r="J57" s="151" t="str">
        <x:v>TECH.TOKEN.considered</x:v>
      </x:c>
      <x:c r="K57" s="151" t="str">
        <x:v>TECH.TOKEN.decided_yes</x:v>
      </x:c>
      <x:c r="L57" s="151" t="str">
        <x:v>TECH</x:v>
      </x:c>
      <x:c r="M57" s="151" t="str">
        <x:v>TECH</x:v>
      </x:c>
      <x:c r="N57" s="151" t="str">
        <x:v>proposal</x:v>
      </x:c>
      <x:c r="O57" s="151" t="str">
        <x:v>decision</x:v>
      </x:c>
      <x:c r="P57" s="151" t="str">
        <x:v>neutral</x:v>
      </x:c>
      <x:c r="Q57" s="151" t="str">
        <x:v>neutral</x:v>
      </x:c>
      <x:c r="R57" s="151" t="str">
        <x:v>not_applicable</x:v>
      </x:c>
      <x:c r="S57" s="151" t="str">
        <x:v>not_applicable</x:v>
      </x:c>
      <x:c r="T57" s="151" t="n">
        <x:v>3</x:v>
      </x:c>
      <x:c r="U57" s="151" t="n">
        <x:v>2</x:v>
      </x:c>
      <x:c r="V57" s="151"/>
      <x:c r="W57" s="151"/>
      <x:c r="X57" s="146"/>
      <x:c r="Y57" s="146"/>
      <x:c r="Z57" s="146"/>
      <x:c r="AA57" s="146"/>
      <x:c r="AB57" s="146"/>
      <x:c r="AC57" s="146"/>
      <x:c r="AD57" s="146"/>
      <x:c r="AE57" s="146"/>
      <x:c r="AF57" s="154" t="str">
        <x:f>IF(X57="","PENDING",IF(X57="exclude","DONE",IF(COUNTA(Y57:AC57)=5,"DONE","INCOMPLETE")))</x:f>
        <x:v>PENDING</x:v>
      </x:c>
    </x:row>
    <x:row r="58">
      <x:c r="A58" s="151" t="str">
        <x:v>inclusion</x:v>
      </x:c>
      <x:c r="B58" s="151" t="str">
        <x:v>SV-0074</x:v>
      </x:c>
      <x:c r="C58" s="151" t="str">
        <x:v>PC-00516</x:v>
      </x:c>
      <x:c r="D58" s="151" t="str">
        <x:v>en|both</x:v>
      </x:c>
      <x:c r="E58" s="151" t="n">
        <x:v>19.069444444444443</x:v>
      </x:c>
      <x:c r="F58" s="151" t="str">
        <x:v>Banco Central do Brasil (Drex / Digital Real)</x:v>
      </x:c>
      <x:c r="G58" s="151" t="str">
        <x:v>Technological and business directives
✓ To be defined exclusively by the BCB</x:v>
      </x:c>
      <x:c r="H58" s="151" t="str">
        <x:v>keep</x:v>
      </x:c>
      <x:c r="I58" s="151" t="str">
        <x:v>exclude</x:v>
      </x:c>
      <x:c r="J58" s="151" t="str">
        <x:v>INST.mandate</x:v>
      </x:c>
      <x:c r="K58" s="151" t="str">
        <x:v>SYS.design</x:v>
      </x:c>
      <x:c r="L58" s="151" t="str">
        <x:v>INST</x:v>
      </x:c>
      <x:c r="M58" s="151" t="str">
        <x:v>SYS</x:v>
      </x:c>
      <x:c r="N58" s="151" t="str">
        <x:v>decision</x:v>
      </x:c>
      <x:c r="O58" s="151" t="str">
        <x:v>decision</x:v>
      </x:c>
      <x:c r="P58" s="151" t="str">
        <x:v>neutral</x:v>
      </x:c>
      <x:c r="Q58" s="151" t="str">
        <x:v>neutral</x:v>
      </x:c>
      <x:c r="R58" s="151" t="str">
        <x:v>not_applicable</x:v>
      </x:c>
      <x:c r="S58" s="151" t="str">
        <x:v>not_applicable</x:v>
      </x:c>
      <x:c r="T58" s="151" t="n">
        <x:v>2</x:v>
      </x:c>
      <x:c r="U58" s="151" t="n">
        <x:v>2</x:v>
      </x:c>
      <x:c r="V58" s="151"/>
      <x:c r="W58" s="151" t="str">
        <x:v>x</x:v>
      </x:c>
      <x:c r="X58" s="146"/>
      <x:c r="Y58" s="146"/>
      <x:c r="Z58" s="146"/>
      <x:c r="AA58" s="146"/>
      <x:c r="AB58" s="146"/>
      <x:c r="AC58" s="146"/>
      <x:c r="AD58" s="146"/>
      <x:c r="AE58" s="146"/>
      <x:c r="AF58" s="154" t="str">
        <x:f>IF(X58="","PENDING",IF(X58="exclude","DONE",IF(COUNTA(Y58:AC58)=5,"DONE","INCOMPLETE")))</x:f>
        <x:v>PENDING</x:v>
      </x:c>
    </x:row>
    <x:row r="59">
      <x:c r="A59" s="151" t="str">
        <x:v>strength</x:v>
      </x:c>
      <x:c r="B59" s="151" t="str">
        <x:v>SV-0075</x:v>
      </x:c>
      <x:c r="C59" s="151" t="str">
        <x:v>PC-04631</x:v>
      </x:c>
      <x:c r="D59" s="151" t="str">
        <x:v>en|both</x:v>
      </x:c>
      <x:c r="E59" s="151" t="n">
        <x:v>19.069444444444443</x:v>
      </x:c>
      <x:c r="F59" s="151" t="str">
        <x:v>Banco Central de Reserva del Peru</x:v>
      </x:c>
      <x:c r="G59" s="151" t="str">
        <x:v>The CBDC issuance is not intended to compete with existing digital payment services, but to 
expand unbanked people’s access to payment services .</x:v>
      </x:c>
      <x:c r="H59" s="151" t="str">
        <x:v>keep</x:v>
      </x:c>
      <x:c r="I59" s="151" t="str">
        <x:v>keep</x:v>
      </x:c>
      <x:c r="J59" s="151" t="str">
        <x:v>ACCESS.universal</x:v>
      </x:c>
      <x:c r="K59" s="151" t="str">
        <x:v>ACCESS.universal</x:v>
      </x:c>
      <x:c r="L59" s="151" t="str">
        <x:v>ACCESS</x:v>
      </x:c>
      <x:c r="M59" s="151" t="str">
        <x:v>ACCESS</x:v>
      </x:c>
      <x:c r="N59" s="151" t="str">
        <x:v>decision</x:v>
      </x:c>
      <x:c r="O59" s="151" t="str">
        <x:v>decision</x:v>
      </x:c>
      <x:c r="P59" s="151" t="str">
        <x:v>neutral</x:v>
      </x:c>
      <x:c r="Q59" s="151" t="str">
        <x:v>neutral</x:v>
      </x:c>
      <x:c r="R59" s="151" t="str">
        <x:v>not_applicable</x:v>
      </x:c>
      <x:c r="S59" s="151" t="str">
        <x:v>not_applicable</x:v>
      </x:c>
      <x:c r="T59" s="151" t="n">
        <x:v>3</x:v>
      </x:c>
      <x:c r="U59" s="151" t="n">
        <x:v>2</x:v>
      </x:c>
      <x:c r="V59" s="151"/>
      <x:c r="W59" s="151"/>
      <x:c r="X59" s="146"/>
      <x:c r="Y59" s="146"/>
      <x:c r="Z59" s="146"/>
      <x:c r="AA59" s="146"/>
      <x:c r="AB59" s="146"/>
      <x:c r="AC59" s="146"/>
      <x:c r="AD59" s="146"/>
      <x:c r="AE59" s="146"/>
      <x:c r="AF59" s="154" t="str">
        <x:f>IF(X59="","PENDING",IF(X59="exclude","DONE",IF(COUNTA(Y59:AC59)=5,"DONE","INCOMPLETE")))</x:f>
        <x:v>PENDING</x:v>
      </x:c>
    </x:row>
    <x:row r="60">
      <x:c r="A60" s="151" t="str">
        <x:v>inclusion</x:v>
      </x:c>
      <x:c r="B60" s="151" t="str">
        <x:v>SV-0076</x:v>
      </x:c>
      <x:c r="C60" s="151" t="str">
        <x:v>PC-04367</x:v>
      </x:c>
      <x:c r="D60" s="151" t="str">
        <x:v>en|claude_only</x:v>
      </x:c>
      <x:c r="E60" s="151" t="n">
        <x:v>19.375</x:v>
      </x:c>
      <x:c r="F60" s="151" t="str">
        <x:v>Norges Bank (Norwegian CBDC work)</x:v>
      </x:c>
      <x:c r="G60" s="151" t="str">
        <x:v>Vi ser for oss at kontosystemet kombineres med en modul for lokal lagring.</x:v>
      </x:c>
      <x:c r="H60" s="151" t="str">
        <x:v>exclude</x:v>
      </x:c>
      <x:c r="I60" s="151" t="str">
        <x:v>keep</x:v>
      </x:c>
      <x:c r="J60" s="151"/>
      <x:c r="K60" s="151" t="str">
        <x:v>SYS.design</x:v>
      </x:c>
      <x:c r="L60" s="151" t="str"/>
      <x:c r="M60" s="151" t="str">
        <x:v>SYS</x:v>
      </x:c>
      <x:c r="N60" s="151"/>
      <x:c r="O60" s="151" t="str">
        <x:v>proposal</x:v>
      </x:c>
      <x:c r="P60" s="151"/>
      <x:c r="Q60" s="151" t="str">
        <x:v>neutral</x:v>
      </x:c>
      <x:c r="R60" s="151"/>
      <x:c r="S60" s="151" t="str">
        <x:v>not_applicable</x:v>
      </x:c>
      <x:c r="T60" s="151"/>
      <x:c r="U60" s="151" t="n">
        <x:v>2</x:v>
      </x:c>
      <x:c r="V60" s="151"/>
      <x:c r="W60" s="151"/>
      <x:c r="X60" s="146"/>
      <x:c r="Y60" s="146"/>
      <x:c r="Z60" s="146"/>
      <x:c r="AA60" s="146"/>
      <x:c r="AB60" s="146"/>
      <x:c r="AC60" s="146"/>
      <x:c r="AD60" s="146"/>
      <x:c r="AE60" s="146"/>
      <x:c r="AF60" s="154" t="str">
        <x:f>IF(X60="","PENDING",IF(X60="exclude","DONE",IF(COUNTA(Y60:AC60)=5,"DONE","INCOMPLETE")))</x:f>
        <x:v>PENDING</x:v>
      </x:c>
    </x:row>
    <x:row r="61">
      <x:c r="A61" s="151" t="str">
        <x:v>code|privacy_direction|strength</x:v>
      </x:c>
      <x:c r="B61" s="151" t="str">
        <x:v>SV-0079</x:v>
      </x:c>
      <x:c r="C61" s="151" t="str">
        <x:v>PC-02056</x:v>
      </x:c>
      <x:c r="D61" s="151" t="str">
        <x:v>en|both</x:v>
      </x:c>
      <x:c r="E61" s="151" t="n">
        <x:v>19.069444444444443</x:v>
      </x:c>
      <x:c r="F61" s="151" t="str">
        <x:v>Hong Kong Monetary Authority (e-HKD Phase 2 pilots)</x:v>
      </x:c>
      <x:c r="G61" s="151" t="str">
        <x:v>It was found that ZKPs improved privacy 
with similar settlement times but significantly 
increased gas fees37, making them up to 320 
times more expensive than transactions which 
do not use any PETs, due to their computational 
intensity.</x:v>
      </x:c>
      <x:c r="H61" s="151" t="str">
        <x:v>keep</x:v>
      </x:c>
      <x:c r="I61" s="151" t="str">
        <x:v>keep</x:v>
      </x:c>
      <x:c r="J61" s="151" t="str">
        <x:v>ADOPT.experience</x:v>
      </x:c>
      <x:c r="K61" s="151" t="str">
        <x:v>PRIV.PET</x:v>
      </x:c>
      <x:c r="L61" s="151" t="str">
        <x:v>ADOPT</x:v>
      </x:c>
      <x:c r="M61" s="151" t="str">
        <x:v>PRIV</x:v>
      </x:c>
      <x:c r="N61" s="151" t="str">
        <x:v>finding</x:v>
      </x:c>
      <x:c r="O61" s="151" t="str">
        <x:v>finding</x:v>
      </x:c>
      <x:c r="P61" s="151" t="str">
        <x:v>neutral</x:v>
      </x:c>
      <x:c r="Q61" s="151" t="str">
        <x:v>increases</x:v>
      </x:c>
      <x:c r="R61" s="151" t="str">
        <x:v>not_applicable</x:v>
      </x:c>
      <x:c r="S61" s="151" t="str">
        <x:v>not_applicable</x:v>
      </x:c>
      <x:c r="T61" s="151" t="n">
        <x:v>2</x:v>
      </x:c>
      <x:c r="U61" s="151" t="n">
        <x:v>3</x:v>
      </x:c>
      <x:c r="V61" s="151"/>
      <x:c r="W61" s="151"/>
      <x:c r="X61" s="146"/>
      <x:c r="Y61" s="146"/>
      <x:c r="Z61" s="146"/>
      <x:c r="AA61" s="146"/>
      <x:c r="AB61" s="146"/>
      <x:c r="AC61" s="146"/>
      <x:c r="AD61" s="146"/>
      <x:c r="AE61" s="146"/>
      <x:c r="AF61" s="154" t="str">
        <x:f>IF(X61="","PENDING",IF(X61="exclude","DONE",IF(COUNTA(Y61:AC61)=5,"DONE","INCOMPLETE")))</x:f>
        <x:v>PENDING</x:v>
      </x:c>
    </x:row>
    <x:row r="62">
      <x:c r="A62" s="151" t="str">
        <x:v>odr</x:v>
      </x:c>
      <x:c r="B62" s="151" t="str">
        <x:v>SV-0080</x:v>
      </x:c>
      <x:c r="C62" s="151" t="str">
        <x:v>PC-02565</x:v>
      </x:c>
      <x:c r="D62" s="151" t="str">
        <x:v>en|claude_only</x:v>
      </x:c>
      <x:c r="E62" s="151" t="n">
        <x:v>19.375</x:v>
      </x:c>
      <x:c r="F62" s="151" t="str">
        <x:v>Bank Indonesia (Digital Rupiah)</x:v>
      </x:c>
      <x:c r="G62" s="151" t="str">
        <x:v>The security aspects in the implementation of 
the wRD PoC have been tested and follow the 
applicable security standards at Bank Indonesia.</x:v>
      </x:c>
      <x:c r="H62" s="151" t="str">
        <x:v>keep</x:v>
      </x:c>
      <x:c r="I62" s="151" t="str">
        <x:v>keep</x:v>
      </x:c>
      <x:c r="J62" s="151" t="str">
        <x:v>OPS.resilience</x:v>
      </x:c>
      <x:c r="K62" s="151" t="str">
        <x:v>OPS.resilience</x:v>
      </x:c>
      <x:c r="L62" s="151" t="str">
        <x:v>OPS</x:v>
      </x:c>
      <x:c r="M62" s="151" t="str">
        <x:v>OPS</x:v>
      </x:c>
      <x:c r="N62" s="151" t="str">
        <x:v>decision</x:v>
      </x:c>
      <x:c r="O62" s="151" t="str">
        <x:v>finding</x:v>
      </x:c>
      <x:c r="P62" s="151" t="str">
        <x:v>neutral</x:v>
      </x:c>
      <x:c r="Q62" s="151" t="str">
        <x:v>neutral</x:v>
      </x:c>
      <x:c r="R62" s="151" t="str">
        <x:v>not_applicable</x:v>
      </x:c>
      <x:c r="S62" s="151" t="str">
        <x:v>not_applicable</x:v>
      </x:c>
      <x:c r="T62" s="151" t="n">
        <x:v>2</x:v>
      </x:c>
      <x:c r="U62" s="151" t="n">
        <x:v>2</x:v>
      </x:c>
      <x:c r="V62" s="151"/>
      <x:c r="W62" s="151"/>
      <x:c r="X62" s="146"/>
      <x:c r="Y62" s="146"/>
      <x:c r="Z62" s="146"/>
      <x:c r="AA62" s="146"/>
      <x:c r="AB62" s="146"/>
      <x:c r="AC62" s="146"/>
      <x:c r="AD62" s="146"/>
      <x:c r="AE62" s="146"/>
      <x:c r="AF62" s="154" t="str">
        <x:f>IF(X62="","PENDING",IF(X62="exclude","DONE",IF(COUNTA(Y62:AC62)=5,"DONE","INCOMPLETE")))</x:f>
        <x:v>PENDING</x:v>
      </x:c>
    </x:row>
    <x:row r="63">
      <x:c r="A63" s="151" t="str">
        <x:v>code</x:v>
      </x:c>
      <x:c r="B63" s="151" t="str">
        <x:v>SV-0081</x:v>
      </x:c>
      <x:c r="C63" s="151" t="str">
        <x:v>PC-06319</x:v>
      </x:c>
      <x:c r="D63" s="151" t="str">
        <x:v>en|both</x:v>
      </x:c>
      <x:c r="E63" s="151" t="n">
        <x:v>19.069444444444443</x:v>
      </x:c>
      <x:c r="F63" s="151" t="str">
        <x:v>Bank of England and HM Treasury (digital pound)</x:v>
      </x:c>
      <x:c r="G63" s="151" t="str">
        <x:v>A well-designed API layer would allow PIPs to integrate their current and future payment 
services with a CBDC.</x:v>
      </x:c>
      <x:c r="H63" s="151" t="str">
        <x:v>keep</x:v>
      </x:c>
      <x:c r="I63" s="151" t="str">
        <x:v>keep</x:v>
      </x:c>
      <x:c r="J63" s="151" t="str">
        <x:v>INTEROP.domestic</x:v>
      </x:c>
      <x:c r="K63" s="151" t="str">
        <x:v>SYS.design</x:v>
      </x:c>
      <x:c r="L63" s="151" t="str">
        <x:v>INTEROP</x:v>
      </x:c>
      <x:c r="M63" s="151" t="str">
        <x:v>SYS</x:v>
      </x:c>
      <x:c r="N63" s="151" t="str">
        <x:v>proposal</x:v>
      </x:c>
      <x:c r="O63" s="151" t="str">
        <x:v>proposal</x:v>
      </x:c>
      <x:c r="P63" s="151" t="str">
        <x:v>neutral</x:v>
      </x:c>
      <x:c r="Q63" s="151" t="str">
        <x:v>neutral</x:v>
      </x:c>
      <x:c r="R63" s="151" t="str">
        <x:v>not_applicable</x:v>
      </x:c>
      <x:c r="S63" s="151" t="str">
        <x:v>not_applicable</x:v>
      </x:c>
      <x:c r="T63" s="151" t="n">
        <x:v>2</x:v>
      </x:c>
      <x:c r="U63" s="151" t="n">
        <x:v>2</x:v>
      </x:c>
      <x:c r="V63" s="151"/>
      <x:c r="W63" s="151"/>
      <x:c r="X63" s="146"/>
      <x:c r="Y63" s="146"/>
      <x:c r="Z63" s="146"/>
      <x:c r="AA63" s="146"/>
      <x:c r="AB63" s="146"/>
      <x:c r="AC63" s="146"/>
      <x:c r="AD63" s="146"/>
      <x:c r="AE63" s="146"/>
      <x:c r="AF63" s="154" t="str">
        <x:f>IF(X63="","PENDING",IF(X63="exclude","DONE",IF(COUNTA(Y63:AC63)=5,"DONE","INCOMPLETE")))</x:f>
        <x:v>PENDING</x:v>
      </x:c>
    </x:row>
    <x:row r="64">
      <x:c r="A64" s="151" t="str">
        <x:v>code|odr|strength</x:v>
      </x:c>
      <x:c r="B64" s="151" t="str">
        <x:v>SV-0082</x:v>
      </x:c>
      <x:c r="C64" s="151" t="str">
        <x:v>PC-03755</x:v>
      </x:c>
      <x:c r="D64" s="151" t="str">
        <x:v>ja|both</x:v>
      </x:c>
      <x:c r="E64" s="151" t="n">
        <x:v>7</x:v>
      </x:c>
      <x:c r="F64" s="151" t="str">
        <x:v>Bank of Japan (CBDC pilot)</x:v>
      </x:c>
      <x:c r="G64" s="151" t="str">
        <x:v>⑦逆引送金 
送金先のユーザーが、送金元のユーザーの事前承諾を前提に、逆引送金を行うための取
引指示を送金元の CBDC 口座に対して送付し、当該指示とおりの逆引送金を実行</x:v>
      </x:c>
      <x:c r="H64" s="151" t="str">
        <x:v>keep</x:v>
      </x:c>
      <x:c r="I64" s="151" t="str">
        <x:v>keep</x:v>
      </x:c>
      <x:c r="J64" s="151" t="str">
        <x:v>PROG.generic</x:v>
      </x:c>
      <x:c r="K64" s="151" t="str">
        <x:v>SYS.design</x:v>
      </x:c>
      <x:c r="L64" s="151" t="str">
        <x:v>PROG</x:v>
      </x:c>
      <x:c r="M64" s="151" t="str">
        <x:v>SYS</x:v>
      </x:c>
      <x:c r="N64" s="151" t="str">
        <x:v>proposal</x:v>
      </x:c>
      <x:c r="O64" s="151" t="str">
        <x:v>decision</x:v>
      </x:c>
      <x:c r="P64" s="151" t="str">
        <x:v>neutral</x:v>
      </x:c>
      <x:c r="Q64" s="151" t="str">
        <x:v>neutral</x:v>
      </x:c>
      <x:c r="R64" s="151" t="str">
        <x:v>not_applicable</x:v>
      </x:c>
      <x:c r="S64" s="151" t="str">
        <x:v>not_applicable</x:v>
      </x:c>
      <x:c r="T64" s="151" t="n">
        <x:v>2</x:v>
      </x:c>
      <x:c r="U64" s="151" t="n">
        <x:v>1</x:v>
      </x:c>
      <x:c r="V64" s="151"/>
      <x:c r="W64" s="151"/>
      <x:c r="X64" s="146"/>
      <x:c r="Y64" s="146"/>
      <x:c r="Z64" s="146"/>
      <x:c r="AA64" s="146"/>
      <x:c r="AB64" s="146"/>
      <x:c r="AC64" s="146"/>
      <x:c r="AD64" s="146"/>
      <x:c r="AE64" s="146"/>
      <x:c r="AF64" s="154" t="str">
        <x:f>IF(X64="","PENDING",IF(X64="exclude","DONE",IF(COUNTA(Y64:AC64)=5,"DONE","INCOMPLETE")))</x:f>
        <x:v>PENDING</x:v>
      </x:c>
    </x:row>
    <x:row r="65">
      <x:c r="A65" s="151" t="str">
        <x:v>strength</x:v>
      </x:c>
      <x:c r="B65" s="151" t="str">
        <x:v>SV-0083</x:v>
      </x:c>
      <x:c r="C65" s="151" t="str">
        <x:v>PC-05695</x:v>
      </x:c>
      <x:c r="D65" s="151" t="str">
        <x:v>en|both</x:v>
      </x:c>
      <x:c r="E65" s="151" t="n">
        <x:v>19.069444444444443</x:v>
      </x:c>
      <x:c r="F65" s="151" t="str">
        <x:v>Central Bank of the Republic of Turkiye (Digital Turkish Lira)</x:v>
      </x:c>
      <x:c r="G65" s="151" t="str">
        <x:v>Foreign exchange transactions are executed by the services in the 
common platform. When foreign exchange orders are submitted to the platform, these 
services use the available orders to determine the least-cost and most efficient path from 
the source currency to the target currency.</x:v>
      </x:c>
      <x:c r="H65" s="151" t="str">
        <x:v>keep</x:v>
      </x:c>
      <x:c r="I65" s="151" t="str">
        <x:v>keep</x:v>
      </x:c>
      <x:c r="J65" s="151" t="str">
        <x:v>INTEROP.crossborder</x:v>
      </x:c>
      <x:c r="K65" s="151" t="str">
        <x:v>INTEROP.crossborder</x:v>
      </x:c>
      <x:c r="L65" s="151" t="str">
        <x:v>INTEROP</x:v>
      </x:c>
      <x:c r="M65" s="151" t="str">
        <x:v>INTEROP</x:v>
      </x:c>
      <x:c r="N65" s="151" t="str">
        <x:v>finding</x:v>
      </x:c>
      <x:c r="O65" s="151" t="str">
        <x:v>finding</x:v>
      </x:c>
      <x:c r="P65" s="151" t="str">
        <x:v>neutral</x:v>
      </x:c>
      <x:c r="Q65" s="151" t="str">
        <x:v>neutral</x:v>
      </x:c>
      <x:c r="R65" s="151" t="str">
        <x:v>not_applicable</x:v>
      </x:c>
      <x:c r="S65" s="151" t="str">
        <x:v>not_applicable</x:v>
      </x:c>
      <x:c r="T65" s="151" t="n">
        <x:v>3</x:v>
      </x:c>
      <x:c r="U65" s="151" t="n">
        <x:v>2</x:v>
      </x:c>
      <x:c r="V65" s="151"/>
      <x:c r="W65" s="151"/>
      <x:c r="X65" s="146"/>
      <x:c r="Y65" s="146"/>
      <x:c r="Z65" s="146"/>
      <x:c r="AA65" s="146"/>
      <x:c r="AB65" s="146"/>
      <x:c r="AC65" s="146"/>
      <x:c r="AD65" s="146"/>
      <x:c r="AE65" s="146"/>
      <x:c r="AF65" s="154" t="str">
        <x:f>IF(X65="","PENDING",IF(X65="exclude","DONE",IF(COUNTA(Y65:AC65)=5,"DONE","INCOMPLETE")))</x:f>
        <x:v>PENDING</x:v>
      </x:c>
    </x:row>
    <x:row r="66">
      <x:c r="A66" s="151" t="str">
        <x:v>strength</x:v>
      </x:c>
      <x:c r="B66" s="151" t="str">
        <x:v>SV-0084</x:v>
      </x:c>
      <x:c r="C66" s="151" t="str">
        <x:v>PC-03297</x:v>
      </x:c>
      <x:c r="D66" s="151" t="str">
        <x:v>en|both</x:v>
      </x:c>
      <x:c r="E66" s="151" t="n">
        <x:v>19.069444444444443</x:v>
      </x:c>
      <x:c r="F66" s="151" t="str">
        <x:v>Reserve Bank of India (digital rupee)</x:v>
      </x:c>
      <x:c r="G66" s="151" t="str">
        <x:v>Creation and issuance of retail e₹ is identical to the arrangement for issuance of 
paper currency i.e. , RBI creates e₹ and issues them to banks  and non- banks 
electronically.</x:v>
      </x:c>
      <x:c r="H66" s="151" t="str">
        <x:v>keep</x:v>
      </x:c>
      <x:c r="I66" s="151" t="str">
        <x:v>keep</x:v>
      </x:c>
      <x:c r="J66" s="151" t="str">
        <x:v>SYS.design</x:v>
      </x:c>
      <x:c r="K66" s="151" t="str">
        <x:v>SYS.design</x:v>
      </x:c>
      <x:c r="L66" s="151" t="str">
        <x:v>SYS</x:v>
      </x:c>
      <x:c r="M66" s="151" t="str">
        <x:v>SYS</x:v>
      </x:c>
      <x:c r="N66" s="151" t="str">
        <x:v>decision</x:v>
      </x:c>
      <x:c r="O66" s="151" t="str">
        <x:v>decision</x:v>
      </x:c>
      <x:c r="P66" s="151" t="str">
        <x:v>neutral</x:v>
      </x:c>
      <x:c r="Q66" s="151" t="str">
        <x:v>neutral</x:v>
      </x:c>
      <x:c r="R66" s="151" t="str">
        <x:v>not_applicable</x:v>
      </x:c>
      <x:c r="S66" s="151" t="str">
        <x:v>not_applicable</x:v>
      </x:c>
      <x:c r="T66" s="151" t="n">
        <x:v>2</x:v>
      </x:c>
      <x:c r="U66" s="151" t="n">
        <x:v>3</x:v>
      </x:c>
      <x:c r="V66" s="151"/>
      <x:c r="W66" s="151"/>
      <x:c r="X66" s="146"/>
      <x:c r="Y66" s="146"/>
      <x:c r="Z66" s="146"/>
      <x:c r="AA66" s="146"/>
      <x:c r="AB66" s="146"/>
      <x:c r="AC66" s="146"/>
      <x:c r="AD66" s="146"/>
      <x:c r="AE66" s="146"/>
      <x:c r="AF66" s="154" t="str">
        <x:f>IF(X66="","PENDING",IF(X66="exclude","DONE",IF(COUNTA(Y66:AC66)=5,"DONE","INCOMPLETE")))</x:f>
        <x:v>PENDING</x:v>
      </x:c>
    </x:row>
    <x:row r="67">
      <x:c r="A67" s="151" t="str">
        <x:v>inclusion</x:v>
      </x:c>
      <x:c r="B67" s="151" t="str">
        <x:v>SV-0085</x:v>
      </x:c>
      <x:c r="C67" s="151" t="str">
        <x:v>PC-00162</x:v>
      </x:c>
      <x:c r="D67" s="151" t="str">
        <x:v>en|both</x:v>
      </x:c>
      <x:c r="E67" s="151" t="n">
        <x:v>19.069444444444443</x:v>
      </x:c>
      <x:c r="F67" s="151" t="str">
        <x:v>Reserve Bank of Australia and Digital Finance CRC (Australian CBDC pilot)</x:v>
      </x:c>
      <x:c r="G67" s="151" t="str">
        <x:v>The GST amount on the invoice was automatically 
calculated and paid in pilot CBDC to a holding account to be paid to the ATO, with the 
remainder automatically (and simultaneously) paid to the merchant.</x:v>
      </x:c>
      <x:c r="H67" s="151" t="str">
        <x:v>keep</x:v>
      </x:c>
      <x:c r="I67" s="151" t="str">
        <x:v>exclude</x:v>
      </x:c>
      <x:c r="J67" s="151" t="str">
        <x:v>PROG.generic</x:v>
      </x:c>
      <x:c r="K67" s="151" t="str">
        <x:v>PROG.generic</x:v>
      </x:c>
      <x:c r="L67" s="151" t="str">
        <x:v>PROG</x:v>
      </x:c>
      <x:c r="M67" s="151" t="str">
        <x:v>PROG</x:v>
      </x:c>
      <x:c r="N67" s="151" t="str">
        <x:v>finding</x:v>
      </x:c>
      <x:c r="O67" s="151" t="str">
        <x:v>finding</x:v>
      </x:c>
      <x:c r="P67" s="151" t="str">
        <x:v>neutral</x:v>
      </x:c>
      <x:c r="Q67" s="151" t="str">
        <x:v>neutral</x:v>
      </x:c>
      <x:c r="R67" s="151" t="str">
        <x:v>not_applicable</x:v>
      </x:c>
      <x:c r="S67" s="151" t="str">
        <x:v>not_applicable</x:v>
      </x:c>
      <x:c r="T67" s="151" t="n">
        <x:v>3</x:v>
      </x:c>
      <x:c r="U67" s="151" t="n">
        <x:v>2</x:v>
      </x:c>
      <x:c r="V67" s="151"/>
      <x:c r="W67" s="151" t="str">
        <x:v>x</x:v>
      </x:c>
      <x:c r="X67" s="146"/>
      <x:c r="Y67" s="146"/>
      <x:c r="Z67" s="146"/>
      <x:c r="AA67" s="146"/>
      <x:c r="AB67" s="146"/>
      <x:c r="AC67" s="146"/>
      <x:c r="AD67" s="146"/>
      <x:c r="AE67" s="146"/>
      <x:c r="AF67" s="154" t="str">
        <x:f>IF(X67="","PENDING",IF(X67="exclude","DONE",IF(COUNTA(Y67:AC67)=5,"DONE","INCOMPLETE")))</x:f>
        <x:v>PENDING</x:v>
      </x:c>
    </x:row>
    <x:row r="68">
      <x:c r="A68" s="151" t="str">
        <x:v>inclusion</x:v>
      </x:c>
      <x:c r="B68" s="151" t="str">
        <x:v>SV-0086</x:v>
      </x:c>
      <x:c r="C68" s="151" t="str">
        <x:v>PC-02564</x:v>
      </x:c>
      <x:c r="D68" s="151" t="str">
        <x:v>en|claude_only</x:v>
      </x:c>
      <x:c r="E68" s="151" t="n">
        <x:v>19.375</x:v>
      </x:c>
      <x:c r="F68" s="151" t="str">
        <x:v>Bank Indonesia (Digital Rupiah)</x:v>
      </x:c>
      <x:c r="G68" s="151" t="str">
        <x:v>In the PoC, the chosen 
network access is permissioned network.</x:v>
      </x:c>
      <x:c r="H68" s="151" t="str">
        <x:v>exclude</x:v>
      </x:c>
      <x:c r="I68" s="151" t="str">
        <x:v>keep</x:v>
      </x:c>
      <x:c r="J68" s="151"/>
      <x:c r="K68" s="151" t="str">
        <x:v>SYS.design</x:v>
      </x:c>
      <x:c r="L68" s="151" t="str"/>
      <x:c r="M68" s="151" t="str">
        <x:v>SYS</x:v>
      </x:c>
      <x:c r="N68" s="151"/>
      <x:c r="O68" s="151" t="str">
        <x:v>decision</x:v>
      </x:c>
      <x:c r="P68" s="151"/>
      <x:c r="Q68" s="151" t="str">
        <x:v>neutral</x:v>
      </x:c>
      <x:c r="R68" s="151"/>
      <x:c r="S68" s="151" t="str">
        <x:v>not_applicable</x:v>
      </x:c>
      <x:c r="T68" s="151"/>
      <x:c r="U68" s="151" t="n">
        <x:v>3</x:v>
      </x:c>
      <x:c r="V68" s="151"/>
      <x:c r="W68" s="151"/>
      <x:c r="X68" s="146"/>
      <x:c r="Y68" s="146"/>
      <x:c r="Z68" s="146"/>
      <x:c r="AA68" s="146"/>
      <x:c r="AB68" s="146"/>
      <x:c r="AC68" s="146"/>
      <x:c r="AD68" s="146"/>
      <x:c r="AE68" s="146"/>
      <x:c r="AF68" s="154" t="str">
        <x:f>IF(X68="","PENDING",IF(X68="exclude","DONE",IF(COUNTA(Y68:AC68)=5,"DONE","INCOMPLETE")))</x:f>
        <x:v>PENDING</x:v>
      </x:c>
    </x:row>
    <x:row r="69">
      <x:c r="A69" s="151" t="str">
        <x:v>code</x:v>
      </x:c>
      <x:c r="B69" s="151" t="str">
        <x:v>SV-0087</x:v>
      </x:c>
      <x:c r="C69" s="151" t="str">
        <x:v>PC-06806</x:v>
      </x:c>
      <x:c r="D69" s="151" t="str">
        <x:v>en|both</x:v>
      </x:c>
      <x:c r="E69" s="151" t="n">
        <x:v>19.069444444444443</x:v>
      </x:c>
      <x:c r="F69" s="151" t="str">
        <x:v>South African Reserve Bank</x:v>
      </x:c>
      <x:c r="G69" s="151" t="str">
        <x:v>It has been established that it is feasible 
to port – export and import – the wCBDC to 
other (non-native) DLT-based platforms while 
maintaining a link back to its own (native) DLT.</x:v>
      </x:c>
      <x:c r="H69" s="151" t="str">
        <x:v>keep</x:v>
      </x:c>
      <x:c r="I69" s="151" t="str">
        <x:v>keep</x:v>
      </x:c>
      <x:c r="J69" s="151" t="str">
        <x:v>TECH.TOKEN.considered</x:v>
      </x:c>
      <x:c r="K69" s="151" t="str">
        <x:v>TECH.DLT</x:v>
      </x:c>
      <x:c r="L69" s="151" t="str">
        <x:v>TECH</x:v>
      </x:c>
      <x:c r="M69" s="151" t="str">
        <x:v>TECH</x:v>
      </x:c>
      <x:c r="N69" s="151" t="str">
        <x:v>finding</x:v>
      </x:c>
      <x:c r="O69" s="151" t="str">
        <x:v>finding</x:v>
      </x:c>
      <x:c r="P69" s="151" t="str">
        <x:v>neutral</x:v>
      </x:c>
      <x:c r="Q69" s="151" t="str">
        <x:v>neutral</x:v>
      </x:c>
      <x:c r="R69" s="151" t="str">
        <x:v>not_applicable</x:v>
      </x:c>
      <x:c r="S69" s="151" t="str">
        <x:v>not_applicable</x:v>
      </x:c>
      <x:c r="T69" s="151" t="n">
        <x:v>3</x:v>
      </x:c>
      <x:c r="U69" s="151" t="n">
        <x:v>3</x:v>
      </x:c>
      <x:c r="V69" s="151"/>
      <x:c r="W69" s="151"/>
      <x:c r="X69" s="146"/>
      <x:c r="Y69" s="146"/>
      <x:c r="Z69" s="146"/>
      <x:c r="AA69" s="146"/>
      <x:c r="AB69" s="146"/>
      <x:c r="AC69" s="146"/>
      <x:c r="AD69" s="146"/>
      <x:c r="AE69" s="146"/>
      <x:c r="AF69" s="154" t="str">
        <x:f>IF(X69="","PENDING",IF(X69="exclude","DONE",IF(COUNTA(Y69:AC69)=5,"DONE","INCOMPLETE")))</x:f>
        <x:v>PENDING</x:v>
      </x:c>
    </x:row>
    <x:row r="70">
      <x:c r="A70" s="151" t="str">
        <x:v>inclusion</x:v>
      </x:c>
      <x:c r="B70" s="151" t="str">
        <x:v>SV-0088</x:v>
      </x:c>
      <x:c r="C70" s="151" t="str">
        <x:v>PC-02571</x:v>
      </x:c>
      <x:c r="D70" s="151" t="str">
        <x:v>en|claude_only</x:v>
      </x:c>
      <x:c r="E70" s="151" t="n">
        <x:v>19.375</x:v>
      </x:c>
      <x:c r="F70" s="151" t="str">
        <x:v>Bank Indonesia (Digital Rupiah)</x:v>
      </x:c>
      <x:c r="G70" s="151" t="str">
        <x:v>The Kaleido 
Hyperledger Besu-based solution guarantees 
confidentiality through encryption methods, while 
R3 Corda applies the need-to-know principle for 
every transaction.</x:v>
      </x:c>
      <x:c r="H70" s="151" t="str">
        <x:v>exclude</x:v>
      </x:c>
      <x:c r="I70" s="151" t="str">
        <x:v>keep</x:v>
      </x:c>
      <x:c r="J70" s="151"/>
      <x:c r="K70" s="151" t="str">
        <x:v>PRIV.PET</x:v>
      </x:c>
      <x:c r="L70" s="151" t="str"/>
      <x:c r="M70" s="151" t="str">
        <x:v>PRIV</x:v>
      </x:c>
      <x:c r="N70" s="151"/>
      <x:c r="O70" s="151" t="str">
        <x:v>decision</x:v>
      </x:c>
      <x:c r="P70" s="151"/>
      <x:c r="Q70" s="151" t="str">
        <x:v>increases</x:v>
      </x:c>
      <x:c r="R70" s="151"/>
      <x:c r="S70" s="151" t="str">
        <x:v>from_intermediary</x:v>
      </x:c>
      <x:c r="T70" s="151"/>
      <x:c r="U70" s="151" t="n">
        <x:v>2</x:v>
      </x:c>
      <x:c r="V70" s="151"/>
      <x:c r="W70" s="151"/>
      <x:c r="X70" s="146"/>
      <x:c r="Y70" s="146"/>
      <x:c r="Z70" s="146"/>
      <x:c r="AA70" s="146"/>
      <x:c r="AB70" s="146"/>
      <x:c r="AC70" s="146"/>
      <x:c r="AD70" s="146"/>
      <x:c r="AE70" s="146"/>
      <x:c r="AF70" s="154" t="str">
        <x:f>IF(X70="","PENDING",IF(X70="exclude","DONE",IF(COUNTA(Y70:AC70)=5,"DONE","INCOMPLETE")))</x:f>
        <x:v>PENDING</x:v>
      </x:c>
    </x:row>
    <x:row r="71">
      <x:c r="A71" s="151" t="str">
        <x:v>strength</x:v>
      </x:c>
      <x:c r="B71" s="151" t="str">
        <x:v>SV-0089</x:v>
      </x:c>
      <x:c r="C71" s="151" t="str">
        <x:v>PC-06641</x:v>
      </x:c>
      <x:c r="D71" s="151" t="str">
        <x:v>en|both</x:v>
      </x:c>
      <x:c r="E71" s="151" t="n">
        <x:v>19.069444444444443</x:v>
      </x:c>
      <x:c r="F71" s="151" t="str">
        <x:v>Banco Central del Uruguay (e-Peso pilot)</x:v>
      </x:c>
      <x:c r="G71" s="151" t="str">
        <x:v>All the operations have i nstant settlement, 
and d o not require internet connection (just a mobile phone line) .</x:v>
      </x:c>
      <x:c r="H71" s="151" t="str">
        <x:v>keep</x:v>
      </x:c>
      <x:c r="I71" s="151" t="str">
        <x:v>keep</x:v>
      </x:c>
      <x:c r="J71" s="151" t="str">
        <x:v>OPS.resilience</x:v>
      </x:c>
      <x:c r="K71" s="151" t="str">
        <x:v>OPS.resilience</x:v>
      </x:c>
      <x:c r="L71" s="151" t="str">
        <x:v>OPS</x:v>
      </x:c>
      <x:c r="M71" s="151" t="str">
        <x:v>OPS</x:v>
      </x:c>
      <x:c r="N71" s="151" t="str">
        <x:v>decision</x:v>
      </x:c>
      <x:c r="O71" s="151" t="str">
        <x:v>decision</x:v>
      </x:c>
      <x:c r="P71" s="151" t="str">
        <x:v>neutral</x:v>
      </x:c>
      <x:c r="Q71" s="151" t="str">
        <x:v>neutral</x:v>
      </x:c>
      <x:c r="R71" s="151" t="str">
        <x:v>not_applicable</x:v>
      </x:c>
      <x:c r="S71" s="151" t="str">
        <x:v>not_applicable</x:v>
      </x:c>
      <x:c r="T71" s="151" t="n">
        <x:v>3</x:v>
      </x:c>
      <x:c r="U71" s="151" t="n">
        <x:v>2</x:v>
      </x:c>
      <x:c r="V71" s="151"/>
      <x:c r="W71" s="151"/>
      <x:c r="X71" s="146"/>
      <x:c r="Y71" s="146"/>
      <x:c r="Z71" s="146"/>
      <x:c r="AA71" s="146"/>
      <x:c r="AB71" s="146"/>
      <x:c r="AC71" s="146"/>
      <x:c r="AD71" s="146"/>
      <x:c r="AE71" s="146"/>
      <x:c r="AF71" s="154" t="str">
        <x:f>IF(X71="","PENDING",IF(X71="exclude","DONE",IF(COUNTA(Y71:AC71)=5,"DONE","INCOMPLETE")))</x:f>
        <x:v>PENDING</x:v>
      </x:c>
    </x:row>
    <x:row r="72">
      <x:c r="A72" s="151" t="str">
        <x:v>code|odr|privacy_direction</x:v>
      </x:c>
      <x:c r="B72" s="151" t="str">
        <x:v>SV-0090</x:v>
      </x:c>
      <x:c r="C72" s="151" t="str">
        <x:v>PC-02651</x:v>
      </x:c>
      <x:c r="D72" s="151" t="str">
        <x:v>en|both</x:v>
      </x:c>
      <x:c r="E72" s="151" t="n">
        <x:v>19.069444444444443</x:v>
      </x:c>
      <x:c r="F72" s="151" t="str">
        <x:v>Bank of Israel (digital shekel)</x:v>
      </x:c>
      <x:c r="G72" s="151" t="str">
        <x:v>Payment 
with the DS is immediate and final, and the DS will also support offline payments, allowing 
smooth payment transactions even in situations without network connectivity.</x:v>
      </x:c>
      <x:c r="H72" s="151" t="str">
        <x:v>keep</x:v>
      </x:c>
      <x:c r="I72" s="151" t="str">
        <x:v>keep</x:v>
      </x:c>
      <x:c r="J72" s="151" t="str">
        <x:v>CASH.relation</x:v>
      </x:c>
      <x:c r="K72" s="151" t="str">
        <x:v>OPS.resilience</x:v>
      </x:c>
      <x:c r="L72" s="151" t="str">
        <x:v>CASH</x:v>
      </x:c>
      <x:c r="M72" s="151" t="str">
        <x:v>OPS</x:v>
      </x:c>
      <x:c r="N72" s="151" t="str">
        <x:v>proposal</x:v>
      </x:c>
      <x:c r="O72" s="151" t="str">
        <x:v>decision</x:v>
      </x:c>
      <x:c r="P72" s="151" t="str">
        <x:v>conditional</x:v>
      </x:c>
      <x:c r="Q72" s="151" t="str">
        <x:v>neutral</x:v>
      </x:c>
      <x:c r="R72" s="151" t="str">
        <x:v>not_applicable</x:v>
      </x:c>
      <x:c r="S72" s="151" t="str">
        <x:v>not_applicable</x:v>
      </x:c>
      <x:c r="T72" s="151" t="n">
        <x:v>3</x:v>
      </x:c>
      <x:c r="U72" s="151" t="n">
        <x:v>3</x:v>
      </x:c>
      <x:c r="V72" s="151"/>
      <x:c r="W72" s="151"/>
      <x:c r="X72" s="146"/>
      <x:c r="Y72" s="146"/>
      <x:c r="Z72" s="146"/>
      <x:c r="AA72" s="146"/>
      <x:c r="AB72" s="146"/>
      <x:c r="AC72" s="146"/>
      <x:c r="AD72" s="146"/>
      <x:c r="AE72" s="146"/>
      <x:c r="AF72" s="154" t="str">
        <x:f>IF(X72="","PENDING",IF(X72="exclude","DONE",IF(COUNTA(Y72:AC72)=5,"DONE","INCOMPLETE")))</x:f>
        <x:v>PENDING</x:v>
      </x:c>
    </x:row>
    <x:row r="73">
      <x:c r="A73" s="151" t="str">
        <x:v>strength</x:v>
      </x:c>
      <x:c r="B73" s="151" t="str">
        <x:v>SV-0091</x:v>
      </x:c>
      <x:c r="C73" s="151" t="str">
        <x:v>PC-05332</x:v>
      </x:c>
      <x:c r="D73" s="151" t="str">
        <x:v>en|both</x:v>
      </x:c>
      <x:c r="E73" s="151" t="n">
        <x:v>19.069444444444443</x:v>
      </x:c>
      <x:c r="F73" s="151" t="str">
        <x:v>Monetary Authority of Singapore (Project Orchid / purpose-bound money)</x:v>
      </x:c>
      <x:c r="G73" s="151" t="str">
        <x:v>Hence, it is prudent for PBM technology to 
be designed at the onset to be interoperable 
across different platforms, wallets, payment 
systems and rails.</x:v>
      </x:c>
      <x:c r="H73" s="151" t="str">
        <x:v>keep</x:v>
      </x:c>
      <x:c r="I73" s="151" t="str">
        <x:v>keep</x:v>
      </x:c>
      <x:c r="J73" s="151" t="str">
        <x:v>INTEROP.domestic</x:v>
      </x:c>
      <x:c r="K73" s="151" t="str">
        <x:v>INTEROP.domestic</x:v>
      </x:c>
      <x:c r="L73" s="151" t="str">
        <x:v>INTEROP</x:v>
      </x:c>
      <x:c r="M73" s="151" t="str">
        <x:v>INTEROP</x:v>
      </x:c>
      <x:c r="N73" s="151" t="str">
        <x:v>proposal</x:v>
      </x:c>
      <x:c r="O73" s="151" t="str">
        <x:v>proposal</x:v>
      </x:c>
      <x:c r="P73" s="151" t="str">
        <x:v>neutral</x:v>
      </x:c>
      <x:c r="Q73" s="151" t="str">
        <x:v>neutral</x:v>
      </x:c>
      <x:c r="R73" s="151" t="str">
        <x:v>not_applicable</x:v>
      </x:c>
      <x:c r="S73" s="151" t="str">
        <x:v>not_applicable</x:v>
      </x:c>
      <x:c r="T73" s="151" t="n">
        <x:v>3</x:v>
      </x:c>
      <x:c r="U73" s="151" t="n">
        <x:v>2</x:v>
      </x:c>
      <x:c r="V73" s="151"/>
      <x:c r="W73" s="151"/>
      <x:c r="X73" s="146"/>
      <x:c r="Y73" s="146"/>
      <x:c r="Z73" s="146"/>
      <x:c r="AA73" s="146"/>
      <x:c r="AB73" s="146"/>
      <x:c r="AC73" s="146"/>
      <x:c r="AD73" s="146"/>
      <x:c r="AE73" s="146"/>
      <x:c r="AF73" s="154" t="str">
        <x:f>IF(X73="","PENDING",IF(X73="exclude","DONE",IF(COUNTA(Y73:AC73)=5,"DONE","INCOMPLETE")))</x:f>
        <x:v>PENDING</x:v>
      </x:c>
    </x:row>
    <x:row r="74">
      <x:c r="A74" s="151" t="str">
        <x:v>code|strength</x:v>
      </x:c>
      <x:c r="B74" s="151" t="str">
        <x:v>SV-0092</x:v>
      </x:c>
      <x:c r="C74" s="151" t="str">
        <x:v>PC-06686</x:v>
      </x:c>
      <x:c r="D74" s="151" t="str">
        <x:v>es|both</x:v>
      </x:c>
      <x:c r="E74" s="151" t="n">
        <x:v>26.5</x:v>
      </x:c>
      <x:c r="F74" s="151" t="str">
        <x:v>Banco Central del Uruguay (e-Peso pilot)</x:v>
      </x:c>
      <x:c r="G74" s="151" t="str">
        <x:v>Se suscribe un convenio entre BCU-ANTEL- RGC (The 
Roberto Giori Company Ltd.) para realizar un plan piloto 
por 6 meses con el objetivo de emitir, manejar y transferir 
billetes digitales.</x:v>
      </x:c>
      <x:c r="H74" s="151" t="str">
        <x:v>keep</x:v>
      </x:c>
      <x:c r="I74" s="151" t="str">
        <x:v>keep</x:v>
      </x:c>
      <x:c r="J74" s="151" t="str">
        <x:v>SYS.design</x:v>
      </x:c>
      <x:c r="K74" s="151" t="str">
        <x:v>INST.mandate</x:v>
      </x:c>
      <x:c r="L74" s="151" t="str">
        <x:v>SYS</x:v>
      </x:c>
      <x:c r="M74" s="151" t="str">
        <x:v>INST</x:v>
      </x:c>
      <x:c r="N74" s="151" t="str">
        <x:v>decision</x:v>
      </x:c>
      <x:c r="O74" s="151" t="str">
        <x:v>decision</x:v>
      </x:c>
      <x:c r="P74" s="151" t="str">
        <x:v>neutral</x:v>
      </x:c>
      <x:c r="Q74" s="151" t="str">
        <x:v>neutral</x:v>
      </x:c>
      <x:c r="R74" s="151" t="str">
        <x:v>not_applicable</x:v>
      </x:c>
      <x:c r="S74" s="151" t="str">
        <x:v>not_applicable</x:v>
      </x:c>
      <x:c r="T74" s="151" t="n">
        <x:v>3</x:v>
      </x:c>
      <x:c r="U74" s="151" t="n">
        <x:v>2</x:v>
      </x:c>
      <x:c r="V74" s="151"/>
      <x:c r="W74" s="151"/>
      <x:c r="X74" s="146"/>
      <x:c r="Y74" s="146"/>
      <x:c r="Z74" s="146"/>
      <x:c r="AA74" s="146"/>
      <x:c r="AB74" s="146"/>
      <x:c r="AC74" s="146"/>
      <x:c r="AD74" s="146"/>
      <x:c r="AE74" s="146"/>
      <x:c r="AF74" s="154" t="str">
        <x:f>IF(X74="","PENDING",IF(X74="exclude","DONE",IF(COUNTA(Y74:AC74)=5,"DONE","INCOMPLETE")))</x:f>
        <x:v>PENDING</x:v>
      </x:c>
    </x:row>
    <x:row r="75">
      <x:c r="A75" s="151" t="str">
        <x:v>inclusion</x:v>
      </x:c>
      <x:c r="B75" s="151" t="str">
        <x:v>SV-0093</x:v>
      </x:c>
      <x:c r="C75" s="151" t="str">
        <x:v>PC-01782</x:v>
      </x:c>
      <x:c r="D75" s="151" t="str">
        <x:v>en|both</x:v>
      </x:c>
      <x:c r="E75" s="151" t="n">
        <x:v>19.069444444444443</x:v>
      </x:c>
      <x:c r="F75" s="151" t="str">
        <x:v>Bank of Ghana (eCedi)</x:v>
      </x:c>
      <x:c r="G75" s="151" t="str">
        <x:v>These types of eCedi 
transactions made up 3 % o f the total transactions 
while “cash to eCedi” which is depositing cash into 
the eCedi account, made up 2  %.</x:v>
      </x:c>
      <x:c r="H75" s="151" t="str">
        <x:v>keep</x:v>
      </x:c>
      <x:c r="I75" s="151" t="str">
        <x:v>exclude</x:v>
      </x:c>
      <x:c r="J75" s="151" t="str">
        <x:v>CASH.relation</x:v>
      </x:c>
      <x:c r="K75" s="151" t="str">
        <x:v>ADOPT.experience</x:v>
      </x:c>
      <x:c r="L75" s="151" t="str">
        <x:v>CASH</x:v>
      </x:c>
      <x:c r="M75" s="151" t="str">
        <x:v>ADOPT</x:v>
      </x:c>
      <x:c r="N75" s="151" t="str">
        <x:v>finding</x:v>
      </x:c>
      <x:c r="O75" s="151" t="str">
        <x:v>finding</x:v>
      </x:c>
      <x:c r="P75" s="151" t="str">
        <x:v>neutral</x:v>
      </x:c>
      <x:c r="Q75" s="151" t="str">
        <x:v>neutral</x:v>
      </x:c>
      <x:c r="R75" s="151" t="str">
        <x:v>not_applicable</x:v>
      </x:c>
      <x:c r="S75" s="151" t="str">
        <x:v>not_applicable</x:v>
      </x:c>
      <x:c r="T75" s="151" t="n">
        <x:v>3</x:v>
      </x:c>
      <x:c r="U75" s="151" t="n">
        <x:v>2</x:v>
      </x:c>
      <x:c r="V75" s="151"/>
      <x:c r="W75" s="151" t="str">
        <x:v>x</x:v>
      </x:c>
      <x:c r="X75" s="146"/>
      <x:c r="Y75" s="146"/>
      <x:c r="Z75" s="146"/>
      <x:c r="AA75" s="146"/>
      <x:c r="AB75" s="146"/>
      <x:c r="AC75" s="146"/>
      <x:c r="AD75" s="146"/>
      <x:c r="AE75" s="146"/>
      <x:c r="AF75" s="154" t="str">
        <x:f>IF(X75="","PENDING",IF(X75="exclude","DONE",IF(COUNTA(Y75:AC75)=5,"DONE","INCOMPLETE")))</x:f>
        <x:v>PENDING</x:v>
      </x:c>
    </x:row>
    <x:row r="76">
      <x:c r="A76" s="151" t="str">
        <x:v>code|odr|privacy_direction|privacy_relation|strength</x:v>
      </x:c>
      <x:c r="B76" s="151" t="str">
        <x:v>SV-0095</x:v>
      </x:c>
      <x:c r="C76" s="151" t="str">
        <x:v>PC-04464</x:v>
      </x:c>
      <x:c r="D76" s="151" t="str">
        <x:v>en|both</x:v>
      </x:c>
      <x:c r="E76" s="151" t="n">
        <x:v>19.069444444444443</x:v>
      </x:c>
      <x:c r="F76" s="151" t="str">
        <x:v>Norges Bank</x:v>
      </x:c>
      <x:c r="G76" s="151" t="str">
        <x:v>Can provide the desired degree of data 
protection (beyond requirements under 
EEA law)</x:v>
      </x:c>
      <x:c r="H76" s="151" t="str">
        <x:v>keep</x:v>
      </x:c>
      <x:c r="I76" s="151" t="str">
        <x:v>keep</x:v>
      </x:c>
      <x:c r="J76" s="151" t="str">
        <x:v>PRIV.MIN</x:v>
      </x:c>
      <x:c r="K76" s="151" t="str">
        <x:v>LEGAL.basis</x:v>
      </x:c>
      <x:c r="L76" s="151" t="str">
        <x:v>PRIV</x:v>
      </x:c>
      <x:c r="M76" s="151" t="str">
        <x:v>LEGAL</x:v>
      </x:c>
      <x:c r="N76" s="151" t="str">
        <x:v>proposal</x:v>
      </x:c>
      <x:c r="O76" s="151" t="str">
        <x:v>decision</x:v>
      </x:c>
      <x:c r="P76" s="151" t="str">
        <x:v>increases</x:v>
      </x:c>
      <x:c r="Q76" s="151" t="str">
        <x:v>neutral</x:v>
      </x:c>
      <x:c r="R76" s="151" t="str">
        <x:v>from_state</x:v>
      </x:c>
      <x:c r="S76" s="151" t="str">
        <x:v>not_applicable</x:v>
      </x:c>
      <x:c r="T76" s="151" t="n">
        <x:v>2</x:v>
      </x:c>
      <x:c r="U76" s="151" t="n">
        <x:v>3</x:v>
      </x:c>
      <x:c r="V76" s="151"/>
      <x:c r="W76" s="151"/>
      <x:c r="X76" s="146"/>
      <x:c r="Y76" s="146"/>
      <x:c r="Z76" s="146"/>
      <x:c r="AA76" s="146"/>
      <x:c r="AB76" s="146"/>
      <x:c r="AC76" s="146"/>
      <x:c r="AD76" s="146"/>
      <x:c r="AE76" s="146"/>
      <x:c r="AF76" s="154" t="str">
        <x:f>IF(X76="","PENDING",IF(X76="exclude","DONE",IF(COUNTA(Y76:AC76)=5,"DONE","INCOMPLETE")))</x:f>
        <x:v>PENDING</x:v>
      </x:c>
    </x:row>
    <x:row r="77">
      <x:c r="A77" s="151" t="str">
        <x:v>odr|strength</x:v>
      </x:c>
      <x:c r="B77" s="151" t="str">
        <x:v>SV-0096</x:v>
      </x:c>
      <x:c r="C77" s="151" t="str">
        <x:v>PC-06232</x:v>
      </x:c>
      <x:c r="D77" s="151" t="str">
        <x:v>en|both</x:v>
      </x:c>
      <x:c r="E77" s="151" t="n">
        <x:v>19.069444444444443</x:v>
      </x:c>
      <x:c r="F77" s="151" t="str">
        <x:v>Bank of England and HM Treasury (digital pound)</x:v>
      </x:c>
      <x:c r="G77" s="151" t="str">
        <x:v>Therefore, it is important that security is designed into the CBDC system to account for and 
minimise the likelihood and impact of these risks, while balancing system usability.</x:v>
      </x:c>
      <x:c r="H77" s="151" t="str">
        <x:v>keep</x:v>
      </x:c>
      <x:c r="I77" s="151" t="str">
        <x:v>keep</x:v>
      </x:c>
      <x:c r="J77" s="151" t="str">
        <x:v>OPS.resilience</x:v>
      </x:c>
      <x:c r="K77" s="151" t="str">
        <x:v>OPS.resilience</x:v>
      </x:c>
      <x:c r="L77" s="151" t="str">
        <x:v>OPS</x:v>
      </x:c>
      <x:c r="M77" s="151" t="str">
        <x:v>OPS</x:v>
      </x:c>
      <x:c r="N77" s="151" t="str">
        <x:v>proposal</x:v>
      </x:c>
      <x:c r="O77" s="151" t="str">
        <x:v>finding</x:v>
      </x:c>
      <x:c r="P77" s="151" t="str">
        <x:v>neutral</x:v>
      </x:c>
      <x:c r="Q77" s="151" t="str">
        <x:v>neutral</x:v>
      </x:c>
      <x:c r="R77" s="151" t="str">
        <x:v>not_applicable</x:v>
      </x:c>
      <x:c r="S77" s="151" t="str">
        <x:v>not_applicable</x:v>
      </x:c>
      <x:c r="T77" s="151" t="n">
        <x:v>3</x:v>
      </x:c>
      <x:c r="U77" s="151" t="n">
        <x:v>2</x:v>
      </x:c>
      <x:c r="V77" s="151"/>
      <x:c r="W77" s="151"/>
      <x:c r="X77" s="146"/>
      <x:c r="Y77" s="146"/>
      <x:c r="Z77" s="146"/>
      <x:c r="AA77" s="146"/>
      <x:c r="AB77" s="146"/>
      <x:c r="AC77" s="146"/>
      <x:c r="AD77" s="146"/>
      <x:c r="AE77" s="146"/>
      <x:c r="AF77" s="154" t="str">
        <x:f>IF(X77="","PENDING",IF(X77="exclude","DONE",IF(COUNTA(Y77:AC77)=5,"DONE","INCOMPLETE")))</x:f>
        <x:v>PENDING</x:v>
      </x:c>
    </x:row>
    <x:row r="78">
      <x:c r="A78" s="151" t="str">
        <x:v>privacy_direction|privacy_relation</x:v>
      </x:c>
      <x:c r="B78" s="151" t="str">
        <x:v>SV-0097</x:v>
      </x:c>
      <x:c r="C78" s="151" t="str">
        <x:v>PC-01565</x:v>
      </x:c>
      <x:c r="D78" s="151" t="str">
        <x:v>fr|both</x:v>
      </x:c>
      <x:c r="E78" s="151" t="n">
        <x:v>8</x:v>
      </x:c>
      <x:c r="F78" s="151" t="str">
        <x:v>Banque de France (wholesale CBDC programme)</x:v>
      </x:c>
      <x:c r="G78" s="151" t="str">
        <x:v>They 
also confirmed that central banks can retain 
control of the CBDC over these different 
types of DLTs, in particular by exploiting 
the programmability features of central bank 
money provided by this technology.</x:v>
      </x:c>
      <x:c r="H78" s="151" t="str">
        <x:v>keep</x:v>
      </x:c>
      <x:c r="I78" s="151" t="str">
        <x:v>keep</x:v>
      </x:c>
      <x:c r="J78" s="151" t="str">
        <x:v>PROG.generic</x:v>
      </x:c>
      <x:c r="K78" s="151" t="str">
        <x:v>PROG.generic</x:v>
      </x:c>
      <x:c r="L78" s="151" t="str">
        <x:v>PROG</x:v>
      </x:c>
      <x:c r="M78" s="151" t="str">
        <x:v>PROG</x:v>
      </x:c>
      <x:c r="N78" s="151" t="str">
        <x:v>finding</x:v>
      </x:c>
      <x:c r="O78" s="151" t="str">
        <x:v>finding</x:v>
      </x:c>
      <x:c r="P78" s="151" t="str">
        <x:v>decreases</x:v>
      </x:c>
      <x:c r="Q78" s="151" t="str">
        <x:v>neutral</x:v>
      </x:c>
      <x:c r="R78" s="151" t="str">
        <x:v>from_state</x:v>
      </x:c>
      <x:c r="S78" s="151" t="str">
        <x:v>not_applicable</x:v>
      </x:c>
      <x:c r="T78" s="151" t="n">
        <x:v>2</x:v>
      </x:c>
      <x:c r="U78" s="151" t="n">
        <x:v>2</x:v>
      </x:c>
      <x:c r="V78" s="151"/>
      <x:c r="W78" s="151"/>
      <x:c r="X78" s="146"/>
      <x:c r="Y78" s="146"/>
      <x:c r="Z78" s="146"/>
      <x:c r="AA78" s="146"/>
      <x:c r="AB78" s="146"/>
      <x:c r="AC78" s="146"/>
      <x:c r="AD78" s="146"/>
      <x:c r="AE78" s="146"/>
      <x:c r="AF78" s="154" t="str">
        <x:f>IF(X78="","PENDING",IF(X78="exclude","DONE",IF(COUNTA(Y78:AC78)=5,"DONE","INCOMPLETE")))</x:f>
        <x:v>PENDING</x:v>
      </x:c>
    </x:row>
    <x:row r="79">
      <x:c r="A79" s="151" t="str">
        <x:v>code|strength</x:v>
      </x:c>
      <x:c r="B79" s="151" t="str">
        <x:v>SV-0098</x:v>
      </x:c>
      <x:c r="C79" s="151" t="str">
        <x:v>PC-03448</x:v>
      </x:c>
      <x:c r="D79" s="151" t="str">
        <x:v>en|both</x:v>
      </x:c>
      <x:c r="E79" s="151" t="n">
        <x:v>19.069444444444443</x:v>
      </x:c>
      <x:c r="F79" s="151" t="str">
        <x:v>Central Bank of Iceland</x:v>
      </x:c>
      <x:c r="G79" s="151" t="str">
        <x:v>This report discusses two different ways of issuing a rafkróna: 
a), as base money; b) as a registered, traceable deposit to a payment 
account with the Central Bank, hereinafter referred to as a rafkróna 
account.</x:v>
      </x:c>
      <x:c r="H79" s="151" t="str">
        <x:v>keep</x:v>
      </x:c>
      <x:c r="I79" s="151" t="str">
        <x:v>keep</x:v>
      </x:c>
      <x:c r="J79" s="151" t="str">
        <x:v>TECH.TOKEN.considered</x:v>
      </x:c>
      <x:c r="K79" s="151" t="str">
        <x:v>SYS.design</x:v>
      </x:c>
      <x:c r="L79" s="151" t="str">
        <x:v>TECH</x:v>
      </x:c>
      <x:c r="M79" s="151" t="str">
        <x:v>SYS</x:v>
      </x:c>
      <x:c r="N79" s="151" t="str">
        <x:v>proposal</x:v>
      </x:c>
      <x:c r="O79" s="151" t="str">
        <x:v>proposal</x:v>
      </x:c>
      <x:c r="P79" s="151" t="str">
        <x:v>neutral</x:v>
      </x:c>
      <x:c r="Q79" s="151" t="str">
        <x:v>neutral</x:v>
      </x:c>
      <x:c r="R79" s="151" t="str">
        <x:v>not_applicable</x:v>
      </x:c>
      <x:c r="S79" s="151" t="str">
        <x:v>not_applicable</x:v>
      </x:c>
      <x:c r="T79" s="151" t="n">
        <x:v>2</x:v>
      </x:c>
      <x:c r="U79" s="151" t="n">
        <x:v>1</x:v>
      </x:c>
      <x:c r="V79" s="151"/>
      <x:c r="W79" s="151"/>
      <x:c r="X79" s="146"/>
      <x:c r="Y79" s="146"/>
      <x:c r="Z79" s="146"/>
      <x:c r="AA79" s="146"/>
      <x:c r="AB79" s="146"/>
      <x:c r="AC79" s="146"/>
      <x:c r="AD79" s="146"/>
      <x:c r="AE79" s="146"/>
      <x:c r="AF79" s="154" t="str">
        <x:f>IF(X79="","PENDING",IF(X79="exclude","DONE",IF(COUNTA(Y79:AC79)=5,"DONE","INCOMPLETE")))</x:f>
        <x:v>PENDING</x:v>
      </x:c>
    </x:row>
    <x:row r="80">
      <x:c r="A80" s="151" t="str">
        <x:v>code|odr</x:v>
      </x:c>
      <x:c r="B80" s="151" t="str">
        <x:v>SV-0100</x:v>
      </x:c>
      <x:c r="C80" s="151" t="str">
        <x:v>PC-00930</x:v>
      </x:c>
      <x:c r="D80" s="151" t="str">
        <x:v>en|both</x:v>
      </x:c>
      <x:c r="E80" s="151" t="n">
        <x:v>19.069444444444443</x:v>
      </x:c>
      <x:c r="F80" s="151" t="str">
        <x:v>Bank of Canada and Payments Canada (Project Jasper)</x:v>
      </x:c>
      <x:c r="G80" s="151" t="str">
        <x:v>The use of a proof-of-work consensus mech-
anism raised concerns from the perspective of oper-
ational efficiency, since it was demonstrated that this  
consensus method could not provide the throughput  
required as volumes increased.</x:v>
      </x:c>
      <x:c r="H80" s="151" t="str">
        <x:v>keep</x:v>
      </x:c>
      <x:c r="I80" s="151" t="str">
        <x:v>keep</x:v>
      </x:c>
      <x:c r="J80" s="151" t="str">
        <x:v>TECH.DLT</x:v>
      </x:c>
      <x:c r="K80" s="151" t="str">
        <x:v>SYS.design</x:v>
      </x:c>
      <x:c r="L80" s="151" t="str">
        <x:v>TECH</x:v>
      </x:c>
      <x:c r="M80" s="151" t="str">
        <x:v>SYS</x:v>
      </x:c>
      <x:c r="N80" s="151" t="str">
        <x:v>finding</x:v>
      </x:c>
      <x:c r="O80" s="151" t="str">
        <x:v>decision</x:v>
      </x:c>
      <x:c r="P80" s="151" t="str">
        <x:v>neutral</x:v>
      </x:c>
      <x:c r="Q80" s="151" t="str">
        <x:v>neutral</x:v>
      </x:c>
      <x:c r="R80" s="151" t="str">
        <x:v>not_applicable</x:v>
      </x:c>
      <x:c r="S80" s="151" t="str">
        <x:v>not_applicable</x:v>
      </x:c>
      <x:c r="T80" s="151" t="n">
        <x:v>3</x:v>
      </x:c>
      <x:c r="U80" s="151" t="n">
        <x:v>3</x:v>
      </x:c>
      <x:c r="V80" s="151"/>
      <x:c r="W80" s="151"/>
      <x:c r="X80" s="146"/>
      <x:c r="Y80" s="146"/>
      <x:c r="Z80" s="146"/>
      <x:c r="AA80" s="146"/>
      <x:c r="AB80" s="146"/>
      <x:c r="AC80" s="146"/>
      <x:c r="AD80" s="146"/>
      <x:c r="AE80" s="146"/>
      <x:c r="AF80" s="154" t="str">
        <x:f>IF(X80="","PENDING",IF(X80="exclude","DONE",IF(COUNTA(Y80:AC80)=5,"DONE","INCOMPLETE")))</x:f>
        <x:v>PENDING</x:v>
      </x:c>
    </x:row>
    <x:row r="81">
      <x:c r="A81" s="151" t="str">
        <x:v>inclusion</x:v>
      </x:c>
      <x:c r="B81" s="151" t="str">
        <x:v>SV-0101</x:v>
      </x:c>
      <x:c r="C81" s="151" t="str">
        <x:v>PC-05690</x:v>
      </x:c>
      <x:c r="D81" s="151" t="str">
        <x:v>en|claude_only</x:v>
      </x:c>
      <x:c r="E81" s="151" t="n">
        <x:v>19.375</x:v>
      </x:c>
      <x:c r="F81" s="151" t="str">
        <x:v>Central Bank of the Republic of Turkiye (Digital Turkish Lira)</x:v>
      </x:c>
      <x:c r="G81" s="151" t="str">
        <x:v>The use of 
digital monies in cross-border payments aims to resolve these issues through utilizing 
flows conducted via central banks and implementing distributed architectures, in contrast 
to the correspondent banking model.</x:v>
      </x:c>
      <x:c r="H81" s="151" t="str">
        <x:v>exclude</x:v>
      </x:c>
      <x:c r="I81" s="151" t="str">
        <x:v>keep</x:v>
      </x:c>
      <x:c r="J81" s="151"/>
      <x:c r="K81" s="151" t="str">
        <x:v>INTEROP.crossborder</x:v>
      </x:c>
      <x:c r="L81" s="151" t="str"/>
      <x:c r="M81" s="151" t="str">
        <x:v>INTEROP</x:v>
      </x:c>
      <x:c r="N81" s="151"/>
      <x:c r="O81" s="151" t="str">
        <x:v>proposal</x:v>
      </x:c>
      <x:c r="P81" s="151"/>
      <x:c r="Q81" s="151" t="str">
        <x:v>neutral</x:v>
      </x:c>
      <x:c r="R81" s="151"/>
      <x:c r="S81" s="151" t="str">
        <x:v>not_applicable</x:v>
      </x:c>
      <x:c r="T81" s="151"/>
      <x:c r="U81" s="151" t="n">
        <x:v>2</x:v>
      </x:c>
      <x:c r="V81" s="151"/>
      <x:c r="W81" s="151"/>
      <x:c r="X81" s="146"/>
      <x:c r="Y81" s="146"/>
      <x:c r="Z81" s="146"/>
      <x:c r="AA81" s="146"/>
      <x:c r="AB81" s="146"/>
      <x:c r="AC81" s="146"/>
      <x:c r="AD81" s="146"/>
      <x:c r="AE81" s="146"/>
      <x:c r="AF81" s="154" t="str">
        <x:f>IF(X81="","PENDING",IF(X81="exclude","DONE",IF(COUNTA(Y81:AC81)=5,"DONE","INCOMPLETE")))</x:f>
        <x:v>PENDING</x:v>
      </x:c>
    </x:row>
    <x:row r="82">
      <x:c r="A82" s="151" t="str">
        <x:v>inclusion</x:v>
      </x:c>
      <x:c r="B82" s="151" t="str">
        <x:v>SV-0102</x:v>
      </x:c>
      <x:c r="C82" s="151" t="str">
        <x:v>PC-06656</x:v>
      </x:c>
      <x:c r="D82" s="151" t="str">
        <x:v>en|both</x:v>
      </x:c>
      <x:c r="E82" s="151" t="n">
        <x:v>19.069444444444443</x:v>
      </x:c>
      <x:c r="F82" s="151" t="str">
        <x:v>Banco Central del Uruguay (e-Peso pilot)</x:v>
      </x:c>
      <x:c r="G82" s="151" t="str">
        <x:v>The results of e -Peso pilo t shows that no connections or transmission of operations 
problems were reported, so the network supported pretty good the pilot</x:v>
      </x:c>
      <x:c r="H82" s="151" t="str">
        <x:v>keep</x:v>
      </x:c>
      <x:c r="I82" s="151" t="str">
        <x:v>exclude</x:v>
      </x:c>
      <x:c r="J82" s="151" t="str">
        <x:v>OPS.resilience</x:v>
      </x:c>
      <x:c r="K82" s="151" t="str">
        <x:v>PRIV.ANON</x:v>
      </x:c>
      <x:c r="L82" s="151" t="str">
        <x:v>OPS</x:v>
      </x:c>
      <x:c r="M82" s="151" t="str">
        <x:v>PRIV</x:v>
      </x:c>
      <x:c r="N82" s="151" t="str">
        <x:v>finding</x:v>
      </x:c>
      <x:c r="O82" s="151" t="str">
        <x:v>finding</x:v>
      </x:c>
      <x:c r="P82" s="151" t="str">
        <x:v>neutral</x:v>
      </x:c>
      <x:c r="Q82" s="151" t="str">
        <x:v>increases</x:v>
      </x:c>
      <x:c r="R82" s="151" t="str">
        <x:v>not_applicable</x:v>
      </x:c>
      <x:c r="S82" s="151" t="str">
        <x:v>from_counterparty</x:v>
      </x:c>
      <x:c r="T82" s="151" t="n">
        <x:v>2</x:v>
      </x:c>
      <x:c r="U82" s="151" t="n">
        <x:v>3</x:v>
      </x:c>
      <x:c r="V82" s="151"/>
      <x:c r="W82" s="151" t="str">
        <x:v>x</x:v>
      </x:c>
      <x:c r="X82" s="146"/>
      <x:c r="Y82" s="146"/>
      <x:c r="Z82" s="146"/>
      <x:c r="AA82" s="146"/>
      <x:c r="AB82" s="146"/>
      <x:c r="AC82" s="146"/>
      <x:c r="AD82" s="146"/>
      <x:c r="AE82" s="146"/>
      <x:c r="AF82" s="154" t="str">
        <x:f>IF(X82="","PENDING",IF(X82="exclude","DONE",IF(COUNTA(Y82:AC82)=5,"DONE","INCOMPLETE")))</x:f>
        <x:v>PENDING</x:v>
      </x:c>
    </x:row>
    <x:row r="83">
      <x:c r="A83" s="151" t="str">
        <x:v>code|strength</x:v>
      </x:c>
      <x:c r="B83" s="151" t="str">
        <x:v>SV-0103</x:v>
      </x:c>
      <x:c r="C83" s="151" t="str">
        <x:v>PC-06500</x:v>
      </x:c>
      <x:c r="D83" s="151" t="str">
        <x:v>en|both</x:v>
      </x:c>
      <x:c r="E83" s="151" t="n">
        <x:v>19.069444444444443</x:v>
      </x:c>
      <x:c r="F83" s="151" t="str">
        <x:v>Federal Reserve Bank of New York (Project Cedar Phase I)</x:v>
      </x:c>
      <x:c r="G83" s="151" t="str">
        <x:v>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x:v>
      </x:c>
      <x:c r="H83" s="151" t="str">
        <x:v>keep</x:v>
      </x:c>
      <x:c r="I83" s="151" t="str">
        <x:v>keep</x:v>
      </x:c>
      <x:c r="J83" s="151" t="str">
        <x:v>PROC.pilot_learning</x:v>
      </x:c>
      <x:c r="K83" s="151" t="str">
        <x:v>INTEROP.crossborder</x:v>
      </x:c>
      <x:c r="L83" s="151" t="str">
        <x:v>PROC</x:v>
      </x:c>
      <x:c r="M83" s="151" t="str">
        <x:v>INTEROP</x:v>
      </x:c>
      <x:c r="N83" s="151" t="str">
        <x:v>finding</x:v>
      </x:c>
      <x:c r="O83" s="151" t="str">
        <x:v>finding</x:v>
      </x:c>
      <x:c r="P83" s="151" t="str">
        <x:v>neutral</x:v>
      </x:c>
      <x:c r="Q83" s="151" t="str">
        <x:v>neutral</x:v>
      </x:c>
      <x:c r="R83" s="151" t="str">
        <x:v>not_applicable</x:v>
      </x:c>
      <x:c r="S83" s="151" t="str">
        <x:v>not_applicable</x:v>
      </x:c>
      <x:c r="T83" s="151" t="n">
        <x:v>2</x:v>
      </x:c>
      <x:c r="U83" s="151" t="n">
        <x:v>3</x:v>
      </x:c>
      <x:c r="V83" s="151"/>
      <x:c r="W83" s="151"/>
      <x:c r="X83" s="146"/>
      <x:c r="Y83" s="146"/>
      <x:c r="Z83" s="146"/>
      <x:c r="AA83" s="146"/>
      <x:c r="AB83" s="146"/>
      <x:c r="AC83" s="146"/>
      <x:c r="AD83" s="146"/>
      <x:c r="AE83" s="146"/>
      <x:c r="AF83" s="154" t="str">
        <x:f>IF(X83="","PENDING",IF(X83="exclude","DONE",IF(COUNTA(Y83:AC83)=5,"DONE","INCOMPLETE")))</x:f>
        <x:v>PENDING</x:v>
      </x:c>
    </x:row>
    <x:row r="84">
      <x:c r="A84" s="151" t="str">
        <x:v>inclusion</x:v>
      </x:c>
      <x:c r="B84" s="151" t="str">
        <x:v>SV-0104</x:v>
      </x:c>
      <x:c r="C84" s="151" t="str">
        <x:v>PC-05653</x:v>
      </x:c>
      <x:c r="D84" s="151" t="str">
        <x:v>en|openai_only</x:v>
      </x:c>
      <x:c r="E84" s="151" t="n">
        <x:v>19.21875</x:v>
      </x:c>
      <x:c r="F84" s="151" t="str">
        <x:v>Central Bank of the Republic of Turkiye (Digital Turkish Lira)</x:v>
      </x:c>
      <x:c r="G84" s="151" t="str">
        <x:v>Users will be able to access their digital Turkish lira accounts through any 
financial intermediary. In this way, similar to banknotes, the digital Turkish lira will be 
usable in an intermediary-agnostic manner.</x:v>
      </x:c>
      <x:c r="H84" s="151" t="str">
        <x:v>keep</x:v>
      </x:c>
      <x:c r="I84" s="151" t="str">
        <x:v>exclude</x:v>
      </x:c>
      <x:c r="J84" s="151" t="str">
        <x:v>INTEROP.domestic</x:v>
      </x:c>
      <x:c r="K84" s="151"/>
      <x:c r="L84" s="151" t="str">
        <x:v>INTEROP</x:v>
      </x:c>
      <x:c r="M84" s="151" t="str"/>
      <x:c r="N84" s="151" t="str">
        <x:v>decision</x:v>
      </x:c>
      <x:c r="O84" s="151"/>
      <x:c r="P84" s="151" t="str">
        <x:v>neutral</x:v>
      </x:c>
      <x:c r="Q84" s="151"/>
      <x:c r="R84" s="151" t="str">
        <x:v>not_applicable</x:v>
      </x:c>
      <x:c r="S84" s="151"/>
      <x:c r="T84" s="151" t="n">
        <x:v>3</x:v>
      </x:c>
      <x:c r="U84" s="151"/>
      <x:c r="V84" s="151"/>
      <x:c r="W84" s="151"/>
      <x:c r="X84" s="146"/>
      <x:c r="Y84" s="146"/>
      <x:c r="Z84" s="146"/>
      <x:c r="AA84" s="146"/>
      <x:c r="AB84" s="146"/>
      <x:c r="AC84" s="146"/>
      <x:c r="AD84" s="146"/>
      <x:c r="AE84" s="146"/>
      <x:c r="AF84" s="154" t="str">
        <x:f>IF(X84="","PENDING",IF(X84="exclude","DONE",IF(COUNTA(Y84:AC84)=5,"DONE","INCOMPLETE")))</x:f>
        <x:v>PENDING</x:v>
      </x:c>
    </x:row>
    <x:row r="85">
      <x:c r="A85" s="151" t="str">
        <x:v>code|odr</x:v>
      </x:c>
      <x:c r="B85" s="151" t="str">
        <x:v>SV-0105</x:v>
      </x:c>
      <x:c r="C85" s="151" t="str">
        <x:v>PC-00949</x:v>
      </x:c>
      <x:c r="D85" s="151" t="str">
        <x:v>en|both</x:v>
      </x:c>
      <x:c r="E85" s="151" t="n">
        <x:v>19.069444444444443</x:v>
      </x:c>
      <x:c r="F85" s="151" t="str">
        <x:v>Bank of Canada and Payments Canada (Project Jasper)</x:v>
      </x:c>
      <x:c r="G85" s="151" t="str">
        <x:v>A DLT-based wholesale 
settlement solution in Canada must be able to  
process, at a minimum, over 50,000 payment items 
per day, and at least 14 items per second, based on 
observation of the LVTS today.</x:v>
      </x:c>
      <x:c r="H85" s="151" t="str">
        <x:v>keep</x:v>
      </x:c>
      <x:c r="I85" s="151" t="str">
        <x:v>keep</x:v>
      </x:c>
      <x:c r="J85" s="151" t="str">
        <x:v>OPS.resilience</x:v>
      </x:c>
      <x:c r="K85" s="151" t="str">
        <x:v>SYS.design</x:v>
      </x:c>
      <x:c r="L85" s="151" t="str">
        <x:v>OPS</x:v>
      </x:c>
      <x:c r="M85" s="151" t="str">
        <x:v>SYS</x:v>
      </x:c>
      <x:c r="N85" s="151" t="str">
        <x:v>finding</x:v>
      </x:c>
      <x:c r="O85" s="151" t="str">
        <x:v>proposal</x:v>
      </x:c>
      <x:c r="P85" s="151" t="str">
        <x:v>neutral</x:v>
      </x:c>
      <x:c r="Q85" s="151" t="str">
        <x:v>neutral</x:v>
      </x:c>
      <x:c r="R85" s="151" t="str">
        <x:v>not_applicable</x:v>
      </x:c>
      <x:c r="S85" s="151" t="str">
        <x:v>not_applicable</x:v>
      </x:c>
      <x:c r="T85" s="151" t="n">
        <x:v>2</x:v>
      </x:c>
      <x:c r="U85" s="151" t="n">
        <x:v>2</x:v>
      </x:c>
      <x:c r="V85" s="151"/>
      <x:c r="W85" s="151"/>
      <x:c r="X85" s="146"/>
      <x:c r="Y85" s="146"/>
      <x:c r="Z85" s="146"/>
      <x:c r="AA85" s="146"/>
      <x:c r="AB85" s="146"/>
      <x:c r="AC85" s="146"/>
      <x:c r="AD85" s="146"/>
      <x:c r="AE85" s="146"/>
      <x:c r="AF85" s="154" t="str">
        <x:f>IF(X85="","PENDING",IF(X85="exclude","DONE",IF(COUNTA(Y85:AC85)=5,"DONE","INCOMPLETE")))</x:f>
        <x:v>PENDING</x:v>
      </x:c>
    </x:row>
    <x:row r="86">
      <x:c r="A86" s="151" t="str">
        <x:v>inclusion</x:v>
      </x:c>
      <x:c r="B86" s="151" t="str">
        <x:v>SV-0106</x:v>
      </x:c>
      <x:c r="C86" s="151" t="str">
        <x:v>PC-05075</x:v>
      </x:c>
      <x:c r="D86" s="151" t="str">
        <x:v>ru/uk|openai_only</x:v>
      </x:c>
      <x:c r="E86" s="151" t="n">
        <x:v>20.33333333333333</x:v>
      </x:c>
      <x:c r="F86" s="151" t="str">
        <x:v>Bank of Russia (digital ruble)</x:v>
      </x:c>
      <x:c r="G86" s="151" t="str">
        <x:v>Использование инфраструктуры АО «НСПК» для платежей по QR-коду в магазине 
или в интернете позволяет сделать платеж безопасным и привычным для пользователей.</x:v>
      </x:c>
      <x:c r="H86" s="151" t="str">
        <x:v>keep</x:v>
      </x:c>
      <x:c r="I86" s="151" t="str">
        <x:v>exclude</x:v>
      </x:c>
      <x:c r="J86" s="151" t="str">
        <x:v>ADOPT.experience</x:v>
      </x:c>
      <x:c r="K86" s="151"/>
      <x:c r="L86" s="151" t="str">
        <x:v>ADOPT</x:v>
      </x:c>
      <x:c r="M86" s="151" t="str"/>
      <x:c r="N86" s="151" t="str">
        <x:v>finding</x:v>
      </x:c>
      <x:c r="O86" s="151"/>
      <x:c r="P86" s="151" t="str">
        <x:v>neutral</x:v>
      </x:c>
      <x:c r="Q86" s="151"/>
      <x:c r="R86" s="151" t="str">
        <x:v>not_applicable</x:v>
      </x:c>
      <x:c r="S86" s="151"/>
      <x:c r="T86" s="151" t="n">
        <x:v>2</x:v>
      </x:c>
      <x:c r="U86" s="151"/>
      <x:c r="V86" s="151"/>
      <x:c r="W86" s="151"/>
      <x:c r="X86" s="146"/>
      <x:c r="Y86" s="146"/>
      <x:c r="Z86" s="146"/>
      <x:c r="AA86" s="146"/>
      <x:c r="AB86" s="146"/>
      <x:c r="AC86" s="146"/>
      <x:c r="AD86" s="146"/>
      <x:c r="AE86" s="146"/>
      <x:c r="AF86" s="154" t="str">
        <x:f>IF(X86="","PENDING",IF(X86="exclude","DONE",IF(COUNTA(Y86:AC86)=5,"DONE","INCOMPLETE")))</x:f>
        <x:v>PENDING</x:v>
      </x:c>
    </x:row>
    <x:row r="87">
      <x:c r="A87" s="151" t="str">
        <x:v>inclusion</x:v>
      </x:c>
      <x:c r="B87" s="151" t="str">
        <x:v>SV-0107</x:v>
      </x:c>
      <x:c r="C87" s="151" t="str">
        <x:v>PC-06448</x:v>
      </x:c>
      <x:c r="D87" s="151" t="str">
        <x:v>en|claude_only</x:v>
      </x:c>
      <x:c r="E87" s="151" t="n">
        <x:v>19.375</x:v>
      </x:c>
      <x:c r="F87" s="151" t="str">
        <x:v>Maldives Monetary Authority / Maldives CBDC policy study</x:v>
      </x:c>
      <x:c r="G87" s="151" t="str">
        <x:v>Address Consumer issues such as privacy - in particular  the potential loss 
of anonymity through traceability of digital transactions under certain 
circumstances or above threshold  values.</x:v>
      </x:c>
      <x:c r="H87" s="151" t="str">
        <x:v>exclude</x:v>
      </x:c>
      <x:c r="I87" s="151" t="str">
        <x:v>keep</x:v>
      </x:c>
      <x:c r="J87" s="151"/>
      <x:c r="K87" s="151" t="str">
        <x:v>PRIV.BAL</x:v>
      </x:c>
      <x:c r="L87" s="151" t="str"/>
      <x:c r="M87" s="151" t="str">
        <x:v>PRIV</x:v>
      </x:c>
      <x:c r="N87" s="151"/>
      <x:c r="O87" s="151" t="str">
        <x:v>finding</x:v>
      </x:c>
      <x:c r="P87" s="151"/>
      <x:c r="Q87" s="151" t="str">
        <x:v>conditional</x:v>
      </x:c>
      <x:c r="R87" s="151"/>
      <x:c r="S87" s="151" t="str">
        <x:v>from_state</x:v>
      </x:c>
      <x:c r="T87" s="151"/>
      <x:c r="U87" s="151" t="n">
        <x:v>2</x:v>
      </x:c>
      <x:c r="V87" s="151"/>
      <x:c r="W87" s="151"/>
      <x:c r="X87" s="146"/>
      <x:c r="Y87" s="146"/>
      <x:c r="Z87" s="146"/>
      <x:c r="AA87" s="146"/>
      <x:c r="AB87" s="146"/>
      <x:c r="AC87" s="146"/>
      <x:c r="AD87" s="146"/>
      <x:c r="AE87" s="146"/>
      <x:c r="AF87" s="154" t="str">
        <x:f>IF(X87="","PENDING",IF(X87="exclude","DONE",IF(COUNTA(Y87:AC87)=5,"DONE","INCOMPLETE")))</x:f>
        <x:v>PENDING</x:v>
      </x:c>
    </x:row>
    <x:row r="88">
      <x:c r="A88" s="151" t="str">
        <x:v>code|strength</x:v>
      </x:c>
      <x:c r="B88" s="151" t="str">
        <x:v>SV-0108</x:v>
      </x:c>
      <x:c r="C88" s="151" t="str">
        <x:v>PC-06465</x:v>
      </x:c>
      <x:c r="D88" s="151" t="str">
        <x:v>en|both</x:v>
      </x:c>
      <x:c r="E88" s="151" t="n">
        <x:v>19.069444444444443</x:v>
      </x:c>
      <x:c r="F88" s="151" t="str">
        <x:v>Board of Governors of the Federal Reserve System (potential US CBDC)</x:v>
      </x:c>
      <x:c r="G88" s="151" t="str">
        <x:v>The Federal Reserve Act does not authorize direct Federal Reserve accounts forindividuals, and such accounts would represent a significant expansion of the Federal Reserve’srole in the financial system and the economy.</x:v>
      </x:c>
      <x:c r="H88" s="151" t="str">
        <x:v>keep</x:v>
      </x:c>
      <x:c r="I88" s="151" t="str">
        <x:v>keep</x:v>
      </x:c>
      <x:c r="J88" s="151" t="str">
        <x:v>SYS.design</x:v>
      </x:c>
      <x:c r="K88" s="151" t="str">
        <x:v>KYC.INTERMED</x:v>
      </x:c>
      <x:c r="L88" s="151" t="str">
        <x:v>SYS</x:v>
      </x:c>
      <x:c r="M88" s="151" t="str">
        <x:v>KYC</x:v>
      </x:c>
      <x:c r="N88" s="151" t="str">
        <x:v>proposal</x:v>
      </x:c>
      <x:c r="O88" s="151" t="str">
        <x:v>proposal</x:v>
      </x:c>
      <x:c r="P88" s="151" t="str">
        <x:v>neutral</x:v>
      </x:c>
      <x:c r="Q88" s="151" t="str">
        <x:v>neutral</x:v>
      </x:c>
      <x:c r="R88" s="151" t="str">
        <x:v>not_applicable</x:v>
      </x:c>
      <x:c r="S88" s="151" t="str">
        <x:v>not_applicable</x:v>
      </x:c>
      <x:c r="T88" s="151" t="n">
        <x:v>3</x:v>
      </x:c>
      <x:c r="U88" s="151" t="n">
        <x:v>2</x:v>
      </x:c>
      <x:c r="V88" s="151"/>
      <x:c r="W88" s="151"/>
      <x:c r="X88" s="146"/>
      <x:c r="Y88" s="146"/>
      <x:c r="Z88" s="146"/>
      <x:c r="AA88" s="146"/>
      <x:c r="AB88" s="146"/>
      <x:c r="AC88" s="146"/>
      <x:c r="AD88" s="146"/>
      <x:c r="AE88" s="146"/>
      <x:c r="AF88" s="154" t="str">
        <x:f>IF(X88="","PENDING",IF(X88="exclude","DONE",IF(COUNTA(Y88:AC88)=5,"DONE","INCOMPLETE")))</x:f>
        <x:v>PENDING</x:v>
      </x:c>
    </x:row>
    <x:row r="89">
      <x:c r="A89" s="151" t="str">
        <x:v>code</x:v>
      </x:c>
      <x:c r="B89" s="151" t="str">
        <x:v>SV-0109</x:v>
      </x:c>
      <x:c r="C89" s="151" t="str">
        <x:v>PC-00743</x:v>
      </x:c>
      <x:c r="D89" s="151" t="str">
        <x:v>en|both</x:v>
      </x:c>
      <x:c r="E89" s="151" t="n">
        <x:v>19.069444444444443</x:v>
      </x:c>
      <x:c r="F89" s="151" t="str">
        <x:v>Bank of Canada research on retail CBDC feasibility</x:v>
      </x:c>
      <x:c r="G89" s="151" t="str">
        <x:v>The baseline throughput scales 
linearly as capacity is increased from one to eight shards, without significant degradation 
of latency.</x:v>
      </x:c>
      <x:c r="H89" s="151" t="str">
        <x:v>keep</x:v>
      </x:c>
      <x:c r="I89" s="151" t="str">
        <x:v>keep</x:v>
      </x:c>
      <x:c r="J89" s="151" t="str">
        <x:v>OPS.resilience</x:v>
      </x:c>
      <x:c r="K89" s="151" t="str">
        <x:v>PROC.pilot_learning</x:v>
      </x:c>
      <x:c r="L89" s="151" t="str">
        <x:v>OPS</x:v>
      </x:c>
      <x:c r="M89" s="151" t="str">
        <x:v>PROC</x:v>
      </x:c>
      <x:c r="N89" s="151" t="str">
        <x:v>finding</x:v>
      </x:c>
      <x:c r="O89" s="151" t="str">
        <x:v>finding</x:v>
      </x:c>
      <x:c r="P89" s="151" t="str">
        <x:v>neutral</x:v>
      </x:c>
      <x:c r="Q89" s="151" t="str">
        <x:v>neutral</x:v>
      </x:c>
      <x:c r="R89" s="151" t="str">
        <x:v>not_applicable</x:v>
      </x:c>
      <x:c r="S89" s="151" t="str">
        <x:v>not_applicable</x:v>
      </x:c>
      <x:c r="T89" s="151" t="n">
        <x:v>3</x:v>
      </x:c>
      <x:c r="U89" s="151" t="n">
        <x:v>3</x:v>
      </x:c>
      <x:c r="V89" s="151"/>
      <x:c r="W89" s="151"/>
      <x:c r="X89" s="146"/>
      <x:c r="Y89" s="146"/>
      <x:c r="Z89" s="146"/>
      <x:c r="AA89" s="146"/>
      <x:c r="AB89" s="146"/>
      <x:c r="AC89" s="146"/>
      <x:c r="AD89" s="146"/>
      <x:c r="AE89" s="146"/>
      <x:c r="AF89" s="154" t="str">
        <x:f>IF(X89="","PENDING",IF(X89="exclude","DONE",IF(COUNTA(Y89:AC89)=5,"DONE","INCOMPLETE")))</x:f>
        <x:v>PENDING</x:v>
      </x:c>
    </x:row>
    <x:row r="90">
      <x:c r="A90" s="151" t="str">
        <x:v>odr|strength</x:v>
      </x:c>
      <x:c r="B90" s="151" t="str">
        <x:v>SV-0110</x:v>
      </x:c>
      <x:c r="C90" s="151" t="str">
        <x:v>PC-04890</x:v>
      </x:c>
      <x:c r="D90" s="151" t="str">
        <x:v>ru/uk|both</x:v>
      </x:c>
      <x:c r="E90" s="151" t="n">
        <x:v>20</x:v>
      </x:c>
      <x:c r="F90" s="151" t="str">
        <x:v>Bank of Russia (digital ruble)</x:v>
      </x:c>
      <x:c r="G90" s="151" t="str">
        <x:v>Влияние цифрового рубля на денежно-кредитную политику Банка России в среднесроч -
ной перспективе будет незначительным.</x:v>
      </x:c>
      <x:c r="H90" s="151" t="str">
        <x:v>keep</x:v>
      </x:c>
      <x:c r="I90" s="151" t="str">
        <x:v>keep</x:v>
      </x:c>
      <x:c r="J90" s="151" t="str">
        <x:v>STAB.disintermediation</x:v>
      </x:c>
      <x:c r="K90" s="151" t="str">
        <x:v>STAB.disintermediation</x:v>
      </x:c>
      <x:c r="L90" s="151" t="str">
        <x:v>STAB</x:v>
      </x:c>
      <x:c r="M90" s="151" t="str">
        <x:v>STAB</x:v>
      </x:c>
      <x:c r="N90" s="151" t="str">
        <x:v>proposal</x:v>
      </x:c>
      <x:c r="O90" s="151" t="str">
        <x:v>finding</x:v>
      </x:c>
      <x:c r="P90" s="151" t="str">
        <x:v>neutral</x:v>
      </x:c>
      <x:c r="Q90" s="151" t="str">
        <x:v>neutral</x:v>
      </x:c>
      <x:c r="R90" s="151" t="str">
        <x:v>not_applicable</x:v>
      </x:c>
      <x:c r="S90" s="151" t="str">
        <x:v>not_applicable</x:v>
      </x:c>
      <x:c r="T90" s="151" t="n">
        <x:v>2</x:v>
      </x:c>
      <x:c r="U90" s="151" t="n">
        <x:v>3</x:v>
      </x:c>
      <x:c r="V90" s="151"/>
      <x:c r="W90" s="151"/>
      <x:c r="X90" s="146"/>
      <x:c r="Y90" s="146"/>
      <x:c r="Z90" s="146"/>
      <x:c r="AA90" s="146"/>
      <x:c r="AB90" s="146"/>
      <x:c r="AC90" s="146"/>
      <x:c r="AD90" s="146"/>
      <x:c r="AE90" s="146"/>
      <x:c r="AF90" s="154" t="str">
        <x:f>IF(X90="","PENDING",IF(X90="exclude","DONE",IF(COUNTA(Y90:AC90)=5,"DONE","INCOMPLETE")))</x:f>
        <x:v>PENDING</x:v>
      </x:c>
    </x:row>
    <x:row r="91">
      <x:c r="A91" s="151" t="str">
        <x:v>odr</x:v>
      </x:c>
      <x:c r="B91" s="151" t="str">
        <x:v>SV-0111</x:v>
      </x:c>
      <x:c r="C91" s="151" t="str">
        <x:v>PC-03200</x:v>
      </x:c>
      <x:c r="D91" s="151" t="str">
        <x:v>en|both</x:v>
      </x:c>
      <x:c r="E91" s="151" t="n">
        <x:v>19.069444444444443</x:v>
      </x:c>
      <x:c r="F91" s="151" t="str">
        <x:v>Bank of Israel (digital shekel)</x:v>
      </x:c>
      <x:c r="G91" s="151" t="str">
        <x:v>we have chosen at this stage to assume the 
existence of this participant as part of the architecture, including its direct integration into the core system 
of the digital shekel, with the goal of ensuring architectural flexibility.</x:v>
      </x:c>
      <x:c r="H91" s="151" t="str">
        <x:v>keep</x:v>
      </x:c>
      <x:c r="I91" s="151" t="str">
        <x:v>keep</x:v>
      </x:c>
      <x:c r="J91" s="151" t="str">
        <x:v>SYS.design</x:v>
      </x:c>
      <x:c r="K91" s="151" t="str">
        <x:v>SYS.design</x:v>
      </x:c>
      <x:c r="L91" s="151" t="str">
        <x:v>SYS</x:v>
      </x:c>
      <x:c r="M91" s="151" t="str">
        <x:v>SYS</x:v>
      </x:c>
      <x:c r="N91" s="151" t="str">
        <x:v>proposal</x:v>
      </x:c>
      <x:c r="O91" s="151" t="str">
        <x:v>decision</x:v>
      </x:c>
      <x:c r="P91" s="151" t="str">
        <x:v>neutral</x:v>
      </x:c>
      <x:c r="Q91" s="151" t="str">
        <x:v>neutral</x:v>
      </x:c>
      <x:c r="R91" s="151" t="str">
        <x:v>not_applicable</x:v>
      </x:c>
      <x:c r="S91" s="151" t="str">
        <x:v>not_applicable</x:v>
      </x:c>
      <x:c r="T91" s="151" t="n">
        <x:v>2</x:v>
      </x:c>
      <x:c r="U91" s="151" t="n">
        <x:v>2</x:v>
      </x:c>
      <x:c r="V91" s="151"/>
      <x:c r="W91" s="151"/>
      <x:c r="X91" s="146"/>
      <x:c r="Y91" s="146"/>
      <x:c r="Z91" s="146"/>
      <x:c r="AA91" s="146"/>
      <x:c r="AB91" s="146"/>
      <x:c r="AC91" s="146"/>
      <x:c r="AD91" s="146"/>
      <x:c r="AE91" s="146"/>
      <x:c r="AF91" s="154" t="str">
        <x:f>IF(X91="","PENDING",IF(X91="exclude","DONE",IF(COUNTA(Y91:AC91)=5,"DONE","INCOMPLETE")))</x:f>
        <x:v>PENDING</x:v>
      </x:c>
    </x:row>
    <x:row r="92">
      <x:c r="A92" s="151" t="str">
        <x:v>code|odr|strength</x:v>
      </x:c>
      <x:c r="B92" s="151" t="str">
        <x:v>SV-0112</x:v>
      </x:c>
      <x:c r="C92" s="151" t="str">
        <x:v>PC-00748</x:v>
      </x:c>
      <x:c r="D92" s="151" t="str">
        <x:v>en|claude_only</x:v>
      </x:c>
      <x:c r="E92" s="151" t="n">
        <x:v>19.375</x:v>
      </x:c>
      <x:c r="F92" s="151" t="str">
        <x:v>Bank of Canada research on retail CBDC feasibility</x:v>
      </x:c>
      <x:c r="G92" s="151" t="str">
        <x:v>In ou r two-tier design, PII is managed 
exclusively by the MSBs (acting as wallet custodians) or the end user in the case of a self-
custody wallet.</x:v>
      </x:c>
      <x:c r="H92" s="151" t="str">
        <x:v>keep</x:v>
      </x:c>
      <x:c r="I92" s="151" t="str">
        <x:v>keep</x:v>
      </x:c>
      <x:c r="J92" s="151" t="str">
        <x:v>TECH.TOKEN.considered</x:v>
      </x:c>
      <x:c r="K92" s="151" t="str">
        <x:v>KYC.INTERMED</x:v>
      </x:c>
      <x:c r="L92" s="151" t="str">
        <x:v>TECH</x:v>
      </x:c>
      <x:c r="M92" s="151" t="str">
        <x:v>KYC</x:v>
      </x:c>
      <x:c r="N92" s="151" t="str">
        <x:v>proposal</x:v>
      </x:c>
      <x:c r="O92" s="151" t="str">
        <x:v>decision</x:v>
      </x:c>
      <x:c r="P92" s="151" t="str">
        <x:v>neutral</x:v>
      </x:c>
      <x:c r="Q92" s="151" t="str">
        <x:v>neutral</x:v>
      </x:c>
      <x:c r="R92" s="151" t="str">
        <x:v>not_applicable</x:v>
      </x:c>
      <x:c r="S92" s="151" t="str">
        <x:v>not_applicable</x:v>
      </x:c>
      <x:c r="T92" s="151" t="n">
        <x:v>2</x:v>
      </x:c>
      <x:c r="U92" s="151" t="n">
        <x:v>3</x:v>
      </x:c>
      <x:c r="V92" s="151"/>
      <x:c r="W92" s="151"/>
      <x:c r="X92" s="146"/>
      <x:c r="Y92" s="146"/>
      <x:c r="Z92" s="146"/>
      <x:c r="AA92" s="146"/>
      <x:c r="AB92" s="146"/>
      <x:c r="AC92" s="146"/>
      <x:c r="AD92" s="146"/>
      <x:c r="AE92" s="146"/>
      <x:c r="AF92" s="154" t="str">
        <x:f>IF(X92="","PENDING",IF(X92="exclude","DONE",IF(COUNTA(Y92:AC92)=5,"DONE","INCOMPLETE")))</x:f>
        <x:v>PENDING</x:v>
      </x:c>
    </x:row>
    <x:row r="93">
      <x:c r="A93" s="151" t="str">
        <x:v>odr|strength</x:v>
      </x:c>
      <x:c r="B93" s="151" t="str">
        <x:v>SV-0113</x:v>
      </x:c>
      <x:c r="C93" s="151" t="str">
        <x:v>PC-04183</x:v>
      </x:c>
      <x:c r="D93" s="151" t="str">
        <x:v>en|both</x:v>
      </x:c>
      <x:c r="E93" s="151" t="n">
        <x:v>19.069444444444443</x:v>
      </x:c>
      <x:c r="F93" s="151" t="str">
        <x:v>Norges Bank</x:v>
      </x:c>
      <x:c r="G93" s="151" t="str">
        <x:v>For et kontobasert system vil Norges Bank trolig måtte ha 
det endelige ansvaret for den sentrale infrastrukturen, men ikke nødvendigvis for 
betalingstjenestene som kan bygges på toppen av den.</x:v>
      </x:c>
      <x:c r="H93" s="151" t="str">
        <x:v>keep</x:v>
      </x:c>
      <x:c r="I93" s="151" t="str">
        <x:v>keep</x:v>
      </x:c>
      <x:c r="J93" s="151" t="str">
        <x:v>INST.mandate</x:v>
      </x:c>
      <x:c r="K93" s="151" t="str">
        <x:v>INST.mandate</x:v>
      </x:c>
      <x:c r="L93" s="151" t="str">
        <x:v>INST</x:v>
      </x:c>
      <x:c r="M93" s="151" t="str">
        <x:v>INST</x:v>
      </x:c>
      <x:c r="N93" s="151" t="str">
        <x:v>proposal</x:v>
      </x:c>
      <x:c r="O93" s="151" t="str">
        <x:v>decision</x:v>
      </x:c>
      <x:c r="P93" s="151" t="str">
        <x:v>neutral</x:v>
      </x:c>
      <x:c r="Q93" s="151" t="str">
        <x:v>neutral</x:v>
      </x:c>
      <x:c r="R93" s="151" t="str">
        <x:v>not_applicable</x:v>
      </x:c>
      <x:c r="S93" s="151" t="str">
        <x:v>not_applicable</x:v>
      </x:c>
      <x:c r="T93" s="151" t="n">
        <x:v>2</x:v>
      </x:c>
      <x:c r="U93" s="151" t="n">
        <x:v>3</x:v>
      </x:c>
      <x:c r="V93" s="151"/>
      <x:c r="W93" s="151"/>
      <x:c r="X93" s="146"/>
      <x:c r="Y93" s="146"/>
      <x:c r="Z93" s="146"/>
      <x:c r="AA93" s="146"/>
      <x:c r="AB93" s="146"/>
      <x:c r="AC93" s="146"/>
      <x:c r="AD93" s="146"/>
      <x:c r="AE93" s="146"/>
      <x:c r="AF93" s="154" t="str">
        <x:f>IF(X93="","PENDING",IF(X93="exclude","DONE",IF(COUNTA(Y93:AC93)=5,"DONE","INCOMPLETE")))</x:f>
        <x:v>PENDING</x:v>
      </x:c>
    </x:row>
    <x:row r="94">
      <x:c r="A94" s="151" t="str">
        <x:v>inclusion</x:v>
      </x:c>
      <x:c r="B94" s="151" t="str">
        <x:v>SV-0114</x:v>
      </x:c>
      <x:c r="C94" s="151" t="str">
        <x:v>PC-04156</x:v>
      </x:c>
      <x:c r="D94" s="151" t="str">
        <x:v>en|claude_only</x:v>
      </x:c>
      <x:c r="E94" s="151" t="n">
        <x:v>19.375</x:v>
      </x:c>
      <x:c r="F94" s="151" t="str">
        <x:v>Norges Bank (Norwegian CBDC work)</x:v>
      </x:c>
      <x:c r="G94" s="151" t="str">
        <x:v>Tilbudet av DSP må være i samsvar med personvernregelverket. Ansvaret kan ikke 
utkontrakteres.</x:v>
      </x:c>
      <x:c r="H94" s="151" t="str">
        <x:v>exclude</x:v>
      </x:c>
      <x:c r="I94" s="151" t="str">
        <x:v>keep</x:v>
      </x:c>
      <x:c r="J94" s="151"/>
      <x:c r="K94" s="151" t="str">
        <x:v>PRIV.MIN</x:v>
      </x:c>
      <x:c r="L94" s="151" t="str"/>
      <x:c r="M94" s="151" t="str">
        <x:v>PRIV</x:v>
      </x:c>
      <x:c r="N94" s="151"/>
      <x:c r="O94" s="151" t="str">
        <x:v>proposal</x:v>
      </x:c>
      <x:c r="P94" s="151"/>
      <x:c r="Q94" s="151" t="str">
        <x:v>neutral</x:v>
      </x:c>
      <x:c r="R94" s="151"/>
      <x:c r="S94" s="151" t="str">
        <x:v>from_state</x:v>
      </x:c>
      <x:c r="T94" s="151"/>
      <x:c r="U94" s="151" t="n">
        <x:v>2</x:v>
      </x:c>
      <x:c r="V94" s="151"/>
      <x:c r="W94" s="151"/>
      <x:c r="X94" s="146"/>
      <x:c r="Y94" s="146"/>
      <x:c r="Z94" s="146"/>
      <x:c r="AA94" s="146"/>
      <x:c r="AB94" s="146"/>
      <x:c r="AC94" s="146"/>
      <x:c r="AD94" s="146"/>
      <x:c r="AE94" s="146"/>
      <x:c r="AF94" s="154" t="str">
        <x:f>IF(X94="","PENDING",IF(X94="exclude","DONE",IF(COUNTA(Y94:AC94)=5,"DONE","INCOMPLETE")))</x:f>
        <x:v>PENDING</x:v>
      </x:c>
    </x:row>
    <x:row r="95">
      <x:c r="A95" s="151" t="str">
        <x:v>code|odr|strength</x:v>
      </x:c>
      <x:c r="B95" s="151" t="str">
        <x:v>SV-0115</x:v>
      </x:c>
      <x:c r="C95" s="151" t="str">
        <x:v>PC-05699</x:v>
      </x:c>
      <x:c r="D95" s="151" t="str">
        <x:v>en|both</x:v>
      </x:c>
      <x:c r="E95" s="151" t="n">
        <x:v>19.069444444444443</x:v>
      </x:c>
      <x:c r="F95" s="151" t="str">
        <x:v>Central Bank of the Republic of Turkiye (Digital Turkish Lira)</x:v>
      </x:c>
      <x:c r="G95" s="151" t="str">
        <x:v>Following the 
successful completion of the proof-of-concept study, which included tests 
of the applicability of various distributed ledger technologies to the Central 
Bank Digital Currency, the Central Bank Digital Turkish Lira Research and 
Development Project was launched.</x:v>
      </x:c>
      <x:c r="H95" s="151" t="str">
        <x:v>keep</x:v>
      </x:c>
      <x:c r="I95" s="151" t="str">
        <x:v>keep</x:v>
      </x:c>
      <x:c r="J95" s="151" t="str">
        <x:v>PROC.pilot_learning</x:v>
      </x:c>
      <x:c r="K95" s="151" t="str">
        <x:v>INST.mandate</x:v>
      </x:c>
      <x:c r="L95" s="151" t="str">
        <x:v>PROC</x:v>
      </x:c>
      <x:c r="M95" s="151" t="str">
        <x:v>INST</x:v>
      </x:c>
      <x:c r="N95" s="151" t="str">
        <x:v>finding</x:v>
      </x:c>
      <x:c r="O95" s="151" t="str">
        <x:v>decision</x:v>
      </x:c>
      <x:c r="P95" s="151" t="str">
        <x:v>neutral</x:v>
      </x:c>
      <x:c r="Q95" s="151" t="str">
        <x:v>neutral</x:v>
      </x:c>
      <x:c r="R95" s="151" t="str">
        <x:v>not_applicable</x:v>
      </x:c>
      <x:c r="S95" s="151" t="str">
        <x:v>not_applicable</x:v>
      </x:c>
      <x:c r="T95" s="151" t="n">
        <x:v>2</x:v>
      </x:c>
      <x:c r="U95" s="151" t="n">
        <x:v>3</x:v>
      </x:c>
      <x:c r="V95" s="151"/>
      <x:c r="W95" s="151"/>
      <x:c r="X95" s="146"/>
      <x:c r="Y95" s="146"/>
      <x:c r="Z95" s="146"/>
      <x:c r="AA95" s="146"/>
      <x:c r="AB95" s="146"/>
      <x:c r="AC95" s="146"/>
      <x:c r="AD95" s="146"/>
      <x:c r="AE95" s="146"/>
      <x:c r="AF95" s="154" t="str">
        <x:f>IF(X95="","PENDING",IF(X95="exclude","DONE",IF(COUNTA(Y95:AC95)=5,"DONE","INCOMPLETE")))</x:f>
        <x:v>PENDING</x:v>
      </x:c>
    </x:row>
    <x:row r="96">
      <x:c r="A96" s="151" t="str">
        <x:v>odr|strength</x:v>
      </x:c>
      <x:c r="B96" s="151" t="str">
        <x:v>SV-0116</x:v>
      </x:c>
      <x:c r="C96" s="151" t="str">
        <x:v>PC-02119</x:v>
      </x:c>
      <x:c r="D96" s="151" t="str">
        <x:v>en|both</x:v>
      </x:c>
      <x:c r="E96" s="151" t="n">
        <x:v>19.069444444444443</x:v>
      </x:c>
      <x:c r="F96" s="151" t="str">
        <x:v>Hong Kong Monetary Authority (e-HKD)</x:v>
      </x:c>
      <x:c r="G96" s="151" t="str">
        <x:v>the mobile wallet apps provided by financial institutions are also 
subject to cyber risks faced by existing e-wallets (e.g. fake QR codes).</x:v>
      </x:c>
      <x:c r="H96" s="151" t="str">
        <x:v>keep</x:v>
      </x:c>
      <x:c r="I96" s="151" t="str">
        <x:v>keep</x:v>
      </x:c>
      <x:c r="J96" s="151" t="str">
        <x:v>OPS.resilience</x:v>
      </x:c>
      <x:c r="K96" s="151" t="str">
        <x:v>OPS.resilience</x:v>
      </x:c>
      <x:c r="L96" s="151" t="str">
        <x:v>OPS</x:v>
      </x:c>
      <x:c r="M96" s="151" t="str">
        <x:v>OPS</x:v>
      </x:c>
      <x:c r="N96" s="151" t="str">
        <x:v>proposal</x:v>
      </x:c>
      <x:c r="O96" s="151" t="str">
        <x:v>finding</x:v>
      </x:c>
      <x:c r="P96" s="151" t="str">
        <x:v>neutral</x:v>
      </x:c>
      <x:c r="Q96" s="151" t="str">
        <x:v>neutral</x:v>
      </x:c>
      <x:c r="R96" s="151" t="str">
        <x:v>not_applicable</x:v>
      </x:c>
      <x:c r="S96" s="151" t="str">
        <x:v>not_applicable</x:v>
      </x:c>
      <x:c r="T96" s="151" t="n">
        <x:v>2</x:v>
      </x:c>
      <x:c r="U96" s="151" t="n">
        <x:v>1</x:v>
      </x:c>
      <x:c r="V96" s="151"/>
      <x:c r="W96" s="151"/>
      <x:c r="X96" s="146"/>
      <x:c r="Y96" s="146"/>
      <x:c r="Z96" s="146"/>
      <x:c r="AA96" s="146"/>
      <x:c r="AB96" s="146"/>
      <x:c r="AC96" s="146"/>
      <x:c r="AD96" s="146"/>
      <x:c r="AE96" s="146"/>
      <x:c r="AF96" s="154" t="str">
        <x:f>IF(X96="","PENDING",IF(X96="exclude","DONE",IF(COUNTA(Y96:AC96)=5,"DONE","INCOMPLETE")))</x:f>
        <x:v>PENDING</x:v>
      </x:c>
    </x:row>
    <x:row r="97">
      <x:c r="A97" s="151" t="str">
        <x:v>code|odr|strength</x:v>
      </x:c>
      <x:c r="B97" s="151" t="str">
        <x:v>SV-0117</x:v>
      </x:c>
      <x:c r="C97" s="151" t="str">
        <x:v>PC-01071</x:v>
      </x:c>
      <x:c r="D97" s="151" t="str">
        <x:v>en|both</x:v>
      </x:c>
      <x:c r="E97" s="151" t="n">
        <x:v>19.069444444444443</x:v>
      </x:c>
      <x:c r="F97" s="151" t="str">
        <x:v>Bank of Canada and Payments Canada (Project Jasper)</x:v>
      </x:c>
      <x:c r="G97" s="151" t="str">
        <x:v>Specifically, the project team has had the opportuni-
ty to explore and compare the capabilities of two  
distinct DLT platforms—the Ethereum and Corda 
platforms—to build out this settlement functionality, 
and to build and implement an LSM in the form of a 
central queue on the Corda platform.</x:v>
      </x:c>
      <x:c r="H97" s="151" t="str">
        <x:v>keep</x:v>
      </x:c>
      <x:c r="I97" s="151" t="str">
        <x:v>keep</x:v>
      </x:c>
      <x:c r="J97" s="151" t="str">
        <x:v>SYS.design</x:v>
      </x:c>
      <x:c r="K97" s="151" t="str">
        <x:v>TECH.DLT</x:v>
      </x:c>
      <x:c r="L97" s="151" t="str">
        <x:v>SYS</x:v>
      </x:c>
      <x:c r="M97" s="151" t="str">
        <x:v>TECH</x:v>
      </x:c>
      <x:c r="N97" s="151" t="str">
        <x:v>decision</x:v>
      </x:c>
      <x:c r="O97" s="151" t="str">
        <x:v>finding</x:v>
      </x:c>
      <x:c r="P97" s="151" t="str">
        <x:v>neutral</x:v>
      </x:c>
      <x:c r="Q97" s="151" t="str">
        <x:v>neutral</x:v>
      </x:c>
      <x:c r="R97" s="151" t="str">
        <x:v>not_applicable</x:v>
      </x:c>
      <x:c r="S97" s="151" t="str">
        <x:v>not_applicable</x:v>
      </x:c>
      <x:c r="T97" s="151" t="n">
        <x:v>2</x:v>
      </x:c>
      <x:c r="U97" s="151" t="n">
        <x:v>3</x:v>
      </x:c>
      <x:c r="V97" s="151"/>
      <x:c r="W97" s="151"/>
      <x:c r="X97" s="146"/>
      <x:c r="Y97" s="146"/>
      <x:c r="Z97" s="146"/>
      <x:c r="AA97" s="146"/>
      <x:c r="AB97" s="146"/>
      <x:c r="AC97" s="146"/>
      <x:c r="AD97" s="146"/>
      <x:c r="AE97" s="146"/>
      <x:c r="AF97" s="154" t="str">
        <x:f>IF(X97="","PENDING",IF(X97="exclude","DONE",IF(COUNTA(Y97:AC97)=5,"DONE","INCOMPLETE")))</x:f>
        <x:v>PENDING</x:v>
      </x:c>
    </x:row>
    <x:row r="98">
      <x:c r="A98" s="151" t="str">
        <x:v>code|odr</x:v>
      </x:c>
      <x:c r="B98" s="151" t="str">
        <x:v>SV-0118</x:v>
      </x:c>
      <x:c r="C98" s="151" t="str">
        <x:v>PC-00811</x:v>
      </x:c>
      <x:c r="D98" s="151" t="str">
        <x:v>en|both</x:v>
      </x:c>
      <x:c r="E98" s="151" t="n">
        <x:v>19.069444444444443</x:v>
      </x:c>
      <x:c r="F98" s="151" t="str">
        <x:v>Bank of Canada research on retail CBDC feasibility</x:v>
      </x:c>
      <x:c r="G98" s="151" t="str">
        <x:v>However, in later testing, after the compiler had been upgraded along with some libraries, 
the rate of scaling dropped to lower than two times, even though these upgrades were 
unrelated to the core logic .</x:v>
      </x:c>
      <x:c r="H98" s="151" t="str">
        <x:v>keep</x:v>
      </x:c>
      <x:c r="I98" s="151" t="str">
        <x:v>keep</x:v>
      </x:c>
      <x:c r="J98" s="151" t="str">
        <x:v>OPS.resilience</x:v>
      </x:c>
      <x:c r="K98" s="151" t="str">
        <x:v>PROC.pilot_learning</x:v>
      </x:c>
      <x:c r="L98" s="151" t="str">
        <x:v>OPS</x:v>
      </x:c>
      <x:c r="M98" s="151" t="str">
        <x:v>PROC</x:v>
      </x:c>
      <x:c r="N98" s="151" t="str">
        <x:v>proposal</x:v>
      </x:c>
      <x:c r="O98" s="151" t="str">
        <x:v>finding</x:v>
      </x:c>
      <x:c r="P98" s="151" t="str">
        <x:v>neutral</x:v>
      </x:c>
      <x:c r="Q98" s="151" t="str">
        <x:v>neutral</x:v>
      </x:c>
      <x:c r="R98" s="151" t="str">
        <x:v>not_applicable</x:v>
      </x:c>
      <x:c r="S98" s="151" t="str">
        <x:v>not_applicable</x:v>
      </x:c>
      <x:c r="T98" s="151" t="n">
        <x:v>2</x:v>
      </x:c>
      <x:c r="U98" s="151" t="n">
        <x:v>2</x:v>
      </x:c>
      <x:c r="V98" s="151"/>
      <x:c r="W98" s="151"/>
      <x:c r="X98" s="146"/>
      <x:c r="Y98" s="146"/>
      <x:c r="Z98" s="146"/>
      <x:c r="AA98" s="146"/>
      <x:c r="AB98" s="146"/>
      <x:c r="AC98" s="146"/>
      <x:c r="AD98" s="146"/>
      <x:c r="AE98" s="146"/>
      <x:c r="AF98" s="154" t="str">
        <x:f>IF(X98="","PENDING",IF(X98="exclude","DONE",IF(COUNTA(Y98:AC98)=5,"DONE","INCOMPLETE")))</x:f>
        <x:v>PENDING</x:v>
      </x:c>
    </x:row>
    <x:row r="99">
      <x:c r="A99" s="151" t="str">
        <x:v>inclusion</x:v>
      </x:c>
      <x:c r="B99" s="151" t="str">
        <x:v>SV-0119</x:v>
      </x:c>
      <x:c r="C99" s="151" t="str">
        <x:v>PC-02895</x:v>
      </x:c>
      <x:c r="D99" s="151" t="str">
        <x:v>en|both</x:v>
      </x:c>
      <x:c r="E99" s="151" t="n">
        <x:v>19.069444444444443</x:v>
      </x:c>
      <x:c r="F99" s="151" t="str">
        <x:v>Bank of Israel (digital shekel)</x:v>
      </x:c>
      <x:c r="G99" s="151" t="str">
        <x:v>the alias will be presented to the payer to ensure the payment is being 
transferred to the correct payee (confirmation of payee)</x:v>
      </x:c>
      <x:c r="H99" s="151" t="str">
        <x:v>keep</x:v>
      </x:c>
      <x:c r="I99" s="151" t="str">
        <x:v>exclude</x:v>
      </x:c>
      <x:c r="J99" s="151" t="str">
        <x:v>SYS.design</x:v>
      </x:c>
      <x:c r="K99" s="151" t="str">
        <x:v>PROG.generic</x:v>
      </x:c>
      <x:c r="L99" s="151" t="str">
        <x:v>SYS</x:v>
      </x:c>
      <x:c r="M99" s="151" t="str">
        <x:v>PROG</x:v>
      </x:c>
      <x:c r="N99" s="151" t="str">
        <x:v>proposal</x:v>
      </x:c>
      <x:c r="O99" s="151" t="str">
        <x:v>decision</x:v>
      </x:c>
      <x:c r="P99" s="151" t="str">
        <x:v>neutral</x:v>
      </x:c>
      <x:c r="Q99" s="151" t="str">
        <x:v>neutral</x:v>
      </x:c>
      <x:c r="R99" s="151" t="str">
        <x:v>not_applicable</x:v>
      </x:c>
      <x:c r="S99" s="151" t="str">
        <x:v>not_applicable</x:v>
      </x:c>
      <x:c r="T99" s="151" t="n">
        <x:v>2</x:v>
      </x:c>
      <x:c r="U99" s="151" t="n">
        <x:v>2</x:v>
      </x:c>
      <x:c r="V99" s="151"/>
      <x:c r="W99" s="151" t="str">
        <x:v>x</x:v>
      </x:c>
      <x:c r="X99" s="146"/>
      <x:c r="Y99" s="146"/>
      <x:c r="Z99" s="146"/>
      <x:c r="AA99" s="146"/>
      <x:c r="AB99" s="146"/>
      <x:c r="AC99" s="146"/>
      <x:c r="AD99" s="146"/>
      <x:c r="AE99" s="146"/>
      <x:c r="AF99" s="154" t="str">
        <x:f>IF(X99="","PENDING",IF(X99="exclude","DONE",IF(COUNTA(Y99:AC99)=5,"DONE","INCOMPLETE")))</x:f>
        <x:v>PENDING</x:v>
      </x:c>
    </x:row>
    <x:row r="100">
      <x:c r="A100" s="151" t="str">
        <x:v>inclusion</x:v>
      </x:c>
      <x:c r="B100" s="151" t="str">
        <x:v>SV-0121</x:v>
      </x:c>
      <x:c r="C100" s="151" t="str">
        <x:v>PC-06680</x:v>
      </x:c>
      <x:c r="D100" s="151" t="str">
        <x:v>en|openai_only</x:v>
      </x:c>
      <x:c r="E100" s="151" t="n">
        <x:v>19.21875</x:v>
      </x:c>
      <x:c r="F100" s="151" t="str">
        <x:v>Banco Central del Uruguay (e-Peso pilot)</x:v>
      </x:c>
      <x:c r="G100" s="151" t="str">
        <x:v>the main use o f e-Pesos is the same as  
cash, to do small payments and not to compete with other means of payments or at 
least, no to compete in a different way than cash does</x:v>
      </x:c>
      <x:c r="H100" s="151" t="str">
        <x:v>keep</x:v>
      </x:c>
      <x:c r="I100" s="151" t="str">
        <x:v>exclude</x:v>
      </x:c>
      <x:c r="J100" s="151" t="str">
        <x:v>CASH.relation</x:v>
      </x:c>
      <x:c r="K100" s="151"/>
      <x:c r="L100" s="151" t="str">
        <x:v>CASH</x:v>
      </x:c>
      <x:c r="M100" s="151" t="str"/>
      <x:c r="N100" s="151" t="str">
        <x:v>decision</x:v>
      </x:c>
      <x:c r="O100" s="151"/>
      <x:c r="P100" s="151" t="str">
        <x:v>neutral</x:v>
      </x:c>
      <x:c r="Q100" s="151"/>
      <x:c r="R100" s="151" t="str">
        <x:v>not_applicable</x:v>
      </x:c>
      <x:c r="S100" s="151"/>
      <x:c r="T100" s="151" t="n">
        <x:v>2</x:v>
      </x:c>
      <x:c r="U100" s="151"/>
      <x:c r="V100" s="151"/>
      <x:c r="W100" s="151"/>
      <x:c r="X100" s="146"/>
      <x:c r="Y100" s="146"/>
      <x:c r="Z100" s="146"/>
      <x:c r="AA100" s="146"/>
      <x:c r="AB100" s="146"/>
      <x:c r="AC100" s="146"/>
      <x:c r="AD100" s="146"/>
      <x:c r="AE100" s="146"/>
      <x:c r="AF100" s="154" t="str">
        <x:f>IF(X100="","PENDING",IF(X100="exclude","DONE",IF(COUNTA(Y100:AC100)=5,"DONE","INCOMPLETE")))</x:f>
        <x:v>PENDING</x:v>
      </x:c>
    </x:row>
    <x:row r="101">
      <x:c r="A101" s="151" t="str">
        <x:v>inclusion</x:v>
      </x:c>
      <x:c r="B101" s="151" t="str">
        <x:v>SV-0122</x:v>
      </x:c>
      <x:c r="C101" s="151" t="str">
        <x:v>PC-06123</x:v>
      </x:c>
      <x:c r="D101" s="151" t="str">
        <x:v>en|openai_only</x:v>
      </x:c>
      <x:c r="E101" s="151" t="n">
        <x:v>19.21875</x:v>
      </x:c>
      <x:c r="F101" s="151" t="str">
        <x:v>Bank of England and HM Treasury (digital pound)</x:v>
      </x:c>
      <x:c r="G101" s="151" t="str">
        <x:v>Resilient: because CBDC would likely serve as a critical piece of national infrastructure, it would need to be 
able to handle hardware and software failures in parts of the CBDC system, or telecom network failures, while 
sustaining continuity of operations and without having a single point of failure that could break the system. It 
must also be resilient to, and able to adapt to, peaks in demand.</x:v>
      </x:c>
      <x:c r="H101" s="151" t="str">
        <x:v>keep</x:v>
      </x:c>
      <x:c r="I101" s="151" t="str">
        <x:v>exclude</x:v>
      </x:c>
      <x:c r="J101" s="151" t="str">
        <x:v>OPS.resilience</x:v>
      </x:c>
      <x:c r="K101" s="151"/>
      <x:c r="L101" s="151" t="str">
        <x:v>OPS</x:v>
      </x:c>
      <x:c r="M101" s="151" t="str"/>
      <x:c r="N101" s="151" t="str">
        <x:v>proposal</x:v>
      </x:c>
      <x:c r="O101" s="151"/>
      <x:c r="P101" s="151" t="str">
        <x:v>neutral</x:v>
      </x:c>
      <x:c r="Q101" s="151"/>
      <x:c r="R101" s="151" t="str">
        <x:v>not_applicable</x:v>
      </x:c>
      <x:c r="S101" s="151"/>
      <x:c r="T101" s="151" t="n">
        <x:v>3</x:v>
      </x:c>
      <x:c r="U101" s="151"/>
      <x:c r="V101" s="151"/>
      <x:c r="W101" s="151"/>
      <x:c r="X101" s="146"/>
      <x:c r="Y101" s="146"/>
      <x:c r="Z101" s="146"/>
      <x:c r="AA101" s="146"/>
      <x:c r="AB101" s="146"/>
      <x:c r="AC101" s="146"/>
      <x:c r="AD101" s="146"/>
      <x:c r="AE101" s="146"/>
      <x:c r="AF101" s="154" t="str">
        <x:f>IF(X101="","PENDING",IF(X101="exclude","DONE",IF(COUNTA(Y101:AC101)=5,"DONE","INCOMPLETE")))</x:f>
        <x:v>PENDING</x:v>
      </x:c>
    </x:row>
    <x:row r="102">
      <x:c r="A102" s="151" t="str">
        <x:v>code|strength</x:v>
      </x:c>
      <x:c r="B102" s="151" t="str">
        <x:v>SV-0123</x:v>
      </x:c>
      <x:c r="C102" s="151" t="str">
        <x:v>PC-04658</x:v>
      </x:c>
      <x:c r="D102" s="151" t="str">
        <x:v>en|both</x:v>
      </x:c>
      <x:c r="E102" s="151" t="n">
        <x:v>19.069444444444443</x:v>
      </x:c>
      <x:c r="F102" s="151" t="str">
        <x:v>Banco Central de Reserva del Peru</x:v>
      </x:c>
      <x:c r="G102" s="151" t="str">
        <x:v>By offering a 
payment instrument that is accepted in the same places that cash is accepted, a CBDC can help keep 
money flows received in money transfers primarily in the financial system.</x:v>
      </x:c>
      <x:c r="H102" s="151" t="str">
        <x:v>keep</x:v>
      </x:c>
      <x:c r="I102" s="151" t="str">
        <x:v>keep</x:v>
      </x:c>
      <x:c r="J102" s="151" t="str">
        <x:v>ADOPT.experience</x:v>
      </x:c>
      <x:c r="K102" s="151" t="str">
        <x:v>ACCESS.universal</x:v>
      </x:c>
      <x:c r="L102" s="151" t="str">
        <x:v>ADOPT</x:v>
      </x:c>
      <x:c r="M102" s="151" t="str">
        <x:v>ACCESS</x:v>
      </x:c>
      <x:c r="N102" s="151" t="str">
        <x:v>proposal</x:v>
      </x:c>
      <x:c r="O102" s="151" t="str">
        <x:v>proposal</x:v>
      </x:c>
      <x:c r="P102" s="151" t="str">
        <x:v>neutral</x:v>
      </x:c>
      <x:c r="Q102" s="151" t="str">
        <x:v>neutral</x:v>
      </x:c>
      <x:c r="R102" s="151" t="str">
        <x:v>not_applicable</x:v>
      </x:c>
      <x:c r="S102" s="151" t="str">
        <x:v>not_applicable</x:v>
      </x:c>
      <x:c r="T102" s="151" t="n">
        <x:v>3</x:v>
      </x:c>
      <x:c r="U102" s="151" t="n">
        <x:v>2</x:v>
      </x:c>
      <x:c r="V102" s="151"/>
      <x:c r="W102" s="151"/>
      <x:c r="X102" s="146"/>
      <x:c r="Y102" s="146"/>
      <x:c r="Z102" s="146"/>
      <x:c r="AA102" s="146"/>
      <x:c r="AB102" s="146"/>
      <x:c r="AC102" s="146"/>
      <x:c r="AD102" s="146"/>
      <x:c r="AE102" s="146"/>
      <x:c r="AF102" s="154" t="str">
        <x:f>IF(X102="","PENDING",IF(X102="exclude","DONE",IF(COUNTA(Y102:AC102)=5,"DONE","INCOMPLETE")))</x:f>
        <x:v>PENDING</x:v>
      </x:c>
    </x:row>
    <x:row r="103">
      <x:c r="A103" s="151" t="str">
        <x:v>inclusion</x:v>
      </x:c>
      <x:c r="B103" s="151" t="str">
        <x:v>SV-0124</x:v>
      </x:c>
      <x:c r="C103" s="151" t="str">
        <x:v>PC-04203</x:v>
      </x:c>
      <x:c r="D103" s="151" t="str">
        <x:v>en|openai_only</x:v>
      </x:c>
      <x:c r="E103" s="151" t="n">
        <x:v>19.21875</x:v>
      </x:c>
      <x:c r="F103" s="151" t="str">
        <x:v>Norges Bank</x:v>
      </x:c>
      <x:c r="G103" s="151" t="str">
        <x:v>Det trengs trolig en form for nettbank for regningsbetalinger og andre større betalinger 
konto-til-konto.</x:v>
      </x:c>
      <x:c r="H103" s="151" t="str">
        <x:v>keep</x:v>
      </x:c>
      <x:c r="I103" s="151" t="str">
        <x:v>exclude</x:v>
      </x:c>
      <x:c r="J103" s="151" t="str">
        <x:v>SYS.design</x:v>
      </x:c>
      <x:c r="K103" s="151"/>
      <x:c r="L103" s="151" t="str">
        <x:v>SYS</x:v>
      </x:c>
      <x:c r="M103" s="151" t="str"/>
      <x:c r="N103" s="151" t="str">
        <x:v>proposal</x:v>
      </x:c>
      <x:c r="O103" s="151"/>
      <x:c r="P103" s="151" t="str">
        <x:v>neutral</x:v>
      </x:c>
      <x:c r="Q103" s="151"/>
      <x:c r="R103" s="151" t="str">
        <x:v>not_applicable</x:v>
      </x:c>
      <x:c r="S103" s="151"/>
      <x:c r="T103" s="151" t="n">
        <x:v>2</x:v>
      </x:c>
      <x:c r="U103" s="151"/>
      <x:c r="V103" s="151"/>
      <x:c r="W103" s="151"/>
      <x:c r="X103" s="146"/>
      <x:c r="Y103" s="146"/>
      <x:c r="Z103" s="146"/>
      <x:c r="AA103" s="146"/>
      <x:c r="AB103" s="146"/>
      <x:c r="AC103" s="146"/>
      <x:c r="AD103" s="146"/>
      <x:c r="AE103" s="146"/>
      <x:c r="AF103" s="154" t="str">
        <x:f>IF(X103="","PENDING",IF(X103="exclude","DONE",IF(COUNTA(Y103:AC103)=5,"DONE","INCOMPLETE")))</x:f>
        <x:v>PENDING</x:v>
      </x:c>
    </x:row>
    <x:row r="104">
      <x:c r="A104" s="151" t="str">
        <x:v>inclusion</x:v>
      </x:c>
      <x:c r="B104" s="151" t="str">
        <x:v>SV-0125</x:v>
      </x:c>
      <x:c r="C104" s="151" t="str">
        <x:v>PC-01720</x:v>
      </x:c>
      <x:c r="D104" s="151" t="str">
        <x:v>en|claude_only</x:v>
      </x:c>
      <x:c r="E104" s="151" t="n">
        <x:v>19.375</x:v>
      </x:c>
      <x:c r="F104" s="151" t="str">
        <x:v>Bank of Ghana (eCedi)</x:v>
      </x:c>
      <x:c r="G104" s="151" t="str">
        <x:v>The eCedi solution was tested in the field in online and offline scenarios with the overarching 
objective of assessing the feasibility of introducing a user-centered and inclusive digital version of 
the Ghana Cedi.</x:v>
      </x:c>
      <x:c r="H104" s="151" t="str">
        <x:v>exclude</x:v>
      </x:c>
      <x:c r="I104" s="151" t="str">
        <x:v>keep</x:v>
      </x:c>
      <x:c r="J104" s="151"/>
      <x:c r="K104" s="151" t="str">
        <x:v>SYS.design</x:v>
      </x:c>
      <x:c r="L104" s="151" t="str"/>
      <x:c r="M104" s="151" t="str">
        <x:v>SYS</x:v>
      </x:c>
      <x:c r="N104" s="151"/>
      <x:c r="O104" s="151" t="str">
        <x:v>decision</x:v>
      </x:c>
      <x:c r="P104" s="151"/>
      <x:c r="Q104" s="151" t="str">
        <x:v>neutral</x:v>
      </x:c>
      <x:c r="R104" s="151"/>
      <x:c r="S104" s="151" t="str">
        <x:v>not_applicable</x:v>
      </x:c>
      <x:c r="T104" s="151"/>
      <x:c r="U104" s="151" t="n">
        <x:v>2</x:v>
      </x:c>
      <x:c r="V104" s="151"/>
      <x:c r="W104" s="151"/>
      <x:c r="X104" s="146"/>
      <x:c r="Y104" s="146"/>
      <x:c r="Z104" s="146"/>
      <x:c r="AA104" s="146"/>
      <x:c r="AB104" s="146"/>
      <x:c r="AC104" s="146"/>
      <x:c r="AD104" s="146"/>
      <x:c r="AE104" s="146"/>
      <x:c r="AF104" s="154" t="str">
        <x:f>IF(X104="","PENDING",IF(X104="exclude","DONE",IF(COUNTA(Y104:AC104)=5,"DONE","INCOMPLETE")))</x:f>
        <x:v>PENDING</x:v>
      </x:c>
    </x:row>
    <x:row r="105">
      <x:c r="A105" s="151" t="str">
        <x:v>inclusion</x:v>
      </x:c>
      <x:c r="B105" s="151" t="str">
        <x:v>SV-0127</x:v>
      </x:c>
      <x:c r="C105" s="151" t="str">
        <x:v>PC-04226</x:v>
      </x:c>
      <x:c r="D105" s="151" t="str">
        <x:v>en|openai_only</x:v>
      </x:c>
      <x:c r="E105" s="151" t="n">
        <x:v>19.21875</x:v>
      </x:c>
      <x:c r="F105" s="151" t="str">
        <x:v>Norges Bank</x:v>
      </x:c>
      <x:c r="G105" s="151" t="str">
        <x:v>Løsningen skal være tilgjengelig 24 timer i døgnet, 365 dager i 
året.</x:v>
      </x:c>
      <x:c r="H105" s="151" t="str">
        <x:v>keep</x:v>
      </x:c>
      <x:c r="I105" s="151" t="str">
        <x:v>exclude</x:v>
      </x:c>
      <x:c r="J105" s="151" t="str">
        <x:v>OPS.resilience</x:v>
      </x:c>
      <x:c r="K105" s="151"/>
      <x:c r="L105" s="151" t="str">
        <x:v>OPS</x:v>
      </x:c>
      <x:c r="M105" s="151" t="str"/>
      <x:c r="N105" s="151" t="str">
        <x:v>proposal</x:v>
      </x:c>
      <x:c r="O105" s="151"/>
      <x:c r="P105" s="151" t="str">
        <x:v>neutral</x:v>
      </x:c>
      <x:c r="Q105" s="151"/>
      <x:c r="R105" s="151" t="str">
        <x:v>not_applicable</x:v>
      </x:c>
      <x:c r="S105" s="151"/>
      <x:c r="T105" s="151" t="n">
        <x:v>2</x:v>
      </x:c>
      <x:c r="U105" s="151"/>
      <x:c r="V105" s="151"/>
      <x:c r="W105" s="151"/>
      <x:c r="X105" s="146"/>
      <x:c r="Y105" s="146"/>
      <x:c r="Z105" s="146"/>
      <x:c r="AA105" s="146"/>
      <x:c r="AB105" s="146"/>
      <x:c r="AC105" s="146"/>
      <x:c r="AD105" s="146"/>
      <x:c r="AE105" s="146"/>
      <x:c r="AF105" s="154" t="str">
        <x:f>IF(X105="","PENDING",IF(X105="exclude","DONE",IF(COUNTA(Y105:AC105)=5,"DONE","INCOMPLETE")))</x:f>
        <x:v>PENDING</x:v>
      </x:c>
    </x:row>
    <x:row r="106">
      <x:c r="A106" s="151" t="str">
        <x:v>strength</x:v>
      </x:c>
      <x:c r="B106" s="151" t="str">
        <x:v>SV-0129</x:v>
      </x:c>
      <x:c r="C106" s="151" t="str">
        <x:v>PC-01487</x:v>
      </x:c>
      <x:c r="D106" s="151" t="str">
        <x:v>en|both</x:v>
      </x:c>
      <x:c r="E106" s="151" t="n">
        <x:v>19.069444444444443</x:v>
      </x:c>
      <x:c r="F106" s="151" t="str">
        <x:v>European Central Bank / Eurosystem (digital euro)</x:v>
      </x:c>
      <x:c r="G106" s="151" t="str">
        <x:v>Overall, the analysis confirmed that holding limits can effectively restrict deposit outflows from
the banking sector, safeguarding financial stability and supporting the effective formulation and
implementation of monetary policy.</x:v>
      </x:c>
      <x:c r="H106" s="151" t="str">
        <x:v>keep</x:v>
      </x:c>
      <x:c r="I106" s="151" t="str">
        <x:v>keep</x:v>
      </x:c>
      <x:c r="J106" s="151" t="str">
        <x:v>AML.LIMIT</x:v>
      </x:c>
      <x:c r="K106" s="151" t="str">
        <x:v>AML.LIMIT</x:v>
      </x:c>
      <x:c r="L106" s="151" t="str">
        <x:v>AML</x:v>
      </x:c>
      <x:c r="M106" s="151" t="str">
        <x:v>AML</x:v>
      </x:c>
      <x:c r="N106" s="151" t="str">
        <x:v>finding</x:v>
      </x:c>
      <x:c r="O106" s="151" t="str">
        <x:v>finding</x:v>
      </x:c>
      <x:c r="P106" s="151" t="str">
        <x:v>neutral</x:v>
      </x:c>
      <x:c r="Q106" s="151" t="str">
        <x:v>neutral</x:v>
      </x:c>
      <x:c r="R106" s="151" t="str">
        <x:v>not_applicable</x:v>
      </x:c>
      <x:c r="S106" s="151" t="str">
        <x:v>not_applicable</x:v>
      </x:c>
      <x:c r="T106" s="151" t="n">
        <x:v>3</x:v>
      </x:c>
      <x:c r="U106" s="151" t="n">
        <x:v>2</x:v>
      </x:c>
      <x:c r="V106" s="151"/>
      <x:c r="W106" s="151"/>
      <x:c r="X106" s="146"/>
      <x:c r="Y106" s="146"/>
      <x:c r="Z106" s="146"/>
      <x:c r="AA106" s="146"/>
      <x:c r="AB106" s="146"/>
      <x:c r="AC106" s="146"/>
      <x:c r="AD106" s="146"/>
      <x:c r="AE106" s="146"/>
      <x:c r="AF106" s="154" t="str">
        <x:f>IF(X106="","PENDING",IF(X106="exclude","DONE",IF(COUNTA(Y106:AC106)=5,"DONE","INCOMPLETE")))</x:f>
        <x:v>PENDING</x:v>
      </x:c>
    </x:row>
    <x:row r="107">
      <x:c r="A107" s="151" t="str">
        <x:v>inclusion</x:v>
      </x:c>
      <x:c r="B107" s="151" t="str">
        <x:v>SV-0130</x:v>
      </x:c>
      <x:c r="C107" s="151" t="str">
        <x:v>PC-03635</x:v>
      </x:c>
      <x:c r="D107" s="151" t="str">
        <x:v>en|claude_only</x:v>
      </x:c>
      <x:c r="E107" s="151" t="n">
        <x:v>19.375</x:v>
      </x:c>
      <x:c r="F107" s="151" t="str">
        <x:v>Banca d'Italia research context</x:v>
      </x:c>
      <x:c r="G107" s="151" t="str">
        <x:v>having a component that can be remunerated and whose 
individual holdings can be controlled, coupled with a more cash-like one and 
also offering innovative features, such as the programmability of the money.</x:v>
      </x:c>
      <x:c r="H107" s="151" t="str">
        <x:v>exclude</x:v>
      </x:c>
      <x:c r="I107" s="151" t="str">
        <x:v>keep</x:v>
      </x:c>
      <x:c r="J107" s="151"/>
      <x:c r="K107" s="151" t="str">
        <x:v>PROG.remuneration_considered</x:v>
      </x:c>
      <x:c r="L107" s="151" t="str"/>
      <x:c r="M107" s="151" t="str">
        <x:v>PROG</x:v>
      </x:c>
      <x:c r="N107" s="151"/>
      <x:c r="O107" s="151" t="str">
        <x:v>proposal</x:v>
      </x:c>
      <x:c r="P107" s="151"/>
      <x:c r="Q107" s="151" t="str">
        <x:v>neutral</x:v>
      </x:c>
      <x:c r="R107" s="151"/>
      <x:c r="S107" s="151" t="str">
        <x:v>not_applicable</x:v>
      </x:c>
      <x:c r="T107" s="151"/>
      <x:c r="U107" s="151" t="n">
        <x:v>2</x:v>
      </x:c>
      <x:c r="V107" s="151"/>
      <x:c r="W107" s="151"/>
      <x:c r="X107" s="146"/>
      <x:c r="Y107" s="146"/>
      <x:c r="Z107" s="146"/>
      <x:c r="AA107" s="146"/>
      <x:c r="AB107" s="146"/>
      <x:c r="AC107" s="146"/>
      <x:c r="AD107" s="146"/>
      <x:c r="AE107" s="146"/>
      <x:c r="AF107" s="154" t="str">
        <x:f>IF(X107="","PENDING",IF(X107="exclude","DONE",IF(COUNTA(Y107:AC107)=5,"DONE","INCOMPLETE")))</x:f>
        <x:v>PENDING</x:v>
      </x:c>
    </x:row>
    <x:row r="108">
      <x:c r="A108" s="151" t="str">
        <x:v>strength</x:v>
      </x:c>
      <x:c r="B108" s="151" t="str">
        <x:v>SV-0131</x:v>
      </x:c>
      <x:c r="C108" s="151" t="str">
        <x:v>PC-06217</x:v>
      </x:c>
      <x:c r="D108" s="151" t="str">
        <x:v>en|both</x:v>
      </x:c>
      <x:c r="E108" s="151" t="n">
        <x:v>19.069444444444443</x:v>
      </x:c>
      <x:c r="F108" s="151" t="str">
        <x:v>Bank of England and HM Treasury (digital pound)</x:v>
      </x:c>
      <x:c r="G108" s="151" t="str">
        <x:v>Personal data collected during user  
on-boarding and payment transactions 
should, by default, be limited to that required 
for those purposes.</x:v>
      </x:c>
      <x:c r="H108" s="151" t="str">
        <x:v>keep</x:v>
      </x:c>
      <x:c r="I108" s="151" t="str">
        <x:v>keep</x:v>
      </x:c>
      <x:c r="J108" s="151" t="str">
        <x:v>PRIV.MIN</x:v>
      </x:c>
      <x:c r="K108" s="151" t="str">
        <x:v>PRIV.MIN</x:v>
      </x:c>
      <x:c r="L108" s="151" t="str">
        <x:v>PRIV</x:v>
      </x:c>
      <x:c r="M108" s="151" t="str">
        <x:v>PRIV</x:v>
      </x:c>
      <x:c r="N108" s="151" t="str">
        <x:v>proposal</x:v>
      </x:c>
      <x:c r="O108" s="151" t="str">
        <x:v>proposal</x:v>
      </x:c>
      <x:c r="P108" s="151" t="str">
        <x:v>increases</x:v>
      </x:c>
      <x:c r="Q108" s="151" t="str">
        <x:v>increases</x:v>
      </x:c>
      <x:c r="R108" s="151" t="str">
        <x:v>from_intermediary</x:v>
      </x:c>
      <x:c r="S108" s="151" t="str">
        <x:v>from_intermediary</x:v>
      </x:c>
      <x:c r="T108" s="151" t="n">
        <x:v>3</x:v>
      </x:c>
      <x:c r="U108" s="151" t="n">
        <x:v>2</x:v>
      </x:c>
      <x:c r="V108" s="151"/>
      <x:c r="W108" s="151"/>
      <x:c r="X108" s="146"/>
      <x:c r="Y108" s="146"/>
      <x:c r="Z108" s="146"/>
      <x:c r="AA108" s="146"/>
      <x:c r="AB108" s="146"/>
      <x:c r="AC108" s="146"/>
      <x:c r="AD108" s="146"/>
      <x:c r="AE108" s="146"/>
      <x:c r="AF108" s="154" t="str">
        <x:f>IF(X108="","PENDING",IF(X108="exclude","DONE",IF(COUNTA(Y108:AC108)=5,"DONE","INCOMPLETE")))</x:f>
        <x:v>PENDING</x:v>
      </x:c>
    </x:row>
    <x:row r="109">
      <x:c r="A109" s="151" t="str">
        <x:v>code</x:v>
      </x:c>
      <x:c r="B109" s="151" t="str">
        <x:v>SV-0132</x:v>
      </x:c>
      <x:c r="C109" s="151" t="str">
        <x:v>PC-06567</x:v>
      </x:c>
      <x:c r="D109" s="151" t="str">
        <x:v>en|both</x:v>
      </x:c>
      <x:c r="E109" s="151" t="n">
        <x:v>19.069444444444443</x:v>
      </x:c>
      <x:c r="F109" s="151" t="str">
        <x:v>United States federal executive policy on CBDC</x:v>
      </x:c>
      <x:c r="G109" s="151" t="str">
        <x:v>(v) taking measures to protect Americans from the risks of Central Bank 
Digital Currencies (CBDCs), which threaten the stability of the financial 
system, individual privacy, and the sovereignty of the United States, in-
cluding by prohibiting the establishment, issuance, circulation, and use 
of a CBDC within the jurisdiction of the United States.</x:v>
      </x:c>
      <x:c r="H109" s="151" t="str">
        <x:v>keep</x:v>
      </x:c>
      <x:c r="I109" s="151" t="str">
        <x:v>keep</x:v>
      </x:c>
      <x:c r="J109" s="151" t="str">
        <x:v>OTHER.keep</x:v>
      </x:c>
      <x:c r="K109" s="151" t="str">
        <x:v>LEGAL.basis</x:v>
      </x:c>
      <x:c r="L109" s="151" t="str">
        <x:v>OTHER</x:v>
      </x:c>
      <x:c r="M109" s="151" t="str">
        <x:v>LEGAL</x:v>
      </x:c>
      <x:c r="N109" s="151" t="str">
        <x:v>decision</x:v>
      </x:c>
      <x:c r="O109" s="151" t="str">
        <x:v>decision</x:v>
      </x:c>
      <x:c r="P109" s="151" t="str">
        <x:v>neutral</x:v>
      </x:c>
      <x:c r="Q109" s="151" t="str">
        <x:v>neutral</x:v>
      </x:c>
      <x:c r="R109" s="151" t="str">
        <x:v>not_applicable</x:v>
      </x:c>
      <x:c r="S109" s="151" t="str">
        <x:v>not_applicable</x:v>
      </x:c>
      <x:c r="T109" s="151" t="n">
        <x:v>3</x:v>
      </x:c>
      <x:c r="U109" s="151" t="n">
        <x:v>3</x:v>
      </x:c>
      <x:c r="V109" s="151"/>
      <x:c r="W109" s="151"/>
      <x:c r="X109" s="146"/>
      <x:c r="Y109" s="146"/>
      <x:c r="Z109" s="146"/>
      <x:c r="AA109" s="146"/>
      <x:c r="AB109" s="146"/>
      <x:c r="AC109" s="146"/>
      <x:c r="AD109" s="146"/>
      <x:c r="AE109" s="146"/>
      <x:c r="AF109" s="154" t="str">
        <x:f>IF(X109="","PENDING",IF(X109="exclude","DONE",IF(COUNTA(Y109:AC109)=5,"DONE","INCOMPLETE")))</x:f>
        <x:v>PENDING</x:v>
      </x:c>
    </x:row>
    <x:row r="110">
      <x:c r="A110" s="151" t="str">
        <x:v>inclusion</x:v>
      </x:c>
      <x:c r="B110" s="151" t="str">
        <x:v>SV-0133</x:v>
      </x:c>
      <x:c r="C110" s="151" t="str">
        <x:v>PC-01001</x:v>
      </x:c>
      <x:c r="D110" s="151" t="str">
        <x:v>en|openai_only</x:v>
      </x:c>
      <x:c r="E110" s="151" t="n">
        <x:v>19.21875</x:v>
      </x:c>
      <x:c r="F110" s="151" t="str">
        <x:v>Bank of Canada and Payments Canada (Project Jasper)</x:v>
      </x:c>
      <x:c r="G110" s="151" t="str">
        <x:v>The Bank will perform the  
review of the DDR LSM Object, add its signature and 
return the DDR LSM Object back to the sending  
participant.</x:v>
      </x:c>
      <x:c r="H110" s="151" t="str">
        <x:v>keep</x:v>
      </x:c>
      <x:c r="I110" s="151" t="str">
        <x:v>exclude</x:v>
      </x:c>
      <x:c r="J110" s="151" t="str">
        <x:v>INST.mandate</x:v>
      </x:c>
      <x:c r="K110" s="151"/>
      <x:c r="L110" s="151" t="str">
        <x:v>INST</x:v>
      </x:c>
      <x:c r="M110" s="151" t="str"/>
      <x:c r="N110" s="151" t="str">
        <x:v>decision</x:v>
      </x:c>
      <x:c r="O110" s="151"/>
      <x:c r="P110" s="151" t="str">
        <x:v>neutral</x:v>
      </x:c>
      <x:c r="Q110" s="151"/>
      <x:c r="R110" s="151" t="str">
        <x:v>not_applicable</x:v>
      </x:c>
      <x:c r="S110" s="151"/>
      <x:c r="T110" s="151" t="n">
        <x:v>2</x:v>
      </x:c>
      <x:c r="U110" s="151"/>
      <x:c r="V110" s="151"/>
      <x:c r="W110" s="151"/>
      <x:c r="X110" s="146"/>
      <x:c r="Y110" s="146"/>
      <x:c r="Z110" s="146"/>
      <x:c r="AA110" s="146"/>
      <x:c r="AB110" s="146"/>
      <x:c r="AC110" s="146"/>
      <x:c r="AD110" s="146"/>
      <x:c r="AE110" s="146"/>
      <x:c r="AF110" s="154" t="str">
        <x:f>IF(X110="","PENDING",IF(X110="exclude","DONE",IF(COUNTA(Y110:AC110)=5,"DONE","INCOMPLETE")))</x:f>
        <x:v>PENDING</x:v>
      </x:c>
    </x:row>
    <x:row r="111">
      <x:c r="A111" s="151" t="str">
        <x:v>inclusion</x:v>
      </x:c>
      <x:c r="B111" s="151" t="str">
        <x:v>SV-0134</x:v>
      </x:c>
      <x:c r="C111" s="151" t="str">
        <x:v>PC-03750</x:v>
      </x:c>
      <x:c r="D111" s="151" t="str">
        <x:v>ja|claude_only</x:v>
      </x:c>
      <x:c r="E111" s="151" t="n">
        <x:v>4</x:v>
      </x:c>
      <x:c r="F111" s="151" t="str">
        <x:v>Bank of Japan (CBDC pilot)</x:v>
      </x:c>
      <x:c r="G111" s="151" t="str">
        <x:v>性能・事務量については、概念実証より高負荷に対応可能なシステム 5の構
築を目指し、仮に将来、社会実装することとなった場合の性能要件実現に向けた技術
的な留意点や解決策の洗い出し・評価を行う予定である。</x:v>
      </x:c>
      <x:c r="H111" s="151" t="str">
        <x:v>exclude</x:v>
      </x:c>
      <x:c r="I111" s="151" t="str">
        <x:v>keep</x:v>
      </x:c>
      <x:c r="J111" s="151"/>
      <x:c r="K111" s="151" t="str">
        <x:v>SYS.design</x:v>
      </x:c>
      <x:c r="L111" s="151" t="str"/>
      <x:c r="M111" s="151" t="str">
        <x:v>SYS</x:v>
      </x:c>
      <x:c r="N111" s="151"/>
      <x:c r="O111" s="151" t="str">
        <x:v>proposal</x:v>
      </x:c>
      <x:c r="P111" s="151"/>
      <x:c r="Q111" s="151" t="str">
        <x:v>neutral</x:v>
      </x:c>
      <x:c r="R111" s="151"/>
      <x:c r="S111" s="151" t="str">
        <x:v>not_applicable</x:v>
      </x:c>
      <x:c r="T111" s="151"/>
      <x:c r="U111" s="151" t="n">
        <x:v>2</x:v>
      </x:c>
      <x:c r="V111" s="151"/>
      <x:c r="W111" s="151"/>
      <x:c r="X111" s="146"/>
      <x:c r="Y111" s="146"/>
      <x:c r="Z111" s="146"/>
      <x:c r="AA111" s="146"/>
      <x:c r="AB111" s="146"/>
      <x:c r="AC111" s="146"/>
      <x:c r="AD111" s="146"/>
      <x:c r="AE111" s="146"/>
      <x:c r="AF111" s="154" t="str">
        <x:f>IF(X111="","PENDING",IF(X111="exclude","DONE",IF(COUNTA(Y111:AC111)=5,"DONE","INCOMPLETE")))</x:f>
        <x:v>PENDING</x:v>
      </x:c>
    </x:row>
    <x:row r="112">
      <x:c r="A112" s="151" t="str">
        <x:v>inclusion</x:v>
      </x:c>
      <x:c r="B112" s="151" t="str">
        <x:v>SV-0135</x:v>
      </x:c>
      <x:c r="C112" s="151" t="str">
        <x:v>PC-04480</x:v>
      </x:c>
      <x:c r="D112" s="151" t="str">
        <x:v>en|claude_only</x:v>
      </x:c>
      <x:c r="E112" s="151" t="n">
        <x:v>19.375</x:v>
      </x:c>
      <x:c r="F112" s="151" t="str">
        <x:v>Norges Bank</x:v>
      </x:c>
      <x:c r="G112" s="151" t="str">
        <x:v>The impression is that DLT requires more detailed specification of 
characteristics than account-based solutions, in part because there may be 
cases of doubt as to whether the characteristics have been fulfilled.</x:v>
      </x:c>
      <x:c r="H112" s="151" t="str">
        <x:v>exclude</x:v>
      </x:c>
      <x:c r="I112" s="151" t="str">
        <x:v>keep</x:v>
      </x:c>
      <x:c r="J112" s="151"/>
      <x:c r="K112" s="151" t="str">
        <x:v>TECH.DLT</x:v>
      </x:c>
      <x:c r="L112" s="151" t="str"/>
      <x:c r="M112" s="151" t="str">
        <x:v>TECH</x:v>
      </x:c>
      <x:c r="N112" s="151"/>
      <x:c r="O112" s="151" t="str">
        <x:v>finding</x:v>
      </x:c>
      <x:c r="P112" s="151"/>
      <x:c r="Q112" s="151" t="str">
        <x:v>neutral</x:v>
      </x:c>
      <x:c r="R112" s="151"/>
      <x:c r="S112" s="151" t="str">
        <x:v>not_applicable</x:v>
      </x:c>
      <x:c r="T112" s="151"/>
      <x:c r="U112" s="151" t="n">
        <x:v>2</x:v>
      </x:c>
      <x:c r="V112" s="151"/>
      <x:c r="W112" s="151"/>
      <x:c r="X112" s="146"/>
      <x:c r="Y112" s="146"/>
      <x:c r="Z112" s="146"/>
      <x:c r="AA112" s="146"/>
      <x:c r="AB112" s="146"/>
      <x:c r="AC112" s="146"/>
      <x:c r="AD112" s="146"/>
      <x:c r="AE112" s="146"/>
      <x:c r="AF112" s="154" t="str">
        <x:f>IF(X112="","PENDING",IF(X112="exclude","DONE",IF(COUNTA(Y112:AC112)=5,"DONE","INCOMPLETE")))</x:f>
        <x:v>PENDING</x:v>
      </x:c>
    </x:row>
    <x:row r="113">
      <x:c r="A113" s="151" t="str">
        <x:v>inclusion</x:v>
      </x:c>
      <x:c r="B113" s="151" t="str">
        <x:v>SV-0136</x:v>
      </x:c>
      <x:c r="C113" s="151" t="str">
        <x:v>PC-00621</x:v>
      </x:c>
      <x:c r="D113" s="151" t="str">
        <x:v>en|openai_only</x:v>
      </x:c>
      <x:c r="E113" s="151" t="n">
        <x:v>19.21875</x:v>
      </x:c>
      <x:c r="F113" s="151" t="str">
        <x:v>Bank of Canada</x:v>
      </x:c>
      <x:c r="G113" s="151" t="str">
        <x:v>The central bank would exchange reserves, bank notes and CBDC at par with financial 
institutions that have an account at the central bank, just as reserves and bank notes are 
exchanged at par today. This would lead to par exchange of bank notes and CBDC 
among the general public.</x:v>
      </x:c>
      <x:c r="H113" s="151" t="str">
        <x:v>keep</x:v>
      </x:c>
      <x:c r="I113" s="151" t="str">
        <x:v>exclude</x:v>
      </x:c>
      <x:c r="J113" s="151" t="str">
        <x:v>INTEROP.domestic</x:v>
      </x:c>
      <x:c r="K113" s="151"/>
      <x:c r="L113" s="151" t="str">
        <x:v>INTEROP</x:v>
      </x:c>
      <x:c r="M113" s="151" t="str"/>
      <x:c r="N113" s="151" t="str">
        <x:v>proposal</x:v>
      </x:c>
      <x:c r="O113" s="151"/>
      <x:c r="P113" s="151" t="str">
        <x:v>neutral</x:v>
      </x:c>
      <x:c r="Q113" s="151"/>
      <x:c r="R113" s="151" t="str">
        <x:v>not_applicable</x:v>
      </x:c>
      <x:c r="S113" s="151"/>
      <x:c r="T113" s="151" t="n">
        <x:v>2</x:v>
      </x:c>
      <x:c r="U113" s="151"/>
      <x:c r="V113" s="151"/>
      <x:c r="W113" s="151"/>
      <x:c r="X113" s="146"/>
      <x:c r="Y113" s="146"/>
      <x:c r="Z113" s="146"/>
      <x:c r="AA113" s="146"/>
      <x:c r="AB113" s="146"/>
      <x:c r="AC113" s="146"/>
      <x:c r="AD113" s="146"/>
      <x:c r="AE113" s="146"/>
      <x:c r="AF113" s="154" t="str">
        <x:f>IF(X113="","PENDING",IF(X113="exclude","DONE",IF(COUNTA(Y113:AC113)=5,"DONE","INCOMPLETE")))</x:f>
        <x:v>PENDING</x:v>
      </x:c>
    </x:row>
    <x:row r="114">
      <x:c r="A114" s="151" t="str">
        <x:v>code</x:v>
      </x:c>
      <x:c r="B114" s="151" t="str">
        <x:v>SV-0137</x:v>
      </x:c>
      <x:c r="C114" s="151" t="str">
        <x:v>PC-04959</x:v>
      </x:c>
      <x:c r="D114" s="151" t="str">
        <x:v>en|both</x:v>
      </x:c>
      <x:c r="E114" s="151" t="n">
        <x:v>19.069444444444443</x:v>
      </x:c>
      <x:c r="F114" s="151" t="str">
        <x:v>Bank of Russia (digital ruble)</x:v>
      </x:c>
      <x:c r="G114" s="151" t="str">
        <x:v>The interfaces for digital ruble devices and apps must support simple and user-friendly complaint 
procedures.</x:v>
      </x:c>
      <x:c r="H114" s="151" t="str">
        <x:v>keep</x:v>
      </x:c>
      <x:c r="I114" s="151" t="str">
        <x:v>keep</x:v>
      </x:c>
      <x:c r="J114" s="151" t="str">
        <x:v>ADOPT.experience</x:v>
      </x:c>
      <x:c r="K114" s="151" t="str">
        <x:v>INTEROP.domestic</x:v>
      </x:c>
      <x:c r="L114" s="151" t="str">
        <x:v>ADOPT</x:v>
      </x:c>
      <x:c r="M114" s="151" t="str">
        <x:v>INTEROP</x:v>
      </x:c>
      <x:c r="N114" s="151" t="str">
        <x:v>proposal</x:v>
      </x:c>
      <x:c r="O114" s="151" t="str">
        <x:v>proposal</x:v>
      </x:c>
      <x:c r="P114" s="151" t="str">
        <x:v>neutral</x:v>
      </x:c>
      <x:c r="Q114" s="151" t="str">
        <x:v>neutral</x:v>
      </x:c>
      <x:c r="R114" s="151" t="str">
        <x:v>not_applicable</x:v>
      </x:c>
      <x:c r="S114" s="151" t="str">
        <x:v>not_applicable</x:v>
      </x:c>
      <x:c r="T114" s="151" t="n">
        <x:v>2</x:v>
      </x:c>
      <x:c r="U114" s="151" t="n">
        <x:v>2</x:v>
      </x:c>
      <x:c r="V114" s="151"/>
      <x:c r="W114" s="151"/>
      <x:c r="X114" s="146"/>
      <x:c r="Y114" s="146"/>
      <x:c r="Z114" s="146"/>
      <x:c r="AA114" s="146"/>
      <x:c r="AB114" s="146"/>
      <x:c r="AC114" s="146"/>
      <x:c r="AD114" s="146"/>
      <x:c r="AE114" s="146"/>
      <x:c r="AF114" s="154" t="str">
        <x:f>IF(X114="","PENDING",IF(X114="exclude","DONE",IF(COUNTA(Y114:AC114)=5,"DONE","INCOMPLETE")))</x:f>
        <x:v>PENDING</x:v>
      </x:c>
    </x:row>
    <x:row r="115">
      <x:c r="A115" s="151" t="str">
        <x:v>code</x:v>
      </x:c>
      <x:c r="B115" s="151" t="str">
        <x:v>SV-0138</x:v>
      </x:c>
      <x:c r="C115" s="151" t="str">
        <x:v>PC-04701</x:v>
      </x:c>
      <x:c r="D115" s="151" t="str">
        <x:v>en|both</x:v>
      </x:c>
      <x:c r="E115" s="151" t="n">
        <x:v>19.069444444444443</x:v>
      </x:c>
      <x:c r="F115" s="151" t="str">
        <x:v>Bangko Sentral ng Pilipinas</x:v>
      </x:c>
      <x:c r="G115" s="151" t="str">
        <x:v>CBDC shall be designed taking into account 
the risks, challenges and opportunities for 
payments innovation in a manner that 
serves the evolving needs of the national 
payment system</x:v>
      </x:c>
      <x:c r="H115" s="151" t="str">
        <x:v>keep</x:v>
      </x:c>
      <x:c r="I115" s="151" t="str">
        <x:v>keep</x:v>
      </x:c>
      <x:c r="J115" s="151" t="str">
        <x:v>SYS.design</x:v>
      </x:c>
      <x:c r="K115" s="151" t="str">
        <x:v>INST.mandate</x:v>
      </x:c>
      <x:c r="L115" s="151" t="str">
        <x:v>SYS</x:v>
      </x:c>
      <x:c r="M115" s="151" t="str">
        <x:v>INST</x:v>
      </x:c>
      <x:c r="N115" s="151" t="str">
        <x:v>proposal</x:v>
      </x:c>
      <x:c r="O115" s="151" t="str">
        <x:v>proposal</x:v>
      </x:c>
      <x:c r="P115" s="151" t="str">
        <x:v>neutral</x:v>
      </x:c>
      <x:c r="Q115" s="151" t="str">
        <x:v>neutral</x:v>
      </x:c>
      <x:c r="R115" s="151" t="str">
        <x:v>not_applicable</x:v>
      </x:c>
      <x:c r="S115" s="151" t="str">
        <x:v>not_applicable</x:v>
      </x:c>
      <x:c r="T115" s="151" t="n">
        <x:v>2</x:v>
      </x:c>
      <x:c r="U115" s="151" t="n">
        <x:v>2</x:v>
      </x:c>
      <x:c r="V115" s="151"/>
      <x:c r="W115" s="151"/>
      <x:c r="X115" s="146"/>
      <x:c r="Y115" s="146"/>
      <x:c r="Z115" s="146"/>
      <x:c r="AA115" s="146"/>
      <x:c r="AB115" s="146"/>
      <x:c r="AC115" s="146"/>
      <x:c r="AD115" s="146"/>
      <x:c r="AE115" s="146"/>
      <x:c r="AF115" s="154" t="str">
        <x:f>IF(X115="","PENDING",IF(X115="exclude","DONE",IF(COUNTA(Y115:AC115)=5,"DONE","INCOMPLETE")))</x:f>
        <x:v>PENDING</x:v>
      </x:c>
    </x:row>
    <x:row r="116">
      <x:c r="A116" s="151" t="str">
        <x:v>inclusion</x:v>
      </x:c>
      <x:c r="B116" s="151" t="str">
        <x:v>SV-0139</x:v>
      </x:c>
      <x:c r="C116" s="151" t="str">
        <x:v>PC-01656</x:v>
      </x:c>
      <x:c r="D116" s="151" t="str">
        <x:v>en|openai_only</x:v>
      </x:c>
      <x:c r="E116" s="151" t="n">
        <x:v>19.21875</x:v>
      </x:c>
      <x:c r="F116" s="151" t="str">
        <x:v>Bank of Ghana (eCedi)</x:v>
      </x:c>
      <x:c r="G116" s="151" t="str">
        <x:v>Transactions for offline payments 
are therefore instantly settled without accessing a 
backend system3.</x:v>
      </x:c>
      <x:c r="H116" s="151" t="str">
        <x:v>keep</x:v>
      </x:c>
      <x:c r="I116" s="151" t="str">
        <x:v>exclude</x:v>
      </x:c>
      <x:c r="J116" s="151" t="str">
        <x:v>SYS.design</x:v>
      </x:c>
      <x:c r="K116" s="151"/>
      <x:c r="L116" s="151" t="str">
        <x:v>SYS</x:v>
      </x:c>
      <x:c r="M116" s="151" t="str"/>
      <x:c r="N116" s="151" t="str">
        <x:v>proposal</x:v>
      </x:c>
      <x:c r="O116" s="151"/>
      <x:c r="P116" s="151" t="str">
        <x:v>neutral</x:v>
      </x:c>
      <x:c r="Q116" s="151"/>
      <x:c r="R116" s="151" t="str">
        <x:v>not_applicable</x:v>
      </x:c>
      <x:c r="S116" s="151"/>
      <x:c r="T116" s="151" t="n">
        <x:v>2</x:v>
      </x:c>
      <x:c r="U116" s="151"/>
      <x:c r="V116" s="151"/>
      <x:c r="W116" s="151"/>
      <x:c r="X116" s="146"/>
      <x:c r="Y116" s="146"/>
      <x:c r="Z116" s="146"/>
      <x:c r="AA116" s="146"/>
      <x:c r="AB116" s="146"/>
      <x:c r="AC116" s="146"/>
      <x:c r="AD116" s="146"/>
      <x:c r="AE116" s="146"/>
      <x:c r="AF116" s="154" t="str">
        <x:f>IF(X116="","PENDING",IF(X116="exclude","DONE",IF(COUNTA(Y116:AC116)=5,"DONE","INCOMPLETE")))</x:f>
        <x:v>PENDING</x:v>
      </x:c>
    </x:row>
    <x:row r="117">
      <x:c r="A117" s="151" t="str">
        <x:v>code|strength</x:v>
      </x:c>
      <x:c r="B117" s="151" t="str">
        <x:v>SV-0140</x:v>
      </x:c>
      <x:c r="C117" s="151" t="str">
        <x:v>PC-03400</x:v>
      </x:c>
      <x:c r="D117" s="151" t="str">
        <x:v>en|both</x:v>
      </x:c>
      <x:c r="E117" s="151" t="n">
        <x:v>19.069444444444443</x:v>
      </x:c>
      <x:c r="F117" s="151" t="str">
        <x:v>Reserve Bank of India (digital rupee)</x:v>
      </x:c>
      <x:c r="G117" s="151" t="str">
        <x:v>User Held Model – The responsibility of key 
holding is with User and its device. Wallet is 
not recoverable in case of loss of user held 
device.</x:v>
      </x:c>
      <x:c r="H117" s="151" t="str">
        <x:v>keep</x:v>
      </x:c>
      <x:c r="I117" s="151" t="str">
        <x:v>keep</x:v>
      </x:c>
      <x:c r="J117" s="151" t="str">
        <x:v>OPS.resilience</x:v>
      </x:c>
      <x:c r="K117" s="151" t="str">
        <x:v>SYS.design</x:v>
      </x:c>
      <x:c r="L117" s="151" t="str">
        <x:v>OPS</x:v>
      </x:c>
      <x:c r="M117" s="151" t="str">
        <x:v>SYS</x:v>
      </x:c>
      <x:c r="N117" s="151" t="str">
        <x:v>proposal</x:v>
      </x:c>
      <x:c r="O117" s="151" t="str">
        <x:v>proposal</x:v>
      </x:c>
      <x:c r="P117" s="151" t="str">
        <x:v>neutral</x:v>
      </x:c>
      <x:c r="Q117" s="151" t="str">
        <x:v>neutral</x:v>
      </x:c>
      <x:c r="R117" s="151" t="str">
        <x:v>not_applicable</x:v>
      </x:c>
      <x:c r="S117" s="151" t="str">
        <x:v>not_applicable</x:v>
      </x:c>
      <x:c r="T117" s="151" t="n">
        <x:v>3</x:v>
      </x:c>
      <x:c r="U117" s="151" t="n">
        <x:v>2</x:v>
      </x:c>
      <x:c r="V117" s="151"/>
      <x:c r="W117" s="151"/>
      <x:c r="X117" s="146"/>
      <x:c r="Y117" s="146"/>
      <x:c r="Z117" s="146"/>
      <x:c r="AA117" s="146"/>
      <x:c r="AB117" s="146"/>
      <x:c r="AC117" s="146"/>
      <x:c r="AD117" s="146"/>
      <x:c r="AE117" s="146"/>
      <x:c r="AF117" s="154" t="str">
        <x:f>IF(X117="","PENDING",IF(X117="exclude","DONE",IF(COUNTA(Y117:AC117)=5,"DONE","INCOMPLETE")))</x:f>
        <x:v>PENDING</x:v>
      </x:c>
    </x:row>
    <x:row r="118">
      <x:c r="A118" s="151" t="str">
        <x:v>inclusion</x:v>
      </x:c>
      <x:c r="B118" s="151" t="str">
        <x:v>SV-0141</x:v>
      </x:c>
      <x:c r="C118" s="151" t="str">
        <x:v>PC-02239</x:v>
      </x:c>
      <x:c r="D118" s="151" t="str">
        <x:v>en|claude_only</x:v>
      </x:c>
      <x:c r="E118" s="151" t="n">
        <x:v>19.375</x:v>
      </x:c>
      <x:c r="F118" s="151" t="str">
        <x:v>Magyar Nemzeti Bank (Student Safe / retail CBDC pilot context)</x:v>
      </x:c>
      <x:c r="G118" s="151" t="str">
        <x:v>In the light of experience, “unusual 
transactions” were regularly redefined and daily monitoring was carried out on this basis.</x:v>
      </x:c>
      <x:c r="H118" s="151" t="str">
        <x:v>exclude</x:v>
      </x:c>
      <x:c r="I118" s="151" t="str">
        <x:v>keep</x:v>
      </x:c>
      <x:c r="J118" s="151"/>
      <x:c r="K118" s="151" t="str">
        <x:v>AML.MON</x:v>
      </x:c>
      <x:c r="L118" s="151" t="str"/>
      <x:c r="M118" s="151" t="str">
        <x:v>AML</x:v>
      </x:c>
      <x:c r="N118" s="151"/>
      <x:c r="O118" s="151" t="str">
        <x:v>finding</x:v>
      </x:c>
      <x:c r="P118" s="151"/>
      <x:c r="Q118" s="151" t="str">
        <x:v>neutral</x:v>
      </x:c>
      <x:c r="R118" s="151"/>
      <x:c r="S118" s="151" t="str">
        <x:v>not_applicable</x:v>
      </x:c>
      <x:c r="T118" s="151"/>
      <x:c r="U118" s="151" t="n">
        <x:v>2</x:v>
      </x:c>
      <x:c r="V118" s="151"/>
      <x:c r="W118" s="151"/>
      <x:c r="X118" s="146"/>
      <x:c r="Y118" s="146"/>
      <x:c r="Z118" s="146"/>
      <x:c r="AA118" s="146"/>
      <x:c r="AB118" s="146"/>
      <x:c r="AC118" s="146"/>
      <x:c r="AD118" s="146"/>
      <x:c r="AE118" s="146"/>
      <x:c r="AF118" s="154" t="str">
        <x:f>IF(X118="","PENDING",IF(X118="exclude","DONE",IF(COUNTA(Y118:AC118)=5,"DONE","INCOMPLETE")))</x:f>
        <x:v>PENDING</x:v>
      </x:c>
    </x:row>
    <x:row r="119">
      <x:c r="A119" s="151" t="str">
        <x:v>inclusion</x:v>
      </x:c>
      <x:c r="B119" s="151" t="str">
        <x:v>SV-0143</x:v>
      </x:c>
      <x:c r="C119" s="151" t="str">
        <x:v>PC-02027</x:v>
      </x:c>
      <x:c r="D119" s="151" t="str">
        <x:v>en|openai_only</x:v>
      </x:c>
      <x:c r="E119" s="151" t="n">
        <x:v>19.21875</x:v>
      </x:c>
      <x:c r="F119" s="151" t="str">
        <x:v>Hong Kong Monetary Authority (e-HKD Phase 2 pilots)</x:v>
      </x:c>
      <x:c r="G119" s="151" t="str">
        <x:v>These factors reduce the applicability 
of introducing an offline e-HKD for the purpose 
of inclusion or resilience.</x:v>
      </x:c>
      <x:c r="H119" s="151" t="str">
        <x:v>keep</x:v>
      </x:c>
      <x:c r="I119" s="151" t="str">
        <x:v>exclude</x:v>
      </x:c>
      <x:c r="J119" s="151" t="str">
        <x:v>OTHER.keep</x:v>
      </x:c>
      <x:c r="K119" s="151"/>
      <x:c r="L119" s="151" t="str">
        <x:v>OTHER</x:v>
      </x:c>
      <x:c r="M119" s="151" t="str"/>
      <x:c r="N119" s="151" t="str">
        <x:v>finding</x:v>
      </x:c>
      <x:c r="O119" s="151"/>
      <x:c r="P119" s="151" t="str">
        <x:v>neutral</x:v>
      </x:c>
      <x:c r="Q119" s="151"/>
      <x:c r="R119" s="151" t="str">
        <x:v>not_applicable</x:v>
      </x:c>
      <x:c r="S119" s="151"/>
      <x:c r="T119" s="151" t="n">
        <x:v>2</x:v>
      </x:c>
      <x:c r="U119" s="151"/>
      <x:c r="V119" s="151"/>
      <x:c r="W119" s="151"/>
      <x:c r="X119" s="146"/>
      <x:c r="Y119" s="146"/>
      <x:c r="Z119" s="146"/>
      <x:c r="AA119" s="146"/>
      <x:c r="AB119" s="146"/>
      <x:c r="AC119" s="146"/>
      <x:c r="AD119" s="146"/>
      <x:c r="AE119" s="146"/>
      <x:c r="AF119" s="154" t="str">
        <x:f>IF(X119="","PENDING",IF(X119="exclude","DONE",IF(COUNTA(Y119:AC119)=5,"DONE","INCOMPLETE")))</x:f>
        <x:v>PENDING</x:v>
      </x:c>
    </x:row>
    <x:row r="120">
      <x:c r="A120" s="151" t="str">
        <x:v>code</x:v>
      </x:c>
      <x:c r="B120" s="151" t="str">
        <x:v>SV-0144</x:v>
      </x:c>
      <x:c r="C120" s="151" t="str">
        <x:v>PC-01760</x:v>
      </x:c>
      <x:c r="D120" s="151" t="str">
        <x:v>en|both</x:v>
      </x:c>
      <x:c r="E120" s="151" t="n">
        <x:v>19.069444444444443</x:v>
      </x:c>
      <x:c r="F120" s="151" t="str">
        <x:v>Bank of Ghana (eCedi)</x:v>
      </x:c>
      <x:c r="G120" s="151" t="str">
        <x:v>The demand for digital 
payment solutions such as 
the eCedi was endorsed by 
the pilot. Also, individuals, 
businesses and FSPs 
indicated their willingness 
to use the eCedi when 
rolled out.</x:v>
      </x:c>
      <x:c r="H120" s="151" t="str">
        <x:v>keep</x:v>
      </x:c>
      <x:c r="I120" s="151" t="str">
        <x:v>keep</x:v>
      </x:c>
      <x:c r="J120" s="151" t="str">
        <x:v>PROC.pilot_learning</x:v>
      </x:c>
      <x:c r="K120" s="151" t="str">
        <x:v>ADOPT.experience</x:v>
      </x:c>
      <x:c r="L120" s="151" t="str">
        <x:v>PROC</x:v>
      </x:c>
      <x:c r="M120" s="151" t="str">
        <x:v>ADOPT</x:v>
      </x:c>
      <x:c r="N120" s="151" t="str">
        <x:v>finding</x:v>
      </x:c>
      <x:c r="O120" s="151" t="str">
        <x:v>finding</x:v>
      </x:c>
      <x:c r="P120" s="151" t="str">
        <x:v>neutral</x:v>
      </x:c>
      <x:c r="Q120" s="151" t="str">
        <x:v>neutral</x:v>
      </x:c>
      <x:c r="R120" s="151" t="str">
        <x:v>not_applicable</x:v>
      </x:c>
      <x:c r="S120" s="151" t="str">
        <x:v>not_applicable</x:v>
      </x:c>
      <x:c r="T120" s="151" t="n">
        <x:v>2</x:v>
      </x:c>
      <x:c r="U120" s="151" t="n">
        <x:v>2</x:v>
      </x:c>
      <x:c r="V120" s="151"/>
      <x:c r="W120" s="151"/>
      <x:c r="X120" s="146"/>
      <x:c r="Y120" s="146"/>
      <x:c r="Z120" s="146"/>
      <x:c r="AA120" s="146"/>
      <x:c r="AB120" s="146"/>
      <x:c r="AC120" s="146"/>
      <x:c r="AD120" s="146"/>
      <x:c r="AE120" s="146"/>
      <x:c r="AF120" s="154" t="str">
        <x:f>IF(X120="","PENDING",IF(X120="exclude","DONE",IF(COUNTA(Y120:AC120)=5,"DONE","INCOMPLETE")))</x:f>
        <x:v>PENDING</x:v>
      </x:c>
    </x:row>
    <x:row r="121">
      <x:c r="A121" s="151" t="str">
        <x:v>strength</x:v>
      </x:c>
      <x:c r="B121" s="151" t="str">
        <x:v>SV-0145</x:v>
      </x:c>
      <x:c r="C121" s="151" t="str">
        <x:v>PC-03917</x:v>
      </x:c>
      <x:c r="D121" s="151" t="str">
        <x:v>en|both</x:v>
      </x:c>
      <x:c r="E121" s="151" t="n">
        <x:v>19.069444444444443</x:v>
      </x:c>
      <x:c r="F121" s="151" t="str">
        <x:v>Monetary Authority of Macao (e-MOP)</x:v>
      </x:c>
      <x:c r="G121" s="151" t="str">
        <x:v>e-MOP may draw on the acceptance 
basis of “Simple Pay” by leveraging wallet application software (apps) 
and physical carriers (such as cards or smart devices), rendering 
efficient, convenient and cost-effective payment services to residents 
and tourists.</x:v>
      </x:c>
      <x:c r="H121" s="151" t="str">
        <x:v>keep</x:v>
      </x:c>
      <x:c r="I121" s="151" t="str">
        <x:v>keep</x:v>
      </x:c>
      <x:c r="J121" s="151" t="str">
        <x:v>ADOPT.experience</x:v>
      </x:c>
      <x:c r="K121" s="151" t="str">
        <x:v>ADOPT.experience</x:v>
      </x:c>
      <x:c r="L121" s="151" t="str">
        <x:v>ADOPT</x:v>
      </x:c>
      <x:c r="M121" s="151" t="str">
        <x:v>ADOPT</x:v>
      </x:c>
      <x:c r="N121" s="151" t="str">
        <x:v>proposal</x:v>
      </x:c>
      <x:c r="O121" s="151" t="str">
        <x:v>proposal</x:v>
      </x:c>
      <x:c r="P121" s="151" t="str">
        <x:v>neutral</x:v>
      </x:c>
      <x:c r="Q121" s="151" t="str">
        <x:v>neutral</x:v>
      </x:c>
      <x:c r="R121" s="151" t="str">
        <x:v>not_applicable</x:v>
      </x:c>
      <x:c r="S121" s="151" t="str">
        <x:v>not_applicable</x:v>
      </x:c>
      <x:c r="T121" s="151" t="n">
        <x:v>2</x:v>
      </x:c>
      <x:c r="U121" s="151" t="n">
        <x:v>1</x:v>
      </x:c>
      <x:c r="V121" s="151"/>
      <x:c r="W121" s="151"/>
      <x:c r="X121" s="146"/>
      <x:c r="Y121" s="146"/>
      <x:c r="Z121" s="146"/>
      <x:c r="AA121" s="146"/>
      <x:c r="AB121" s="146"/>
      <x:c r="AC121" s="146"/>
      <x:c r="AD121" s="146"/>
      <x:c r="AE121" s="146"/>
      <x:c r="AF121" s="154" t="str">
        <x:f>IF(X121="","PENDING",IF(X121="exclude","DONE",IF(COUNTA(Y121:AC121)=5,"DONE","INCOMPLETE")))</x:f>
        <x:v>PENDING</x:v>
      </x:c>
    </x:row>
    <x:row r="122">
      <x:c r="A122" s="151" t="str">
        <x:v>code|odr</x:v>
      </x:c>
      <x:c r="B122" s="151" t="str">
        <x:v>SV-0146</x:v>
      </x:c>
      <x:c r="C122" s="151" t="str">
        <x:v>PC-04907</x:v>
      </x:c>
      <x:c r="D122" s="151" t="str">
        <x:v>en|both</x:v>
      </x:c>
      <x:c r="E122" s="151" t="n">
        <x:v>19.069444444444443</x:v>
      </x:c>
      <x:c r="F122" s="151" t="str">
        <x:v>Bank of Russia (digital ruble)</x:v>
      </x:c>
      <x:c r="G122" s="151" t="str">
        <x:v>Depending on their needs, individuals and companies will 
be able to exchange their money from one form to another, i.e. from the digital form to cash or non-
cash funds in their bank accounts, and back.</x:v>
      </x:c>
      <x:c r="H122" s="151" t="str">
        <x:v>keep</x:v>
      </x:c>
      <x:c r="I122" s="151" t="str">
        <x:v>keep</x:v>
      </x:c>
      <x:c r="J122" s="151" t="str">
        <x:v>SYS.design</x:v>
      </x:c>
      <x:c r="K122" s="151" t="str">
        <x:v>INTEROP.domestic</x:v>
      </x:c>
      <x:c r="L122" s="151" t="str">
        <x:v>SYS</x:v>
      </x:c>
      <x:c r="M122" s="151" t="str">
        <x:v>INTEROP</x:v>
      </x:c>
      <x:c r="N122" s="151" t="str">
        <x:v>proposal</x:v>
      </x:c>
      <x:c r="O122" s="151" t="str">
        <x:v>decision</x:v>
      </x:c>
      <x:c r="P122" s="151" t="str">
        <x:v>neutral</x:v>
      </x:c>
      <x:c r="Q122" s="151" t="str">
        <x:v>neutral</x:v>
      </x:c>
      <x:c r="R122" s="151" t="str">
        <x:v>not_applicable</x:v>
      </x:c>
      <x:c r="S122" s="151" t="str">
        <x:v>not_applicable</x:v>
      </x:c>
      <x:c r="T122" s="151" t="n">
        <x:v>3</x:v>
      </x:c>
      <x:c r="U122" s="151" t="n">
        <x:v>3</x:v>
      </x:c>
      <x:c r="V122" s="151"/>
      <x:c r="W122" s="151"/>
      <x:c r="X122" s="146"/>
      <x:c r="Y122" s="146"/>
      <x:c r="Z122" s="146"/>
      <x:c r="AA122" s="146"/>
      <x:c r="AB122" s="146"/>
      <x:c r="AC122" s="146"/>
      <x:c r="AD122" s="146"/>
      <x:c r="AE122" s="146"/>
      <x:c r="AF122" s="154" t="str">
        <x:f>IF(X122="","PENDING",IF(X122="exclude","DONE",IF(COUNTA(Y122:AC122)=5,"DONE","INCOMPLETE")))</x:f>
        <x:v>PENDING</x:v>
      </x:c>
    </x:row>
    <x:row r="123">
      <x:c r="A123" s="151" t="str">
        <x:v>code|odr|privacy_relation</x:v>
      </x:c>
      <x:c r="B123" s="151" t="str">
        <x:v>SV-0147</x:v>
      </x:c>
      <x:c r="C123" s="151" t="str">
        <x:v>PC-01542</x:v>
      </x:c>
      <x:c r="D123" s="151" t="str">
        <x:v>en|both</x:v>
      </x:c>
      <x:c r="E123" s="151" t="n">
        <x:v>19.069444444444443</x:v>
      </x:c>
      <x:c r="F123" s="151" t="str">
        <x:v>European Central Bank / Eurosystem (digital euro)</x:v>
      </x:c>
      <x:c r="G123" s="151" t="str">
        <x:v>the
draft Regulation requires the distribution of the digital euro in non-euro area countries to be based
on arrangements or agreements with local authorities, without which it would not be possible for
citizens of those countries to have digital euro holdings.</x:v>
      </x:c>
      <x:c r="H123" s="151" t="str">
        <x:v>keep</x:v>
      </x:c>
      <x:c r="I123" s="151" t="str">
        <x:v>keep</x:v>
      </x:c>
      <x:c r="J123" s="151" t="str">
        <x:v>INTEROP.crossborder</x:v>
      </x:c>
      <x:c r="K123" s="151" t="str">
        <x:v>KYC.INTERMED</x:v>
      </x:c>
      <x:c r="L123" s="151" t="str">
        <x:v>INTEROP</x:v>
      </x:c>
      <x:c r="M123" s="151" t="str">
        <x:v>KYC</x:v>
      </x:c>
      <x:c r="N123" s="151" t="str">
        <x:v>proposal</x:v>
      </x:c>
      <x:c r="O123" s="151" t="str">
        <x:v>decision</x:v>
      </x:c>
      <x:c r="P123" s="151" t="str">
        <x:v>neutral</x:v>
      </x:c>
      <x:c r="Q123" s="151" t="str">
        <x:v>neutral</x:v>
      </x:c>
      <x:c r="R123" s="151" t="str">
        <x:v>not_applicable</x:v>
      </x:c>
      <x:c r="S123" s="151" t="str">
        <x:v>from_intermediary</x:v>
      </x:c>
      <x:c r="T123" s="151" t="n">
        <x:v>3</x:v>
      </x:c>
      <x:c r="U123" s="151" t="n">
        <x:v>3</x:v>
      </x:c>
      <x:c r="V123" s="151"/>
      <x:c r="W123" s="151"/>
      <x:c r="X123" s="146"/>
      <x:c r="Y123" s="146"/>
      <x:c r="Z123" s="146"/>
      <x:c r="AA123" s="146"/>
      <x:c r="AB123" s="146"/>
      <x:c r="AC123" s="146"/>
      <x:c r="AD123" s="146"/>
      <x:c r="AE123" s="146"/>
      <x:c r="AF123" s="154" t="str">
        <x:f>IF(X123="","PENDING",IF(X123="exclude","DONE",IF(COUNTA(Y123:AC123)=5,"DONE","INCOMPLETE")))</x:f>
        <x:v>PENDING</x:v>
      </x:c>
    </x:row>
    <x:row r="124">
      <x:c r="A124" s="151" t="str">
        <x:v>inclusion</x:v>
      </x:c>
      <x:c r="B124" s="151" t="str">
        <x:v>SV-0148</x:v>
      </x:c>
      <x:c r="C124" s="151" t="str">
        <x:v>PC-06108</x:v>
      </x:c>
      <x:c r="D124" s="151" t="str">
        <x:v>en|claude_only</x:v>
      </x:c>
      <x:c r="E124" s="151" t="n">
        <x:v>19.375</x:v>
      </x:c>
      <x:c r="F124" s="151" t="str">
        <x:v>Bank of England and HM Treasury (digital pound)</x:v>
      </x:c>
      <x:c r="G124" s="151" t="str">
        <x:v>the central bank may also wish to impose some limits on the amount that could be held by each individual 
or business</x:v>
      </x:c>
      <x:c r="H124" s="151" t="str">
        <x:v>exclude</x:v>
      </x:c>
      <x:c r="I124" s="151" t="str">
        <x:v>keep</x:v>
      </x:c>
      <x:c r="J124" s="151"/>
      <x:c r="K124" s="151" t="str">
        <x:v>AML.LIMIT</x:v>
      </x:c>
      <x:c r="L124" s="151" t="str"/>
      <x:c r="M124" s="151" t="str">
        <x:v>AML</x:v>
      </x:c>
      <x:c r="N124" s="151"/>
      <x:c r="O124" s="151" t="str">
        <x:v>proposal</x:v>
      </x:c>
      <x:c r="P124" s="151"/>
      <x:c r="Q124" s="151" t="str">
        <x:v>neutral</x:v>
      </x:c>
      <x:c r="R124" s="151"/>
      <x:c r="S124" s="151" t="str">
        <x:v>not_applicable</x:v>
      </x:c>
      <x:c r="T124" s="151"/>
      <x:c r="U124" s="151" t="n">
        <x:v>2</x:v>
      </x:c>
      <x:c r="V124" s="151"/>
      <x:c r="W124" s="151"/>
      <x:c r="X124" s="146"/>
      <x:c r="Y124" s="146"/>
      <x:c r="Z124" s="146"/>
      <x:c r="AA124" s="146"/>
      <x:c r="AB124" s="146"/>
      <x:c r="AC124" s="146"/>
      <x:c r="AD124" s="146"/>
      <x:c r="AE124" s="146"/>
      <x:c r="AF124" s="154" t="str">
        <x:f>IF(X124="","PENDING",IF(X124="exclude","DONE",IF(COUNTA(Y124:AC124)=5,"DONE","INCOMPLETE")))</x:f>
        <x:v>PENDING</x:v>
      </x:c>
    </x:row>
    <x:row r="125">
      <x:c r="A125" s="151" t="str">
        <x:v>inclusion</x:v>
      </x:c>
      <x:c r="B125" s="151" t="str">
        <x:v>SV-0149</x:v>
      </x:c>
      <x:c r="C125" s="151" t="str">
        <x:v>PC-02383</x:v>
      </x:c>
      <x:c r="D125" s="151" t="str">
        <x:v>en|openai_only</x:v>
      </x:c>
      <x:c r="E125" s="151" t="n">
        <x:v>19.21875</x:v>
      </x:c>
      <x:c r="F125" s="151" t="str">
        <x:v>Bank Indonesia (Digital Rupiah)</x:v>
      </x:c>
      <x:c r="G125" s="151" t="str">
        <x:v>W-Digital 
Rupiah is comparable with reserves in 
central bank. With this quality, w-Digital 
Rupiah held by banks could be included in 
statutory reserve compliance.</x:v>
      </x:c>
      <x:c r="H125" s="151" t="str">
        <x:v>keep</x:v>
      </x:c>
      <x:c r="I125" s="151" t="str">
        <x:v>exclude</x:v>
      </x:c>
      <x:c r="J125" s="151" t="str">
        <x:v>STAB.disintermediation</x:v>
      </x:c>
      <x:c r="K125" s="151"/>
      <x:c r="L125" s="151" t="str">
        <x:v>STAB</x:v>
      </x:c>
      <x:c r="M125" s="151" t="str"/>
      <x:c r="N125" s="151" t="str">
        <x:v>decision</x:v>
      </x:c>
      <x:c r="O125" s="151"/>
      <x:c r="P125" s="151" t="str">
        <x:v>neutral</x:v>
      </x:c>
      <x:c r="Q125" s="151"/>
      <x:c r="R125" s="151" t="str">
        <x:v>not_applicable</x:v>
      </x:c>
      <x:c r="S125" s="151"/>
      <x:c r="T125" s="151" t="n">
        <x:v>2</x:v>
      </x:c>
      <x:c r="U125" s="151"/>
      <x:c r="V125" s="151"/>
      <x:c r="W125" s="151"/>
      <x:c r="X125" s="146"/>
      <x:c r="Y125" s="146"/>
      <x:c r="Z125" s="146"/>
      <x:c r="AA125" s="146"/>
      <x:c r="AB125" s="146"/>
      <x:c r="AC125" s="146"/>
      <x:c r="AD125" s="146"/>
      <x:c r="AE125" s="146"/>
      <x:c r="AF125" s="154" t="str">
        <x:f>IF(X125="","PENDING",IF(X125="exclude","DONE",IF(COUNTA(Y125:AC125)=5,"DONE","INCOMPLETE")))</x:f>
        <x:v>PENDING</x:v>
      </x:c>
    </x:row>
    <x:row r="126">
      <x:c r="A126" s="151" t="str">
        <x:v>inclusion</x:v>
      </x:c>
      <x:c r="B126" s="151" t="str">
        <x:v>SV-0150</x:v>
      </x:c>
      <x:c r="C126" s="151" t="str">
        <x:v>PC-00620</x:v>
      </x:c>
      <x:c r="D126" s="151" t="str">
        <x:v>en|openai_only</x:v>
      </x:c>
      <x:c r="E126" s="151" t="n">
        <x:v>19.21875</x:v>
      </x:c>
      <x:c r="F126" s="151" t="str">
        <x:v>Bank of Canada</x:v>
      </x:c>
      <x:c r="G126" s="151" t="str">
        <x:v>The digital wallet would be provided by designated private service providers that are 
certified or licensed by the central bank.</x:v>
      </x:c>
      <x:c r="H126" s="151" t="str">
        <x:v>keep</x:v>
      </x:c>
      <x:c r="I126" s="151" t="str">
        <x:v>exclude</x:v>
      </x:c>
      <x:c r="J126" s="151" t="str">
        <x:v>SYS.design</x:v>
      </x:c>
      <x:c r="K126" s="151"/>
      <x:c r="L126" s="151" t="str">
        <x:v>SYS</x:v>
      </x:c>
      <x:c r="M126" s="151" t="str"/>
      <x:c r="N126" s="151" t="str">
        <x:v>proposal</x:v>
      </x:c>
      <x:c r="O126" s="151"/>
      <x:c r="P126" s="151" t="str">
        <x:v>neutral</x:v>
      </x:c>
      <x:c r="Q126" s="151"/>
      <x:c r="R126" s="151" t="str">
        <x:v>not_applicable</x:v>
      </x:c>
      <x:c r="S126" s="151"/>
      <x:c r="T126" s="151" t="n">
        <x:v>2</x:v>
      </x:c>
      <x:c r="U126" s="151"/>
      <x:c r="V126" s="151"/>
      <x:c r="W126" s="151"/>
      <x:c r="X126" s="146"/>
      <x:c r="Y126" s="146"/>
      <x:c r="Z126" s="146"/>
      <x:c r="AA126" s="146"/>
      <x:c r="AB126" s="146"/>
      <x:c r="AC126" s="146"/>
      <x:c r="AD126" s="146"/>
      <x:c r="AE126" s="146"/>
      <x:c r="AF126" s="154" t="str">
        <x:f>IF(X126="","PENDING",IF(X126="exclude","DONE",IF(COUNTA(Y126:AC126)=5,"DONE","INCOMPLETE")))</x:f>
        <x:v>PENDING</x:v>
      </x:c>
    </x:row>
    <x:row r="127">
      <x:c r="A127" s="151" t="str">
        <x:v>inclusion</x:v>
      </x:c>
      <x:c r="B127" s="151" t="str">
        <x:v>SV-0151</x:v>
      </x:c>
      <x:c r="C127" s="151" t="str">
        <x:v>PC-03543</x:v>
      </x:c>
      <x:c r="D127" s="151" t="str">
        <x:v>en|claude_only</x:v>
      </x:c>
      <x:c r="E127" s="151" t="n">
        <x:v>19.375</x:v>
      </x:c>
      <x:c r="F127" s="151" t="str">
        <x:v>Banca d'Italia research context</x:v>
      </x:c>
      <x:c r="G127" s="151" t="str">
        <x:v>An intermediary organization 
can play the role of an access point for the CBDC: it may own a private 
registry of identities that maps positions in the TIPS+ system or provide a  
value-added service for the storage of private keys on users’ behalf.</x:v>
      </x:c>
      <x:c r="H127" s="151" t="str">
        <x:v>exclude</x:v>
      </x:c>
      <x:c r="I127" s="151" t="str">
        <x:v>keep</x:v>
      </x:c>
      <x:c r="J127" s="151"/>
      <x:c r="K127" s="151" t="str">
        <x:v>KYC.INTERMED</x:v>
      </x:c>
      <x:c r="L127" s="151" t="str"/>
      <x:c r="M127" s="151" t="str">
        <x:v>KYC</x:v>
      </x:c>
      <x:c r="N127" s="151"/>
      <x:c r="O127" s="151" t="str">
        <x:v>decision</x:v>
      </x:c>
      <x:c r="P127" s="151"/>
      <x:c r="Q127" s="151" t="str">
        <x:v>neutral</x:v>
      </x:c>
      <x:c r="R127" s="151"/>
      <x:c r="S127" s="151" t="str">
        <x:v>not_applicable</x:v>
      </x:c>
      <x:c r="T127" s="151"/>
      <x:c r="U127" s="151" t="n">
        <x:v>2</x:v>
      </x:c>
      <x:c r="V127" s="151"/>
      <x:c r="W127" s="151"/>
      <x:c r="X127" s="146"/>
      <x:c r="Y127" s="146"/>
      <x:c r="Z127" s="146"/>
      <x:c r="AA127" s="146"/>
      <x:c r="AB127" s="146"/>
      <x:c r="AC127" s="146"/>
      <x:c r="AD127" s="146"/>
      <x:c r="AE127" s="146"/>
      <x:c r="AF127" s="154" t="str">
        <x:f>IF(X127="","PENDING",IF(X127="exclude","DONE",IF(COUNTA(Y127:AC127)=5,"DONE","INCOMPLETE")))</x:f>
        <x:v>PENDING</x:v>
      </x:c>
    </x:row>
    <x:row r="128">
      <x:c r="A128" s="151" t="str">
        <x:v>strength</x:v>
      </x:c>
      <x:c r="B128" s="151" t="str">
        <x:v>SV-0152</x:v>
      </x:c>
      <x:c r="C128" s="151" t="str">
        <x:v>PC-05554</x:v>
      </x:c>
      <x:c r="D128" s="151" t="str">
        <x:v>en|both</x:v>
      </x:c>
      <x:c r="E128" s="151" t="n">
        <x:v>19.069444444444443</x:v>
      </x:c>
      <x:c r="F128" s="151" t="str">
        <x:v>Central Bank of Eswatini (Digital Lilangeni)</x:v>
      </x:c>
      <x:c r="G128" s="151" t="str">
        <x:v>The 
outcome of the pilot projects has not changed the position of the CBE in this 
regard, meaning that the CBE still aims to design a potential Digital Lilangeni as 
a non-interest bearing CBDC with legal tender status.</x:v>
      </x:c>
      <x:c r="H128" s="151" t="str">
        <x:v>keep</x:v>
      </x:c>
      <x:c r="I128" s="151" t="str">
        <x:v>keep</x:v>
      </x:c>
      <x:c r="J128" s="151" t="str">
        <x:v>PROG.remuneration_no</x:v>
      </x:c>
      <x:c r="K128" s="151" t="str">
        <x:v>PROG.remuneration_no</x:v>
      </x:c>
      <x:c r="L128" s="151" t="str">
        <x:v>PROG</x:v>
      </x:c>
      <x:c r="M128" s="151" t="str">
        <x:v>PROG</x:v>
      </x:c>
      <x:c r="N128" s="151" t="str">
        <x:v>proposal</x:v>
      </x:c>
      <x:c r="O128" s="151" t="str">
        <x:v>proposal</x:v>
      </x:c>
      <x:c r="P128" s="151" t="str">
        <x:v>neutral</x:v>
      </x:c>
      <x:c r="Q128" s="151" t="str">
        <x:v>neutral</x:v>
      </x:c>
      <x:c r="R128" s="151" t="str">
        <x:v>not_applicable</x:v>
      </x:c>
      <x:c r="S128" s="151" t="str">
        <x:v>not_applicable</x:v>
      </x:c>
      <x:c r="T128" s="151" t="n">
        <x:v>3</x:v>
      </x:c>
      <x:c r="U128" s="151" t="n">
        <x:v>1</x:v>
      </x:c>
      <x:c r="V128" s="151"/>
      <x:c r="W128" s="151" t="str">
        <x:v>x</x:v>
      </x:c>
      <x:c r="X128" s="146"/>
      <x:c r="Y128" s="146"/>
      <x:c r="Z128" s="146"/>
      <x:c r="AA128" s="146"/>
      <x:c r="AB128" s="146"/>
      <x:c r="AC128" s="146"/>
      <x:c r="AD128" s="146"/>
      <x:c r="AE128" s="146"/>
      <x:c r="AF128" s="154" t="str">
        <x:f>IF(X128="","PENDING",IF(X128="exclude","DONE",IF(COUNTA(Y128:AC128)=5,"DONE","INCOMPLETE")))</x:f>
        <x:v>PENDING</x:v>
      </x:c>
    </x:row>
    <x:row r="129">
      <x:c r="A129" s="151" t="str">
        <x:v>code</x:v>
      </x:c>
      <x:c r="B129" s="151" t="str">
        <x:v>SV-0153</x:v>
      </x:c>
      <x:c r="C129" s="151" t="str">
        <x:v>PC-00343</x:v>
      </x:c>
      <x:c r="D129" s="151" t="str">
        <x:v>en|both</x:v>
      </x:c>
      <x:c r="E129" s="151" t="n">
        <x:v>19.069444444444443</x:v>
      </x:c>
      <x:c r="F129" s="151" t="str">
        <x:v>Reserve Bank of Australia and Digital Finance CRC (Project Acacia)</x:v>
      </x:c>
      <x:c r="G129" s="151" t="str">
        <x:v>Fewer inter -system 
interactions may result in 
better settlement throughput 
and latency (no on - or off -
ramping into or out of 
tokenised money, and no 
interchange between different 
money tokens – interchange of 
commercial bank money 
occurs through existing highly 
performant infrastructure )</x:v>
      </x:c>
      <x:c r="H129" s="151" t="str">
        <x:v>keep</x:v>
      </x:c>
      <x:c r="I129" s="151" t="str">
        <x:v>keep</x:v>
      </x:c>
      <x:c r="J129" s="151" t="str">
        <x:v>OPS.resilience</x:v>
      </x:c>
      <x:c r="K129" s="151" t="str">
        <x:v>STAB.disintermediation</x:v>
      </x:c>
      <x:c r="L129" s="151" t="str">
        <x:v>OPS</x:v>
      </x:c>
      <x:c r="M129" s="151" t="str">
        <x:v>STAB</x:v>
      </x:c>
      <x:c r="N129" s="151" t="str">
        <x:v>finding</x:v>
      </x:c>
      <x:c r="O129" s="151" t="str">
        <x:v>finding</x:v>
      </x:c>
      <x:c r="P129" s="151" t="str">
        <x:v>neutral</x:v>
      </x:c>
      <x:c r="Q129" s="151" t="str">
        <x:v>neutral</x:v>
      </x:c>
      <x:c r="R129" s="151" t="str">
        <x:v>not_applicable</x:v>
      </x:c>
      <x:c r="S129" s="151" t="str">
        <x:v>not_applicable</x:v>
      </x:c>
      <x:c r="T129" s="151" t="n">
        <x:v>2</x:v>
      </x:c>
      <x:c r="U129" s="151" t="n">
        <x:v>2</x:v>
      </x:c>
      <x:c r="V129" s="151"/>
      <x:c r="W129" s="151"/>
      <x:c r="X129" s="146"/>
      <x:c r="Y129" s="146"/>
      <x:c r="Z129" s="146"/>
      <x:c r="AA129" s="146"/>
      <x:c r="AB129" s="146"/>
      <x:c r="AC129" s="146"/>
      <x:c r="AD129" s="146"/>
      <x:c r="AE129" s="146"/>
      <x:c r="AF129" s="154" t="str">
        <x:f>IF(X129="","PENDING",IF(X129="exclude","DONE",IF(COUNTA(Y129:AC129)=5,"DONE","INCOMPLETE")))</x:f>
        <x:v>PENDING</x:v>
      </x:c>
    </x:row>
    <x:row r="130">
      <x:c r="A130" s="151" t="str">
        <x:v>privacy_direction|privacy_relation</x:v>
      </x:c>
      <x:c r="B130" s="151" t="str">
        <x:v>SV-0154</x:v>
      </x:c>
      <x:c r="C130" s="151" t="str">
        <x:v>PC-04574</x:v>
      </x:c>
      <x:c r="D130" s="151" t="str">
        <x:v>en|both</x:v>
      </x:c>
      <x:c r="E130" s="151" t="n">
        <x:v>19.069444444444443</x:v>
      </x:c>
      <x:c r="F130" s="151" t="str">
        <x:v>Reserve Bank of New Zealand</x:v>
      </x:c>
      <x:c r="G130" s="151" t="str">
        <x:v>Uniform: A CBDC should be exchanged 1:1 with cash and support the NZD as our single unit of 
account.</x:v>
      </x:c>
      <x:c r="H130" s="151" t="str">
        <x:v>keep</x:v>
      </x:c>
      <x:c r="I130" s="151" t="str">
        <x:v>keep</x:v>
      </x:c>
      <x:c r="J130" s="151" t="str">
        <x:v>CASH.relation</x:v>
      </x:c>
      <x:c r="K130" s="151" t="str">
        <x:v>CASH.relation</x:v>
      </x:c>
      <x:c r="L130" s="151" t="str">
        <x:v>CASH</x:v>
      </x:c>
      <x:c r="M130" s="151" t="str">
        <x:v>CASH</x:v>
      </x:c>
      <x:c r="N130" s="151" t="str">
        <x:v>proposal</x:v>
      </x:c>
      <x:c r="O130" s="151" t="str">
        <x:v>proposal</x:v>
      </x:c>
      <x:c r="P130" s="151" t="str">
        <x:v>increases</x:v>
      </x:c>
      <x:c r="Q130" s="151" t="str">
        <x:v>neutral</x:v>
      </x:c>
      <x:c r="R130" s="151" t="str">
        <x:v>from_state</x:v>
      </x:c>
      <x:c r="S130" s="151" t="str">
        <x:v>not_applicable</x:v>
      </x:c>
      <x:c r="T130" s="151" t="n">
        <x:v>2</x:v>
      </x:c>
      <x:c r="U130" s="151" t="n">
        <x:v>2</x:v>
      </x:c>
      <x:c r="V130" s="151"/>
      <x:c r="W130" s="151"/>
      <x:c r="X130" s="146"/>
      <x:c r="Y130" s="146"/>
      <x:c r="Z130" s="146"/>
      <x:c r="AA130" s="146"/>
      <x:c r="AB130" s="146"/>
      <x:c r="AC130" s="146"/>
      <x:c r="AD130" s="146"/>
      <x:c r="AE130" s="146"/>
      <x:c r="AF130" s="154" t="str">
        <x:f>IF(X130="","PENDING",IF(X130="exclude","DONE",IF(COUNTA(Y130:AC130)=5,"DONE","INCOMPLETE")))</x:f>
        <x:v>PENDING</x:v>
      </x:c>
    </x:row>
    <x:row r="131">
      <x:c r="A131" s="151" t="str">
        <x:v>inclusion</x:v>
      </x:c>
      <x:c r="B131" s="151" t="str">
        <x:v>SV-0156</x:v>
      </x:c>
      <x:c r="C131" s="151" t="str">
        <x:v>PC-03280</x:v>
      </x:c>
      <x:c r="D131" s="151" t="str">
        <x:v>en|openai_only</x:v>
      </x:c>
      <x:c r="E131" s="151" t="n">
        <x:v>19.21875</x:v>
      </x:c>
      <x:c r="F131" s="151" t="str">
        <x:v>Bank of Israel (digital shekel)</x:v>
      </x:c>
      <x:c r="G131" s="151" t="str">
        <x:v>The system will support the participation of various types of FIs, whether or not they are connected 
to the RTGS system.</x:v>
      </x:c>
      <x:c r="H131" s="151" t="str">
        <x:v>keep</x:v>
      </x:c>
      <x:c r="I131" s="151" t="str">
        <x:v>exclude</x:v>
      </x:c>
      <x:c r="J131" s="151" t="str">
        <x:v>SYS.design</x:v>
      </x:c>
      <x:c r="K131" s="151"/>
      <x:c r="L131" s="151" t="str">
        <x:v>SYS</x:v>
      </x:c>
      <x:c r="M131" s="151" t="str"/>
      <x:c r="N131" s="151" t="str">
        <x:v>decision</x:v>
      </x:c>
      <x:c r="O131" s="151"/>
      <x:c r="P131" s="151" t="str">
        <x:v>neutral</x:v>
      </x:c>
      <x:c r="Q131" s="151"/>
      <x:c r="R131" s="151" t="str">
        <x:v>not_applicable</x:v>
      </x:c>
      <x:c r="S131" s="151"/>
      <x:c r="T131" s="151" t="n">
        <x:v>2</x:v>
      </x:c>
      <x:c r="U131" s="151"/>
      <x:c r="V131" s="151"/>
      <x:c r="W131" s="151"/>
      <x:c r="X131" s="146"/>
      <x:c r="Y131" s="146"/>
      <x:c r="Z131" s="146"/>
      <x:c r="AA131" s="146"/>
      <x:c r="AB131" s="146"/>
      <x:c r="AC131" s="146"/>
      <x:c r="AD131" s="146"/>
      <x:c r="AE131" s="146"/>
      <x:c r="AF131" s="154" t="str">
        <x:f>IF(X131="","PENDING",IF(X131="exclude","DONE",IF(COUNTA(Y131:AC131)=5,"DONE","INCOMPLETE")))</x:f>
        <x:v>PENDING</x:v>
      </x:c>
    </x:row>
    <x:row r="132">
      <x:c r="A132" s="151" t="str">
        <x:v>code|privacy_direction|privacy_relation|strength</x:v>
      </x:c>
      <x:c r="B132" s="151" t="str">
        <x:v>SV-0157</x:v>
      </x:c>
      <x:c r="C132" s="151" t="str">
        <x:v>PC-05425</x:v>
      </x:c>
      <x:c r="D132" s="151" t="str">
        <x:v>en|both</x:v>
      </x:c>
      <x:c r="E132" s="151" t="n">
        <x:v>19.069444444444443</x:v>
      </x:c>
      <x:c r="F132" s="151" t="str">
        <x:v>Central Bank of Eswatini (Digital Lilangeni)</x:v>
      </x:c>
      <x:c r="G132" s="151" t="str">
        <x:v>The ability to utilise the analytics on aggregate retail payment data opens up new 
opportunities for the CBE in financial stability and monetary policy.</x:v>
      </x:c>
      <x:c r="H132" s="151" t="str">
        <x:v>keep</x:v>
      </x:c>
      <x:c r="I132" s="151" t="str">
        <x:v>keep</x:v>
      </x:c>
      <x:c r="J132" s="151" t="str">
        <x:v>PRIV.CB.visibility.transparent</x:v>
      </x:c>
      <x:c r="K132" s="151" t="str">
        <x:v>STAB.disintermediation</x:v>
      </x:c>
      <x:c r="L132" s="151" t="str">
        <x:v>PRIV</x:v>
      </x:c>
      <x:c r="M132" s="151" t="str">
        <x:v>STAB</x:v>
      </x:c>
      <x:c r="N132" s="151" t="str">
        <x:v>proposal</x:v>
      </x:c>
      <x:c r="O132" s="151" t="str">
        <x:v>proposal</x:v>
      </x:c>
      <x:c r="P132" s="151" t="str">
        <x:v>decreases</x:v>
      </x:c>
      <x:c r="Q132" s="151" t="str">
        <x:v>neutral</x:v>
      </x:c>
      <x:c r="R132" s="151" t="str">
        <x:v>from_state</x:v>
      </x:c>
      <x:c r="S132" s="151" t="str">
        <x:v>not_applicable</x:v>
      </x:c>
      <x:c r="T132" s="151" t="n">
        <x:v>2</x:v>
      </x:c>
      <x:c r="U132" s="151" t="n">
        <x:v>1</x:v>
      </x:c>
      <x:c r="V132" s="151"/>
      <x:c r="W132" s="151"/>
      <x:c r="X132" s="146"/>
      <x:c r="Y132" s="146"/>
      <x:c r="Z132" s="146"/>
      <x:c r="AA132" s="146"/>
      <x:c r="AB132" s="146"/>
      <x:c r="AC132" s="146"/>
      <x:c r="AD132" s="146"/>
      <x:c r="AE132" s="146"/>
      <x:c r="AF132" s="154" t="str">
        <x:f>IF(X132="","PENDING",IF(X132="exclude","DONE",IF(COUNTA(Y132:AC132)=5,"DONE","INCOMPLETE")))</x:f>
        <x:v>PENDING</x:v>
      </x:c>
    </x:row>
    <x:row r="133">
      <x:c r="A133" s="151" t="str">
        <x:v>inclusion</x:v>
      </x:c>
      <x:c r="B133" s="151" t="str">
        <x:v>SV-0158</x:v>
      </x:c>
      <x:c r="C133" s="151" t="str">
        <x:v>PC-05002</x:v>
      </x:c>
      <x:c r="D133" s="151" t="str">
        <x:v>en|claude_only</x:v>
      </x:c>
      <x:c r="E133" s="151" t="n">
        <x:v>19.375</x:v>
      </x:c>
      <x:c r="F133" s="151" t="str">
        <x:v>Bank of Russia (digital ruble)</x:v>
      </x:c>
      <x:c r="G133" s="151" t="str">
        <x:v>When clients make payments on the CBDC platform, confidentiality restrictions may be established 
which imply that banks / financial intermediaries (models C and D) only have access to identification 
information about customers’ wallets and not about the purpose and destination of payments made 
by customers using their CBDC wallets.</x:v>
      </x:c>
      <x:c r="H133" s="151" t="str">
        <x:v>exclude</x:v>
      </x:c>
      <x:c r="I133" s="151" t="str">
        <x:v>keep</x:v>
      </x:c>
      <x:c r="J133" s="151"/>
      <x:c r="K133" s="151" t="str">
        <x:v>PRIV.MIN</x:v>
      </x:c>
      <x:c r="L133" s="151" t="str"/>
      <x:c r="M133" s="151" t="str">
        <x:v>PRIV</x:v>
      </x:c>
      <x:c r="N133" s="151"/>
      <x:c r="O133" s="151" t="str">
        <x:v>proposal</x:v>
      </x:c>
      <x:c r="P133" s="151"/>
      <x:c r="Q133" s="151" t="str">
        <x:v>increases</x:v>
      </x:c>
      <x:c r="R133" s="151"/>
      <x:c r="S133" s="151" t="str">
        <x:v>from_intermediary</x:v>
      </x:c>
      <x:c r="T133" s="151"/>
      <x:c r="U133" s="151" t="n">
        <x:v>2</x:v>
      </x:c>
      <x:c r="V133" s="151"/>
      <x:c r="W133" s="151"/>
      <x:c r="X133" s="146"/>
      <x:c r="Y133" s="146"/>
      <x:c r="Z133" s="146"/>
      <x:c r="AA133" s="146"/>
      <x:c r="AB133" s="146"/>
      <x:c r="AC133" s="146"/>
      <x:c r="AD133" s="146"/>
      <x:c r="AE133" s="146"/>
      <x:c r="AF133" s="154" t="str">
        <x:f>IF(X133="","PENDING",IF(X133="exclude","DONE",IF(COUNTA(Y133:AC133)=5,"DONE","INCOMPLETE")))</x:f>
        <x:v>PENDING</x:v>
      </x:c>
    </x:row>
    <x:row r="134">
      <x:c r="A134" s="151" t="str">
        <x:v>code|odr</x:v>
      </x:c>
      <x:c r="B134" s="151" t="str">
        <x:v>SV-0159</x:v>
      </x:c>
      <x:c r="C134" s="151" t="str">
        <x:v>PC-01867</x:v>
      </x:c>
      <x:c r="D134" s="151" t="str">
        <x:v>en|both</x:v>
      </x:c>
      <x:c r="E134" s="151" t="n">
        <x:v>19.069444444444443</x:v>
      </x:c>
      <x:c r="F134" s="151" t="str">
        <x:v>Hong Kong Monetary Authority (e-HKD)</x:v>
      </x:c>
      <x:c r="G134" s="151" t="str">
        <x:v>To improve the user friendliness of this model, 
users would only see account balances at intermediaries serving them, and the intermediaries would 
manage UTXO transactions for the users.</x:v>
      </x:c>
      <x:c r="H134" s="151" t="str">
        <x:v>keep</x:v>
      </x:c>
      <x:c r="I134" s="151" t="str">
        <x:v>keep</x:v>
      </x:c>
      <x:c r="J134" s="151" t="str">
        <x:v>ADOPT.experience</x:v>
      </x:c>
      <x:c r="K134" s="151" t="str">
        <x:v>TECH.TOKEN.considered</x:v>
      </x:c>
      <x:c r="L134" s="151" t="str">
        <x:v>ADOPT</x:v>
      </x:c>
      <x:c r="M134" s="151" t="str">
        <x:v>TECH</x:v>
      </x:c>
      <x:c r="N134" s="151" t="str">
        <x:v>proposal</x:v>
      </x:c>
      <x:c r="O134" s="151" t="str">
        <x:v>finding</x:v>
      </x:c>
      <x:c r="P134" s="151" t="str">
        <x:v>neutral</x:v>
      </x:c>
      <x:c r="Q134" s="151" t="str">
        <x:v>neutral</x:v>
      </x:c>
      <x:c r="R134" s="151" t="str">
        <x:v>not_applicable</x:v>
      </x:c>
      <x:c r="S134" s="151" t="str">
        <x:v>not_applicable</x:v>
      </x:c>
      <x:c r="T134" s="151" t="n">
        <x:v>2</x:v>
      </x:c>
      <x:c r="U134" s="151" t="n">
        <x:v>2</x:v>
      </x:c>
      <x:c r="V134" s="151"/>
      <x:c r="W134" s="151"/>
      <x:c r="X134" s="146"/>
      <x:c r="Y134" s="146"/>
      <x:c r="Z134" s="146"/>
      <x:c r="AA134" s="146"/>
      <x:c r="AB134" s="146"/>
      <x:c r="AC134" s="146"/>
      <x:c r="AD134" s="146"/>
      <x:c r="AE134" s="146"/>
      <x:c r="AF134" s="154" t="str">
        <x:f>IF(X134="","PENDING",IF(X134="exclude","DONE",IF(COUNTA(Y134:AC134)=5,"DONE","INCOMPLETE")))</x:f>
        <x:v>PENDING</x:v>
      </x:c>
    </x:row>
    <x:row r="135">
      <x:c r="A135" s="151" t="str">
        <x:v>inclusion</x:v>
      </x:c>
      <x:c r="B135" s="151" t="str">
        <x:v>SV-0160</x:v>
      </x:c>
      <x:c r="C135" s="151" t="str">
        <x:v>PC-01808</x:v>
      </x:c>
      <x:c r="D135" s="151" t="str">
        <x:v>en|openai_only</x:v>
      </x:c>
      <x:c r="E135" s="151" t="n">
        <x:v>19.21875</x:v>
      </x:c>
      <x:c r="F135" s="151" t="str">
        <x:v>Hong Kong Monetary Authority (e-HKD)</x:v>
      </x:c>
      <x:c r="G135" s="151" t="str">
        <x:v>A robust design is necessary to guard against the po ssibility of over -issuance and doub le 
spending by an intermediary.</x:v>
      </x:c>
      <x:c r="H135" s="151" t="str">
        <x:v>keep</x:v>
      </x:c>
      <x:c r="I135" s="151" t="str">
        <x:v>exclude</x:v>
      </x:c>
      <x:c r="J135" s="151" t="str">
        <x:v>OPS.resilience</x:v>
      </x:c>
      <x:c r="K135" s="151"/>
      <x:c r="L135" s="151" t="str">
        <x:v>OPS</x:v>
      </x:c>
      <x:c r="M135" s="151" t="str"/>
      <x:c r="N135" s="151" t="str">
        <x:v>proposal</x:v>
      </x:c>
      <x:c r="O135" s="151"/>
      <x:c r="P135" s="151" t="str">
        <x:v>neutral</x:v>
      </x:c>
      <x:c r="Q135" s="151"/>
      <x:c r="R135" s="151" t="str">
        <x:v>not_applicable</x:v>
      </x:c>
      <x:c r="S135" s="151"/>
      <x:c r="T135" s="151" t="n">
        <x:v>2</x:v>
      </x:c>
      <x:c r="U135" s="151"/>
      <x:c r="V135" s="151"/>
      <x:c r="W135" s="151"/>
      <x:c r="X135" s="146"/>
      <x:c r="Y135" s="146"/>
      <x:c r="Z135" s="146"/>
      <x:c r="AA135" s="146"/>
      <x:c r="AB135" s="146"/>
      <x:c r="AC135" s="146"/>
      <x:c r="AD135" s="146"/>
      <x:c r="AE135" s="146"/>
      <x:c r="AF135" s="154" t="str">
        <x:f>IF(X135="","PENDING",IF(X135="exclude","DONE",IF(COUNTA(Y135:AC135)=5,"DONE","INCOMPLETE")))</x:f>
        <x:v>PENDING</x:v>
      </x:c>
    </x:row>
    <x:row r="136">
      <x:c r="A136" s="151" t="str">
        <x:v>strength</x:v>
      </x:c>
      <x:c r="B136" s="151" t="str">
        <x:v>SV-0161</x:v>
      </x:c>
      <x:c r="C136" s="151" t="str">
        <x:v>PC-06183</x:v>
      </x:c>
      <x:c r="D136" s="151" t="str">
        <x:v>en|both</x:v>
      </x:c>
      <x:c r="E136" s="151" t="n">
        <x:v>19.069444444444443</x:v>
      </x:c>
      <x:c r="F136" s="151" t="str">
        <x:v>Bank of England and HM Treasury (digital pound)</x:v>
      </x:c>
      <x:c r="G136" s="151" t="str">
        <x:v>CBDC would be interoperable, allowing conversion between CBDC and 
other forms of money, particularly cash and bank deposits.</x:v>
      </x:c>
      <x:c r="H136" s="151" t="str">
        <x:v>keep</x:v>
      </x:c>
      <x:c r="I136" s="151" t="str">
        <x:v>keep</x:v>
      </x:c>
      <x:c r="J136" s="151" t="str">
        <x:v>INTEROP.domestic</x:v>
      </x:c>
      <x:c r="K136" s="151" t="str">
        <x:v>INTEROP.domestic</x:v>
      </x:c>
      <x:c r="L136" s="151" t="str">
        <x:v>INTEROP</x:v>
      </x:c>
      <x:c r="M136" s="151" t="str">
        <x:v>INTEROP</x:v>
      </x:c>
      <x:c r="N136" s="151" t="str">
        <x:v>proposal</x:v>
      </x:c>
      <x:c r="O136" s="151" t="str">
        <x:v>proposal</x:v>
      </x:c>
      <x:c r="P136" s="151" t="str">
        <x:v>neutral</x:v>
      </x:c>
      <x:c r="Q136" s="151" t="str">
        <x:v>neutral</x:v>
      </x:c>
      <x:c r="R136" s="151" t="str">
        <x:v>not_applicable</x:v>
      </x:c>
      <x:c r="S136" s="151" t="str">
        <x:v>not_applicable</x:v>
      </x:c>
      <x:c r="T136" s="151" t="n">
        <x:v>3</x:v>
      </x:c>
      <x:c r="U136" s="151" t="n">
        <x:v>2</x:v>
      </x:c>
      <x:c r="V136" s="151"/>
      <x:c r="W136" s="151"/>
      <x:c r="X136" s="146"/>
      <x:c r="Y136" s="146"/>
      <x:c r="Z136" s="146"/>
      <x:c r="AA136" s="146"/>
      <x:c r="AB136" s="146"/>
      <x:c r="AC136" s="146"/>
      <x:c r="AD136" s="146"/>
      <x:c r="AE136" s="146"/>
      <x:c r="AF136" s="154" t="str">
        <x:f>IF(X136="","PENDING",IF(X136="exclude","DONE",IF(COUNTA(Y136:AC136)=5,"DONE","INCOMPLETE")))</x:f>
        <x:v>PENDING</x:v>
      </x:c>
    </x:row>
    <x:row r="137">
      <x:c r="A137" s="151" t="str">
        <x:v>inclusion</x:v>
      </x:c>
      <x:c r="B137" s="151" t="str">
        <x:v>SV-0162</x:v>
      </x:c>
      <x:c r="C137" s="151" t="str">
        <x:v>PC-05247</x:v>
      </x:c>
      <x:c r="D137" s="151" t="str">
        <x:v>en|claude_only</x:v>
      </x:c>
      <x:c r="E137" s="151" t="n">
        <x:v>19.375</x:v>
      </x:c>
      <x:c r="F137" s="151" t="str">
        <x:v>Sveriges Riksbank</x:v>
      </x:c>
      <x:c r="G137" s="151" t="str">
        <x:v>Such an e-krona could, by agreement with the ECB, use the euro digital platform. This 
would enable a major cost advantage and compatibility between Swedish and 
European payments.</x:v>
      </x:c>
      <x:c r="H137" s="151" t="str">
        <x:v>exclude</x:v>
      </x:c>
      <x:c r="I137" s="151" t="str">
        <x:v>keep</x:v>
      </x:c>
      <x:c r="J137" s="151"/>
      <x:c r="K137" s="151" t="str">
        <x:v>SYS.design</x:v>
      </x:c>
      <x:c r="L137" s="151" t="str"/>
      <x:c r="M137" s="151" t="str">
        <x:v>SYS</x:v>
      </x:c>
      <x:c r="N137" s="151"/>
      <x:c r="O137" s="151" t="str">
        <x:v>proposal</x:v>
      </x:c>
      <x:c r="P137" s="151"/>
      <x:c r="Q137" s="151" t="str">
        <x:v>neutral</x:v>
      </x:c>
      <x:c r="R137" s="151"/>
      <x:c r="S137" s="151" t="str">
        <x:v>not_applicable</x:v>
      </x:c>
      <x:c r="T137" s="151"/>
      <x:c r="U137" s="151" t="n">
        <x:v>2</x:v>
      </x:c>
      <x:c r="V137" s="151"/>
      <x:c r="W137" s="151"/>
      <x:c r="X137" s="146"/>
      <x:c r="Y137" s="146"/>
      <x:c r="Z137" s="146"/>
      <x:c r="AA137" s="146"/>
      <x:c r="AB137" s="146"/>
      <x:c r="AC137" s="146"/>
      <x:c r="AD137" s="146"/>
      <x:c r="AE137" s="146"/>
      <x:c r="AF137" s="154" t="str">
        <x:f>IF(X137="","PENDING",IF(X137="exclude","DONE",IF(COUNTA(Y137:AC137)=5,"DONE","INCOMPLETE")))</x:f>
        <x:v>PENDING</x:v>
      </x:c>
    </x:row>
    <x:row r="138">
      <x:c r="A138" s="151" t="str">
        <x:v>inclusion</x:v>
      </x:c>
      <x:c r="B138" s="151" t="str">
        <x:v>SV-0163</x:v>
      </x:c>
      <x:c r="C138" s="151" t="str">
        <x:v>PC-02123</x:v>
      </x:c>
      <x:c r="D138" s="151" t="str">
        <x:v>en|claude_only</x:v>
      </x:c>
      <x:c r="E138" s="151" t="n">
        <x:v>19.375</x:v>
      </x:c>
      <x:c r="F138" s="151" t="str">
        <x:v>Hong Kong Monetary Authority (e-HKD)</x:v>
      </x:c>
      <x:c r="G138" s="151" t="str">
        <x:v>It should be noted that no cyber security study of the e-HKD distribution infrastructure 
has been conducted so far.</x:v>
      </x:c>
      <x:c r="H138" s="151" t="str">
        <x:v>exclude</x:v>
      </x:c>
      <x:c r="I138" s="151" t="str">
        <x:v>keep</x:v>
      </x:c>
      <x:c r="J138" s="151"/>
      <x:c r="K138" s="151" t="str">
        <x:v>OPS.resilience</x:v>
      </x:c>
      <x:c r="L138" s="151" t="str"/>
      <x:c r="M138" s="151" t="str">
        <x:v>OPS</x:v>
      </x:c>
      <x:c r="N138" s="151"/>
      <x:c r="O138" s="151" t="str">
        <x:v>finding</x:v>
      </x:c>
      <x:c r="P138" s="151"/>
      <x:c r="Q138" s="151" t="str">
        <x:v>neutral</x:v>
      </x:c>
      <x:c r="R138" s="151"/>
      <x:c r="S138" s="151" t="str">
        <x:v>not_applicable</x:v>
      </x:c>
      <x:c r="T138" s="151"/>
      <x:c r="U138" s="151" t="n">
        <x:v>2</x:v>
      </x:c>
      <x:c r="V138" s="151"/>
      <x:c r="W138" s="151"/>
      <x:c r="X138" s="146"/>
      <x:c r="Y138" s="146"/>
      <x:c r="Z138" s="146"/>
      <x:c r="AA138" s="146"/>
      <x:c r="AB138" s="146"/>
      <x:c r="AC138" s="146"/>
      <x:c r="AD138" s="146"/>
      <x:c r="AE138" s="146"/>
      <x:c r="AF138" s="154" t="str">
        <x:f>IF(X138="","PENDING",IF(X138="exclude","DONE",IF(COUNTA(Y138:AC138)=5,"DONE","INCOMPLETE")))</x:f>
        <x:v>PENDING</x:v>
      </x:c>
    </x:row>
    <x:row r="139">
      <x:c r="A139" s="151" t="str">
        <x:v>inclusion</x:v>
      </x:c>
      <x:c r="B139" s="151" t="str">
        <x:v>SV-0164</x:v>
      </x:c>
      <x:c r="C139" s="151" t="str">
        <x:v>PC-02128</x:v>
      </x:c>
      <x:c r="D139" s="151" t="str">
        <x:v>en|claude_only</x:v>
      </x:c>
      <x:c r="E139" s="151" t="n">
        <x:v>19.375</x:v>
      </x:c>
      <x:c r="F139" s="151" t="str">
        <x:v>Hong Kong Monetary Authority (e-HKD)</x:v>
      </x:c>
      <x:c r="G139" s="151" t="str">
        <x:v>designated banks 
would be required to submit US$1 to the HKMA to purchase HK$7.80 of CIs 
before issuing HK$7.80 e-HKD to the depositors (Figure 7). Under this approach, 
e-HKD would be issued by the designated banks and hence would become the 
liabilities of the designated banks instead of the Government, but with full backing 
by the USD via CIs.</x:v>
      </x:c>
      <x:c r="H139" s="151" t="str">
        <x:v>exclude</x:v>
      </x:c>
      <x:c r="I139" s="151" t="str">
        <x:v>keep</x:v>
      </x:c>
      <x:c r="J139" s="151"/>
      <x:c r="K139" s="151" t="str">
        <x:v>SYS.design</x:v>
      </x:c>
      <x:c r="L139" s="151" t="str"/>
      <x:c r="M139" s="151" t="str">
        <x:v>SYS</x:v>
      </x:c>
      <x:c r="N139" s="151"/>
      <x:c r="O139" s="151" t="str">
        <x:v>proposal</x:v>
      </x:c>
      <x:c r="P139" s="151"/>
      <x:c r="Q139" s="151" t="str">
        <x:v>neutral</x:v>
      </x:c>
      <x:c r="R139" s="151"/>
      <x:c r="S139" s="151" t="str">
        <x:v>not_applicable</x:v>
      </x:c>
      <x:c r="T139" s="151"/>
      <x:c r="U139" s="151" t="n">
        <x:v>2</x:v>
      </x:c>
      <x:c r="V139" s="151"/>
      <x:c r="W139" s="151"/>
      <x:c r="X139" s="146"/>
      <x:c r="Y139" s="146"/>
      <x:c r="Z139" s="146"/>
      <x:c r="AA139" s="146"/>
      <x:c r="AB139" s="146"/>
      <x:c r="AC139" s="146"/>
      <x:c r="AD139" s="146"/>
      <x:c r="AE139" s="146"/>
      <x:c r="AF139" s="154" t="str">
        <x:f>IF(X139="","PENDING",IF(X139="exclude","DONE",IF(COUNTA(Y139:AC139)=5,"DONE","INCOMPLETE")))</x:f>
        <x:v>PENDING</x:v>
      </x:c>
    </x:row>
    <x:row r="140">
      <x:c r="A140" s="151" t="str">
        <x:v>code|odr</x:v>
      </x:c>
      <x:c r="B140" s="151" t="str">
        <x:v>SV-0165</x:v>
      </x:c>
      <x:c r="C140" s="151" t="str">
        <x:v>PC-02824</x:v>
      </x:c>
      <x:c r="D140" s="151" t="str">
        <x:v>en|both</x:v>
      </x:c>
      <x:c r="E140" s="151" t="n">
        <x:v>19.069444444444443</x:v>
      </x:c>
      <x:c r="F140" s="151" t="str">
        <x:v>Bank of Israel (digital shekel)</x:v>
      </x:c>
      <x:c r="G140" s="151" t="str">
        <x:v>As such, they can also operate as end users and perform transactions for themselves, 
make payments between them and other financial institutions, and between them and the 
Bank of Israel, including payments requiring final s ettlement (currently done in the RTGS 
system).</x:v>
      </x:c>
      <x:c r="H140" s="151" t="str">
        <x:v>keep</x:v>
      </x:c>
      <x:c r="I140" s="151" t="str">
        <x:v>keep</x:v>
      </x:c>
      <x:c r="J140" s="151" t="str">
        <x:v>INTEROP.domestic</x:v>
      </x:c>
      <x:c r="K140" s="151" t="str">
        <x:v>SYS.design</x:v>
      </x:c>
      <x:c r="L140" s="151" t="str">
        <x:v>INTEROP</x:v>
      </x:c>
      <x:c r="M140" s="151" t="str">
        <x:v>SYS</x:v>
      </x:c>
      <x:c r="N140" s="151" t="str">
        <x:v>proposal</x:v>
      </x:c>
      <x:c r="O140" s="151" t="str">
        <x:v>decision</x:v>
      </x:c>
      <x:c r="P140" s="151" t="str">
        <x:v>neutral</x:v>
      </x:c>
      <x:c r="Q140" s="151" t="str">
        <x:v>neutral</x:v>
      </x:c>
      <x:c r="R140" s="151" t="str">
        <x:v>not_applicable</x:v>
      </x:c>
      <x:c r="S140" s="151" t="str">
        <x:v>not_applicable</x:v>
      </x:c>
      <x:c r="T140" s="151" t="n">
        <x:v>2</x:v>
      </x:c>
      <x:c r="U140" s="151" t="n">
        <x:v>2</x:v>
      </x:c>
      <x:c r="V140" s="151"/>
      <x:c r="W140" s="151"/>
      <x:c r="X140" s="146"/>
      <x:c r="Y140" s="146"/>
      <x:c r="Z140" s="146"/>
      <x:c r="AA140" s="146"/>
      <x:c r="AB140" s="146"/>
      <x:c r="AC140" s="146"/>
      <x:c r="AD140" s="146"/>
      <x:c r="AE140" s="146"/>
      <x:c r="AF140" s="154" t="str">
        <x:f>IF(X140="","PENDING",IF(X140="exclude","DONE",IF(COUNTA(Y140:AC140)=5,"DONE","INCOMPLETE")))</x:f>
        <x:v>PENDING</x:v>
      </x:c>
    </x:row>
    <x:row r="141">
      <x:c r="A141" s="151" t="str">
        <x:v>inclusion</x:v>
      </x:c>
      <x:c r="B141" s="151" t="str">
        <x:v>SV-0166</x:v>
      </x:c>
      <x:c r="C141" s="151" t="str">
        <x:v>PC-06429</x:v>
      </x:c>
      <x:c r="D141" s="151" t="str">
        <x:v>en|openai_only</x:v>
      </x:c>
      <x:c r="E141" s="151" t="n">
        <x:v>19.21875</x:v>
      </x:c>
      <x:c r="F141" s="151" t="str">
        <x:v>Maldives Monetary Authority / Maldives CBDC policy study</x:v>
      </x:c>
      <x:c r="G141" s="151" t="str">
        <x:v>It is an aim of th is project to ensure that Maldivian FinTech companies are involved in 
the development of the CBDC and stablecoin / asset tokenization initiatives .</x:v>
      </x:c>
      <x:c r="H141" s="151" t="str">
        <x:v>keep</x:v>
      </x:c>
      <x:c r="I141" s="151" t="str">
        <x:v>exclude</x:v>
      </x:c>
      <x:c r="J141" s="151" t="str">
        <x:v>INTEROP.domestic</x:v>
      </x:c>
      <x:c r="K141" s="151"/>
      <x:c r="L141" s="151" t="str">
        <x:v>INTEROP</x:v>
      </x:c>
      <x:c r="M141" s="151" t="str"/>
      <x:c r="N141" s="151" t="str">
        <x:v>proposal</x:v>
      </x:c>
      <x:c r="O141" s="151"/>
      <x:c r="P141" s="151" t="str">
        <x:v>neutral</x:v>
      </x:c>
      <x:c r="Q141" s="151"/>
      <x:c r="R141" s="151" t="str">
        <x:v>not_applicable</x:v>
      </x:c>
      <x:c r="S141" s="151"/>
      <x:c r="T141" s="151" t="n">
        <x:v>2</x:v>
      </x:c>
      <x:c r="U141" s="151"/>
      <x:c r="V141" s="151"/>
      <x:c r="W141" s="151"/>
      <x:c r="X141" s="146"/>
      <x:c r="Y141" s="146"/>
      <x:c r="Z141" s="146"/>
      <x:c r="AA141" s="146"/>
      <x:c r="AB141" s="146"/>
      <x:c r="AC141" s="146"/>
      <x:c r="AD141" s="146"/>
      <x:c r="AE141" s="146"/>
      <x:c r="AF141" s="154" t="str">
        <x:f>IF(X141="","PENDING",IF(X141="exclude","DONE",IF(COUNTA(Y141:AC141)=5,"DONE","INCOMPLETE")))</x:f>
        <x:v>PENDING</x:v>
      </x:c>
    </x:row>
    <x:row r="142">
      <x:c r="A142" s="151" t="str">
        <x:v>odr</x:v>
      </x:c>
      <x:c r="B142" s="151" t="str">
        <x:v>SV-0167</x:v>
      </x:c>
      <x:c r="C142" s="151" t="str">
        <x:v>PC-04375</x:v>
      </x:c>
      <x:c r="D142" s="151" t="str">
        <x:v>en|both</x:v>
      </x:c>
      <x:c r="E142" s="151" t="n">
        <x:v>19.069444444444443</x:v>
      </x:c>
      <x:c r="F142" s="151" t="str">
        <x:v>Norges Bank (Norwegian CBDC work)</x:v>
      </x:c>
      <x:c r="G142" s="151" t="str">
        <x:v>Dersom det tilbys omfattende programmerings-
alternativer på toppen av DSP, som for eksempel legger til rette for 
tokenisering av aktiva på toppen av DSP-registeret, vil det i praksis kunne gi 
Norges Bank ansvar utover oppgavene etter sentralbankloven.</x:v>
      </x:c>
      <x:c r="H142" s="151" t="str">
        <x:v>keep</x:v>
      </x:c>
      <x:c r="I142" s="151" t="str">
        <x:v>keep</x:v>
      </x:c>
      <x:c r="J142" s="151" t="str">
        <x:v>PROG.generic</x:v>
      </x:c>
      <x:c r="K142" s="151" t="str">
        <x:v>PROG.generic</x:v>
      </x:c>
      <x:c r="L142" s="151" t="str">
        <x:v>PROG</x:v>
      </x:c>
      <x:c r="M142" s="151" t="str">
        <x:v>PROG</x:v>
      </x:c>
      <x:c r="N142" s="151" t="str">
        <x:v>proposal</x:v>
      </x:c>
      <x:c r="O142" s="151" t="str">
        <x:v>finding</x:v>
      </x:c>
      <x:c r="P142" s="151" t="str">
        <x:v>neutral</x:v>
      </x:c>
      <x:c r="Q142" s="151" t="str">
        <x:v>neutral</x:v>
      </x:c>
      <x:c r="R142" s="151" t="str">
        <x:v>not_applicable</x:v>
      </x:c>
      <x:c r="S142" s="151" t="str">
        <x:v>not_applicable</x:v>
      </x:c>
      <x:c r="T142" s="151" t="n">
        <x:v>2</x:v>
      </x:c>
      <x:c r="U142" s="151" t="n">
        <x:v>2</x:v>
      </x:c>
      <x:c r="V142" s="151"/>
      <x:c r="W142" s="151"/>
      <x:c r="X142" s="146"/>
      <x:c r="Y142" s="146"/>
      <x:c r="Z142" s="146"/>
      <x:c r="AA142" s="146"/>
      <x:c r="AB142" s="146"/>
      <x:c r="AC142" s="146"/>
      <x:c r="AD142" s="146"/>
      <x:c r="AE142" s="146"/>
      <x:c r="AF142" s="154" t="str">
        <x:f>IF(X142="","PENDING",IF(X142="exclude","DONE",IF(COUNTA(Y142:AC142)=5,"DONE","INCOMPLETE")))</x:f>
        <x:v>PENDING</x:v>
      </x:c>
    </x:row>
    <x:row r="143">
      <x:c r="A143" s="151" t="str">
        <x:v>code|privacy_direction|privacy_relation</x:v>
      </x:c>
      <x:c r="B143" s="151" t="str">
        <x:v>SV-0169</x:v>
      </x:c>
      <x:c r="C143" s="151" t="str">
        <x:v>PC-05770</x:v>
      </x:c>
      <x:c r="D143" s="151" t="str">
        <x:v>en|both</x:v>
      </x:c>
      <x:c r="E143" s="151" t="n">
        <x:v>19.069444444444443</x:v>
      </x:c>
      <x:c r="F143" s="151" t="str">
        <x:v>Central Bank of the Republic of Turkiye (Digital Turkish Lira)</x:v>
      </x:c>
      <x:c r="G143" s="151" t="str">
        <x:v>in the digital currency system, the 
central bank does not know which account belongs to which user since 
it does not have the identity information of the end users.</x:v>
      </x:c>
      <x:c r="H143" s="151" t="str">
        <x:v>keep</x:v>
      </x:c>
      <x:c r="I143" s="151" t="str">
        <x:v>keep</x:v>
      </x:c>
      <x:c r="J143" s="151" t="str">
        <x:v>SYS.design</x:v>
      </x:c>
      <x:c r="K143" s="151" t="str">
        <x:v>PRIV.CB.visibility.opaque</x:v>
      </x:c>
      <x:c r="L143" s="151" t="str">
        <x:v>SYS</x:v>
      </x:c>
      <x:c r="M143" s="151" t="str">
        <x:v>PRIV</x:v>
      </x:c>
      <x:c r="N143" s="151" t="str">
        <x:v>decision</x:v>
      </x:c>
      <x:c r="O143" s="151" t="str">
        <x:v>decision</x:v>
      </x:c>
      <x:c r="P143" s="151" t="str">
        <x:v>neutral</x:v>
      </x:c>
      <x:c r="Q143" s="151" t="str">
        <x:v>increases</x:v>
      </x:c>
      <x:c r="R143" s="151" t="str">
        <x:v>not_applicable</x:v>
      </x:c>
      <x:c r="S143" s="151" t="str">
        <x:v>from_state</x:v>
      </x:c>
      <x:c r="T143" s="151" t="n">
        <x:v>3</x:v>
      </x:c>
      <x:c r="U143" s="151" t="n">
        <x:v>3</x:v>
      </x:c>
      <x:c r="V143" s="151"/>
      <x:c r="W143" s="151"/>
      <x:c r="X143" s="146"/>
      <x:c r="Y143" s="146"/>
      <x:c r="Z143" s="146"/>
      <x:c r="AA143" s="146"/>
      <x:c r="AB143" s="146"/>
      <x:c r="AC143" s="146"/>
      <x:c r="AD143" s="146"/>
      <x:c r="AE143" s="146"/>
      <x:c r="AF143" s="154" t="str">
        <x:f>IF(X143="","PENDING",IF(X143="exclude","DONE",IF(COUNTA(Y143:AC143)=5,"DONE","INCOMPLETE")))</x:f>
        <x:v>PENDING</x:v>
      </x:c>
    </x:row>
    <x:row r="144">
      <x:c r="A144" s="151" t="str">
        <x:v>inclusion</x:v>
      </x:c>
      <x:c r="B144" s="151" t="str">
        <x:v>SV-0170</x:v>
      </x:c>
      <x:c r="C144" s="151" t="str">
        <x:v>PC-04387</x:v>
      </x:c>
      <x:c r="D144" s="151" t="str">
        <x:v>en|openai_only</x:v>
      </x:c>
      <x:c r="E144" s="151" t="n">
        <x:v>19.21875</x:v>
      </x:c>
      <x:c r="F144" s="151" t="str">
        <x:v>Norges Bank (Norwegian CBDC work)</x:v>
      </x:c>
      <x:c r="G144" s="151" t="str">
        <x:v>Hvis brukeren mister tilgangen til koden 
eller blir utsatt for ondsinnet programvare, vil brukeren kunne miste eller bli 
frastjålet midlene sine.</x:v>
      </x:c>
      <x:c r="H144" s="151" t="str">
        <x:v>keep</x:v>
      </x:c>
      <x:c r="I144" s="151" t="str">
        <x:v>exclude</x:v>
      </x:c>
      <x:c r="J144" s="151" t="str">
        <x:v>OPS.resilience</x:v>
      </x:c>
      <x:c r="K144" s="151"/>
      <x:c r="L144" s="151" t="str">
        <x:v>OPS</x:v>
      </x:c>
      <x:c r="M144" s="151" t="str"/>
      <x:c r="N144" s="151" t="str">
        <x:v>finding</x:v>
      </x:c>
      <x:c r="O144" s="151"/>
      <x:c r="P144" s="151" t="str">
        <x:v>neutral</x:v>
      </x:c>
      <x:c r="Q144" s="151"/>
      <x:c r="R144" s="151" t="str">
        <x:v>not_applicable</x:v>
      </x:c>
      <x:c r="S144" s="151"/>
      <x:c r="T144" s="151" t="n">
        <x:v>2</x:v>
      </x:c>
      <x:c r="U144" s="151"/>
      <x:c r="V144" s="151"/>
      <x:c r="W144" s="151"/>
      <x:c r="X144" s="146"/>
      <x:c r="Y144" s="146"/>
      <x:c r="Z144" s="146"/>
      <x:c r="AA144" s="146"/>
      <x:c r="AB144" s="146"/>
      <x:c r="AC144" s="146"/>
      <x:c r="AD144" s="146"/>
      <x:c r="AE144" s="146"/>
      <x:c r="AF144" s="154" t="str">
        <x:f>IF(X144="","PENDING",IF(X144="exclude","DONE",IF(COUNTA(Y144:AC144)=5,"DONE","INCOMPLETE")))</x:f>
        <x:v>PENDING</x:v>
      </x:c>
    </x:row>
    <x:row r="145">
      <x:c r="A145" s="151" t="str">
        <x:v>odr</x:v>
      </x:c>
      <x:c r="B145" s="151" t="str">
        <x:v>SV-0171</x:v>
      </x:c>
      <x:c r="C145" s="151" t="str">
        <x:v>PC-05521</x:v>
      </x:c>
      <x:c r="D145" s="151" t="str">
        <x:v>en|both</x:v>
      </x:c>
      <x:c r="E145" s="151" t="n">
        <x:v>19.069444444444443</x:v>
      </x:c>
      <x:c r="F145" s="151" t="str">
        <x:v>Central Bank of Eswatini (Digital Lilangeni)</x:v>
      </x:c>
      <x:c r="G145" s="151" t="str">
        <x:v>A retail CBDC is designed to provide the citizens of Eswatini with an additional means of 
payment. As such, it offers them the possibility of making digital payments between one 
another (P2P), paying at the merchant checkout with Digital Lilangeni (P2B) as  well as 
making transactions with governmental institutions (e.g., receive or pay funds, tax bills, 
G2P, P2G).</x:v>
      </x:c>
      <x:c r="H145" s="151" t="str">
        <x:v>keep</x:v>
      </x:c>
      <x:c r="I145" s="151" t="str">
        <x:v>keep</x:v>
      </x:c>
      <x:c r="J145" s="151" t="str">
        <x:v>SYS.design</x:v>
      </x:c>
      <x:c r="K145" s="151" t="str">
        <x:v>SYS.design</x:v>
      </x:c>
      <x:c r="L145" s="151" t="str">
        <x:v>SYS</x:v>
      </x:c>
      <x:c r="M145" s="151" t="str">
        <x:v>SYS</x:v>
      </x:c>
      <x:c r="N145" s="151" t="str">
        <x:v>proposal</x:v>
      </x:c>
      <x:c r="O145" s="151" t="str">
        <x:v>decision</x:v>
      </x:c>
      <x:c r="P145" s="151" t="str">
        <x:v>neutral</x:v>
      </x:c>
      <x:c r="Q145" s="151" t="str">
        <x:v>neutral</x:v>
      </x:c>
      <x:c r="R145" s="151" t="str">
        <x:v>not_applicable</x:v>
      </x:c>
      <x:c r="S145" s="151" t="str">
        <x:v>not_applicable</x:v>
      </x:c>
      <x:c r="T145" s="151" t="n">
        <x:v>2</x:v>
      </x:c>
      <x:c r="U145" s="151" t="n">
        <x:v>2</x:v>
      </x:c>
      <x:c r="V145" s="151"/>
      <x:c r="W145" s="151"/>
      <x:c r="X145" s="146"/>
      <x:c r="Y145" s="146"/>
      <x:c r="Z145" s="146"/>
      <x:c r="AA145" s="146"/>
      <x:c r="AB145" s="146"/>
      <x:c r="AC145" s="146"/>
      <x:c r="AD145" s="146"/>
      <x:c r="AE145" s="146"/>
      <x:c r="AF145" s="154" t="str">
        <x:f>IF(X145="","PENDING",IF(X145="exclude","DONE",IF(COUNTA(Y145:AC145)=5,"DONE","INCOMPLETE")))</x:f>
        <x:v>PENDING</x:v>
      </x:c>
    </x:row>
    <x:row r="146">
      <x:c r="A146" s="151" t="str">
        <x:v>strength</x:v>
      </x:c>
      <x:c r="B146" s="151" t="str">
        <x:v>SV-0172</x:v>
      </x:c>
      <x:c r="C146" s="151" t="str">
        <x:v>PC-06327</x:v>
      </x:c>
      <x:c r="D146" s="151" t="str">
        <x:v>en|both</x:v>
      </x:c>
      <x:c r="E146" s="151" t="n">
        <x:v>19.069444444444443</x:v>
      </x:c>
      <x:c r="F146" s="151" t="str">
        <x:v>Bank of England and HM Treasury (digital pound)</x:v>
      </x:c>
      <x:c r="G146" s="151" t="str">
        <x:v>The governance of the API layer should be clearly defined from the beginning to 
ensure minimal impact in the CBDC ecosystem when changes are implemented in the 
API layer.</x:v>
      </x:c>
      <x:c r="H146" s="151" t="str">
        <x:v>keep</x:v>
      </x:c>
      <x:c r="I146" s="151" t="str">
        <x:v>keep</x:v>
      </x:c>
      <x:c r="J146" s="151" t="str">
        <x:v>SYS.design</x:v>
      </x:c>
      <x:c r="K146" s="151" t="str">
        <x:v>SYS.design</x:v>
      </x:c>
      <x:c r="L146" s="151" t="str">
        <x:v>SYS</x:v>
      </x:c>
      <x:c r="M146" s="151" t="str">
        <x:v>SYS</x:v>
      </x:c>
      <x:c r="N146" s="151" t="str">
        <x:v>proposal</x:v>
      </x:c>
      <x:c r="O146" s="151" t="str">
        <x:v>proposal</x:v>
      </x:c>
      <x:c r="P146" s="151" t="str">
        <x:v>neutral</x:v>
      </x:c>
      <x:c r="Q146" s="151" t="str">
        <x:v>neutral</x:v>
      </x:c>
      <x:c r="R146" s="151" t="str">
        <x:v>not_applicable</x:v>
      </x:c>
      <x:c r="S146" s="151" t="str">
        <x:v>not_applicable</x:v>
      </x:c>
      <x:c r="T146" s="151" t="n">
        <x:v>2</x:v>
      </x:c>
      <x:c r="U146" s="151" t="n">
        <x:v>1</x:v>
      </x:c>
      <x:c r="V146" s="151"/>
      <x:c r="W146" s="151"/>
      <x:c r="X146" s="146"/>
      <x:c r="Y146" s="146"/>
      <x:c r="Z146" s="146"/>
      <x:c r="AA146" s="146"/>
      <x:c r="AB146" s="146"/>
      <x:c r="AC146" s="146"/>
      <x:c r="AD146" s="146"/>
      <x:c r="AE146" s="146"/>
      <x:c r="AF146" s="154" t="str">
        <x:f>IF(X146="","PENDING",IF(X146="exclude","DONE",IF(COUNTA(Y146:AC146)=5,"DONE","INCOMPLETE")))</x:f>
        <x:v>PENDING</x:v>
      </x:c>
    </x:row>
    <x:row r="147">
      <x:c r="A147" s="151" t="str">
        <x:v>inclusion</x:v>
      </x:c>
      <x:c r="B147" s="151" t="str">
        <x:v>SV-0173</x:v>
      </x:c>
      <x:c r="C147" s="151" t="str">
        <x:v>PC-04838</x:v>
      </x:c>
      <x:c r="D147" s="151" t="str">
        <x:v>ru/uk|openai_only</x:v>
      </x:c>
      <x:c r="E147" s="151" t="n">
        <x:v>20.33333333333333</x:v>
      </x:c>
      <x:c r="F147" s="151" t="str">
        <x:v>Bank of Russia (digital ruble)</x:v>
      </x:c>
      <x:c r="G147" s="151" t="str">
        <x:v>При переводе средств между кошельками клиентов – физических лиц на пассивной сторо-
не баланса Банка России средства перемещаются с цифрового кошелька клиента А на циф -
ровой кошелек клиента Б.</x:v>
      </x:c>
      <x:c r="H147" s="151" t="str">
        <x:v>keep</x:v>
      </x:c>
      <x:c r="I147" s="151" t="str">
        <x:v>exclude</x:v>
      </x:c>
      <x:c r="J147" s="151" t="str">
        <x:v>SYS.design</x:v>
      </x:c>
      <x:c r="K147" s="151"/>
      <x:c r="L147" s="151" t="str">
        <x:v>SYS</x:v>
      </x:c>
      <x:c r="M147" s="151" t="str"/>
      <x:c r="N147" s="151" t="str">
        <x:v>proposal</x:v>
      </x:c>
      <x:c r="O147" s="151"/>
      <x:c r="P147" s="151" t="str">
        <x:v>neutral</x:v>
      </x:c>
      <x:c r="Q147" s="151"/>
      <x:c r="R147" s="151" t="str">
        <x:v>not_applicable</x:v>
      </x:c>
      <x:c r="S147" s="151"/>
      <x:c r="T147" s="151" t="n">
        <x:v>2</x:v>
      </x:c>
      <x:c r="U147" s="151"/>
      <x:c r="V147" s="151"/>
      <x:c r="W147" s="151"/>
      <x:c r="X147" s="146"/>
      <x:c r="Y147" s="146"/>
      <x:c r="Z147" s="146"/>
      <x:c r="AA147" s="146"/>
      <x:c r="AB147" s="146"/>
      <x:c r="AC147" s="146"/>
      <x:c r="AD147" s="146"/>
      <x:c r="AE147" s="146"/>
      <x:c r="AF147" s="154" t="str">
        <x:f>IF(X147="","PENDING",IF(X147="exclude","DONE",IF(COUNTA(Y147:AC147)=5,"DONE","INCOMPLETE")))</x:f>
        <x:v>PENDING</x:v>
      </x:c>
    </x:row>
    <x:row r="148">
      <x:c r="A148" s="151" t="str">
        <x:v>code|odr|strength</x:v>
      </x:c>
      <x:c r="B148" s="151" t="str">
        <x:v>SV-0174</x:v>
      </x:c>
      <x:c r="C148" s="151" t="str">
        <x:v>PC-03349</x:v>
      </x:c>
      <x:c r="D148" s="151" t="str">
        <x:v>en|both</x:v>
      </x:c>
      <x:c r="E148" s="151" t="n">
        <x:v>19.069444444444443</x:v>
      </x:c>
      <x:c r="F148" s="151" t="str">
        <x:v>Reserve Bank of India (digital rupee)</x:v>
      </x:c>
      <x:c r="G148" s="151" t="str">
        <x:v>It appears as a liability on the central bank’s 
balance sheet</x:v>
      </x:c>
      <x:c r="H148" s="151" t="str">
        <x:v>keep</x:v>
      </x:c>
      <x:c r="I148" s="151" t="str">
        <x:v>keep</x:v>
      </x:c>
      <x:c r="J148" s="151" t="str">
        <x:v>STAB.disintermediation</x:v>
      </x:c>
      <x:c r="K148" s="151" t="str">
        <x:v>INTEROP.domestic</x:v>
      </x:c>
      <x:c r="L148" s="151" t="str">
        <x:v>STAB</x:v>
      </x:c>
      <x:c r="M148" s="151" t="str">
        <x:v>INTEROP</x:v>
      </x:c>
      <x:c r="N148" s="151" t="str">
        <x:v>proposal</x:v>
      </x:c>
      <x:c r="O148" s="151" t="str">
        <x:v>decision</x:v>
      </x:c>
      <x:c r="P148" s="151" t="str">
        <x:v>neutral</x:v>
      </x:c>
      <x:c r="Q148" s="151" t="str">
        <x:v>neutral</x:v>
      </x:c>
      <x:c r="R148" s="151" t="str">
        <x:v>not_applicable</x:v>
      </x:c>
      <x:c r="S148" s="151" t="str">
        <x:v>not_applicable</x:v>
      </x:c>
      <x:c r="T148" s="151" t="n">
        <x:v>3</x:v>
      </x:c>
      <x:c r="U148" s="151" t="n">
        <x:v>2</x:v>
      </x:c>
      <x:c r="V148" s="151"/>
      <x:c r="W148" s="151"/>
      <x:c r="X148" s="146"/>
      <x:c r="Y148" s="146"/>
      <x:c r="Z148" s="146"/>
      <x:c r="AA148" s="146"/>
      <x:c r="AB148" s="146"/>
      <x:c r="AC148" s="146"/>
      <x:c r="AD148" s="146"/>
      <x:c r="AE148" s="146"/>
      <x:c r="AF148" s="154" t="str">
        <x:f>IF(X148="","PENDING",IF(X148="exclude","DONE",IF(COUNTA(Y148:AC148)=5,"DONE","INCOMPLETE")))</x:f>
        <x:v>PENDING</x:v>
      </x:c>
    </x:row>
    <x:row r="149">
      <x:c r="A149" s="151" t="str">
        <x:v>inclusion</x:v>
      </x:c>
      <x:c r="B149" s="151" t="str">
        <x:v>SV-0175</x:v>
      </x:c>
      <x:c r="C149" s="151" t="str">
        <x:v>PC-05230</x:v>
      </x:c>
      <x:c r="D149" s="151" t="str">
        <x:v>en|openai_only</x:v>
      </x:c>
      <x:c r="E149" s="151" t="n">
        <x:v>19.21875</x:v>
      </x:c>
      <x:c r="F149" s="151" t="str">
        <x:v>Sveriges Riksbank (e-krona)</x:v>
      </x:c>
      <x:c r="G149" s="151" t="str">
        <x:v>The Riksbank will be responsible at the very least for the issue, 
redemption and settlement of the e-krona.</x:v>
      </x:c>
      <x:c r="H149" s="151" t="str">
        <x:v>keep</x:v>
      </x:c>
      <x:c r="I149" s="151" t="str">
        <x:v>exclude</x:v>
      </x:c>
      <x:c r="J149" s="151" t="str">
        <x:v>INST.mandate</x:v>
      </x:c>
      <x:c r="K149" s="151"/>
      <x:c r="L149" s="151" t="str">
        <x:v>INST</x:v>
      </x:c>
      <x:c r="M149" s="151" t="str"/>
      <x:c r="N149" s="151" t="str">
        <x:v>proposal</x:v>
      </x:c>
      <x:c r="O149" s="151"/>
      <x:c r="P149" s="151" t="str">
        <x:v>neutral</x:v>
      </x:c>
      <x:c r="Q149" s="151"/>
      <x:c r="R149" s="151" t="str">
        <x:v>not_applicable</x:v>
      </x:c>
      <x:c r="S149" s="151"/>
      <x:c r="T149" s="151" t="n">
        <x:v>3</x:v>
      </x:c>
      <x:c r="U149" s="151"/>
      <x:c r="V149" s="151"/>
      <x:c r="W149" s="151"/>
      <x:c r="X149" s="146"/>
      <x:c r="Y149" s="146"/>
      <x:c r="Z149" s="146"/>
      <x:c r="AA149" s="146"/>
      <x:c r="AB149" s="146"/>
      <x:c r="AC149" s="146"/>
      <x:c r="AD149" s="146"/>
      <x:c r="AE149" s="146"/>
      <x:c r="AF149" s="154" t="str">
        <x:f>IF(X149="","PENDING",IF(X149="exclude","DONE",IF(COUNTA(Y149:AC149)=5,"DONE","INCOMPLETE")))</x:f>
        <x:v>PENDING</x:v>
      </x:c>
    </x:row>
    <x:row r="150">
      <x:c r="A150" s="151" t="str">
        <x:v>inclusion</x:v>
      </x:c>
      <x:c r="B150" s="151" t="str">
        <x:v>SV-0176</x:v>
      </x:c>
      <x:c r="C150" s="151" t="str">
        <x:v>PC-03682</x:v>
      </x:c>
      <x:c r="D150" s="151" t="str">
        <x:v>en|claude_only</x:v>
      </x:c>
      <x:c r="E150" s="151" t="n">
        <x:v>19.375</x:v>
      </x:c>
      <x:c r="F150" s="151" t="str">
        <x:v>Bank of Japan</x:v>
      </x:c>
      <x:c r="G150" s="151" t="str">
        <x:v>The main 
factor behind this is that for each transaction instruction, holder ID updates were processed for 
multiple tokens, and because exchange processes happen for a constant fraction, the number 
of processes ballooned compared with the other designs. These resource constraints 
decreased throughput and increased latency.</x:v>
      </x:c>
      <x:c r="H150" s="151" t="str">
        <x:v>exclude</x:v>
      </x:c>
      <x:c r="I150" s="151" t="str">
        <x:v>keep</x:v>
      </x:c>
      <x:c r="J150" s="151"/>
      <x:c r="K150" s="151" t="str">
        <x:v>PROC.pilot_learning</x:v>
      </x:c>
      <x:c r="L150" s="151" t="str"/>
      <x:c r="M150" s="151" t="str">
        <x:v>PROC</x:v>
      </x:c>
      <x:c r="N150" s="151"/>
      <x:c r="O150" s="151" t="str">
        <x:v>finding</x:v>
      </x:c>
      <x:c r="P150" s="151"/>
      <x:c r="Q150" s="151" t="str">
        <x:v>neutral</x:v>
      </x:c>
      <x:c r="R150" s="151"/>
      <x:c r="S150" s="151" t="str">
        <x:v>not_applicable</x:v>
      </x:c>
      <x:c r="T150" s="151"/>
      <x:c r="U150" s="151" t="n">
        <x:v>3</x:v>
      </x:c>
      <x:c r="V150" s="151"/>
      <x:c r="W150" s="151"/>
      <x:c r="X150" s="146"/>
      <x:c r="Y150" s="146"/>
      <x:c r="Z150" s="146"/>
      <x:c r="AA150" s="146"/>
      <x:c r="AB150" s="146"/>
      <x:c r="AC150" s="146"/>
      <x:c r="AD150" s="146"/>
      <x:c r="AE150" s="146"/>
      <x:c r="AF150" s="154" t="str">
        <x:f>IF(X150="","PENDING",IF(X150="exclude","DONE",IF(COUNTA(Y150:AC150)=5,"DONE","INCOMPLETE")))</x:f>
        <x:v>PENDING</x:v>
      </x:c>
    </x:row>
    <x:row r="151">
      <x:c r="A151" s="151" t="str">
        <x:v>code|odr|strength</x:v>
      </x:c>
      <x:c r="B151" s="151" t="str">
        <x:v>SV-0178</x:v>
      </x:c>
      <x:c r="C151" s="151" t="str">
        <x:v>PC-05512</x:v>
      </x:c>
      <x:c r="D151" s="151" t="str">
        <x:v>en|claude_only</x:v>
      </x:c>
      <x:c r="E151" s="151" t="n">
        <x:v>19.375</x:v>
      </x:c>
      <x:c r="F151" s="151" t="str">
        <x:v>Central Bank of Eswatini (Digital Lilangeni)</x:v>
      </x:c>
      <x:c r="G151" s="151" t="str">
        <x:v>This two -tier hybrid approach was also tested during the FSP Pilot Project, where 
Swaziland Building Society (SBS) was the intermediary to take over the integration of a 
Digital Lilangeni into their system and to offer the CBDC payment option as a service to 
its employees including selected CBE staff members with accounts at SBS. The CBE took 
on the role of minting, while SBS handled the distribution to and onboarding of end users 
in the pilot ecosystem.</x:v>
      </x:c>
      <x:c r="H151" s="151" t="str">
        <x:v>keep</x:v>
      </x:c>
      <x:c r="I151" s="151" t="str">
        <x:v>keep</x:v>
      </x:c>
      <x:c r="J151" s="151" t="str">
        <x:v>TECH.TOKEN.considered</x:v>
      </x:c>
      <x:c r="K151" s="151" t="str">
        <x:v>PROC.pilot_learning</x:v>
      </x:c>
      <x:c r="L151" s="151" t="str">
        <x:v>TECH</x:v>
      </x:c>
      <x:c r="M151" s="151" t="str">
        <x:v>PROC</x:v>
      </x:c>
      <x:c r="N151" s="151" t="str">
        <x:v>proposal</x:v>
      </x:c>
      <x:c r="O151" s="151" t="str">
        <x:v>finding</x:v>
      </x:c>
      <x:c r="P151" s="151" t="str">
        <x:v>neutral</x:v>
      </x:c>
      <x:c r="Q151" s="151" t="str">
        <x:v>neutral</x:v>
      </x:c>
      <x:c r="R151" s="151" t="str">
        <x:v>not_applicable</x:v>
      </x:c>
      <x:c r="S151" s="151" t="str">
        <x:v>not_applicable</x:v>
      </x:c>
      <x:c r="T151" s="151" t="n">
        <x:v>2</x:v>
      </x:c>
      <x:c r="U151" s="151" t="n">
        <x:v>3</x:v>
      </x:c>
      <x:c r="V151" s="151"/>
      <x:c r="W151" s="151"/>
      <x:c r="X151" s="146"/>
      <x:c r="Y151" s="146"/>
      <x:c r="Z151" s="146"/>
      <x:c r="AA151" s="146"/>
      <x:c r="AB151" s="146"/>
      <x:c r="AC151" s="146"/>
      <x:c r="AD151" s="146"/>
      <x:c r="AE151" s="146"/>
      <x:c r="AF151" s="154" t="str">
        <x:f>IF(X151="","PENDING",IF(X151="exclude","DONE",IF(COUNTA(Y151:AC151)=5,"DONE","INCOMPLETE")))</x:f>
        <x:v>PENDING</x:v>
      </x:c>
    </x:row>
    <x:row r="152">
      <x:c r="A152" s="151" t="str">
        <x:v>code|strength</x:v>
      </x:c>
      <x:c r="B152" s="151" t="str">
        <x:v>SV-0179</x:v>
      </x:c>
      <x:c r="C152" s="151" t="str">
        <x:v>PC-02952</x:v>
      </x:c>
      <x:c r="D152" s="151" t="str">
        <x:v>en|both</x:v>
      </x:c>
      <x:c r="E152" s="151" t="n">
        <x:v>19.069444444444443</x:v>
      </x:c>
      <x:c r="F152" s="151" t="str">
        <x:v>Bank of Israel (digital shekel)</x:v>
      </x:c>
      <x:c r="G152" s="151" t="str">
        <x:v>The user should be able to see the exchange rate and the total fees that wil l be 
charged for the payment transaction before approving the transaction.</x:v>
      </x:c>
      <x:c r="H152" s="151" t="str">
        <x:v>keep</x:v>
      </x:c>
      <x:c r="I152" s="151" t="str">
        <x:v>keep</x:v>
      </x:c>
      <x:c r="J152" s="151" t="str">
        <x:v>ADOPT.experience</x:v>
      </x:c>
      <x:c r="K152" s="151" t="str">
        <x:v>INTEROP.crossborder</x:v>
      </x:c>
      <x:c r="L152" s="151" t="str">
        <x:v>ADOPT</x:v>
      </x:c>
      <x:c r="M152" s="151" t="str">
        <x:v>INTEROP</x:v>
      </x:c>
      <x:c r="N152" s="151" t="str">
        <x:v>proposal</x:v>
      </x:c>
      <x:c r="O152" s="151" t="str">
        <x:v>proposal</x:v>
      </x:c>
      <x:c r="P152" s="151" t="str">
        <x:v>neutral</x:v>
      </x:c>
      <x:c r="Q152" s="151" t="str">
        <x:v>neutral</x:v>
      </x:c>
      <x:c r="R152" s="151" t="str">
        <x:v>not_applicable</x:v>
      </x:c>
      <x:c r="S152" s="151" t="str">
        <x:v>not_applicable</x:v>
      </x:c>
      <x:c r="T152" s="151" t="n">
        <x:v>2</x:v>
      </x:c>
      <x:c r="U152" s="151" t="n">
        <x:v>1</x:v>
      </x:c>
      <x:c r="V152" s="151"/>
      <x:c r="W152" s="151"/>
      <x:c r="X152" s="146"/>
      <x:c r="Y152" s="146"/>
      <x:c r="Z152" s="146"/>
      <x:c r="AA152" s="146"/>
      <x:c r="AB152" s="146"/>
      <x:c r="AC152" s="146"/>
      <x:c r="AD152" s="146"/>
      <x:c r="AE152" s="146"/>
      <x:c r="AF152" s="154" t="str">
        <x:f>IF(X152="","PENDING",IF(X152="exclude","DONE",IF(COUNTA(Y152:AC152)=5,"DONE","INCOMPLETE")))</x:f>
        <x:v>PENDING</x:v>
      </x:c>
    </x:row>
    <x:row r="153">
      <x:c r="A153" s="151" t="str">
        <x:v>inclusion</x:v>
      </x:c>
      <x:c r="B153" s="151" t="str">
        <x:v>SV-0180</x:v>
      </x:c>
      <x:c r="C153" s="151" t="str">
        <x:v>PC-04376</x:v>
      </x:c>
      <x:c r="D153" s="151" t="str">
        <x:v>en|openai_only</x:v>
      </x:c>
      <x:c r="E153" s="151" t="n">
        <x:v>19.21875</x:v>
      </x:c>
      <x:c r="F153" s="151" t="str">
        <x:v>Norges Bank (Norwegian CBDC work)</x:v>
      </x:c>
      <x:c r="G153" s="151" t="str">
        <x:v>Selv om et DSP-register i seg selv ikke er basert på desentralisert teknologi, 
utelukker ikke dette at DSP kan utnytte fordeler ved DLT.</x:v>
      </x:c>
      <x:c r="H153" s="151" t="str">
        <x:v>keep</x:v>
      </x:c>
      <x:c r="I153" s="151" t="str">
        <x:v>exclude</x:v>
      </x:c>
      <x:c r="J153" s="151" t="str">
        <x:v>TECH.DLT</x:v>
      </x:c>
      <x:c r="K153" s="151"/>
      <x:c r="L153" s="151" t="str">
        <x:v>TECH</x:v>
      </x:c>
      <x:c r="M153" s="151" t="str"/>
      <x:c r="N153" s="151" t="str">
        <x:v>proposal</x:v>
      </x:c>
      <x:c r="O153" s="151"/>
      <x:c r="P153" s="151" t="str">
        <x:v>neutral</x:v>
      </x:c>
      <x:c r="Q153" s="151"/>
      <x:c r="R153" s="151" t="str">
        <x:v>not_applicable</x:v>
      </x:c>
      <x:c r="S153" s="151"/>
      <x:c r="T153" s="151" t="n">
        <x:v>2</x:v>
      </x:c>
      <x:c r="U153" s="151"/>
      <x:c r="V153" s="151"/>
      <x:c r="W153" s="151"/>
      <x:c r="X153" s="146"/>
      <x:c r="Y153" s="146"/>
      <x:c r="Z153" s="146"/>
      <x:c r="AA153" s="146"/>
      <x:c r="AB153" s="146"/>
      <x:c r="AC153" s="146"/>
      <x:c r="AD153" s="146"/>
      <x:c r="AE153" s="146"/>
      <x:c r="AF153" s="154" t="str">
        <x:f>IF(X153="","PENDING",IF(X153="exclude","DONE",IF(COUNTA(Y153:AC153)=5,"DONE","INCOMPLETE")))</x:f>
        <x:v>PENDING</x:v>
      </x:c>
    </x:row>
    <x:row r="154">
      <x:c r="A154" s="151" t="str">
        <x:v>inclusion</x:v>
      </x:c>
      <x:c r="B154" s="151" t="str">
        <x:v>SV-0181</x:v>
      </x:c>
      <x:c r="C154" s="151" t="str">
        <x:v>PC-04984</x:v>
      </x:c>
      <x:c r="D154" s="151" t="str">
        <x:v>en|claude_only</x:v>
      </x:c>
      <x:c r="E154" s="151" t="n">
        <x:v>19.375</x:v>
      </x:c>
      <x:c r="F154" s="151" t="str">
        <x:v>Bank of Russia (digital ruble)</x:v>
      </x:c>
      <x:c r="G154" s="151" t="str">
        <x:v>This will influence banks’ 
needs with regard to transactions with the central bank, which will have to be taken into account 
when tuning the operational procedure of monetary policy and in order to ensure financial stability.</x:v>
      </x:c>
      <x:c r="H154" s="151" t="str">
        <x:v>exclude</x:v>
      </x:c>
      <x:c r="I154" s="151" t="str">
        <x:v>keep</x:v>
      </x:c>
      <x:c r="J154" s="151"/>
      <x:c r="K154" s="151" t="str">
        <x:v>STAB.disintermediation</x:v>
      </x:c>
      <x:c r="L154" s="151" t="str"/>
      <x:c r="M154" s="151" t="str">
        <x:v>STAB</x:v>
      </x:c>
      <x:c r="N154" s="151"/>
      <x:c r="O154" s="151" t="str">
        <x:v>finding</x:v>
      </x:c>
      <x:c r="P154" s="151"/>
      <x:c r="Q154" s="151" t="str">
        <x:v>neutral</x:v>
      </x:c>
      <x:c r="R154" s="151"/>
      <x:c r="S154" s="151" t="str">
        <x:v>not_applicable</x:v>
      </x:c>
      <x:c r="T154" s="151"/>
      <x:c r="U154" s="151" t="n">
        <x:v>2</x:v>
      </x:c>
      <x:c r="V154" s="151"/>
      <x:c r="W154" s="151"/>
      <x:c r="X154" s="146"/>
      <x:c r="Y154" s="146"/>
      <x:c r="Z154" s="146"/>
      <x:c r="AA154" s="146"/>
      <x:c r="AB154" s="146"/>
      <x:c r="AC154" s="146"/>
      <x:c r="AD154" s="146"/>
      <x:c r="AE154" s="146"/>
      <x:c r="AF154" s="154" t="str">
        <x:f>IF(X154="","PENDING",IF(X154="exclude","DONE",IF(COUNTA(Y154:AC154)=5,"DONE","INCOMPLETE")))</x:f>
        <x:v>PENDING</x:v>
      </x:c>
    </x:row>
    <x:row r="155">
      <x:c r="A155" s="151" t="str">
        <x:v>code|privacy_relation</x:v>
      </x:c>
      <x:c r="B155" s="151" t="str">
        <x:v>SV-0182</x:v>
      </x:c>
      <x:c r="C155" s="151" t="str">
        <x:v>PC-00964</x:v>
      </x:c>
      <x:c r="D155" s="151" t="str">
        <x:v>en|claude_only</x:v>
      </x:c>
      <x:c r="E155" s="151" t="n">
        <x:v>19.375</x:v>
      </x:c>
      <x:c r="F155" s="151" t="str">
        <x:v>Bank of Canada and Payments Canada (Project Jasper)</x:v>
      </x:c>
      <x:c r="G155" s="151" t="str">
        <x:v>Two options for meeting user privacy requirements are currently under 
development. One is for the sender to perform the validation themselves 
and then convince the receiver beyond doubt that they have done so, 
without providing additional transaction information. This is the idea 
behind zero knowledge proofs, and Corda is designed to adopt this 
technology as it matures. The other option is to send the necessary data 
to the recipient’s computer for verification, but to do so in such a way 
that the recipient cannot see it, even though they have full control of 
their computer . This is what homomorphic encryption will allow as it 
matures and is what secure enclave technology, such as that provided  
by Intel’s SGX, offers today. Corda is designed to take full advantage  
of Intel SGX.</x:v>
      </x:c>
      <x:c r="H155" s="151" t="str">
        <x:v>keep</x:v>
      </x:c>
      <x:c r="I155" s="151" t="str">
        <x:v>keep</x:v>
      </x:c>
      <x:c r="J155" s="151" t="str">
        <x:v>PRIV.ANON</x:v>
      </x:c>
      <x:c r="K155" s="151" t="str">
        <x:v>PRIV.PET</x:v>
      </x:c>
      <x:c r="L155" s="151" t="str">
        <x:v>PRIV</x:v>
      </x:c>
      <x:c r="M155" s="151" t="str">
        <x:v>PRIV</x:v>
      </x:c>
      <x:c r="N155" s="151" t="str">
        <x:v>proposal</x:v>
      </x:c>
      <x:c r="O155" s="151" t="str">
        <x:v>proposal</x:v>
      </x:c>
      <x:c r="P155" s="151" t="str">
        <x:v>increases</x:v>
      </x:c>
      <x:c r="Q155" s="151" t="str">
        <x:v>increases</x:v>
      </x:c>
      <x:c r="R155" s="151" t="str">
        <x:v>from_state</x:v>
      </x:c>
      <x:c r="S155" s="151" t="str">
        <x:v>not_applicable</x:v>
      </x:c>
      <x:c r="T155" s="151" t="n">
        <x:v>2</x:v>
      </x:c>
      <x:c r="U155" s="151" t="n">
        <x:v>2</x:v>
      </x:c>
      <x:c r="V155" s="151"/>
      <x:c r="W155" s="151"/>
      <x:c r="X155" s="146"/>
      <x:c r="Y155" s="146"/>
      <x:c r="Z155" s="146"/>
      <x:c r="AA155" s="146"/>
      <x:c r="AB155" s="146"/>
      <x:c r="AC155" s="146"/>
      <x:c r="AD155" s="146"/>
      <x:c r="AE155" s="146"/>
      <x:c r="AF155" s="154" t="str">
        <x:f>IF(X155="","PENDING",IF(X155="exclude","DONE",IF(COUNTA(Y155:AC155)=5,"DONE","INCOMPLETE")))</x:f>
        <x:v>PENDING</x:v>
      </x:c>
    </x:row>
    <x:row r="156">
      <x:c r="A156" s="151" t="str">
        <x:v>code|odr</x:v>
      </x:c>
      <x:c r="B156" s="151" t="str">
        <x:v>SV-0183</x:v>
      </x:c>
      <x:c r="C156" s="151" t="str">
        <x:v>PC-03213</x:v>
      </x:c>
      <x:c r="D156" s="151" t="str">
        <x:v>en|both</x:v>
      </x:c>
      <x:c r="E156" s="151" t="n">
        <x:v>19.069444444444443</x:v>
      </x:c>
      <x:c r="F156" s="151" t="str">
        <x:v>Bank of Israel (digital shekel)</x:v>
      </x:c>
      <x:c r="G156" s="151" t="str">
        <x:v>Access technology recovery Support the end user’s ability to recover the access 
technology (for example, the loss of a card or the 
erasure of the cellular device).</x:v>
      </x:c>
      <x:c r="H156" s="151" t="str">
        <x:v>keep</x:v>
      </x:c>
      <x:c r="I156" s="151" t="str">
        <x:v>keep</x:v>
      </x:c>
      <x:c r="J156" s="151" t="str">
        <x:v>OPS.resilience</x:v>
      </x:c>
      <x:c r="K156" s="151" t="str">
        <x:v>AML.FATF</x:v>
      </x:c>
      <x:c r="L156" s="151" t="str">
        <x:v>OPS</x:v>
      </x:c>
      <x:c r="M156" s="151" t="str">
        <x:v>AML</x:v>
      </x:c>
      <x:c r="N156" s="151" t="str">
        <x:v>proposal</x:v>
      </x:c>
      <x:c r="O156" s="151" t="str">
        <x:v>decision</x:v>
      </x:c>
      <x:c r="P156" s="151" t="str">
        <x:v>neutral</x:v>
      </x:c>
      <x:c r="Q156" s="151" t="str">
        <x:v>neutral</x:v>
      </x:c>
      <x:c r="R156" s="151" t="str">
        <x:v>not_applicable</x:v>
      </x:c>
      <x:c r="S156" s="151" t="str">
        <x:v>not_applicable</x:v>
      </x:c>
      <x:c r="T156" s="151" t="n">
        <x:v>2</x:v>
      </x:c>
      <x:c r="U156" s="151" t="n">
        <x:v>2</x:v>
      </x:c>
      <x:c r="V156" s="151"/>
      <x:c r="W156" s="151"/>
      <x:c r="X156" s="146"/>
      <x:c r="Y156" s="146"/>
      <x:c r="Z156" s="146"/>
      <x:c r="AA156" s="146"/>
      <x:c r="AB156" s="146"/>
      <x:c r="AC156" s="146"/>
      <x:c r="AD156" s="146"/>
      <x:c r="AE156" s="146"/>
      <x:c r="AF156" s="154" t="str">
        <x:f>IF(X156="","PENDING",IF(X156="exclude","DONE",IF(COUNTA(Y156:AC156)=5,"DONE","INCOMPLETE")))</x:f>
        <x:v>PENDING</x:v>
      </x:c>
    </x:row>
    <x:row r="157">
      <x:c r="A157" s="151" t="str">
        <x:v>code|privacy_direction|privacy_relation</x:v>
      </x:c>
      <x:c r="B157" s="151" t="str">
        <x:v>SV-0184</x:v>
      </x:c>
      <x:c r="C157" s="151" t="str">
        <x:v>PC-06052</x:v>
      </x:c>
      <x:c r="D157" s="151" t="str">
        <x:v>en|both</x:v>
      </x:c>
      <x:c r="E157" s="151" t="n">
        <x:v>19.069444444444443</x:v>
      </x:c>
      <x:c r="F157" s="151" t="str">
        <x:v>Bank of England and HM Treasury (digital pound)</x:v>
      </x:c>
      <x:c r="G157" s="151" t="str">
        <x:v>This account could be pseudonymous on the core 
ledger, meaning that the core ledger would not need to record identity information. However, the Payment 
Interface Provider would record the identity of the user on its own systems, and would know which 
pseudonymous account(s) the user holds at the Bank.</x:v>
      </x:c>
      <x:c r="H157" s="151" t="str">
        <x:v>keep</x:v>
      </x:c>
      <x:c r="I157" s="151" t="str">
        <x:v>keep</x:v>
      </x:c>
      <x:c r="J157" s="151" t="str">
        <x:v>PRIV.ANON</x:v>
      </x:c>
      <x:c r="K157" s="151" t="str">
        <x:v>PRIV.CB.visibility.opaque</x:v>
      </x:c>
      <x:c r="L157" s="151" t="str">
        <x:v>PRIV</x:v>
      </x:c>
      <x:c r="M157" s="151" t="str">
        <x:v>PRIV</x:v>
      </x:c>
      <x:c r="N157" s="151" t="str">
        <x:v>proposal</x:v>
      </x:c>
      <x:c r="O157" s="151" t="str">
        <x:v>proposal</x:v>
      </x:c>
      <x:c r="P157" s="151" t="str">
        <x:v>decreases</x:v>
      </x:c>
      <x:c r="Q157" s="151" t="str">
        <x:v>increases</x:v>
      </x:c>
      <x:c r="R157" s="151" t="str">
        <x:v>from_intermediary</x:v>
      </x:c>
      <x:c r="S157" s="151" t="str">
        <x:v>from_state</x:v>
      </x:c>
      <x:c r="T157" s="151" t="n">
        <x:v>3</x:v>
      </x:c>
      <x:c r="U157" s="151" t="n">
        <x:v>3</x:v>
      </x:c>
      <x:c r="V157" s="151"/>
      <x:c r="W157" s="151"/>
      <x:c r="X157" s="146"/>
      <x:c r="Y157" s="146"/>
      <x:c r="Z157" s="146"/>
      <x:c r="AA157" s="146"/>
      <x:c r="AB157" s="146"/>
      <x:c r="AC157" s="146"/>
      <x:c r="AD157" s="146"/>
      <x:c r="AE157" s="146"/>
      <x:c r="AF157" s="154" t="str">
        <x:f>IF(X157="","PENDING",IF(X157="exclude","DONE",IF(COUNTA(Y157:AC157)=5,"DONE","INCOMPLETE")))</x:f>
        <x:v>PENDING</x:v>
      </x:c>
    </x:row>
    <x:row r="158">
      <x:c r="A158" s="151" t="str">
        <x:v>odr|strength</x:v>
      </x:c>
      <x:c r="B158" s="151" t="str">
        <x:v>SV-0185</x:v>
      </x:c>
      <x:c r="C158" s="151" t="str">
        <x:v>PC-04031</x:v>
      </x:c>
      <x:c r="D158" s="151" t="str">
        <x:v>en|both</x:v>
      </x:c>
      <x:c r="E158" s="151" t="n">
        <x:v>19.069444444444443</x:v>
      </x:c>
      <x:c r="F158" s="151" t="str">
        <x:v>Norges Bank (Norwegian CBDC work)</x:v>
      </x:c>
      <x:c r="G158" s="151" t="str">
        <x:v>the CBDC system must function
independently of banks’ payment systems.</x:v>
      </x:c>
      <x:c r="H158" s="151" t="str">
        <x:v>keep</x:v>
      </x:c>
      <x:c r="I158" s="151" t="str">
        <x:v>keep</x:v>
      </x:c>
      <x:c r="J158" s="151" t="str">
        <x:v>SYS.design</x:v>
      </x:c>
      <x:c r="K158" s="151" t="str">
        <x:v>SYS.design</x:v>
      </x:c>
      <x:c r="L158" s="151" t="str">
        <x:v>SYS</x:v>
      </x:c>
      <x:c r="M158" s="151" t="str">
        <x:v>SYS</x:v>
      </x:c>
      <x:c r="N158" s="151" t="str">
        <x:v>decision</x:v>
      </x:c>
      <x:c r="O158" s="151" t="str">
        <x:v>proposal</x:v>
      </x:c>
      <x:c r="P158" s="151" t="str">
        <x:v>neutral</x:v>
      </x:c>
      <x:c r="Q158" s="151" t="str">
        <x:v>neutral</x:v>
      </x:c>
      <x:c r="R158" s="151" t="str">
        <x:v>not_applicable</x:v>
      </x:c>
      <x:c r="S158" s="151" t="str">
        <x:v>not_applicable</x:v>
      </x:c>
      <x:c r="T158" s="151" t="n">
        <x:v>3</x:v>
      </x:c>
      <x:c r="U158" s="151" t="n">
        <x:v>2</x:v>
      </x:c>
      <x:c r="V158" s="151"/>
      <x:c r="W158" s="151"/>
      <x:c r="X158" s="146"/>
      <x:c r="Y158" s="146"/>
      <x:c r="Z158" s="146"/>
      <x:c r="AA158" s="146"/>
      <x:c r="AB158" s="146"/>
      <x:c r="AC158" s="146"/>
      <x:c r="AD158" s="146"/>
      <x:c r="AE158" s="146"/>
      <x:c r="AF158" s="154" t="str">
        <x:f>IF(X158="","PENDING",IF(X158="exclude","DONE",IF(COUNTA(Y158:AC158)=5,"DONE","INCOMPLETE")))</x:f>
        <x:v>PENDING</x:v>
      </x:c>
    </x:row>
    <x:row r="159">
      <x:c r="A159" s="151" t="str">
        <x:v>inclusion</x:v>
      </x:c>
      <x:c r="B159" s="151" t="str">
        <x:v>SV-0186</x:v>
      </x:c>
      <x:c r="C159" s="151" t="str">
        <x:v>PC-02547</x:v>
      </x:c>
      <x:c r="D159" s="151" t="str">
        <x:v>en|openai_only</x:v>
      </x:c>
      <x:c r="E159" s="151" t="n">
        <x:v>19.21875</x:v>
      </x:c>
      <x:c r="F159" s="151" t="str">
        <x:v>Bank Indonesia (Digital Rupiah)</x:v>
      </x:c>
      <x:c r="G159" s="151" t="str">
        <x:v>The use of a unified 
ledger optimizes automation and customization of 
asset (programmability)</x:v>
      </x:c>
      <x:c r="H159" s="151" t="str">
        <x:v>keep</x:v>
      </x:c>
      <x:c r="I159" s="151" t="str">
        <x:v>exclude</x:v>
      </x:c>
      <x:c r="J159" s="151" t="str">
        <x:v>PROG.generic</x:v>
      </x:c>
      <x:c r="K159" s="151"/>
      <x:c r="L159" s="151" t="str">
        <x:v>PROG</x:v>
      </x:c>
      <x:c r="M159" s="151" t="str"/>
      <x:c r="N159" s="151" t="str">
        <x:v>decision</x:v>
      </x:c>
      <x:c r="O159" s="151"/>
      <x:c r="P159" s="151" t="str">
        <x:v>neutral</x:v>
      </x:c>
      <x:c r="Q159" s="151"/>
      <x:c r="R159" s="151" t="str">
        <x:v>not_applicable</x:v>
      </x:c>
      <x:c r="S159" s="151"/>
      <x:c r="T159" s="151" t="n">
        <x:v>2</x:v>
      </x:c>
      <x:c r="U159" s="151"/>
      <x:c r="V159" s="151"/>
      <x:c r="W159" s="151"/>
      <x:c r="X159" s="146"/>
      <x:c r="Y159" s="146"/>
      <x:c r="Z159" s="146"/>
      <x:c r="AA159" s="146"/>
      <x:c r="AB159" s="146"/>
      <x:c r="AC159" s="146"/>
      <x:c r="AD159" s="146"/>
      <x:c r="AE159" s="146"/>
      <x:c r="AF159" s="154" t="str">
        <x:f>IF(X159="","PENDING",IF(X159="exclude","DONE",IF(COUNTA(Y159:AC159)=5,"DONE","INCOMPLETE")))</x:f>
        <x:v>PENDING</x:v>
      </x:c>
    </x:row>
    <x:row r="160">
      <x:c r="A160" s="151" t="str">
        <x:v>inclusion</x:v>
      </x:c>
      <x:c r="B160" s="151" t="str">
        <x:v>SV-0187</x:v>
      </x:c>
      <x:c r="C160" s="151" t="str">
        <x:v>PC-02308</x:v>
      </x:c>
      <x:c r="D160" s="151" t="str">
        <x:v>en|both</x:v>
      </x:c>
      <x:c r="E160" s="151" t="n">
        <x:v>19.069444444444443</x:v>
      </x:c>
      <x:c r="F160" s="151" t="str">
        <x:v>Bank Indonesia (Digital Rupiah)</x:v>
      </x:c>
      <x:c r="G160" s="151" t="str">
        <x:v>The development will commence with 
w-Digital Rupiah at the initial stage serving 
as the overall foundation of Digital Rupiah.</x:v>
      </x:c>
      <x:c r="H160" s="151" t="str">
        <x:v>exclude</x:v>
      </x:c>
      <x:c r="I160" s="151" t="str">
        <x:v>keep</x:v>
      </x:c>
      <x:c r="J160" s="151"/>
      <x:c r="K160" s="151" t="str">
        <x:v>SYS.design</x:v>
      </x:c>
      <x:c r="L160" s="151" t="str"/>
      <x:c r="M160" s="151" t="str">
        <x:v>SYS</x:v>
      </x:c>
      <x:c r="N160" s="151"/>
      <x:c r="O160" s="151" t="str">
        <x:v>decision</x:v>
      </x:c>
      <x:c r="P160" s="151"/>
      <x:c r="Q160" s="151" t="str">
        <x:v>neutral</x:v>
      </x:c>
      <x:c r="R160" s="151"/>
      <x:c r="S160" s="151" t="str">
        <x:v>not_applicable</x:v>
      </x:c>
      <x:c r="T160" s="151"/>
      <x:c r="U160" s="151" t="n">
        <x:v>2</x:v>
      </x:c>
      <x:c r="V160" s="151"/>
      <x:c r="W160" s="151"/>
      <x:c r="X160" s="146"/>
      <x:c r="Y160" s="146"/>
      <x:c r="Z160" s="146"/>
      <x:c r="AA160" s="146"/>
      <x:c r="AB160" s="146"/>
      <x:c r="AC160" s="146"/>
      <x:c r="AD160" s="146"/>
      <x:c r="AE160" s="146"/>
      <x:c r="AF160" s="154" t="str">
        <x:f>IF(X160="","PENDING",IF(X160="exclude","DONE",IF(COUNTA(Y160:AC160)=5,"DONE","INCOMPLETE")))</x:f>
        <x:v>PENDING</x:v>
      </x:c>
    </x:row>
    <x:row r="161">
      <x:c r="A161" s="151" t="str">
        <x:v>inclusion</x:v>
      </x:c>
      <x:c r="B161" s="151" t="str">
        <x:v>SV-0188</x:v>
      </x:c>
      <x:c r="C161" s="151" t="str">
        <x:v>PC-04637</x:v>
      </x:c>
      <x:c r="D161" s="151" t="str">
        <x:v>en|claude_only</x:v>
      </x:c>
      <x:c r="E161" s="151" t="n">
        <x:v>19.375</x:v>
      </x:c>
      <x:c r="F161" s="151" t="str">
        <x:v>Banco Central de Reserva del Peru</x:v>
      </x:c>
      <x:c r="G161" s="151" t="str">
        <x:v>• Multiple use cases for allowing person-to-person (P2P) and person-to-business (P2B) transfers.</x:v>
      </x:c>
      <x:c r="H161" s="151" t="str">
        <x:v>exclude</x:v>
      </x:c>
      <x:c r="I161" s="151" t="str">
        <x:v>keep</x:v>
      </x:c>
      <x:c r="J161" s="151"/>
      <x:c r="K161" s="151" t="str">
        <x:v>SYS.design</x:v>
      </x:c>
      <x:c r="L161" s="151" t="str"/>
      <x:c r="M161" s="151" t="str">
        <x:v>SYS</x:v>
      </x:c>
      <x:c r="N161" s="151"/>
      <x:c r="O161" s="151" t="str">
        <x:v>proposal</x:v>
      </x:c>
      <x:c r="P161" s="151"/>
      <x:c r="Q161" s="151" t="str">
        <x:v>neutral</x:v>
      </x:c>
      <x:c r="R161" s="151"/>
      <x:c r="S161" s="151" t="str">
        <x:v>not_applicable</x:v>
      </x:c>
      <x:c r="T161" s="151"/>
      <x:c r="U161" s="151" t="n">
        <x:v>2</x:v>
      </x:c>
      <x:c r="V161" s="151"/>
      <x:c r="W161" s="151"/>
      <x:c r="X161" s="146"/>
      <x:c r="Y161" s="146"/>
      <x:c r="Z161" s="146"/>
      <x:c r="AA161" s="146"/>
      <x:c r="AB161" s="146"/>
      <x:c r="AC161" s="146"/>
      <x:c r="AD161" s="146"/>
      <x:c r="AE161" s="146"/>
      <x:c r="AF161" s="154" t="str">
        <x:f>IF(X161="","PENDING",IF(X161="exclude","DONE",IF(COUNTA(Y161:AC161)=5,"DONE","INCOMPLETE")))</x:f>
        <x:v>PENDING</x:v>
      </x:c>
    </x:row>
    <x:row r="162">
      <x:c r="A162" s="151" t="str">
        <x:v>inclusion</x:v>
      </x:c>
      <x:c r="B162" s="151" t="str">
        <x:v>SV-0189</x:v>
      </x:c>
      <x:c r="C162" s="151" t="str">
        <x:v>PC-01546</x:v>
      </x:c>
      <x:c r="D162" s="151" t="str">
        <x:v>en|claude_only</x:v>
      </x:c>
      <x:c r="E162" s="151" t="n">
        <x:v>19.375</x:v>
      </x:c>
      <x:c r="F162" s="151" t="str">
        <x:v>European Central Bank / Eurosystem (digital euro)</x:v>
      </x:c>
      <x:c r="G162" s="151" t="str">
        <x:v>the ECB will delegate
certain DESP tasks to external providers of support services, which will further contribute to data</x:v>
      </x:c>
      <x:c r="H162" s="151" t="str">
        <x:v>exclude</x:v>
      </x:c>
      <x:c r="I162" s="151" t="str">
        <x:v>keep</x:v>
      </x:c>
      <x:c r="J162" s="151"/>
      <x:c r="K162" s="151" t="str">
        <x:v>SYS.design</x:v>
      </x:c>
      <x:c r="L162" s="151" t="str"/>
      <x:c r="M162" s="151" t="str">
        <x:v>SYS</x:v>
      </x:c>
      <x:c r="N162" s="151"/>
      <x:c r="O162" s="151" t="str">
        <x:v>decision</x:v>
      </x:c>
      <x:c r="P162" s="151"/>
      <x:c r="Q162" s="151" t="str">
        <x:v>neutral</x:v>
      </x:c>
      <x:c r="R162" s="151"/>
      <x:c r="S162" s="151" t="str">
        <x:v>not_applicable</x:v>
      </x:c>
      <x:c r="T162" s="151"/>
      <x:c r="U162" s="151" t="n">
        <x:v>2</x:v>
      </x:c>
      <x:c r="V162" s="151"/>
      <x:c r="W162" s="151"/>
      <x:c r="X162" s="146"/>
      <x:c r="Y162" s="146"/>
      <x:c r="Z162" s="146"/>
      <x:c r="AA162" s="146"/>
      <x:c r="AB162" s="146"/>
      <x:c r="AC162" s="146"/>
      <x:c r="AD162" s="146"/>
      <x:c r="AE162" s="146"/>
      <x:c r="AF162" s="154" t="str">
        <x:f>IF(X162="","PENDING",IF(X162="exclude","DONE",IF(COUNTA(Y162:AC162)=5,"DONE","INCOMPLETE")))</x:f>
        <x:v>PENDING</x:v>
      </x:c>
    </x:row>
    <x:row r="163">
      <x:c r="A163" s="151" t="str">
        <x:v>code|privacy_direction|privacy_relation|strength</x:v>
      </x:c>
      <x:c r="B163" s="151" t="str">
        <x:v>SV-0190</x:v>
      </x:c>
      <x:c r="C163" s="151" t="str">
        <x:v>PC-04408</x:v>
      </x:c>
      <x:c r="D163" s="151" t="str">
        <x:v>en|both</x:v>
      </x:c>
      <x:c r="E163" s="151" t="n">
        <x:v>19.069444444444443</x:v>
      </x:c>
      <x:c r="F163" s="151" t="str">
        <x:v>Norges Bank (Norwegian CBDC work)</x:v>
      </x:c>
      <x:c r="G163" s="151" t="str">
        <x:v>En tokenbasert registerløsning er i utgangspunktet basert på at det er tilgang 
til kryptografiske koder og ikke identifisering som benyttes for å disponere over 
penger.</x:v>
      </x:c>
      <x:c r="H163" s="151" t="str">
        <x:v>keep</x:v>
      </x:c>
      <x:c r="I163" s="151" t="str">
        <x:v>keep</x:v>
      </x:c>
      <x:c r="J163" s="151" t="str">
        <x:v>SYS.design</x:v>
      </x:c>
      <x:c r="K163" s="151" t="str">
        <x:v>PRIV.ANON</x:v>
      </x:c>
      <x:c r="L163" s="151" t="str">
        <x:v>SYS</x:v>
      </x:c>
      <x:c r="M163" s="151" t="str">
        <x:v>PRIV</x:v>
      </x:c>
      <x:c r="N163" s="151" t="str">
        <x:v>finding</x:v>
      </x:c>
      <x:c r="O163" s="151" t="str">
        <x:v>finding</x:v>
      </x:c>
      <x:c r="P163" s="151" t="str">
        <x:v>neutral</x:v>
      </x:c>
      <x:c r="Q163" s="151" t="str">
        <x:v>increases</x:v>
      </x:c>
      <x:c r="R163" s="151" t="str">
        <x:v>not_applicable</x:v>
      </x:c>
      <x:c r="S163" s="151" t="str">
        <x:v>from_state</x:v>
      </x:c>
      <x:c r="T163" s="151" t="n">
        <x:v>3</x:v>
      </x:c>
      <x:c r="U163" s="151" t="n">
        <x:v>2</x:v>
      </x:c>
      <x:c r="V163" s="151"/>
      <x:c r="W163" s="151"/>
      <x:c r="X163" s="146"/>
      <x:c r="Y163" s="146"/>
      <x:c r="Z163" s="146"/>
      <x:c r="AA163" s="146"/>
      <x:c r="AB163" s="146"/>
      <x:c r="AC163" s="146"/>
      <x:c r="AD163" s="146"/>
      <x:c r="AE163" s="146"/>
      <x:c r="AF163" s="154" t="str">
        <x:f>IF(X163="","PENDING",IF(X163="exclude","DONE",IF(COUNTA(Y163:AC163)=5,"DONE","INCOMPLETE")))</x:f>
        <x:v>PENDING</x:v>
      </x:c>
    </x:row>
    <x:row r="164">
      <x:c r="A164" s="151" t="str">
        <x:v>code|strength</x:v>
      </x:c>
      <x:c r="B164" s="151" t="str">
        <x:v>SV-0191</x:v>
      </x:c>
      <x:c r="C164" s="151" t="str">
        <x:v>PC-06204</x:v>
      </x:c>
      <x:c r="D164" s="151" t="str">
        <x:v>en|both</x:v>
      </x:c>
      <x:c r="E164" s="151" t="n">
        <x:v>19.069444444444443</x:v>
      </x:c>
      <x:c r="F164" s="151" t="str">
        <x:v>Bank of England and HM Treasury (digital pound)</x:v>
      </x:c>
      <x:c r="G164" s="151" t="str">
        <x:v>PIPs undertake know your customer checks and anti-money 
laundering (AML) compliance</x:v>
      </x:c>
      <x:c r="H164" s="151" t="str">
        <x:v>keep</x:v>
      </x:c>
      <x:c r="I164" s="151" t="str">
        <x:v>keep</x:v>
      </x:c>
      <x:c r="J164" s="151" t="str">
        <x:v>KYC.INTERMED</x:v>
      </x:c>
      <x:c r="K164" s="151" t="str">
        <x:v>KYC.TIER</x:v>
      </x:c>
      <x:c r="L164" s="151" t="str">
        <x:v>KYC</x:v>
      </x:c>
      <x:c r="M164" s="151" t="str">
        <x:v>KYC</x:v>
      </x:c>
      <x:c r="N164" s="151" t="str">
        <x:v>proposal</x:v>
      </x:c>
      <x:c r="O164" s="151" t="str">
        <x:v>proposal</x:v>
      </x:c>
      <x:c r="P164" s="151" t="str">
        <x:v>neutral</x:v>
      </x:c>
      <x:c r="Q164" s="151" t="str">
        <x:v>neutral</x:v>
      </x:c>
      <x:c r="R164" s="151" t="str">
        <x:v>not_applicable</x:v>
      </x:c>
      <x:c r="S164" s="151" t="str">
        <x:v>not_applicable</x:v>
      </x:c>
      <x:c r="T164" s="151" t="n">
        <x:v>3</x:v>
      </x:c>
      <x:c r="U164" s="151" t="n">
        <x:v>2</x:v>
      </x:c>
      <x:c r="V164" s="151"/>
      <x:c r="W164" s="151"/>
      <x:c r="X164" s="146"/>
      <x:c r="Y164" s="146"/>
      <x:c r="Z164" s="146"/>
      <x:c r="AA164" s="146"/>
      <x:c r="AB164" s="146"/>
      <x:c r="AC164" s="146"/>
      <x:c r="AD164" s="146"/>
      <x:c r="AE164" s="146"/>
      <x:c r="AF164" s="154" t="str">
        <x:f>IF(X164="","PENDING",IF(X164="exclude","DONE",IF(COUNTA(Y164:AC164)=5,"DONE","INCOMPLETE")))</x:f>
        <x:v>PENDING</x:v>
      </x:c>
    </x:row>
    <x:row r="165">
      <x:c r="A165" s="151" t="str">
        <x:v>code|odr|strength</x:v>
      </x:c>
      <x:c r="B165" s="151" t="str">
        <x:v>SV-0192</x:v>
      </x:c>
      <x:c r="C165" s="151" t="str">
        <x:v>PC-01264</x:v>
      </x:c>
      <x:c r="D165" s="151" t="str">
        <x:v>en|both</x:v>
      </x:c>
      <x:c r="E165" s="151" t="n">
        <x:v>19.069444444444443</x:v>
      </x:c>
      <x:c r="F165" s="151" t="str">
        <x:v>People's Bank of China (e-CNY)</x:v>
      </x:c>
      <x:c r="G165" s="151" t="str">
        <x:v>The e-CNY system will make 
financial services more accessible, providing fiat money for a large population in 
various scenarios.</x:v>
      </x:c>
      <x:c r="H165" s="151" t="str">
        <x:v>keep</x:v>
      </x:c>
      <x:c r="I165" s="151" t="str">
        <x:v>keep</x:v>
      </x:c>
      <x:c r="J165" s="151" t="str">
        <x:v>ACCESS.universal</x:v>
      </x:c>
      <x:c r="K165" s="151" t="str">
        <x:v>LEGAL.basis</x:v>
      </x:c>
      <x:c r="L165" s="151" t="str">
        <x:v>ACCESS</x:v>
      </x:c>
      <x:c r="M165" s="151" t="str">
        <x:v>LEGAL</x:v>
      </x:c>
      <x:c r="N165" s="151" t="str">
        <x:v>proposal</x:v>
      </x:c>
      <x:c r="O165" s="151" t="str">
        <x:v>decision</x:v>
      </x:c>
      <x:c r="P165" s="151" t="str">
        <x:v>neutral</x:v>
      </x:c>
      <x:c r="Q165" s="151" t="str">
        <x:v>neutral</x:v>
      </x:c>
      <x:c r="R165" s="151" t="str">
        <x:v>not_applicable</x:v>
      </x:c>
      <x:c r="S165" s="151" t="str">
        <x:v>not_applicable</x:v>
      </x:c>
      <x:c r="T165" s="151" t="n">
        <x:v>2</x:v>
      </x:c>
      <x:c r="U165" s="151" t="n">
        <x:v>3</x:v>
      </x:c>
      <x:c r="V165" s="151"/>
      <x:c r="W165" s="151"/>
      <x:c r="X165" s="146"/>
      <x:c r="Y165" s="146"/>
      <x:c r="Z165" s="146"/>
      <x:c r="AA165" s="146"/>
      <x:c r="AB165" s="146"/>
      <x:c r="AC165" s="146"/>
      <x:c r="AD165" s="146"/>
      <x:c r="AE165" s="146"/>
      <x:c r="AF165" s="154" t="str">
        <x:f>IF(X165="","PENDING",IF(X165="exclude","DONE",IF(COUNTA(Y165:AC165)=5,"DONE","INCOMPLETE")))</x:f>
        <x:v>PENDING</x:v>
      </x:c>
    </x:row>
    <x:row r="166">
      <x:c r="A166" s="151" t="str">
        <x:v>code</x:v>
      </x:c>
      <x:c r="B166" s="151" t="str">
        <x:v>SV-0193</x:v>
      </x:c>
      <x:c r="C166" s="151" t="str">
        <x:v>PC-01740</x:v>
      </x:c>
      <x:c r="D166" s="151" t="str">
        <x:v>en|both</x:v>
      </x:c>
      <x:c r="E166" s="151" t="n">
        <x:v>19.069444444444443</x:v>
      </x:c>
      <x:c r="F166" s="151" t="str">
        <x:v>Bank of Ghana (eCedi)</x:v>
      </x:c>
      <x:c r="G166" s="151" t="str">
        <x:v>Besides the 173 users onboarded to 
participate in the test, a number of 
persons and businesses, estimated to 
be fifty per cent (50  %) of the users, 
also expressed interest in joining the pilot to carry 
out transactions in the eCedi offline scenario.</x:v>
      </x:c>
      <x:c r="H166" s="151" t="str">
        <x:v>keep</x:v>
      </x:c>
      <x:c r="I166" s="151" t="str">
        <x:v>keep</x:v>
      </x:c>
      <x:c r="J166" s="151" t="str">
        <x:v>PROC.pilot_learning</x:v>
      </x:c>
      <x:c r="K166" s="151" t="str">
        <x:v>ADOPT.experience</x:v>
      </x:c>
      <x:c r="L166" s="151" t="str">
        <x:v>PROC</x:v>
      </x:c>
      <x:c r="M166" s="151" t="str">
        <x:v>ADOPT</x:v>
      </x:c>
      <x:c r="N166" s="151" t="str">
        <x:v>finding</x:v>
      </x:c>
      <x:c r="O166" s="151" t="str">
        <x:v>finding</x:v>
      </x:c>
      <x:c r="P166" s="151" t="str">
        <x:v>neutral</x:v>
      </x:c>
      <x:c r="Q166" s="151" t="str">
        <x:v>neutral</x:v>
      </x:c>
      <x:c r="R166" s="151" t="str">
        <x:v>not_applicable</x:v>
      </x:c>
      <x:c r="S166" s="151" t="str">
        <x:v>not_applicable</x:v>
      </x:c>
      <x:c r="T166" s="151" t="n">
        <x:v>2</x:v>
      </x:c>
      <x:c r="U166" s="151" t="n">
        <x:v>2</x:v>
      </x:c>
      <x:c r="V166" s="151"/>
      <x:c r="W166" s="151"/>
      <x:c r="X166" s="146"/>
      <x:c r="Y166" s="146"/>
      <x:c r="Z166" s="146"/>
      <x:c r="AA166" s="146"/>
      <x:c r="AB166" s="146"/>
      <x:c r="AC166" s="146"/>
      <x:c r="AD166" s="146"/>
      <x:c r="AE166" s="146"/>
      <x:c r="AF166" s="154" t="str">
        <x:f>IF(X166="","PENDING",IF(X166="exclude","DONE",IF(COUNTA(Y166:AC166)=5,"DONE","INCOMPLETE")))</x:f>
        <x:v>PENDING</x:v>
      </x:c>
    </x:row>
    <x:row r="167">
      <x:c r="A167" s="151" t="str">
        <x:v>inclusion</x:v>
      </x:c>
      <x:c r="B167" s="151" t="str">
        <x:v>SV-0194</x:v>
      </x:c>
      <x:c r="C167" s="151" t="str">
        <x:v>PC-02624</x:v>
      </x:c>
      <x:c r="D167" s="151" t="str">
        <x:v>en|openai_only</x:v>
      </x:c>
      <x:c r="E167" s="151" t="n">
        <x:v>19.21875</x:v>
      </x:c>
      <x:c r="F167" s="151" t="str">
        <x:v>Bank Indonesia (Digital Rupiah)</x:v>
      </x:c>
      <x:c r="G167" s="151" t="str">
        <x:v>Transaction validation ensures that all 
conditions required for a transaction are met 
(e.g., sufficient balance, participants acting 
within their authority). This process is performed 
by smart contracts (when executed) and the 
transaction participants.</x:v>
      </x:c>
      <x:c r="H167" s="151" t="str">
        <x:v>keep</x:v>
      </x:c>
      <x:c r="I167" s="151" t="str">
        <x:v>exclude</x:v>
      </x:c>
      <x:c r="J167" s="151" t="str">
        <x:v>SYS.design</x:v>
      </x:c>
      <x:c r="K167" s="151"/>
      <x:c r="L167" s="151" t="str">
        <x:v>SYS</x:v>
      </x:c>
      <x:c r="M167" s="151" t="str"/>
      <x:c r="N167" s="151" t="str">
        <x:v>decision</x:v>
      </x:c>
      <x:c r="O167" s="151"/>
      <x:c r="P167" s="151" t="str">
        <x:v>neutral</x:v>
      </x:c>
      <x:c r="Q167" s="151"/>
      <x:c r="R167" s="151" t="str">
        <x:v>not_applicable</x:v>
      </x:c>
      <x:c r="S167" s="151"/>
      <x:c r="T167" s="151" t="n">
        <x:v>2</x:v>
      </x:c>
      <x:c r="U167" s="151"/>
      <x:c r="V167" s="151"/>
      <x:c r="W167" s="151"/>
      <x:c r="X167" s="146"/>
      <x:c r="Y167" s="146"/>
      <x:c r="Z167" s="146"/>
      <x:c r="AA167" s="146"/>
      <x:c r="AB167" s="146"/>
      <x:c r="AC167" s="146"/>
      <x:c r="AD167" s="146"/>
      <x:c r="AE167" s="146"/>
      <x:c r="AF167" s="154" t="str">
        <x:f>IF(X167="","PENDING",IF(X167="exclude","DONE",IF(COUNTA(Y167:AC167)=5,"DONE","INCOMPLETE")))</x:f>
        <x:v>PENDING</x:v>
      </x:c>
    </x:row>
    <x:row r="168">
      <x:c r="A168" s="151" t="str">
        <x:v>inclusion</x:v>
      </x:c>
      <x:c r="B168" s="151" t="str">
        <x:v>SV-0195</x:v>
      </x:c>
      <x:c r="C168" s="151" t="str">
        <x:v>PC-04132</x:v>
      </x:c>
      <x:c r="D168" s="151" t="str">
        <x:v>en|claude_only</x:v>
      </x:c>
      <x:c r="E168" s="151" t="n">
        <x:v>19.375</x:v>
      </x:c>
      <x:c r="F168" s="151" t="str">
        <x:v>Norges Bank (Norwegian CBDC work)</x:v>
      </x:c>
      <x:c r="G168" s="151" t="str">
        <x:v>I 
praksis kan dette gjøres ved at Norges Bank selger tokenpenger til banker, som kan 
opprette registeradresser for pengene til sine kunder.</x:v>
      </x:c>
      <x:c r="H168" s="151" t="str">
        <x:v>exclude</x:v>
      </x:c>
      <x:c r="I168" s="151" t="str">
        <x:v>keep</x:v>
      </x:c>
      <x:c r="J168" s="151"/>
      <x:c r="K168" s="151" t="str">
        <x:v>SYS.design</x:v>
      </x:c>
      <x:c r="L168" s="151" t="str"/>
      <x:c r="M168" s="151" t="str">
        <x:v>SYS</x:v>
      </x:c>
      <x:c r="N168" s="151"/>
      <x:c r="O168" s="151" t="str">
        <x:v>proposal</x:v>
      </x:c>
      <x:c r="P168" s="151"/>
      <x:c r="Q168" s="151" t="str">
        <x:v>neutral</x:v>
      </x:c>
      <x:c r="R168" s="151"/>
      <x:c r="S168" s="151" t="str">
        <x:v>not_applicable</x:v>
      </x:c>
      <x:c r="T168" s="151"/>
      <x:c r="U168" s="151" t="n">
        <x:v>2</x:v>
      </x:c>
      <x:c r="V168" s="151"/>
      <x:c r="W168" s="151"/>
      <x:c r="X168" s="146"/>
      <x:c r="Y168" s="146"/>
      <x:c r="Z168" s="146"/>
      <x:c r="AA168" s="146"/>
      <x:c r="AB168" s="146"/>
      <x:c r="AC168" s="146"/>
      <x:c r="AD168" s="146"/>
      <x:c r="AE168" s="146"/>
      <x:c r="AF168" s="154" t="str">
        <x:f>IF(X168="","PENDING",IF(X168="exclude","DONE",IF(COUNTA(Y168:AC168)=5,"DONE","INCOMPLETE")))</x:f>
        <x:v>PENDING</x:v>
      </x:c>
    </x:row>
    <x:row r="169">
      <x:c r="A169" s="151" t="str">
        <x:v>inclusion</x:v>
      </x:c>
      <x:c r="B169" s="151" t="str">
        <x:v>SV-0196</x:v>
      </x:c>
      <x:c r="C169" s="151" t="str">
        <x:v>PC-04035</x:v>
      </x:c>
      <x:c r="D169" s="151" t="str">
        <x:v>en|claude_only</x:v>
      </x:c>
      <x:c r="E169" s="151" t="n">
        <x:v>19.375</x:v>
      </x:c>
      <x:c r="F169" s="151" t="str">
        <x:v>Norges Bank (Norwegian CBDC work)</x:v>
      </x:c>
      <x:c r="G169" s="151" t="str">
        <x:v>Wholesale CBDC has been given greater focus in the study than in previous
phases.</x:v>
      </x:c>
      <x:c r="H169" s="151" t="str">
        <x:v>exclude</x:v>
      </x:c>
      <x:c r="I169" s="151" t="str">
        <x:v>keep</x:v>
      </x:c>
      <x:c r="J169" s="151"/>
      <x:c r="K169" s="151" t="str">
        <x:v>SYS.design</x:v>
      </x:c>
      <x:c r="L169" s="151" t="str"/>
      <x:c r="M169" s="151" t="str">
        <x:v>SYS</x:v>
      </x:c>
      <x:c r="N169" s="151"/>
      <x:c r="O169" s="151" t="str">
        <x:v>finding</x:v>
      </x:c>
      <x:c r="P169" s="151"/>
      <x:c r="Q169" s="151" t="str">
        <x:v>neutral</x:v>
      </x:c>
      <x:c r="R169" s="151"/>
      <x:c r="S169" s="151" t="str">
        <x:v>not_applicable</x:v>
      </x:c>
      <x:c r="T169" s="151"/>
      <x:c r="U169" s="151" t="n">
        <x:v>1</x:v>
      </x:c>
      <x:c r="V169" s="151"/>
      <x:c r="W169" s="151"/>
      <x:c r="X169" s="146"/>
      <x:c r="Y169" s="146"/>
      <x:c r="Z169" s="146"/>
      <x:c r="AA169" s="146"/>
      <x:c r="AB169" s="146"/>
      <x:c r="AC169" s="146"/>
      <x:c r="AD169" s="146"/>
      <x:c r="AE169" s="146"/>
      <x:c r="AF169" s="154" t="str">
        <x:f>IF(X169="","PENDING",IF(X169="exclude","DONE",IF(COUNTA(Y169:AC169)=5,"DONE","INCOMPLETE")))</x:f>
        <x:v>PENDING</x:v>
      </x:c>
    </x:row>
    <x:row r="170">
      <x:c r="A170" s="151" t="str">
        <x:v>inclusion</x:v>
      </x:c>
      <x:c r="B170" s="151" t="str">
        <x:v>SV-0197</x:v>
      </x:c>
      <x:c r="C170" s="151" t="str">
        <x:v>PC-06829</x:v>
      </x:c>
      <x:c r="D170" s="151" t="str">
        <x:v>en|both</x:v>
      </x:c>
      <x:c r="E170" s="151" t="n">
        <x:v>19.069444444444443</x:v>
      </x:c>
      <x:c r="F170" s="151" t="str">
        <x:v>South African Reserve Bank</x:v>
      </x:c>
      <x:c r="G170" s="151" t="str">
        <x:v>A significant contribution to the global DLT body 
of knowledge was made, as it is thought that this was 
the first time that the Istanbul Byzantine Fault Tolerance 
consensus mechanism and Pedersen commitments  
for confidentiality had been used with Quorum.</x:v>
      </x:c>
      <x:c r="H170" s="151" t="str">
        <x:v>exclude</x:v>
      </x:c>
      <x:c r="I170" s="151" t="str">
        <x:v>keep</x:v>
      </x:c>
      <x:c r="J170" s="151"/>
      <x:c r="K170" s="151" t="str">
        <x:v>TECH.DLT</x:v>
      </x:c>
      <x:c r="L170" s="151" t="str"/>
      <x:c r="M170" s="151" t="str">
        <x:v>TECH</x:v>
      </x:c>
      <x:c r="N170" s="151"/>
      <x:c r="O170" s="151" t="str">
        <x:v>finding</x:v>
      </x:c>
      <x:c r="P170" s="151"/>
      <x:c r="Q170" s="151" t="str">
        <x:v>neutral</x:v>
      </x:c>
      <x:c r="R170" s="151"/>
      <x:c r="S170" s="151" t="str">
        <x:v>not_applicable</x:v>
      </x:c>
      <x:c r="T170" s="151"/>
      <x:c r="U170" s="151" t="n">
        <x:v>2</x:v>
      </x:c>
      <x:c r="V170" s="151"/>
      <x:c r="W170" s="151"/>
      <x:c r="X170" s="146"/>
      <x:c r="Y170" s="146"/>
      <x:c r="Z170" s="146"/>
      <x:c r="AA170" s="146"/>
      <x:c r="AB170" s="146"/>
      <x:c r="AC170" s="146"/>
      <x:c r="AD170" s="146"/>
      <x:c r="AE170" s="146"/>
      <x:c r="AF170" s="154" t="str">
        <x:f>IF(X170="","PENDING",IF(X170="exclude","DONE",IF(COUNTA(Y170:AC170)=5,"DONE","INCOMPLETE")))</x:f>
        <x:v>PENDING</x:v>
      </x:c>
    </x:row>
    <x:row r="171">
      <x:c r="A171" s="151" t="str">
        <x:v>inclusion</x:v>
      </x:c>
      <x:c r="B171" s="151" t="str">
        <x:v>SV-0198</x:v>
      </x:c>
      <x:c r="C171" s="151" t="str">
        <x:v>PC-04424</x:v>
      </x:c>
      <x:c r="D171" s="151" t="str">
        <x:v>en|claude_only</x:v>
      </x:c>
      <x:c r="E171" s="151" t="n">
        <x:v>19.375</x:v>
      </x:c>
      <x:c r="F171" s="151" t="str">
        <x:v>Norges Bank (Norwegian CBDC work)</x:v>
      </x:c>
      <x:c r="G171" s="151" t="str">
        <x:v>Men 
sentralbankens balanse kan forberedes slik at utlånene til bankene ikke 
nødvendigvis øker. Sentralbanken kan kjøpe aktiva slik at bankenes reserver 
er større enn det de trenger å være i forkant.</x:v>
      </x:c>
      <x:c r="H171" s="151" t="str">
        <x:v>exclude</x:v>
      </x:c>
      <x:c r="I171" s="151" t="str">
        <x:v>keep</x:v>
      </x:c>
      <x:c r="J171" s="151"/>
      <x:c r="K171" s="151" t="str">
        <x:v>STAB.disintermediation</x:v>
      </x:c>
      <x:c r="L171" s="151" t="str"/>
      <x:c r="M171" s="151" t="str">
        <x:v>STAB</x:v>
      </x:c>
      <x:c r="N171" s="151"/>
      <x:c r="O171" s="151" t="str">
        <x:v>proposal</x:v>
      </x:c>
      <x:c r="P171" s="151"/>
      <x:c r="Q171" s="151" t="str">
        <x:v>neutral</x:v>
      </x:c>
      <x:c r="R171" s="151"/>
      <x:c r="S171" s="151" t="str">
        <x:v>not_applicable</x:v>
      </x:c>
      <x:c r="T171" s="151"/>
      <x:c r="U171" s="151" t="n">
        <x:v>2</x:v>
      </x:c>
      <x:c r="V171" s="151"/>
      <x:c r="W171" s="151"/>
      <x:c r="X171" s="146"/>
      <x:c r="Y171" s="146"/>
      <x:c r="Z171" s="146"/>
      <x:c r="AA171" s="146"/>
      <x:c r="AB171" s="146"/>
      <x:c r="AC171" s="146"/>
      <x:c r="AD171" s="146"/>
      <x:c r="AE171" s="146"/>
      <x:c r="AF171" s="154" t="str">
        <x:f>IF(X171="","PENDING",IF(X171="exclude","DONE",IF(COUNTA(Y171:AC171)=5,"DONE","INCOMPLETE")))</x:f>
        <x:v>PENDING</x:v>
      </x:c>
    </x:row>
    <x:row r="172">
      <x:c r="A172" s="151" t="str">
        <x:v>code|odr</x:v>
      </x:c>
      <x:c r="B172" s="151" t="str">
        <x:v>SV-0199</x:v>
      </x:c>
      <x:c r="C172" s="151" t="str">
        <x:v>PC-03650</x:v>
      </x:c>
      <x:c r="D172" s="151" t="str">
        <x:v>en|both</x:v>
      </x:c>
      <x:c r="E172" s="151" t="n">
        <x:v>19.069444444444443</x:v>
      </x:c>
      <x:c r="F172" s="151" t="str">
        <x:v>Banca d'Italia research context</x:v>
      </x:c>
      <x:c r="G172" s="151" t="str">
        <x:v>integration with other DLTs or interactions with technical 
components outside the Eurosystem’s control, pose other challenges from 
a cyber-security standpoint at the platform level and require an increase of 
defence mechanisms and protection of the D€ with ad hoc policies.</x:v>
      </x:c>
      <x:c r="H172" s="151" t="str">
        <x:v>keep</x:v>
      </x:c>
      <x:c r="I172" s="151" t="str">
        <x:v>keep</x:v>
      </x:c>
      <x:c r="J172" s="151" t="str">
        <x:v>OPS.resilience</x:v>
      </x:c>
      <x:c r="K172" s="151" t="str">
        <x:v>TECH.DLT</x:v>
      </x:c>
      <x:c r="L172" s="151" t="str">
        <x:v>OPS</x:v>
      </x:c>
      <x:c r="M172" s="151" t="str">
        <x:v>TECH</x:v>
      </x:c>
      <x:c r="N172" s="151" t="str">
        <x:v>proposal</x:v>
      </x:c>
      <x:c r="O172" s="151" t="str">
        <x:v>decision</x:v>
      </x:c>
      <x:c r="P172" s="151" t="str">
        <x:v>neutral</x:v>
      </x:c>
      <x:c r="Q172" s="151" t="str">
        <x:v>neutral</x:v>
      </x:c>
      <x:c r="R172" s="151" t="str">
        <x:v>not_applicable</x:v>
      </x:c>
      <x:c r="S172" s="151" t="str">
        <x:v>not_applicable</x:v>
      </x:c>
      <x:c r="T172" s="151" t="n">
        <x:v>2</x:v>
      </x:c>
      <x:c r="U172" s="151" t="n">
        <x:v>2</x:v>
      </x:c>
      <x:c r="V172" s="151"/>
      <x:c r="W172" s="151" t="str">
        <x:v>x</x:v>
      </x:c>
      <x:c r="X172" s="146"/>
      <x:c r="Y172" s="146"/>
      <x:c r="Z172" s="146"/>
      <x:c r="AA172" s="146"/>
      <x:c r="AB172" s="146"/>
      <x:c r="AC172" s="146"/>
      <x:c r="AD172" s="146"/>
      <x:c r="AE172" s="146"/>
      <x:c r="AF172" s="154" t="str">
        <x:f>IF(X172="","PENDING",IF(X172="exclude","DONE",IF(COUNTA(Y172:AC172)=5,"DONE","INCOMPLETE")))</x:f>
        <x:v>PENDING</x:v>
      </x:c>
    </x:row>
    <x:row r="173">
      <x:c r="A173" s="151" t="str">
        <x:v>inclusion</x:v>
      </x:c>
      <x:c r="B173" s="151" t="str">
        <x:v>SV-0201</x:v>
      </x:c>
      <x:c r="C173" s="151" t="str">
        <x:v>PC-01218</x:v>
      </x:c>
      <x:c r="D173" s="151" t="str">
        <x:v>en|openai_only</x:v>
      </x:c>
      <x:c r="E173" s="151" t="n">
        <x:v>19.21875</x:v>
      </x:c>
      <x:c r="F173" s="151" t="str">
        <x:v>People's Bank of China (e-CNY)</x:v>
      </x:c>
      <x:c r="G173" s="151" t="str">
        <x:v>U
nde
r
t
he
pr
e
m
i
s
e
of
s
e
c
ur
i
t
y
a
nd
c
om
pl
i
a
nc
e
,
t
hi
s
f
e
a
t
ur
e
e
na
bl
e
s
s
e
l
f
-
e
xe
c
ut
i
ng
pa
y
m
e
nt
s
a
c
c
or
di
ng
t
o
pr
e
de
f
i
ne
d
c
ondi
t
i
ons
or
t
e
r
m
s
a
gr
e
e
d
be
t
w
e
e
n
t
w
o
s
i
de
s
,
s
o
a
s
t
o
f
a
c
i
l
i
t
a
t
e
bus
i
ne
s
s
m
ode
l
i
nnova
t
i
on.</x:v>
      </x:c>
      <x:c r="H173" s="151" t="str">
        <x:v>keep</x:v>
      </x:c>
      <x:c r="I173" s="151" t="str">
        <x:v>exclude</x:v>
      </x:c>
      <x:c r="J173" s="151" t="str">
        <x:v>PROG.generic</x:v>
      </x:c>
      <x:c r="K173" s="151"/>
      <x:c r="L173" s="151" t="str">
        <x:v>PROG</x:v>
      </x:c>
      <x:c r="M173" s="151" t="str"/>
      <x:c r="N173" s="151" t="str">
        <x:v>finding</x:v>
      </x:c>
      <x:c r="O173" s="151"/>
      <x:c r="P173" s="151" t="str">
        <x:v>neutral</x:v>
      </x:c>
      <x:c r="Q173" s="151"/>
      <x:c r="R173" s="151" t="str">
        <x:v>not_applicable</x:v>
      </x:c>
      <x:c r="S173" s="151"/>
      <x:c r="T173" s="151" t="n">
        <x:v>3</x:v>
      </x:c>
      <x:c r="U173" s="151"/>
      <x:c r="V173" s="151"/>
      <x:c r="W173" s="151"/>
      <x:c r="X173" s="146"/>
      <x:c r="Y173" s="146"/>
      <x:c r="Z173" s="146"/>
      <x:c r="AA173" s="146"/>
      <x:c r="AB173" s="146"/>
      <x:c r="AC173" s="146"/>
      <x:c r="AD173" s="146"/>
      <x:c r="AE173" s="146"/>
      <x:c r="AF173" s="154" t="str">
        <x:f>IF(X173="","PENDING",IF(X173="exclude","DONE",IF(COUNTA(Y173:AC173)=5,"DONE","INCOMPLETE")))</x:f>
        <x:v>PENDING</x:v>
      </x:c>
    </x:row>
    <x:row r="174">
      <x:c r="A174" s="151" t="str">
        <x:v>inclusion</x:v>
      </x:c>
      <x:c r="B174" s="151" t="str">
        <x:v>SV-0202</x:v>
      </x:c>
      <x:c r="C174" s="151" t="str">
        <x:v>PC-03621</x:v>
      </x:c>
      <x:c r="D174" s="151" t="str">
        <x:v>en|claude_only</x:v>
      </x:c>
      <x:c r="E174" s="151" t="n">
        <x:v>19.375</x:v>
      </x:c>
      <x:c r="F174" s="151" t="str">
        <x:v>Banca d'Italia research context</x:v>
      </x:c>
      <x:c r="G174" s="151" t="str">
        <x:v>The integrated solution is based on two models that rely on distributed 
technologies that can be configured to implement a resilient solution. 
For instance, the adoption of geographical distribution is a powerful 
mitigation measure for a cyber incident or natural disaster.</x:v>
      </x:c>
      <x:c r="H174" s="151" t="str">
        <x:v>exclude</x:v>
      </x:c>
      <x:c r="I174" s="151" t="str">
        <x:v>keep</x:v>
      </x:c>
      <x:c r="J174" s="151"/>
      <x:c r="K174" s="151" t="str">
        <x:v>OPS.resilience</x:v>
      </x:c>
      <x:c r="L174" s="151" t="str"/>
      <x:c r="M174" s="151" t="str">
        <x:v>OPS</x:v>
      </x:c>
      <x:c r="N174" s="151"/>
      <x:c r="O174" s="151" t="str">
        <x:v>decision</x:v>
      </x:c>
      <x:c r="P174" s="151"/>
      <x:c r="Q174" s="151" t="str">
        <x:v>neutral</x:v>
      </x:c>
      <x:c r="R174" s="151"/>
      <x:c r="S174" s="151" t="str">
        <x:v>not_applicable</x:v>
      </x:c>
      <x:c r="T174" s="151"/>
      <x:c r="U174" s="151" t="n">
        <x:v>2</x:v>
      </x:c>
      <x:c r="V174" s="151"/>
      <x:c r="W174" s="151"/>
      <x:c r="X174" s="146"/>
      <x:c r="Y174" s="146"/>
      <x:c r="Z174" s="146"/>
      <x:c r="AA174" s="146"/>
      <x:c r="AB174" s="146"/>
      <x:c r="AC174" s="146"/>
      <x:c r="AD174" s="146"/>
      <x:c r="AE174" s="146"/>
      <x:c r="AF174" s="154" t="str">
        <x:f>IF(X174="","PENDING",IF(X174="exclude","DONE",IF(COUNTA(Y174:AC174)=5,"DONE","INCOMPLETE")))</x:f>
        <x:v>PENDING</x:v>
      </x:c>
    </x:row>
    <x:row r="175">
      <x:c r="A175" s="151" t="str">
        <x:v>inclusion</x:v>
      </x:c>
      <x:c r="B175" s="151" t="str">
        <x:v>SV-0203</x:v>
      </x:c>
      <x:c r="C175" s="151" t="str">
        <x:v>PC-00346</x:v>
      </x:c>
      <x:c r="D175" s="151" t="str">
        <x:v>en|openai_only</x:v>
      </x:c>
      <x:c r="E175" s="151" t="n">
        <x:v>19.21875</x:v>
      </x:c>
      <x:c r="F175" s="151" t="str">
        <x:v>Reserve Bank of Australia and Digital Finance CRC (Project Acacia)</x:v>
      </x:c>
      <x:c r="G175" s="151" t="str">
        <x:v>Makes greater use of existing 
infrastructure (e.g. FSS, ESAs)</x:v>
      </x:c>
      <x:c r="H175" s="151" t="str">
        <x:v>keep</x:v>
      </x:c>
      <x:c r="I175" s="151" t="str">
        <x:v>exclude</x:v>
      </x:c>
      <x:c r="J175" s="151" t="str">
        <x:v>INTEROP.domestic</x:v>
      </x:c>
      <x:c r="K175" s="151"/>
      <x:c r="L175" s="151" t="str">
        <x:v>INTEROP</x:v>
      </x:c>
      <x:c r="M175" s="151" t="str"/>
      <x:c r="N175" s="151" t="str">
        <x:v>finding</x:v>
      </x:c>
      <x:c r="O175" s="151"/>
      <x:c r="P175" s="151" t="str">
        <x:v>neutral</x:v>
      </x:c>
      <x:c r="Q175" s="151"/>
      <x:c r="R175" s="151" t="str">
        <x:v>not_applicable</x:v>
      </x:c>
      <x:c r="S175" s="151"/>
      <x:c r="T175" s="151" t="n">
        <x:v>2</x:v>
      </x:c>
      <x:c r="U175" s="151"/>
      <x:c r="V175" s="151"/>
      <x:c r="W175" s="151"/>
      <x:c r="X175" s="146"/>
      <x:c r="Y175" s="146"/>
      <x:c r="Z175" s="146"/>
      <x:c r="AA175" s="146"/>
      <x:c r="AB175" s="146"/>
      <x:c r="AC175" s="146"/>
      <x:c r="AD175" s="146"/>
      <x:c r="AE175" s="146"/>
      <x:c r="AF175" s="154" t="str">
        <x:f>IF(X175="","PENDING",IF(X175="exclude","DONE",IF(COUNTA(Y175:AC175)=5,"DONE","INCOMPLETE")))</x:f>
        <x:v>PENDING</x:v>
      </x:c>
    </x:row>
    <x:row r="176">
      <x:c r="A176" s="151" t="str">
        <x:v>inclusion</x:v>
      </x:c>
      <x:c r="B176" s="151" t="str">
        <x:v>SV-0204</x:v>
      </x:c>
      <x:c r="C176" s="151" t="str">
        <x:v>PC-03465</x:v>
      </x:c>
      <x:c r="D176" s="151" t="str">
        <x:v>en|openai_only</x:v>
      </x:c>
      <x:c r="E176" s="151" t="n">
        <x:v>19.21875</x:v>
      </x:c>
      <x:c r="F176" s="151" t="str">
        <x:v>Central Bank of Iceland</x:v>
      </x:c>
      <x:c r="G176" s="151" t="str">
        <x:v>On 
the other hand, it would be possible to impose a cap on individuals’ 
rafkróna account balances (a maximum balance). Such a provision 
could reduce the risk of a run on the banks, thereby mitigating the 
risk to financial stability, but it would also mean deviating from the 
custom of always satisfying demand for banknotes and coin.</x:v>
      </x:c>
      <x:c r="H176" s="151" t="str">
        <x:v>keep</x:v>
      </x:c>
      <x:c r="I176" s="151" t="str">
        <x:v>exclude</x:v>
      </x:c>
      <x:c r="J176" s="151" t="str">
        <x:v>AML.LIMIT</x:v>
      </x:c>
      <x:c r="K176" s="151"/>
      <x:c r="L176" s="151" t="str">
        <x:v>AML</x:v>
      </x:c>
      <x:c r="M176" s="151" t="str"/>
      <x:c r="N176" s="151" t="str">
        <x:v>proposal</x:v>
      </x:c>
      <x:c r="O176" s="151"/>
      <x:c r="P176" s="151" t="str">
        <x:v>neutral</x:v>
      </x:c>
      <x:c r="Q176" s="151"/>
      <x:c r="R176" s="151" t="str">
        <x:v>not_applicable</x:v>
      </x:c>
      <x:c r="S176" s="151"/>
      <x:c r="T176" s="151" t="n">
        <x:v>2</x:v>
      </x:c>
      <x:c r="U176" s="151"/>
      <x:c r="V176" s="151"/>
      <x:c r="W176" s="151"/>
      <x:c r="X176" s="146"/>
      <x:c r="Y176" s="146"/>
      <x:c r="Z176" s="146"/>
      <x:c r="AA176" s="146"/>
      <x:c r="AB176" s="146"/>
      <x:c r="AC176" s="146"/>
      <x:c r="AD176" s="146"/>
      <x:c r="AE176" s="146"/>
      <x:c r="AF176" s="154" t="str">
        <x:f>IF(X176="","PENDING",IF(X176="exclude","DONE",IF(COUNTA(Y176:AC176)=5,"DONE","INCOMPLETE")))</x:f>
        <x:v>PENDING</x:v>
      </x:c>
    </x:row>
    <x:row r="177">
      <x:c r="A177" s="151" t="str">
        <x:v>code</x:v>
      </x:c>
      <x:c r="B177" s="151" t="str">
        <x:v>SV-0205</x:v>
      </x:c>
      <x:c r="C177" s="151" t="str">
        <x:v>PC-01672</x:v>
      </x:c>
      <x:c r="D177" s="151" t="str">
        <x:v>en|both</x:v>
      </x:c>
      <x:c r="E177" s="151" t="n">
        <x:v>19.069444444444443</x:v>
      </x:c>
      <x:c r="F177" s="151" t="str">
        <x:v>Bank of Ghana (eCedi)</x:v>
      </x:c>
      <x:c r="G177" s="151" t="str">
        <x:v>One of the pillars of the eCedi interoperability is its 
interconnection with the GhIPSS</x:v>
      </x:c>
      <x:c r="H177" s="151" t="str">
        <x:v>keep</x:v>
      </x:c>
      <x:c r="I177" s="151" t="str">
        <x:v>keep</x:v>
      </x:c>
      <x:c r="J177" s="151" t="str">
        <x:v>ADOPT.experience</x:v>
      </x:c>
      <x:c r="K177" s="151" t="str">
        <x:v>INTEROP.domestic</x:v>
      </x:c>
      <x:c r="L177" s="151" t="str">
        <x:v>ADOPT</x:v>
      </x:c>
      <x:c r="M177" s="151" t="str">
        <x:v>INTEROP</x:v>
      </x:c>
      <x:c r="N177" s="151" t="str">
        <x:v>decision</x:v>
      </x:c>
      <x:c r="O177" s="151" t="str">
        <x:v>decision</x:v>
      </x:c>
      <x:c r="P177" s="151" t="str">
        <x:v>neutral</x:v>
      </x:c>
      <x:c r="Q177" s="151" t="str">
        <x:v>neutral</x:v>
      </x:c>
      <x:c r="R177" s="151" t="str">
        <x:v>not_applicable</x:v>
      </x:c>
      <x:c r="S177" s="151" t="str">
        <x:v>not_applicable</x:v>
      </x:c>
      <x:c r="T177" s="151" t="n">
        <x:v>3</x:v>
      </x:c>
      <x:c r="U177" s="151" t="n">
        <x:v>3</x:v>
      </x:c>
      <x:c r="V177" s="151"/>
      <x:c r="W177" s="151"/>
      <x:c r="X177" s="146"/>
      <x:c r="Y177" s="146"/>
      <x:c r="Z177" s="146"/>
      <x:c r="AA177" s="146"/>
      <x:c r="AB177" s="146"/>
      <x:c r="AC177" s="146"/>
      <x:c r="AD177" s="146"/>
      <x:c r="AE177" s="146"/>
      <x:c r="AF177" s="154" t="str">
        <x:f>IF(X177="","PENDING",IF(X177="exclude","DONE",IF(COUNTA(Y177:AC177)=5,"DONE","INCOMPLETE")))</x:f>
        <x:v>PENDING</x:v>
      </x:c>
    </x:row>
    <x:row r="178">
      <x:c r="A178" s="151" t="str">
        <x:v>strength</x:v>
      </x:c>
      <x:c r="B178" s="151" t="str">
        <x:v>SV-0206</x:v>
      </x:c>
      <x:c r="C178" s="151" t="str">
        <x:v>PC-01557</x:v>
      </x:c>
      <x:c r="D178" s="151" t="str">
        <x:v>fr|claude_only</x:v>
      </x:c>
      <x:c r="E178" s="151" t="n">
        <x:v>3</x:v>
      </x:c>
      <x:c r="F178" s="151" t="str">
        <x:v>Banque de France (wholesale CBDC programme)</x:v>
      </x:c>
      <x:c r="G178" s="151" t="str">
        <x:v>The programme showed how an interbank 
CBDC could help secure the development 
of tokenised financial markets by providing 
stakeholders with the benefits of distributed 
ledger technology, in particular distributed 
ledger-based end-to-end processing of 
tokenised securities settlement and 
payment-versus-payment transactions, 
including cross-border transactions, while 
benefiting from secure central bank money 
settlement for the transactions made in this 
manner.</x:v>
      </x:c>
      <x:c r="H178" s="151" t="str">
        <x:v>keep</x:v>
      </x:c>
      <x:c r="I178" s="151" t="str">
        <x:v>keep</x:v>
      </x:c>
      <x:c r="J178" s="151" t="str">
        <x:v>TECH.DLT</x:v>
      </x:c>
      <x:c r="K178" s="151" t="str">
        <x:v>TECH.DLT</x:v>
      </x:c>
      <x:c r="L178" s="151" t="str">
        <x:v>TECH</x:v>
      </x:c>
      <x:c r="M178" s="151" t="str">
        <x:v>TECH</x:v>
      </x:c>
      <x:c r="N178" s="151" t="str">
        <x:v>finding</x:v>
      </x:c>
      <x:c r="O178" s="151" t="str">
        <x:v>finding</x:v>
      </x:c>
      <x:c r="P178" s="151" t="str">
        <x:v>neutral</x:v>
      </x:c>
      <x:c r="Q178" s="151" t="str">
        <x:v>neutral</x:v>
      </x:c>
      <x:c r="R178" s="151" t="str">
        <x:v>not_applicable</x:v>
      </x:c>
      <x:c r="S178" s="151" t="str">
        <x:v>not_applicable</x:v>
      </x:c>
      <x:c r="T178" s="151" t="n">
        <x:v>2</x:v>
      </x:c>
      <x:c r="U178" s="151" t="n">
        <x:v>3</x:v>
      </x:c>
      <x:c r="V178" s="151"/>
      <x:c r="W178" s="151"/>
      <x:c r="X178" s="146"/>
      <x:c r="Y178" s="146"/>
      <x:c r="Z178" s="146"/>
      <x:c r="AA178" s="146"/>
      <x:c r="AB178" s="146"/>
      <x:c r="AC178" s="146"/>
      <x:c r="AD178" s="146"/>
      <x:c r="AE178" s="146"/>
      <x:c r="AF178" s="154" t="str">
        <x:f>IF(X178="","PENDING",IF(X178="exclude","DONE",IF(COUNTA(Y178:AC178)=5,"DONE","INCOMPLETE")))</x:f>
        <x:v>PENDING</x:v>
      </x:c>
    </x:row>
    <x:row r="179">
      <x:c r="A179" s="151" t="str">
        <x:v>inclusion</x:v>
      </x:c>
      <x:c r="B179" s="151" t="str">
        <x:v>SV-0207</x:v>
      </x:c>
      <x:c r="C179" s="151" t="str">
        <x:v>PC-02020</x:v>
      </x:c>
      <x:c r="D179" s="151" t="str">
        <x:v>en|openai_only</x:v>
      </x:c>
      <x:c r="E179" s="151" t="n">
        <x:v>19.21875</x:v>
      </x:c>
      <x:c r="F179" s="151" t="str">
        <x:v>Hong Kong Monetary Authority (e-HKD Phase 2 pilots)</x:v>
      </x:c>
      <x:c r="G179" s="151" t="str">
        <x:v>This mechanism ensures that 
funds are only released if merchants deliver on 
their obligations, thereby mitigating risks such as 
bankruptcy or malpractice.</x:v>
      </x:c>
      <x:c r="H179" s="151" t="str">
        <x:v>keep</x:v>
      </x:c>
      <x:c r="I179" s="151" t="str">
        <x:v>exclude</x:v>
      </x:c>
      <x:c r="J179" s="151" t="str">
        <x:v>PROG.generic</x:v>
      </x:c>
      <x:c r="K179" s="151"/>
      <x:c r="L179" s="151" t="str">
        <x:v>PROG</x:v>
      </x:c>
      <x:c r="M179" s="151" t="str"/>
      <x:c r="N179" s="151" t="str">
        <x:v>finding</x:v>
      </x:c>
      <x:c r="O179" s="151"/>
      <x:c r="P179" s="151" t="str">
        <x:v>neutral</x:v>
      </x:c>
      <x:c r="Q179" s="151"/>
      <x:c r="R179" s="151" t="str">
        <x:v>not_applicable</x:v>
      </x:c>
      <x:c r="S179" s="151"/>
      <x:c r="T179" s="151" t="n">
        <x:v>3</x:v>
      </x:c>
      <x:c r="U179" s="151"/>
      <x:c r="V179" s="151"/>
      <x:c r="W179" s="151"/>
      <x:c r="X179" s="146"/>
      <x:c r="Y179" s="146"/>
      <x:c r="Z179" s="146"/>
      <x:c r="AA179" s="146"/>
      <x:c r="AB179" s="146"/>
      <x:c r="AC179" s="146"/>
      <x:c r="AD179" s="146"/>
      <x:c r="AE179" s="146"/>
      <x:c r="AF179" s="154" t="str">
        <x:f>IF(X179="","PENDING",IF(X179="exclude","DONE",IF(COUNTA(Y179:AC179)=5,"DONE","INCOMPLETE")))</x:f>
        <x:v>PENDING</x:v>
      </x:c>
    </x:row>
    <x:row r="180">
      <x:c r="A180" s="151" t="str">
        <x:v>strength</x:v>
      </x:c>
      <x:c r="B180" s="151" t="str">
        <x:v>SV-0208</x:v>
      </x:c>
      <x:c r="C180" s="151" t="str">
        <x:v>PC-01722</x:v>
      </x:c>
      <x:c r="D180" s="151" t="str">
        <x:v>en|claude_only</x:v>
      </x:c>
      <x:c r="E180" s="151" t="n">
        <x:v>19.375</x:v>
      </x:c>
      <x:c r="F180" s="151" t="str">
        <x:v>Bank of Ghana (eCedi)</x:v>
      </x:c>
      <x:c r="G180" s="151" t="str">
        <x:v>Over sight of the eCedi implementation is the 
responsibility of a Steering Committee chaired 
by the First Deputy Governor.</x:v>
      </x:c>
      <x:c r="H180" s="151" t="str">
        <x:v>keep</x:v>
      </x:c>
      <x:c r="I180" s="151" t="str">
        <x:v>keep</x:v>
      </x:c>
      <x:c r="J180" s="151" t="str">
        <x:v>INST.mandate</x:v>
      </x:c>
      <x:c r="K180" s="151" t="str">
        <x:v>INST.mandate</x:v>
      </x:c>
      <x:c r="L180" s="151" t="str">
        <x:v>INST</x:v>
      </x:c>
      <x:c r="M180" s="151" t="str">
        <x:v>INST</x:v>
      </x:c>
      <x:c r="N180" s="151" t="str">
        <x:v>decision</x:v>
      </x:c>
      <x:c r="O180" s="151" t="str">
        <x:v>decision</x:v>
      </x:c>
      <x:c r="P180" s="151" t="str">
        <x:v>neutral</x:v>
      </x:c>
      <x:c r="Q180" s="151" t="str">
        <x:v>neutral</x:v>
      </x:c>
      <x:c r="R180" s="151" t="str">
        <x:v>not_applicable</x:v>
      </x:c>
      <x:c r="S180" s="151" t="str">
        <x:v>not_applicable</x:v>
      </x:c>
      <x:c r="T180" s="151" t="n">
        <x:v>3</x:v>
      </x:c>
      <x:c r="U180" s="151" t="n">
        <x:v>2</x:v>
      </x:c>
      <x:c r="V180" s="151"/>
      <x:c r="W180" s="151"/>
      <x:c r="X180" s="146"/>
      <x:c r="Y180" s="146"/>
      <x:c r="Z180" s="146"/>
      <x:c r="AA180" s="146"/>
      <x:c r="AB180" s="146"/>
      <x:c r="AC180" s="146"/>
      <x:c r="AD180" s="146"/>
      <x:c r="AE180" s="146"/>
      <x:c r="AF180" s="154" t="str">
        <x:f>IF(X180="","PENDING",IF(X180="exclude","DONE",IF(COUNTA(Y180:AC180)=5,"DONE","INCOMPLETE")))</x:f>
        <x:v>PENDING</x:v>
      </x:c>
    </x:row>
    <x:row r="181">
      <x:c r="A181" s="151" t="str">
        <x:v>odr</x:v>
      </x:c>
      <x:c r="B181" s="151" t="str">
        <x:v>SV-0209</x:v>
      </x:c>
      <x:c r="C181" s="151" t="str">
        <x:v>PC-04989</x:v>
      </x:c>
      <x:c r="D181" s="151" t="str">
        <x:v>en|both</x:v>
      </x:c>
      <x:c r="E181" s="151" t="n">
        <x:v>19.069444444444443</x:v>
      </x:c>
      <x:c r="F181" s="151" t="str">
        <x:v>Bank of Russia (digital ruble)</x:v>
      </x:c>
      <x:c r="G181" s="151" t="str">
        <x:v>The Bank of Russia will take these changes into account when determining 
the parameters of its monetary policy operational procedure so that they do not interfere with the 
achievement of the Bank of Russia’s operational objective of maintaining overnight money market 
rates close to the Bank of Russia’s key rate.</x:v>
      </x:c>
      <x:c r="H181" s="151" t="str">
        <x:v>keep</x:v>
      </x:c>
      <x:c r="I181" s="151" t="str">
        <x:v>keep</x:v>
      </x:c>
      <x:c r="J181" s="151" t="str">
        <x:v>STAB.disintermediation</x:v>
      </x:c>
      <x:c r="K181" s="151" t="str">
        <x:v>STAB.disintermediation</x:v>
      </x:c>
      <x:c r="L181" s="151" t="str">
        <x:v>STAB</x:v>
      </x:c>
      <x:c r="M181" s="151" t="str">
        <x:v>STAB</x:v>
      </x:c>
      <x:c r="N181" s="151" t="str">
        <x:v>finding</x:v>
      </x:c>
      <x:c r="O181" s="151" t="str">
        <x:v>proposal</x:v>
      </x:c>
      <x:c r="P181" s="151" t="str">
        <x:v>neutral</x:v>
      </x:c>
      <x:c r="Q181" s="151" t="str">
        <x:v>neutral</x:v>
      </x:c>
      <x:c r="R181" s="151" t="str">
        <x:v>not_applicable</x:v>
      </x:c>
      <x:c r="S181" s="151" t="str">
        <x:v>not_applicable</x:v>
      </x:c>
      <x:c r="T181" s="151" t="n">
        <x:v>2</x:v>
      </x:c>
      <x:c r="U181" s="151" t="n">
        <x:v>2</x:v>
      </x:c>
      <x:c r="V181" s="151"/>
      <x:c r="W181" s="151"/>
      <x:c r="X181" s="146"/>
      <x:c r="Y181" s="146"/>
      <x:c r="Z181" s="146"/>
      <x:c r="AA181" s="146"/>
      <x:c r="AB181" s="146"/>
      <x:c r="AC181" s="146"/>
      <x:c r="AD181" s="146"/>
      <x:c r="AE181" s="146"/>
      <x:c r="AF181" s="154" t="str">
        <x:f>IF(X181="","PENDING",IF(X181="exclude","DONE",IF(COUNTA(Y181:AC181)=5,"DONE","INCOMPLETE")))</x:f>
        <x:v>PENDING</x:v>
      </x:c>
    </x:row>
    <x:row r="182">
      <x:c r="A182" s="151" t="str">
        <x:v>code</x:v>
      </x:c>
      <x:c r="B182" s="151" t="str">
        <x:v>SV-0210</x:v>
      </x:c>
      <x:c r="C182" s="151" t="str">
        <x:v>PC-03403</x:v>
      </x:c>
      <x:c r="D182" s="151" t="str">
        <x:v>en|both</x:v>
      </x:c>
      <x:c r="E182" s="151" t="n">
        <x:v>19.069444444444443</x:v>
      </x:c>
      <x:c r="F182" s="151" t="str">
        <x:v>Reserve Bank of India (digital rupee)</x:v>
      </x:c>
      <x:c r="G182" s="151" t="str">
        <x:v>In offline mode, the risk of “double-spending” 
will exist because it will be technically possible 
to use a  CBDC unit more than once without 
updating the common ledger of CBDC, 
however, the same can be mitigated to a larger 
extent by technical solutions  and appropriate 
business rules including monetary limi t on 
offline transactions.</x:v>
      </x:c>
      <x:c r="H182" s="151" t="str">
        <x:v>keep</x:v>
      </x:c>
      <x:c r="I182" s="151" t="str">
        <x:v>keep</x:v>
      </x:c>
      <x:c r="J182" s="151" t="str">
        <x:v>AML.LIMIT</x:v>
      </x:c>
      <x:c r="K182" s="151" t="str">
        <x:v>OPS.resilience</x:v>
      </x:c>
      <x:c r="L182" s="151" t="str">
        <x:v>AML</x:v>
      </x:c>
      <x:c r="M182" s="151" t="str">
        <x:v>OPS</x:v>
      </x:c>
      <x:c r="N182" s="151" t="str">
        <x:v>proposal</x:v>
      </x:c>
      <x:c r="O182" s="151" t="str">
        <x:v>proposal</x:v>
      </x:c>
      <x:c r="P182" s="151" t="str">
        <x:v>neutral</x:v>
      </x:c>
      <x:c r="Q182" s="151" t="str">
        <x:v>neutral</x:v>
      </x:c>
      <x:c r="R182" s="151" t="str">
        <x:v>not_applicable</x:v>
      </x:c>
      <x:c r="S182" s="151" t="str">
        <x:v>not_applicable</x:v>
      </x:c>
      <x:c r="T182" s="151" t="n">
        <x:v>2</x:v>
      </x:c>
      <x:c r="U182" s="151" t="n">
        <x:v>2</x:v>
      </x:c>
      <x:c r="V182" s="151"/>
      <x:c r="W182" s="151"/>
      <x:c r="X182" s="146"/>
      <x:c r="Y182" s="146"/>
      <x:c r="Z182" s="146"/>
      <x:c r="AA182" s="146"/>
      <x:c r="AB182" s="146"/>
      <x:c r="AC182" s="146"/>
      <x:c r="AD182" s="146"/>
      <x:c r="AE182" s="146"/>
      <x:c r="AF182" s="154" t="str">
        <x:f>IF(X182="","PENDING",IF(X182="exclude","DONE",IF(COUNTA(Y182:AC182)=5,"DONE","INCOMPLETE")))</x:f>
        <x:v>PENDING</x:v>
      </x:c>
    </x:row>
    <x:row r="183">
      <x:c r="A183" s="151" t="str">
        <x:v>inclusion</x:v>
      </x:c>
      <x:c r="B183" s="151" t="str">
        <x:v>SV-0211</x:v>
      </x:c>
      <x:c r="C183" s="151" t="str">
        <x:v>PC-00983</x:v>
      </x:c>
      <x:c r="D183" s="151" t="str">
        <x:v>en|openai_only</x:v>
      </x:c>
      <x:c r="E183" s="151" t="n">
        <x:v>19.21875</x:v>
      </x:c>
      <x:c r="F183" s="151" t="str">
        <x:v>Bank of Canada and Payments Canada (Project Jasper)</x:v>
      </x:c>
      <x:c r="G183" s="151" t="str">
        <x:v>This has been dubbed the  
“inhale/exhale” procedure and represents a major  
innovation in thinking about how to enable an inher-
ently centralized process like queue operation on an  
inherently decentralized DLT platform.</x:v>
      </x:c>
      <x:c r="H183" s="151" t="str">
        <x:v>keep</x:v>
      </x:c>
      <x:c r="I183" s="151" t="str">
        <x:v>exclude</x:v>
      </x:c>
      <x:c r="J183" s="151" t="str">
        <x:v>TECH.DLT</x:v>
      </x:c>
      <x:c r="K183" s="151"/>
      <x:c r="L183" s="151" t="str">
        <x:v>TECH</x:v>
      </x:c>
      <x:c r="M183" s="151" t="str"/>
      <x:c r="N183" s="151" t="str">
        <x:v>finding</x:v>
      </x:c>
      <x:c r="O183" s="151"/>
      <x:c r="P183" s="151" t="str">
        <x:v>neutral</x:v>
      </x:c>
      <x:c r="Q183" s="151"/>
      <x:c r="R183" s="151" t="str">
        <x:v>not_applicable</x:v>
      </x:c>
      <x:c r="S183" s="151"/>
      <x:c r="T183" s="151" t="n">
        <x:v>2</x:v>
      </x:c>
      <x:c r="U183" s="151"/>
      <x:c r="V183" s="151"/>
      <x:c r="W183" s="151"/>
      <x:c r="X183" s="146"/>
      <x:c r="Y183" s="146"/>
      <x:c r="Z183" s="146"/>
      <x:c r="AA183" s="146"/>
      <x:c r="AB183" s="146"/>
      <x:c r="AC183" s="146"/>
      <x:c r="AD183" s="146"/>
      <x:c r="AE183" s="146"/>
      <x:c r="AF183" s="154" t="str">
        <x:f>IF(X183="","PENDING",IF(X183="exclude","DONE",IF(COUNTA(Y183:AC183)=5,"DONE","INCOMPLETE")))</x:f>
        <x:v>PENDING</x:v>
      </x:c>
    </x:row>
    <x:row r="184">
      <x:c r="A184" s="151" t="str">
        <x:v>inclusion</x:v>
      </x:c>
      <x:c r="B184" s="151" t="str">
        <x:v>SV-0212</x:v>
      </x:c>
      <x:c r="C184" s="151" t="str">
        <x:v>PC-02296</x:v>
      </x:c>
      <x:c r="D184" s="151" t="str">
        <x:v>en|claude_only</x:v>
      </x:c>
      <x:c r="E184" s="151" t="n">
        <x:v>19.375</x:v>
      </x:c>
      <x:c r="F184" s="151" t="str">
        <x:v>Bank Indonesia (Digital Rupiah)</x:v>
      </x:c>
      <x:c r="G184" s="151" t="str">
        <x:v>these capabilities 
must also be present in the context 
of cross-border transactions through 
utilization of technology and simplification 
of distribution channels.</x:v>
      </x:c>
      <x:c r="H184" s="151" t="str">
        <x:v>exclude</x:v>
      </x:c>
      <x:c r="I184" s="151" t="str">
        <x:v>keep</x:v>
      </x:c>
      <x:c r="J184" s="151"/>
      <x:c r="K184" s="151" t="str">
        <x:v>INTEROP.crossborder</x:v>
      </x:c>
      <x:c r="L184" s="151" t="str"/>
      <x:c r="M184" s="151" t="str">
        <x:v>INTEROP</x:v>
      </x:c>
      <x:c r="N184" s="151"/>
      <x:c r="O184" s="151" t="str">
        <x:v>proposal</x:v>
      </x:c>
      <x:c r="P184" s="151"/>
      <x:c r="Q184" s="151" t="str">
        <x:v>neutral</x:v>
      </x:c>
      <x:c r="R184" s="151"/>
      <x:c r="S184" s="151" t="str">
        <x:v>not_applicable</x:v>
      </x:c>
      <x:c r="T184" s="151"/>
      <x:c r="U184" s="151" t="n">
        <x:v>2</x:v>
      </x:c>
      <x:c r="V184" s="151"/>
      <x:c r="W184" s="151"/>
      <x:c r="X184" s="146"/>
      <x:c r="Y184" s="146"/>
      <x:c r="Z184" s="146"/>
      <x:c r="AA184" s="146"/>
      <x:c r="AB184" s="146"/>
      <x:c r="AC184" s="146"/>
      <x:c r="AD184" s="146"/>
      <x:c r="AE184" s="146"/>
      <x:c r="AF184" s="154" t="str">
        <x:f>IF(X184="","PENDING",IF(X184="exclude","DONE",IF(COUNTA(Y184:AC184)=5,"DONE","INCOMPLETE")))</x:f>
        <x:v>PENDING</x:v>
      </x:c>
    </x:row>
    <x:row r="185">
      <x:c r="A185" s="151" t="str">
        <x:v>inclusion</x:v>
      </x:c>
      <x:c r="B185" s="151" t="str">
        <x:v>SV-0213</x:v>
      </x:c>
      <x:c r="C185" s="151" t="str">
        <x:v>PC-03553</x:v>
      </x:c>
      <x:c r="D185" s="151" t="str">
        <x:v>en|both</x:v>
      </x:c>
      <x:c r="E185" s="151" t="n">
        <x:v>19.069444444444443</x:v>
      </x:c>
      <x:c r="F185" s="151" t="str">
        <x:v>Banca d'Italia research context</x:v>
      </x:c>
      <x:c r="G185" s="151" t="str">
        <x:v>(iii) ownership of the funds is 
attested by means of knowledge of some secret cryptographic information 
(e.g. private keys); in order to transfer ownership, it is necessary and 
sufficient to prove this knowledge to the ledger</x:v>
      </x:c>
      <x:c r="H185" s="151" t="str">
        <x:v>exclude</x:v>
      </x:c>
      <x:c r="I185" s="151" t="str">
        <x:v>keep</x:v>
      </x:c>
      <x:c r="J185" s="151"/>
      <x:c r="K185" s="151" t="str">
        <x:v>TECH.TOKEN.decided_yes</x:v>
      </x:c>
      <x:c r="L185" s="151" t="str"/>
      <x:c r="M185" s="151" t="str">
        <x:v>TECH</x:v>
      </x:c>
      <x:c r="N185" s="151"/>
      <x:c r="O185" s="151" t="str">
        <x:v>decision</x:v>
      </x:c>
      <x:c r="P185" s="151"/>
      <x:c r="Q185" s="151" t="str">
        <x:v>neutral</x:v>
      </x:c>
      <x:c r="R185" s="151"/>
      <x:c r="S185" s="151" t="str">
        <x:v>not_applicable</x:v>
      </x:c>
      <x:c r="T185" s="151"/>
      <x:c r="U185" s="151" t="n">
        <x:v>3</x:v>
      </x:c>
      <x:c r="V185" s="151"/>
      <x:c r="W185" s="151"/>
      <x:c r="X185" s="146"/>
      <x:c r="Y185" s="146"/>
      <x:c r="Z185" s="146"/>
      <x:c r="AA185" s="146"/>
      <x:c r="AB185" s="146"/>
      <x:c r="AC185" s="146"/>
      <x:c r="AD185" s="146"/>
      <x:c r="AE185" s="146"/>
      <x:c r="AF185" s="154" t="str">
        <x:f>IF(X185="","PENDING",IF(X185="exclude","DONE",IF(COUNTA(Y185:AC185)=5,"DONE","INCOMPLETE")))</x:f>
        <x:v>PENDING</x:v>
      </x:c>
    </x:row>
    <x:row r="186">
      <x:c r="A186" s="151" t="str">
        <x:v>inclusion</x:v>
      </x:c>
      <x:c r="B186" s="151" t="str">
        <x:v>SV-0214</x:v>
      </x:c>
      <x:c r="C186" s="151" t="str">
        <x:v>PC-02963</x:v>
      </x:c>
      <x:c r="D186" s="151" t="str">
        <x:v>en|claude_only</x:v>
      </x:c>
      <x:c r="E186" s="151" t="n">
        <x:v>19.375</x:v>
      </x:c>
      <x:c r="F186" s="151" t="str">
        <x:v>Bank of Israel (digital shekel)</x:v>
      </x:c>
      <x:c r="G186" s="151" t="str">
        <x:v>the digital shekel system will also offer advanced functionality at its core as a basis 
for supporting participants' ability to offer complex and advanced use cases, as detailed 
further below.</x:v>
      </x:c>
      <x:c r="H186" s="151" t="str">
        <x:v>exclude</x:v>
      </x:c>
      <x:c r="I186" s="151" t="str">
        <x:v>keep</x:v>
      </x:c>
      <x:c r="J186" s="151"/>
      <x:c r="K186" s="151" t="str">
        <x:v>SYS.design</x:v>
      </x:c>
      <x:c r="L186" s="151" t="str"/>
      <x:c r="M186" s="151" t="str">
        <x:v>SYS</x:v>
      </x:c>
      <x:c r="N186" s="151"/>
      <x:c r="O186" s="151" t="str">
        <x:v>decision</x:v>
      </x:c>
      <x:c r="P186" s="151"/>
      <x:c r="Q186" s="151" t="str">
        <x:v>neutral</x:v>
      </x:c>
      <x:c r="R186" s="151"/>
      <x:c r="S186" s="151" t="str">
        <x:v>not_applicable</x:v>
      </x:c>
      <x:c r="T186" s="151"/>
      <x:c r="U186" s="151" t="n">
        <x:v>3</x:v>
      </x:c>
      <x:c r="V186" s="151"/>
      <x:c r="W186" s="151"/>
      <x:c r="X186" s="146"/>
      <x:c r="Y186" s="146"/>
      <x:c r="Z186" s="146"/>
      <x:c r="AA186" s="146"/>
      <x:c r="AB186" s="146"/>
      <x:c r="AC186" s="146"/>
      <x:c r="AD186" s="146"/>
      <x:c r="AE186" s="146"/>
      <x:c r="AF186" s="154" t="str">
        <x:f>IF(X186="","PENDING",IF(X186="exclude","DONE",IF(COUNTA(Y186:AC186)=5,"DONE","INCOMPLETE")))</x:f>
        <x:v>PENDING</x:v>
      </x:c>
    </x:row>
    <x:row r="187">
      <x:c r="A187" s="151" t="str">
        <x:v>inclusion</x:v>
      </x:c>
      <x:c r="B187" s="151" t="str">
        <x:v>SV-0215</x:v>
      </x:c>
      <x:c r="C187" s="151" t="str">
        <x:v>PC-00076</x:v>
      </x:c>
      <x:c r="D187" s="151" t="str">
        <x:v>en|both</x:v>
      </x:c>
      <x:c r="E187" s="151" t="n">
        <x:v>19.069444444444443</x:v>
      </x:c>
      <x:c r="F187" s="151" t="str">
        <x:v>Central Bank of the United Arab Emirates (Digital Dirham)</x:v>
      </x:c>
      <x:c r="G187" s="151" t="str">
        <x:v>Domestically, the CBUAE will be launching the Digital Dirham for retail and wholesale use, including 
fully implementing the four digital economy use cases.</x:v>
      </x:c>
      <x:c r="H187" s="151" t="str">
        <x:v>exclude</x:v>
      </x:c>
      <x:c r="I187" s="151" t="str">
        <x:v>keep</x:v>
      </x:c>
      <x:c r="J187" s="151"/>
      <x:c r="K187" s="151" t="str">
        <x:v>SYS.design</x:v>
      </x:c>
      <x:c r="L187" s="151" t="str"/>
      <x:c r="M187" s="151" t="str">
        <x:v>SYS</x:v>
      </x:c>
      <x:c r="N187" s="151"/>
      <x:c r="O187" s="151" t="str">
        <x:v>proposal</x:v>
      </x:c>
      <x:c r="P187" s="151"/>
      <x:c r="Q187" s="151" t="str">
        <x:v>neutral</x:v>
      </x:c>
      <x:c r="R187" s="151"/>
      <x:c r="S187" s="151" t="str">
        <x:v>not_applicable</x:v>
      </x:c>
      <x:c r="T187" s="151"/>
      <x:c r="U187" s="151" t="n">
        <x:v>2</x:v>
      </x:c>
      <x:c r="V187" s="151"/>
      <x:c r="W187" s="151"/>
      <x:c r="X187" s="146"/>
      <x:c r="Y187" s="146"/>
      <x:c r="Z187" s="146"/>
      <x:c r="AA187" s="146"/>
      <x:c r="AB187" s="146"/>
      <x:c r="AC187" s="146"/>
      <x:c r="AD187" s="146"/>
      <x:c r="AE187" s="146"/>
      <x:c r="AF187" s="154" t="str">
        <x:f>IF(X187="","PENDING",IF(X187="exclude","DONE",IF(COUNTA(Y187:AC187)=5,"DONE","INCOMPLETE")))</x:f>
        <x:v>PENDING</x:v>
      </x:c>
    </x:row>
    <x:row r="188">
      <x:c r="A188" s="151" t="str">
        <x:v>strength</x:v>
      </x:c>
      <x:c r="B188" s="151" t="str">
        <x:v>SV-0216</x:v>
      </x:c>
      <x:c r="C188" s="151" t="str">
        <x:v>PC-04434</x:v>
      </x:c>
      <x:c r="D188" s="151" t="str">
        <x:v>en|both</x:v>
      </x:c>
      <x:c r="E188" s="151" t="n">
        <x:v>19.069444444444443</x:v>
      </x:c>
      <x:c r="F188" s="151" t="str">
        <x:v>Norges Bank (Norwegian CBDC work)</x:v>
      </x:c>
      <x:c r="G188" s="151" t="str">
        <x:v>Denne økte faren for løp mot bankene kan tilsi at bankene bør holde høyere 
likviditetsbuffere enn i dag.</x:v>
      </x:c>
      <x:c r="H188" s="151" t="str">
        <x:v>keep</x:v>
      </x:c>
      <x:c r="I188" s="151" t="str">
        <x:v>keep</x:v>
      </x:c>
      <x:c r="J188" s="151" t="str">
        <x:v>STAB.disintermediation</x:v>
      </x:c>
      <x:c r="K188" s="151" t="str">
        <x:v>STAB.disintermediation</x:v>
      </x:c>
      <x:c r="L188" s="151" t="str">
        <x:v>STAB</x:v>
      </x:c>
      <x:c r="M188" s="151" t="str">
        <x:v>STAB</x:v>
      </x:c>
      <x:c r="N188" s="151" t="str">
        <x:v>proposal</x:v>
      </x:c>
      <x:c r="O188" s="151" t="str">
        <x:v>proposal</x:v>
      </x:c>
      <x:c r="P188" s="151" t="str">
        <x:v>neutral</x:v>
      </x:c>
      <x:c r="Q188" s="151" t="str">
        <x:v>neutral</x:v>
      </x:c>
      <x:c r="R188" s="151" t="str">
        <x:v>not_applicable</x:v>
      </x:c>
      <x:c r="S188" s="151" t="str">
        <x:v>not_applicable</x:v>
      </x:c>
      <x:c r="T188" s="151" t="n">
        <x:v>2</x:v>
      </x:c>
      <x:c r="U188" s="151" t="n">
        <x:v>1</x:v>
      </x:c>
      <x:c r="V188" s="151"/>
      <x:c r="W188" s="151"/>
      <x:c r="X188" s="146"/>
      <x:c r="Y188" s="146"/>
      <x:c r="Z188" s="146"/>
      <x:c r="AA188" s="146"/>
      <x:c r="AB188" s="146"/>
      <x:c r="AC188" s="146"/>
      <x:c r="AD188" s="146"/>
      <x:c r="AE188" s="146"/>
      <x:c r="AF188" s="154" t="str">
        <x:f>IF(X188="","PENDING",IF(X188="exclude","DONE",IF(COUNTA(Y188:AC188)=5,"DONE","INCOMPLETE")))</x:f>
        <x:v>PENDING</x:v>
      </x:c>
    </x:row>
    <x:row r="189">
      <x:c r="A189" s="151" t="str">
        <x:v>odr|strength</x:v>
      </x:c>
      <x:c r="B189" s="151" t="str">
        <x:v>SV-0217</x:v>
      </x:c>
      <x:c r="C189" s="151" t="str">
        <x:v>PC-05920</x:v>
      </x:c>
      <x:c r="D189" s="151" t="str">
        <x:v>en|both</x:v>
      </x:c>
      <x:c r="E189" s="151" t="n">
        <x:v>19.069444444444443</x:v>
      </x:c>
      <x:c r="F189" s="151" t="str">
        <x:v>National Bank of Ukraine (e-hryvnia pilot)</x:v>
      </x:c>
      <x:c r="G189" s="151" t="str">
        <x:v>Since e-hryvnia is deemed to be the third form of the hryvnia, 
it should be exchanged for cash and noncash domestic 
currency without any restrictions.</x:v>
      </x:c>
      <x:c r="H189" s="151" t="str">
        <x:v>keep</x:v>
      </x:c>
      <x:c r="I189" s="151" t="str">
        <x:v>keep</x:v>
      </x:c>
      <x:c r="J189" s="151" t="str">
        <x:v>CASH.relation</x:v>
      </x:c>
      <x:c r="K189" s="151" t="str">
        <x:v>CASH.relation</x:v>
      </x:c>
      <x:c r="L189" s="151" t="str">
        <x:v>CASH</x:v>
      </x:c>
      <x:c r="M189" s="151" t="str">
        <x:v>CASH</x:v>
      </x:c>
      <x:c r="N189" s="151" t="str">
        <x:v>proposal</x:v>
      </x:c>
      <x:c r="O189" s="151" t="str">
        <x:v>decision</x:v>
      </x:c>
      <x:c r="P189" s="151" t="str">
        <x:v>neutral</x:v>
      </x:c>
      <x:c r="Q189" s="151" t="str">
        <x:v>neutral</x:v>
      </x:c>
      <x:c r="R189" s="151" t="str">
        <x:v>not_applicable</x:v>
      </x:c>
      <x:c r="S189" s="151" t="str">
        <x:v>not_applicable</x:v>
      </x:c>
      <x:c r="T189" s="151" t="n">
        <x:v>3</x:v>
      </x:c>
      <x:c r="U189" s="151" t="n">
        <x:v>2</x:v>
      </x:c>
      <x:c r="V189" s="151"/>
      <x:c r="W189" s="151" t="str">
        <x:v>x</x:v>
      </x:c>
      <x:c r="X189" s="146"/>
      <x:c r="Y189" s="146"/>
      <x:c r="Z189" s="146"/>
      <x:c r="AA189" s="146"/>
      <x:c r="AB189" s="146"/>
      <x:c r="AC189" s="146"/>
      <x:c r="AD189" s="146"/>
      <x:c r="AE189" s="146"/>
      <x:c r="AF189" s="154" t="str">
        <x:f>IF(X189="","PENDING",IF(X189="exclude","DONE",IF(COUNTA(Y189:AC189)=5,"DONE","INCOMPLETE")))</x:f>
        <x:v>PENDING</x:v>
      </x:c>
    </x:row>
    <x:row r="190">
      <x:c r="A190" s="151" t="str">
        <x:v>inclusion</x:v>
      </x:c>
      <x:c r="B190" s="151" t="str">
        <x:v>SV-0218</x:v>
      </x:c>
      <x:c r="C190" s="151" t="str">
        <x:v>PC-00817</x:v>
      </x:c>
      <x:c r="D190" s="151" t="str">
        <x:v>en|both</x:v>
      </x:c>
      <x:c r="E190" s="151" t="n">
        <x:v>19.069444444444443</x:v>
      </x:c>
      <x:c r="F190" s="151" t="str">
        <x:v>Bank of Canada and Payments Canada (Project Jasper)</x:v>
      </x:c>
      <x:c r="G190" s="151" t="str">
        <x:v>independent rules and conditions of token issuers were 
enforced on the ledger, allowing the DDR to be transferred “freely” in a shared 
ledger environment</x:v>
      </x:c>
      <x:c r="H190" s="151" t="str">
        <x:v>keep</x:v>
      </x:c>
      <x:c r="I190" s="151" t="str">
        <x:v>exclude</x:v>
      </x:c>
      <x:c r="J190" s="151" t="str">
        <x:v>PROG.generic</x:v>
      </x:c>
      <x:c r="K190" s="151" t="str">
        <x:v>PROG.generic</x:v>
      </x:c>
      <x:c r="L190" s="151" t="str">
        <x:v>PROG</x:v>
      </x:c>
      <x:c r="M190" s="151" t="str">
        <x:v>PROG</x:v>
      </x:c>
      <x:c r="N190" s="151" t="str">
        <x:v>finding</x:v>
      </x:c>
      <x:c r="O190" s="151" t="str">
        <x:v>finding</x:v>
      </x:c>
      <x:c r="P190" s="151" t="str">
        <x:v>neutral</x:v>
      </x:c>
      <x:c r="Q190" s="151" t="str">
        <x:v>neutral</x:v>
      </x:c>
      <x:c r="R190" s="151" t="str">
        <x:v>not_applicable</x:v>
      </x:c>
      <x:c r="S190" s="151" t="str">
        <x:v>not_applicable</x:v>
      </x:c>
      <x:c r="T190" s="151" t="n">
        <x:v>2</x:v>
      </x:c>
      <x:c r="U190" s="151" t="n">
        <x:v>2</x:v>
      </x:c>
      <x:c r="V190" s="151"/>
      <x:c r="W190" s="151" t="str">
        <x:v>x</x:v>
      </x:c>
      <x:c r="X190" s="146"/>
      <x:c r="Y190" s="146"/>
      <x:c r="Z190" s="146"/>
      <x:c r="AA190" s="146"/>
      <x:c r="AB190" s="146"/>
      <x:c r="AC190" s="146"/>
      <x:c r="AD190" s="146"/>
      <x:c r="AE190" s="146"/>
      <x:c r="AF190" s="154" t="str">
        <x:f>IF(X190="","PENDING",IF(X190="exclude","DONE",IF(COUNTA(Y190:AC190)=5,"DONE","INCOMPLETE")))</x:f>
        <x:v>PENDING</x:v>
      </x:c>
    </x:row>
    <x:row r="191">
      <x:c r="A191" s="151" t="str">
        <x:v>code|odr</x:v>
      </x:c>
      <x:c r="B191" s="151" t="str">
        <x:v>SV-0219</x:v>
      </x:c>
      <x:c r="C191" s="151" t="str">
        <x:v>PC-05872</x:v>
      </x:c>
      <x:c r="D191" s="151" t="str">
        <x:v>en|both</x:v>
      </x:c>
      <x:c r="E191" s="151" t="n">
        <x:v>19.069444444444443</x:v>
      </x:c>
      <x:c r="F191" s="151" t="str">
        <x:v>National Bank of Ukraine (e-hryvnia pilot)</x:v>
      </x:c>
      <x:c r="G191" s="151" t="str">
        <x:v>From the technical point of view, the Platform’s  functioning 
was regular . After certain improvement based on identified  
bugs and features , it could  be used to service the issuance 
and circulation of the e-hryvnia, in case of proper monitoring 
and technical administration.</x:v>
      </x:c>
      <x:c r="H191" s="151" t="str">
        <x:v>keep</x:v>
      </x:c>
      <x:c r="I191" s="151" t="str">
        <x:v>keep</x:v>
      </x:c>
      <x:c r="J191" s="151" t="str">
        <x:v>ADOPT.experience</x:v>
      </x:c>
      <x:c r="K191" s="151" t="str">
        <x:v>OPS.resilience</x:v>
      </x:c>
      <x:c r="L191" s="151" t="str">
        <x:v>ADOPT</x:v>
      </x:c>
      <x:c r="M191" s="151" t="str">
        <x:v>OPS</x:v>
      </x:c>
      <x:c r="N191" s="151" t="str">
        <x:v>decision</x:v>
      </x:c>
      <x:c r="O191" s="151" t="str">
        <x:v>finding</x:v>
      </x:c>
      <x:c r="P191" s="151" t="str">
        <x:v>neutral</x:v>
      </x:c>
      <x:c r="Q191" s="151" t="str">
        <x:v>neutral</x:v>
      </x:c>
      <x:c r="R191" s="151" t="str">
        <x:v>not_applicable</x:v>
      </x:c>
      <x:c r="S191" s="151" t="str">
        <x:v>not_applicable</x:v>
      </x:c>
      <x:c r="T191" s="151" t="n">
        <x:v>2</x:v>
      </x:c>
      <x:c r="U191" s="151" t="n">
        <x:v>2</x:v>
      </x:c>
      <x:c r="V191" s="151"/>
      <x:c r="W191" s="151"/>
      <x:c r="X191" s="146"/>
      <x:c r="Y191" s="146"/>
      <x:c r="Z191" s="146"/>
      <x:c r="AA191" s="146"/>
      <x:c r="AB191" s="146"/>
      <x:c r="AC191" s="146"/>
      <x:c r="AD191" s="146"/>
      <x:c r="AE191" s="146"/>
      <x:c r="AF191" s="154" t="str">
        <x:f>IF(X191="","PENDING",IF(X191="exclude","DONE",IF(COUNTA(Y191:AC191)=5,"DONE","INCOMPLETE")))</x:f>
        <x:v>PENDING</x:v>
      </x:c>
    </x:row>
    <x:row r="192">
      <x:c r="A192" s="151" t="str">
        <x:v>odr|strength</x:v>
      </x:c>
      <x:c r="B192" s="151" t="str">
        <x:v>SV-0220</x:v>
      </x:c>
      <x:c r="C192" s="151" t="str">
        <x:v>PC-06821</x:v>
      </x:c>
      <x:c r="D192" s="151" t="str">
        <x:v>en|both</x:v>
      </x:c>
      <x:c r="E192" s="151" t="n">
        <x:v>19.069444444444443</x:v>
      </x:c>
      <x:c r="F192" s="151" t="str">
        <x:v>South African Reserve Bank</x:v>
      </x:c>
      <x:c r="G192" s="151" t="str">
        <x:v>PK2 built on the SARB’s experimentation with distributed ledger technology (DLT) , 
trialling DLT for interbank payments settlement.</x:v>
      </x:c>
      <x:c r="H192" s="151" t="str">
        <x:v>keep</x:v>
      </x:c>
      <x:c r="I192" s="151" t="str">
        <x:v>keep</x:v>
      </x:c>
      <x:c r="J192" s="151" t="str">
        <x:v>TECH.DLT</x:v>
      </x:c>
      <x:c r="K192" s="151" t="str">
        <x:v>TECH.DLT</x:v>
      </x:c>
      <x:c r="L192" s="151" t="str">
        <x:v>TECH</x:v>
      </x:c>
      <x:c r="M192" s="151" t="str">
        <x:v>TECH</x:v>
      </x:c>
      <x:c r="N192" s="151" t="str">
        <x:v>decision</x:v>
      </x:c>
      <x:c r="O192" s="151" t="str">
        <x:v>finding</x:v>
      </x:c>
      <x:c r="P192" s="151" t="str">
        <x:v>neutral</x:v>
      </x:c>
      <x:c r="Q192" s="151" t="str">
        <x:v>neutral</x:v>
      </x:c>
      <x:c r="R192" s="151" t="str">
        <x:v>not_applicable</x:v>
      </x:c>
      <x:c r="S192" s="151" t="str">
        <x:v>not_applicable</x:v>
      </x:c>
      <x:c r="T192" s="151" t="n">
        <x:v>2</x:v>
      </x:c>
      <x:c r="U192" s="151" t="n">
        <x:v>3</x:v>
      </x:c>
      <x:c r="V192" s="151"/>
      <x:c r="W192" s="151"/>
      <x:c r="X192" s="146"/>
      <x:c r="Y192" s="146"/>
      <x:c r="Z192" s="146"/>
      <x:c r="AA192" s="146"/>
      <x:c r="AB192" s="146"/>
      <x:c r="AC192" s="146"/>
      <x:c r="AD192" s="146"/>
      <x:c r="AE192" s="146"/>
      <x:c r="AF192" s="154" t="str">
        <x:f>IF(X192="","PENDING",IF(X192="exclude","DONE",IF(COUNTA(Y192:AC192)=5,"DONE","INCOMPLETE")))</x:f>
        <x:v>PENDING</x:v>
      </x:c>
    </x:row>
    <x:row r="193">
      <x:c r="A193" s="151" t="str">
        <x:v>code</x:v>
      </x:c>
      <x:c r="B193" s="151" t="str">
        <x:v>SV-0221</x:v>
      </x:c>
      <x:c r="C193" s="151" t="str">
        <x:v>PC-03115</x:v>
      </x:c>
      <x:c r="D193" s="151" t="str">
        <x:v>en|both</x:v>
      </x:c>
      <x:c r="E193" s="151" t="n">
        <x:v>19.069444444444443</x:v>
      </x:c>
      <x:c r="F193" s="151" t="str">
        <x:v>Bank of Israel (digital shekel)</x:v>
      </x:c>
      <x:c r="G193" s="151" t="str">
        <x:v>PSPs will b ear the primary responsibility for consumer protection in the digital shekel  
system. They will be responsible for identifying and preventing fraud, as well as 
compensating users who have been harmed by misuse events.</x:v>
      </x:c>
      <x:c r="H193" s="151" t="str">
        <x:v>keep</x:v>
      </x:c>
      <x:c r="I193" s="151" t="str">
        <x:v>keep</x:v>
      </x:c>
      <x:c r="J193" s="151" t="str">
        <x:v>INST.mandate</x:v>
      </x:c>
      <x:c r="K193" s="151" t="str">
        <x:v>OPS.resilience</x:v>
      </x:c>
      <x:c r="L193" s="151" t="str">
        <x:v>INST</x:v>
      </x:c>
      <x:c r="M193" s="151" t="str">
        <x:v>OPS</x:v>
      </x:c>
      <x:c r="N193" s="151" t="str">
        <x:v>decision</x:v>
      </x:c>
      <x:c r="O193" s="151" t="str">
        <x:v>decision</x:v>
      </x:c>
      <x:c r="P193" s="151" t="str">
        <x:v>neutral</x:v>
      </x:c>
      <x:c r="Q193" s="151" t="str">
        <x:v>neutral</x:v>
      </x:c>
      <x:c r="R193" s="151" t="str">
        <x:v>not_applicable</x:v>
      </x:c>
      <x:c r="S193" s="151" t="str">
        <x:v>not_applicable</x:v>
      </x:c>
      <x:c r="T193" s="151" t="n">
        <x:v>3</x:v>
      </x:c>
      <x:c r="U193" s="151" t="n">
        <x:v>3</x:v>
      </x:c>
      <x:c r="V193" s="151"/>
      <x:c r="W193" s="151"/>
      <x:c r="X193" s="146"/>
      <x:c r="Y193" s="146"/>
      <x:c r="Z193" s="146"/>
      <x:c r="AA193" s="146"/>
      <x:c r="AB193" s="146"/>
      <x:c r="AC193" s="146"/>
      <x:c r="AD193" s="146"/>
      <x:c r="AE193" s="146"/>
      <x:c r="AF193" s="154" t="str">
        <x:f>IF(X193="","PENDING",IF(X193="exclude","DONE",IF(COUNTA(Y193:AC193)=5,"DONE","INCOMPLETE")))</x:f>
        <x:v>PENDING</x:v>
      </x:c>
    </x:row>
    <x:row r="194">
      <x:c r="A194" s="151" t="str">
        <x:v>strength</x:v>
      </x:c>
      <x:c r="B194" s="151" t="str">
        <x:v>SV-0223</x:v>
      </x:c>
      <x:c r="C194" s="151" t="str">
        <x:v>PC-05073</x:v>
      </x:c>
      <x:c r="D194" s="151" t="str">
        <x:v>ru/uk|both</x:v>
      </x:c>
      <x:c r="E194" s="151" t="n">
        <x:v>20</x:v>
      </x:c>
      <x:c r="F194" s="151" t="str">
        <x:v>Bank of Russia (digital ruble)</x:v>
      </x:c>
      <x:c r="G194" s="151" t="str">
        <x:v>В 2024 г. совместно с Федеральным казначейством были успешно проведены тестовые 
операции в цифровых рублях по выплате стипендий из федерального бюджета и оплате штрафов 
в федеральный бюджет, для переводов использовались тестовые цифровые рубли.</x:v>
      </x:c>
      <x:c r="H194" s="151" t="str">
        <x:v>keep</x:v>
      </x:c>
      <x:c r="I194" s="151" t="str">
        <x:v>keep</x:v>
      </x:c>
      <x:c r="J194" s="151" t="str">
        <x:v>PROC.pilot_learning</x:v>
      </x:c>
      <x:c r="K194" s="151" t="str">
        <x:v>PROC.pilot_learning</x:v>
      </x:c>
      <x:c r="L194" s="151" t="str">
        <x:v>PROC</x:v>
      </x:c>
      <x:c r="M194" s="151" t="str">
        <x:v>PROC</x:v>
      </x:c>
      <x:c r="N194" s="151" t="str">
        <x:v>finding</x:v>
      </x:c>
      <x:c r="O194" s="151" t="str">
        <x:v>finding</x:v>
      </x:c>
      <x:c r="P194" s="151" t="str">
        <x:v>neutral</x:v>
      </x:c>
      <x:c r="Q194" s="151" t="str">
        <x:v>neutral</x:v>
      </x:c>
      <x:c r="R194" s="151" t="str">
        <x:v>not_applicable</x:v>
      </x:c>
      <x:c r="S194" s="151" t="str">
        <x:v>not_applicable</x:v>
      </x:c>
      <x:c r="T194" s="151" t="n">
        <x:v>2</x:v>
      </x:c>
      <x:c r="U194" s="151" t="n">
        <x:v>3</x:v>
      </x:c>
      <x:c r="V194" s="151"/>
      <x:c r="W194" s="151"/>
      <x:c r="X194" s="146"/>
      <x:c r="Y194" s="146"/>
      <x:c r="Z194" s="146"/>
      <x:c r="AA194" s="146"/>
      <x:c r="AB194" s="146"/>
      <x:c r="AC194" s="146"/>
      <x:c r="AD194" s="146"/>
      <x:c r="AE194" s="146"/>
      <x:c r="AF194" s="154" t="str">
        <x:f>IF(X194="","PENDING",IF(X194="exclude","DONE",IF(COUNTA(Y194:AC194)=5,"DONE","INCOMPLETE")))</x:f>
        <x:v>PENDING</x:v>
      </x:c>
    </x:row>
    <x:row r="195">
      <x:c r="A195" s="151" t="str">
        <x:v>code</x:v>
      </x:c>
      <x:c r="B195" s="151" t="str">
        <x:v>SV-0224</x:v>
      </x:c>
      <x:c r="C195" s="151" t="str">
        <x:v>PC-06941</x:v>
      </x:c>
      <x:c r="D195" s="151" t="str">
        <x:v>en|both</x:v>
      </x:c>
      <x:c r="E195" s="151" t="n">
        <x:v>19.069444444444443</x:v>
      </x:c>
      <x:c r="F195" s="151" t="str">
        <x:v>South African Reserve Bank</x:v>
      </x:c>
      <x:c r="G195" s="151" t="str">
        <x:v>in a distributed system, there are elements of control that  
a regulator like the SARB may have to consider 
relinquishing in order to achieve some of the other benefits 
(such as distributed consensus), which would improve 
resilience by removing the single point of failure.</x:v>
      </x:c>
      <x:c r="H195" s="151" t="str">
        <x:v>keep</x:v>
      </x:c>
      <x:c r="I195" s="151" t="str">
        <x:v>keep</x:v>
      </x:c>
      <x:c r="J195" s="151" t="str">
        <x:v>TECH.DLT</x:v>
      </x:c>
      <x:c r="K195" s="151" t="str">
        <x:v>OPS.resilience</x:v>
      </x:c>
      <x:c r="L195" s="151" t="str">
        <x:v>TECH</x:v>
      </x:c>
      <x:c r="M195" s="151" t="str">
        <x:v>OPS</x:v>
      </x:c>
      <x:c r="N195" s="151" t="str">
        <x:v>finding</x:v>
      </x:c>
      <x:c r="O195" s="151" t="str">
        <x:v>finding</x:v>
      </x:c>
      <x:c r="P195" s="151" t="str">
        <x:v>neutral</x:v>
      </x:c>
      <x:c r="Q195" s="151" t="str">
        <x:v>neutral</x:v>
      </x:c>
      <x:c r="R195" s="151" t="str">
        <x:v>not_applicable</x:v>
      </x:c>
      <x:c r="S195" s="151" t="str">
        <x:v>not_applicable</x:v>
      </x:c>
      <x:c r="T195" s="151" t="n">
        <x:v>2</x:v>
      </x:c>
      <x:c r="U195" s="151" t="n">
        <x:v>2</x:v>
      </x:c>
      <x:c r="V195" s="151"/>
      <x:c r="W195" s="151"/>
      <x:c r="X195" s="146"/>
      <x:c r="Y195" s="146"/>
      <x:c r="Z195" s="146"/>
      <x:c r="AA195" s="146"/>
      <x:c r="AB195" s="146"/>
      <x:c r="AC195" s="146"/>
      <x:c r="AD195" s="146"/>
      <x:c r="AE195" s="146"/>
      <x:c r="AF195" s="154" t="str">
        <x:f>IF(X195="","PENDING",IF(X195="exclude","DONE",IF(COUNTA(Y195:AC195)=5,"DONE","INCOMPLETE")))</x:f>
        <x:v>PENDING</x:v>
      </x:c>
    </x:row>
    <x:row r="196">
      <x:c r="A196" s="151" t="str">
        <x:v>code</x:v>
      </x:c>
      <x:c r="B196" s="151" t="str">
        <x:v>SV-0225</x:v>
      </x:c>
      <x:c r="C196" s="151" t="str">
        <x:v>PC-05962</x:v>
      </x:c>
      <x:c r="D196" s="151" t="str">
        <x:v>en|both</x:v>
      </x:c>
      <x:c r="E196" s="151" t="n">
        <x:v>19.069444444444443</x:v>
      </x:c>
      <x:c r="F196" s="151" t="str">
        <x:v>National Bank of Ukraine (e-hryvnia pilot)</x:v>
      </x:c>
      <x:c r="G196" s="151" t="str">
        <x:v>Considering that the Pilot Project had a limited list of transaction types and a limited range of users, as well as the minor 
quantity and volumes of executed transactions, the project did not fully uncover the instrument’s attractiveness and the 
potential level of involvement of Ukraine's population in using it.</x:v>
      </x:c>
      <x:c r="H196" s="151" t="str">
        <x:v>keep</x:v>
      </x:c>
      <x:c r="I196" s="151" t="str">
        <x:v>keep</x:v>
      </x:c>
      <x:c r="J196" s="151" t="str">
        <x:v>PROC.pilot_learning</x:v>
      </x:c>
      <x:c r="K196" s="151" t="str">
        <x:v>ADOPT.experience</x:v>
      </x:c>
      <x:c r="L196" s="151" t="str">
        <x:v>PROC</x:v>
      </x:c>
      <x:c r="M196" s="151" t="str">
        <x:v>ADOPT</x:v>
      </x:c>
      <x:c r="N196" s="151" t="str">
        <x:v>finding</x:v>
      </x:c>
      <x:c r="O196" s="151" t="str">
        <x:v>finding</x:v>
      </x:c>
      <x:c r="P196" s="151" t="str">
        <x:v>neutral</x:v>
      </x:c>
      <x:c r="Q196" s="151" t="str">
        <x:v>neutral</x:v>
      </x:c>
      <x:c r="R196" s="151" t="str">
        <x:v>not_applicable</x:v>
      </x:c>
      <x:c r="S196" s="151" t="str">
        <x:v>not_applicable</x:v>
      </x:c>
      <x:c r="T196" s="151" t="n">
        <x:v>2</x:v>
      </x:c>
      <x:c r="U196" s="151" t="n">
        <x:v>2</x:v>
      </x:c>
      <x:c r="V196" s="151"/>
      <x:c r="W196" s="151"/>
      <x:c r="X196" s="146"/>
      <x:c r="Y196" s="146"/>
      <x:c r="Z196" s="146"/>
      <x:c r="AA196" s="146"/>
      <x:c r="AB196" s="146"/>
      <x:c r="AC196" s="146"/>
      <x:c r="AD196" s="146"/>
      <x:c r="AE196" s="146"/>
      <x:c r="AF196" s="154" t="str">
        <x:f>IF(X196="","PENDING",IF(X196="exclude","DONE",IF(COUNTA(Y196:AC196)=5,"DONE","INCOMPLETE")))</x:f>
        <x:v>PENDING</x:v>
      </x:c>
    </x:row>
    <x:row r="197">
      <x:c r="A197" s="151" t="str">
        <x:v>code|odr</x:v>
      </x:c>
      <x:c r="B197" s="151" t="str">
        <x:v>SV-0226</x:v>
      </x:c>
      <x:c r="C197" s="151" t="str">
        <x:v>PC-02873</x:v>
      </x:c>
      <x:c r="D197" s="151" t="str">
        <x:v>en|both</x:v>
      </x:c>
      <x:c r="E197" s="151" t="n">
        <x:v>19.069444444444443</x:v>
      </x:c>
      <x:c r="F197" s="151" t="str">
        <x:v>Bank of Israel (digital shekel)</x:v>
      </x:c>
      <x:c r="G197" s="151" t="str">
        <x:v>In a case where, following a payment received into the wallet, 
the balance exceeds the allowed balance according to the holding limit39 (or a balance set by 
the user according to their preference), the waterfall mechanism will be activated, and an 
automatic defunding will be performed to bring the wallet balance back to the allowed 
balance.</x:v>
      </x:c>
      <x:c r="H197" s="151" t="str">
        <x:v>keep</x:v>
      </x:c>
      <x:c r="I197" s="151" t="str">
        <x:v>keep</x:v>
      </x:c>
      <x:c r="J197" s="151" t="str">
        <x:v>AML.LIMIT</x:v>
      </x:c>
      <x:c r="K197" s="151" t="str">
        <x:v>SYS.design</x:v>
      </x:c>
      <x:c r="L197" s="151" t="str">
        <x:v>AML</x:v>
      </x:c>
      <x:c r="M197" s="151" t="str">
        <x:v>SYS</x:v>
      </x:c>
      <x:c r="N197" s="151" t="str">
        <x:v>proposal</x:v>
      </x:c>
      <x:c r="O197" s="151" t="str">
        <x:v>decision</x:v>
      </x:c>
      <x:c r="P197" s="151" t="str">
        <x:v>neutral</x:v>
      </x:c>
      <x:c r="Q197" s="151" t="str">
        <x:v>neutral</x:v>
      </x:c>
      <x:c r="R197" s="151" t="str">
        <x:v>not_applicable</x:v>
      </x:c>
      <x:c r="S197" s="151" t="str">
        <x:v>not_applicable</x:v>
      </x:c>
      <x:c r="T197" s="151" t="n">
        <x:v>2</x:v>
      </x:c>
      <x:c r="U197" s="151" t="n">
        <x:v>2</x:v>
      </x:c>
      <x:c r="V197" s="151"/>
      <x:c r="W197" s="151"/>
      <x:c r="X197" s="146"/>
      <x:c r="Y197" s="146"/>
      <x:c r="Z197" s="146"/>
      <x:c r="AA197" s="146"/>
      <x:c r="AB197" s="146"/>
      <x:c r="AC197" s="146"/>
      <x:c r="AD197" s="146"/>
      <x:c r="AE197" s="146"/>
      <x:c r="AF197" s="154" t="str">
        <x:f>IF(X197="","PENDING",IF(X197="exclude","DONE",IF(COUNTA(Y197:AC197)=5,"DONE","INCOMPLETE")))</x:f>
        <x:v>PENDING</x:v>
      </x:c>
    </x:row>
    <x:row r="198">
      <x:c r="A198" s="151" t="str">
        <x:v>privacy_direction|privacy_relation|strength</x:v>
      </x:c>
      <x:c r="B198" s="151" t="str">
        <x:v>SV-0227</x:v>
      </x:c>
      <x:c r="C198" s="151" t="str">
        <x:v>PC-03502</x:v>
      </x:c>
      <x:c r="D198" s="151" t="str">
        <x:v>en|both</x:v>
      </x:c>
      <x:c r="E198" s="151" t="n">
        <x:v>19.069444444444443</x:v>
      </x:c>
      <x:c r="F198" s="151" t="str">
        <x:v>Banca d'Italia research context</x:v>
      </x:c>
      <x:c r="G198" s="151" t="str">
        <x:v>The design of the D€ should strike the right 
balance between privacy and AML/CFT compliance.</x:v>
      </x:c>
      <x:c r="H198" s="151" t="str">
        <x:v>keep</x:v>
      </x:c>
      <x:c r="I198" s="151" t="str">
        <x:v>keep</x:v>
      </x:c>
      <x:c r="J198" s="151" t="str">
        <x:v>PRIV.BAL</x:v>
      </x:c>
      <x:c r="K198" s="151" t="str">
        <x:v>PRIV.BAL</x:v>
      </x:c>
      <x:c r="L198" s="151" t="str">
        <x:v>PRIV</x:v>
      </x:c>
      <x:c r="M198" s="151" t="str">
        <x:v>PRIV</x:v>
      </x:c>
      <x:c r="N198" s="151" t="str">
        <x:v>proposal</x:v>
      </x:c>
      <x:c r="O198" s="151" t="str">
        <x:v>proposal</x:v>
      </x:c>
      <x:c r="P198" s="151" t="str">
        <x:v>conditional</x:v>
      </x:c>
      <x:c r="Q198" s="151" t="str">
        <x:v>neutral</x:v>
      </x:c>
      <x:c r="R198" s="151" t="str">
        <x:v>from_state</x:v>
      </x:c>
      <x:c r="S198" s="151" t="str">
        <x:v>not_applicable</x:v>
      </x:c>
      <x:c r="T198" s="151" t="n">
        <x:v>3</x:v>
      </x:c>
      <x:c r="U198" s="151" t="n">
        <x:v>2</x:v>
      </x:c>
      <x:c r="V198" s="151"/>
      <x:c r="W198" s="151" t="str">
        <x:v>x</x:v>
      </x:c>
      <x:c r="X198" s="146"/>
      <x:c r="Y198" s="146"/>
      <x:c r="Z198" s="146"/>
      <x:c r="AA198" s="146"/>
      <x:c r="AB198" s="146"/>
      <x:c r="AC198" s="146"/>
      <x:c r="AD198" s="146"/>
      <x:c r="AE198" s="146"/>
      <x:c r="AF198" s="154" t="str">
        <x:f>IF(X198="","PENDING",IF(X198="exclude","DONE",IF(COUNTA(Y198:AC198)=5,"DONE","INCOMPLETE")))</x:f>
        <x:v>PENDING</x:v>
      </x:c>
    </x:row>
    <x:row r="199">
      <x:c r="A199" s="151" t="str">
        <x:v>code|odr|privacy_direction|privacy_relation</x:v>
      </x:c>
      <x:c r="B199" s="151" t="str">
        <x:v>SV-0228</x:v>
      </x:c>
      <x:c r="C199" s="151" t="str">
        <x:v>PC-04789</x:v>
      </x:c>
      <x:c r="D199" s="151" t="str">
        <x:v>ru/uk|both</x:v>
      </x:c>
      <x:c r="E199" s="151" t="n">
        <x:v>20</x:v>
      </x:c>
      <x:c r="F199" s="151" t="str">
        <x:v>Bank of Russia (digital ruble)</x:v>
      </x:c>
      <x:c r="G199" s="151" t="str">
        <x:v>Повышение уровня безопасности за счет наличия уникальных номеров цифровых рублей, 
позволяющих отследить их движение и упростить восстановление нарушенных прав вла -
дельца в случае их утраты или хищения.</x:v>
      </x:c>
      <x:c r="H199" s="151" t="str">
        <x:v>keep</x:v>
      </x:c>
      <x:c r="I199" s="151" t="str">
        <x:v>keep</x:v>
      </x:c>
      <x:c r="J199" s="151" t="str">
        <x:v>OPS.resilience</x:v>
      </x:c>
      <x:c r="K199" s="151" t="str">
        <x:v>PRIV.ANON</x:v>
      </x:c>
      <x:c r="L199" s="151" t="str">
        <x:v>OPS</x:v>
      </x:c>
      <x:c r="M199" s="151" t="str">
        <x:v>PRIV</x:v>
      </x:c>
      <x:c r="N199" s="151" t="str">
        <x:v>proposal</x:v>
      </x:c>
      <x:c r="O199" s="151" t="str">
        <x:v>decision</x:v>
      </x:c>
      <x:c r="P199" s="151" t="str">
        <x:v>neutral</x:v>
      </x:c>
      <x:c r="Q199" s="151" t="str">
        <x:v>decreases</x:v>
      </x:c>
      <x:c r="R199" s="151" t="str">
        <x:v>not_applicable</x:v>
      </x:c>
      <x:c r="S199" s="151" t="str">
        <x:v>from_state</x:v>
      </x:c>
      <x:c r="T199" s="151" t="n">
        <x:v>2</x:v>
      </x:c>
      <x:c r="U199" s="151" t="n">
        <x:v>2</x:v>
      </x:c>
      <x:c r="V199" s="151"/>
      <x:c r="W199" s="151"/>
      <x:c r="X199" s="146"/>
      <x:c r="Y199" s="146"/>
      <x:c r="Z199" s="146"/>
      <x:c r="AA199" s="146"/>
      <x:c r="AB199" s="146"/>
      <x:c r="AC199" s="146"/>
      <x:c r="AD199" s="146"/>
      <x:c r="AE199" s="146"/>
      <x:c r="AF199" s="154" t="str">
        <x:f>IF(X199="","PENDING",IF(X199="exclude","DONE",IF(COUNTA(Y199:AC199)=5,"DONE","INCOMPLETE")))</x:f>
        <x:v>PENDING</x:v>
      </x:c>
    </x:row>
    <x:row r="200">
      <x:c r="A200" s="151" t="str">
        <x:v>odr|privacy_relation|strength</x:v>
      </x:c>
      <x:c r="B200" s="151" t="str">
        <x:v>SV-0229</x:v>
      </x:c>
      <x:c r="C200" s="151" t="str">
        <x:v>PC-05479</x:v>
      </x:c>
      <x:c r="D200" s="151" t="str">
        <x:v>en|claude_only</x:v>
      </x:c>
      <x:c r="E200" s="151" t="n">
        <x:v>19.375</x:v>
      </x:c>
      <x:c r="F200" s="151" t="str">
        <x:v>Central Bank of Eswatini (Digital Lilangeni)</x:v>
      </x:c>
      <x:c r="G200" s="151" t="str">
        <x:v>Therefore, partial pseudo-anonymity is a preferred design choice which enables a 
level of privacy between cash and e -money.</x:v>
      </x:c>
      <x:c r="H200" s="151" t="str">
        <x:v>keep</x:v>
      </x:c>
      <x:c r="I200" s="151" t="str">
        <x:v>keep</x:v>
      </x:c>
      <x:c r="J200" s="151" t="str">
        <x:v>PRIV.ANON</x:v>
      </x:c>
      <x:c r="K200" s="151" t="str">
        <x:v>PRIV.ANON</x:v>
      </x:c>
      <x:c r="L200" s="151" t="str">
        <x:v>PRIV</x:v>
      </x:c>
      <x:c r="M200" s="151" t="str">
        <x:v>PRIV</x:v>
      </x:c>
      <x:c r="N200" s="151" t="str">
        <x:v>decision</x:v>
      </x:c>
      <x:c r="O200" s="151" t="str">
        <x:v>proposal</x:v>
      </x:c>
      <x:c r="P200" s="151" t="str">
        <x:v>increases</x:v>
      </x:c>
      <x:c r="Q200" s="151" t="str">
        <x:v>increases</x:v>
      </x:c>
      <x:c r="R200" s="151" t="str">
        <x:v>from_state</x:v>
      </x:c>
      <x:c r="S200" s="151" t="str">
        <x:v>not_applicable</x:v>
      </x:c>
      <x:c r="T200" s="151" t="n">
        <x:v>2</x:v>
      </x:c>
      <x:c r="U200" s="151" t="n">
        <x:v>3</x:v>
      </x:c>
      <x:c r="V200" s="151"/>
      <x:c r="W200" s="151" t="str">
        <x:v>x</x:v>
      </x:c>
      <x:c r="X200" s="146"/>
      <x:c r="Y200" s="146"/>
      <x:c r="Z200" s="146"/>
      <x:c r="AA200" s="146"/>
      <x:c r="AB200" s="146"/>
      <x:c r="AC200" s="146"/>
      <x:c r="AD200" s="146"/>
      <x:c r="AE200" s="146"/>
      <x:c r="AF200" s="154" t="str">
        <x:f>IF(X200="","PENDING",IF(X200="exclude","DONE",IF(COUNTA(Y200:AC200)=5,"DONE","INCOMPLETE")))</x:f>
        <x:v>PENDING</x:v>
      </x:c>
    </x:row>
    <x:row r="201">
      <x:c r="A201" s="151" t="str">
        <x:v>inclusion</x:v>
      </x:c>
      <x:c r="B201" s="151" t="str">
        <x:v>SV-0230</x:v>
      </x:c>
      <x:c r="C201" s="151" t="str">
        <x:v>PC-06611</x:v>
      </x:c>
      <x:c r="D201" s="151" t="str">
        <x:v>en|openai_only</x:v>
      </x:c>
      <x:c r="E201" s="151" t="n">
        <x:v>19.21875</x:v>
      </x:c>
      <x:c r="F201" s="151" t="str">
        <x:v>United States federal interagency CBDC technical evaluation</x:v>
      </x:c>
      <x:c r="G201" s="151" t="str">
        <x:v>Of particular note, there are cybersecurity and privacy risks related to the collection, storage, and 
transmission of payment information and associated business identifiable and personally 
identifiable information.</x:v>
      </x:c>
      <x:c r="H201" s="151" t="str">
        <x:v>keep</x:v>
      </x:c>
      <x:c r="I201" s="151" t="str">
        <x:v>exclude</x:v>
      </x:c>
      <x:c r="J201" s="151" t="str">
        <x:v>OPS.resilience</x:v>
      </x:c>
      <x:c r="K201" s="151"/>
      <x:c r="L201" s="151" t="str">
        <x:v>OPS</x:v>
      </x:c>
      <x:c r="M201" s="151" t="str"/>
      <x:c r="N201" s="151" t="str">
        <x:v>finding</x:v>
      </x:c>
      <x:c r="O201" s="151"/>
      <x:c r="P201" s="151" t="str">
        <x:v>neutral</x:v>
      </x:c>
      <x:c r="Q201" s="151"/>
      <x:c r="R201" s="151" t="str">
        <x:v>not_applicable</x:v>
      </x:c>
      <x:c r="S201" s="151"/>
      <x:c r="T201" s="151" t="n">
        <x:v>2</x:v>
      </x:c>
      <x:c r="U201" s="151"/>
      <x:c r="V201" s="151"/>
      <x:c r="W201" s="151"/>
      <x:c r="X201" s="146"/>
      <x:c r="Y201" s="146"/>
      <x:c r="Z201" s="146"/>
      <x:c r="AA201" s="146"/>
      <x:c r="AB201" s="146"/>
      <x:c r="AC201" s="146"/>
      <x:c r="AD201" s="146"/>
      <x:c r="AE201" s="146"/>
      <x:c r="AF201" s="154" t="str">
        <x:f>IF(X201="","PENDING",IF(X201="exclude","DONE",IF(COUNTA(Y201:AC201)=5,"DONE","INCOMPLETE")))</x:f>
        <x:v>PENDING</x:v>
      </x:c>
    </x:row>
    <x:row r="202">
      <x:c r="A202" s="151" t="str">
        <x:v>inclusion</x:v>
      </x:c>
      <x:c r="B202" s="151" t="str">
        <x:v>SV-0231</x:v>
      </x:c>
      <x:c r="C202" s="151" t="str">
        <x:v>PC-05710</x:v>
      </x:c>
      <x:c r="D202" s="151" t="str">
        <x:v>en|both</x:v>
      </x:c>
      <x:c r="E202" s="151" t="n">
        <x:v>19.069444444444443</x:v>
      </x:c>
      <x:c r="F202" s="151" t="str">
        <x:v>Central Bank of the Republic of Turkiye (Digital Turkish Lira)</x:v>
      </x:c>
      <x:c r="G202" s="151" t="str">
        <x:v>Once circulated, the digital Turkish lira is expected to make various 
contributions such as enhanced financial inclusion, development 
of a complementary payment channel in line with the principle of 
uninterrupted and continuous operation of payments</x:v>
      </x:c>
      <x:c r="H202" s="151" t="str">
        <x:v>exclude</x:v>
      </x:c>
      <x:c r="I202" s="151" t="str">
        <x:v>keep</x:v>
      </x:c>
      <x:c r="J202" s="151"/>
      <x:c r="K202" s="151" t="str">
        <x:v>CASH.relation</x:v>
      </x:c>
      <x:c r="L202" s="151" t="str"/>
      <x:c r="M202" s="151" t="str">
        <x:v>CASH</x:v>
      </x:c>
      <x:c r="N202" s="151"/>
      <x:c r="O202" s="151" t="str">
        <x:v>proposal</x:v>
      </x:c>
      <x:c r="P202" s="151"/>
      <x:c r="Q202" s="151" t="str">
        <x:v>neutral</x:v>
      </x:c>
      <x:c r="R202" s="151"/>
      <x:c r="S202" s="151" t="str">
        <x:v>not_applicable</x:v>
      </x:c>
      <x:c r="T202" s="151"/>
      <x:c r="U202" s="151" t="n">
        <x:v>2</x:v>
      </x:c>
      <x:c r="V202" s="151"/>
      <x:c r="W202" s="151"/>
      <x:c r="X202" s="146"/>
      <x:c r="Y202" s="146"/>
      <x:c r="Z202" s="146"/>
      <x:c r="AA202" s="146"/>
      <x:c r="AB202" s="146"/>
      <x:c r="AC202" s="146"/>
      <x:c r="AD202" s="146"/>
      <x:c r="AE202" s="146"/>
      <x:c r="AF202" s="154" t="str">
        <x:f>IF(X202="","PENDING",IF(X202="exclude","DONE",IF(COUNTA(Y202:AC202)=5,"DONE","INCOMPLETE")))</x:f>
        <x:v>PENDING</x:v>
      </x:c>
    </x:row>
    <x:row r="203">
      <x:c r="A203" s="151" t="str">
        <x:v>code</x:v>
      </x:c>
      <x:c r="B203" s="151" t="str">
        <x:v>SV-0232</x:v>
      </x:c>
      <x:c r="C203" s="151" t="str">
        <x:v>PC-03369</x:v>
      </x:c>
      <x:c r="D203" s="151" t="str">
        <x:v>en|both</x:v>
      </x:c>
      <x:c r="E203" s="151" t="n">
        <x:v>19.069444444444443</x:v>
      </x:c>
      <x:c r="F203" s="151" t="str">
        <x:v>Reserve Bank of India (digital rupee)</x:v>
      </x:c>
      <x:c r="G203" s="151" t="str">
        <x:v>Under a token-
based CBDC-R regime, users would be able to 
withdraw digital tokens from banks in the same 
way they can withdraw physical cash.</x:v>
      </x:c>
      <x:c r="H203" s="151" t="str">
        <x:v>keep</x:v>
      </x:c>
      <x:c r="I203" s="151" t="str">
        <x:v>keep</x:v>
      </x:c>
      <x:c r="J203" s="151" t="str">
        <x:v>CASH.relation</x:v>
      </x:c>
      <x:c r="K203" s="151" t="str">
        <x:v>ACCESS.universal</x:v>
      </x:c>
      <x:c r="L203" s="151" t="str">
        <x:v>CASH</x:v>
      </x:c>
      <x:c r="M203" s="151" t="str">
        <x:v>ACCESS</x:v>
      </x:c>
      <x:c r="N203" s="151" t="str">
        <x:v>proposal</x:v>
      </x:c>
      <x:c r="O203" s="151" t="str">
        <x:v>proposal</x:v>
      </x:c>
      <x:c r="P203" s="151" t="str">
        <x:v>neutral</x:v>
      </x:c>
      <x:c r="Q203" s="151" t="str">
        <x:v>neutral</x:v>
      </x:c>
      <x:c r="R203" s="151" t="str">
        <x:v>not_applicable</x:v>
      </x:c>
      <x:c r="S203" s="151" t="str">
        <x:v>not_applicable</x:v>
      </x:c>
      <x:c r="T203" s="151" t="n">
        <x:v>2</x:v>
      </x:c>
      <x:c r="U203" s="151" t="n">
        <x:v>2</x:v>
      </x:c>
      <x:c r="V203" s="151"/>
      <x:c r="W203" s="151"/>
      <x:c r="X203" s="146"/>
      <x:c r="Y203" s="146"/>
      <x:c r="Z203" s="146"/>
      <x:c r="AA203" s="146"/>
      <x:c r="AB203" s="146"/>
      <x:c r="AC203" s="146"/>
      <x:c r="AD203" s="146"/>
      <x:c r="AE203" s="146"/>
      <x:c r="AF203" s="154" t="str">
        <x:f>IF(X203="","PENDING",IF(X203="exclude","DONE",IF(COUNTA(Y203:AC203)=5,"DONE","INCOMPLETE")))</x:f>
        <x:v>PENDING</x:v>
      </x:c>
    </x:row>
    <x:row r="204">
      <x:c r="A204" s="151" t="str">
        <x:v>code|odr</x:v>
      </x:c>
      <x:c r="B204" s="151" t="str">
        <x:v>SV-0234</x:v>
      </x:c>
      <x:c r="C204" s="151" t="str">
        <x:v>PC-04010</x:v>
      </x:c>
      <x:c r="D204" s="151" t="str">
        <x:v>en|both</x:v>
      </x:c>
      <x:c r="E204" s="151" t="n">
        <x:v>19.069444444444443</x:v>
      </x:c>
      <x:c r="F204" s="151" t="str">
        <x:v>Monetary Authority of Macao (e-MOP)</x:v>
      </x:c>
      <x:c r="G204" s="151" t="str">
        <x:v>a study on wholesale e-MOP will be launched to investigate extending 
its adoption to cross-border payments.</x:v>
      </x:c>
      <x:c r="H204" s="151" t="str">
        <x:v>keep</x:v>
      </x:c>
      <x:c r="I204" s="151" t="str">
        <x:v>keep</x:v>
      </x:c>
      <x:c r="J204" s="151" t="str">
        <x:v>SYS.design</x:v>
      </x:c>
      <x:c r="K204" s="151" t="str">
        <x:v>INTEROP.crossborder</x:v>
      </x:c>
      <x:c r="L204" s="151" t="str">
        <x:v>SYS</x:v>
      </x:c>
      <x:c r="M204" s="151" t="str">
        <x:v>INTEROP</x:v>
      </x:c>
      <x:c r="N204" s="151" t="str">
        <x:v>finding</x:v>
      </x:c>
      <x:c r="O204" s="151" t="str">
        <x:v>proposal</x:v>
      </x:c>
      <x:c r="P204" s="151" t="str">
        <x:v>neutral</x:v>
      </x:c>
      <x:c r="Q204" s="151" t="str">
        <x:v>neutral</x:v>
      </x:c>
      <x:c r="R204" s="151" t="str">
        <x:v>not_applicable</x:v>
      </x:c>
      <x:c r="S204" s="151" t="str">
        <x:v>not_applicable</x:v>
      </x:c>
      <x:c r="T204" s="151" t="n">
        <x:v>2</x:v>
      </x:c>
      <x:c r="U204" s="151" t="n">
        <x:v>2</x:v>
      </x:c>
      <x:c r="V204" s="151"/>
      <x:c r="W204" s="151"/>
      <x:c r="X204" s="146"/>
      <x:c r="Y204" s="146"/>
      <x:c r="Z204" s="146"/>
      <x:c r="AA204" s="146"/>
      <x:c r="AB204" s="146"/>
      <x:c r="AC204" s="146"/>
      <x:c r="AD204" s="146"/>
      <x:c r="AE204" s="146"/>
      <x:c r="AF204" s="154" t="str">
        <x:f>IF(X204="","PENDING",IF(X204="exclude","DONE",IF(COUNTA(Y204:AC204)=5,"DONE","INCOMPLETE")))</x:f>
        <x:v>PENDING</x:v>
      </x:c>
    </x:row>
    <x:row r="205">
      <x:c r="A205" s="151" t="str">
        <x:v>code|odr|privacy_direction|strength</x:v>
      </x:c>
      <x:c r="B205" s="151" t="str">
        <x:v>SV-0235</x:v>
      </x:c>
      <x:c r="C205" s="151" t="str">
        <x:v>PC-00535</x:v>
      </x:c>
      <x:c r="D205" s="151" t="str">
        <x:v>en|both</x:v>
      </x:c>
      <x:c r="E205" s="151" t="n">
        <x:v>19.069444444444443</x:v>
      </x:c>
      <x:c r="F205" s="151" t="str">
        <x:v>Central Bank of The Bahamas (Sand Dollar)</x:v>
      </x:c>
      <x:c r="G205" s="151" t="str">
        <x:v>The anonymity feature of cash is not being replicated,  although the Sand 
Dollar infrastructure would incorporate strict attention to confidentiality and data protection.</x:v>
      </x:c>
      <x:c r="H205" s="151" t="str">
        <x:v>keep</x:v>
      </x:c>
      <x:c r="I205" s="151" t="str">
        <x:v>keep</x:v>
      </x:c>
      <x:c r="J205" s="151" t="str">
        <x:v>PRIV.BAL</x:v>
      </x:c>
      <x:c r="K205" s="151" t="str">
        <x:v>PRIV.ANON</x:v>
      </x:c>
      <x:c r="L205" s="151" t="str">
        <x:v>PRIV</x:v>
      </x:c>
      <x:c r="M205" s="151" t="str">
        <x:v>PRIV</x:v>
      </x:c>
      <x:c r="N205" s="151" t="str">
        <x:v>proposal</x:v>
      </x:c>
      <x:c r="O205" s="151" t="str">
        <x:v>decision</x:v>
      </x:c>
      <x:c r="P205" s="151" t="str">
        <x:v>increases</x:v>
      </x:c>
      <x:c r="Q205" s="151" t="str">
        <x:v>decreases</x:v>
      </x:c>
      <x:c r="R205" s="151" t="str">
        <x:v>from_state</x:v>
      </x:c>
      <x:c r="S205" s="151" t="str">
        <x:v>from_state</x:v>
      </x:c>
      <x:c r="T205" s="151" t="n">
        <x:v>1</x:v>
      </x:c>
      <x:c r="U205" s="151" t="n">
        <x:v>3</x:v>
      </x:c>
      <x:c r="V205" s="151"/>
      <x:c r="W205" s="151"/>
      <x:c r="X205" s="146"/>
      <x:c r="Y205" s="146"/>
      <x:c r="Z205" s="146"/>
      <x:c r="AA205" s="146"/>
      <x:c r="AB205" s="146"/>
      <x:c r="AC205" s="146"/>
      <x:c r="AD205" s="146"/>
      <x:c r="AE205" s="146"/>
      <x:c r="AF205" s="154" t="str">
        <x:f>IF(X205="","PENDING",IF(X205="exclude","DONE",IF(COUNTA(Y205:AC205)=5,"DONE","INCOMPLETE")))</x:f>
        <x:v>PENDING</x:v>
      </x:c>
    </x:row>
    <x:row r="206">
      <x:c r="A206" s="151" t="str">
        <x:v>inclusion</x:v>
      </x:c>
      <x:c r="B206" s="151" t="str">
        <x:v>SV-0236</x:v>
      </x:c>
      <x:c r="C206" s="151" t="str">
        <x:v>PC-00113</x:v>
      </x:c>
      <x:c r="D206" s="151" t="str">
        <x:v>en|claude_only</x:v>
      </x:c>
      <x:c r="E206" s="151" t="n">
        <x:v>19.375</x:v>
      </x:c>
      <x:c r="F206" s="151" t="str">
        <x:v>Central Bank of Armenia / Armenian CBDC study</x:v>
      </x:c>
      <x:c r="G206" s="151" t="str">
        <x:v>it was concluded that, given the current level
of payment infrastructure development in Armenia, the introduction of a CBDC as an
alternative payment instrument would have limited implication for Armenian society.</x:v>
      </x:c>
      <x:c r="H206" s="151" t="str">
        <x:v>exclude</x:v>
      </x:c>
      <x:c r="I206" s="151" t="str">
        <x:v>keep</x:v>
      </x:c>
      <x:c r="J206" s="151"/>
      <x:c r="K206" s="151" t="str">
        <x:v>SYS.design</x:v>
      </x:c>
      <x:c r="L206" s="151" t="str"/>
      <x:c r="M206" s="151" t="str">
        <x:v>SYS</x:v>
      </x:c>
      <x:c r="N206" s="151"/>
      <x:c r="O206" s="151" t="str">
        <x:v>finding</x:v>
      </x:c>
      <x:c r="P206" s="151"/>
      <x:c r="Q206" s="151" t="str">
        <x:v>neutral</x:v>
      </x:c>
      <x:c r="R206" s="151"/>
      <x:c r="S206" s="151" t="str">
        <x:v>not_applicable</x:v>
      </x:c>
      <x:c r="T206" s="151"/>
      <x:c r="U206" s="151" t="n">
        <x:v>3</x:v>
      </x:c>
      <x:c r="V206" s="151"/>
      <x:c r="W206" s="151"/>
      <x:c r="X206" s="146"/>
      <x:c r="Y206" s="146"/>
      <x:c r="Z206" s="146"/>
      <x:c r="AA206" s="146"/>
      <x:c r="AB206" s="146"/>
      <x:c r="AC206" s="146"/>
      <x:c r="AD206" s="146"/>
      <x:c r="AE206" s="146"/>
      <x:c r="AF206" s="154" t="str">
        <x:f>IF(X206="","PENDING",IF(X206="exclude","DONE",IF(COUNTA(Y206:AC206)=5,"DONE","INCOMPLETE")))</x:f>
        <x:v>PENDING</x:v>
      </x:c>
    </x:row>
    <x:row r="207">
      <x:c r="A207" s="151" t="str">
        <x:v>code</x:v>
      </x:c>
      <x:c r="B207" s="151" t="str">
        <x:v>SV-0237</x:v>
      </x:c>
      <x:c r="C207" s="151" t="str">
        <x:v>PC-05139</x:v>
      </x:c>
      <x:c r="D207" s="151" t="str">
        <x:v>en|both</x:v>
      </x:c>
      <x:c r="E207" s="151" t="n">
        <x:v>19.069444444444443</x:v>
      </x:c>
      <x:c r="F207" s="151" t="str">
        <x:v>Sveriges Riksbank (e-krona)</x:v>
      </x:c>
      <x:c r="G207" s="151" t="str">
        <x:v>Like cash, an e-krona is a direct claim on the Riksbank, and both a means of payment and a 
form of savings.</x:v>
      </x:c>
      <x:c r="H207" s="151" t="str">
        <x:v>keep</x:v>
      </x:c>
      <x:c r="I207" s="151" t="str">
        <x:v>keep</x:v>
      </x:c>
      <x:c r="J207" s="151" t="str">
        <x:v>STAB.disintermediation</x:v>
      </x:c>
      <x:c r="K207" s="151" t="str">
        <x:v>CASH.relation</x:v>
      </x:c>
      <x:c r="L207" s="151" t="str">
        <x:v>STAB</x:v>
      </x:c>
      <x:c r="M207" s="151" t="str">
        <x:v>CASH</x:v>
      </x:c>
      <x:c r="N207" s="151" t="str">
        <x:v>proposal</x:v>
      </x:c>
      <x:c r="O207" s="151" t="str">
        <x:v>proposal</x:v>
      </x:c>
      <x:c r="P207" s="151" t="str">
        <x:v>neutral</x:v>
      </x:c>
      <x:c r="Q207" s="151" t="str">
        <x:v>neutral</x:v>
      </x:c>
      <x:c r="R207" s="151" t="str">
        <x:v>not_applicable</x:v>
      </x:c>
      <x:c r="S207" s="151" t="str">
        <x:v>not_applicable</x:v>
      </x:c>
      <x:c r="T207" s="151" t="n">
        <x:v>2</x:v>
      </x:c>
      <x:c r="U207" s="151" t="n">
        <x:v>2</x:v>
      </x:c>
      <x:c r="V207" s="151"/>
      <x:c r="W207" s="151"/>
      <x:c r="X207" s="146"/>
      <x:c r="Y207" s="146"/>
      <x:c r="Z207" s="146"/>
      <x:c r="AA207" s="146"/>
      <x:c r="AB207" s="146"/>
      <x:c r="AC207" s="146"/>
      <x:c r="AD207" s="146"/>
      <x:c r="AE207" s="146"/>
      <x:c r="AF207" s="154" t="str">
        <x:f>IF(X207="","PENDING",IF(X207="exclude","DONE",IF(COUNTA(Y207:AC207)=5,"DONE","INCOMPLETE")))</x:f>
        <x:v>PENDING</x:v>
      </x:c>
    </x:row>
    <x:row r="208">
      <x:c r="A208" s="151" t="str">
        <x:v>inclusion</x:v>
      </x:c>
      <x:c r="B208" s="151" t="str">
        <x:v>SV-0238</x:v>
      </x:c>
      <x:c r="C208" s="151" t="str">
        <x:v>PC-01369</x:v>
      </x:c>
      <x:c r="D208" s="151" t="str">
        <x:v>es|claude_only</x:v>
      </x:c>
      <x:c r="E208" s="151" t="n">
        <x:v>21.5</x:v>
      </x:c>
      <x:c r="F208" s="151" t="str">
        <x:v>Banco de Espana</x:v>
      </x:c>
      <x:c r="G208" s="151" t="str">
        <x:v>la experimentación a desarrollar se centre, principalmente, en dos dimensiones: (i) 
probar la integración de una CBDC mayorista con la liquidación de activos financieros, y 
(ii) proporcionar evidencias prácticas acerca de las posibles ventajas y desventajas de la 
introducción de una CBDC mayorista respecto a procesos, procedimientos e 
infraestructuras tradicionales;</x:v>
      </x:c>
      <x:c r="H208" s="151" t="str">
        <x:v>exclude</x:v>
      </x:c>
      <x:c r="I208" s="151" t="str">
        <x:v>keep</x:v>
      </x:c>
      <x:c r="J208" s="151"/>
      <x:c r="K208" s="151" t="str">
        <x:v>SYS.design</x:v>
      </x:c>
      <x:c r="L208" s="151" t="str"/>
      <x:c r="M208" s="151" t="str">
        <x:v>SYS</x:v>
      </x:c>
      <x:c r="N208" s="151"/>
      <x:c r="O208" s="151" t="str">
        <x:v>proposal</x:v>
      </x:c>
      <x:c r="P208" s="151"/>
      <x:c r="Q208" s="151" t="str">
        <x:v>neutral</x:v>
      </x:c>
      <x:c r="R208" s="151"/>
      <x:c r="S208" s="151" t="str">
        <x:v>not_applicable</x:v>
      </x:c>
      <x:c r="T208" s="151"/>
      <x:c r="U208" s="151" t="n">
        <x:v>3</x:v>
      </x:c>
      <x:c r="V208" s="151"/>
      <x:c r="W208" s="151"/>
      <x:c r="X208" s="146"/>
      <x:c r="Y208" s="146"/>
      <x:c r="Z208" s="146"/>
      <x:c r="AA208" s="146"/>
      <x:c r="AB208" s="146"/>
      <x:c r="AC208" s="146"/>
      <x:c r="AD208" s="146"/>
      <x:c r="AE208" s="146"/>
      <x:c r="AF208" s="154" t="str">
        <x:f>IF(X208="","PENDING",IF(X208="exclude","DONE",IF(COUNTA(Y208:AC208)=5,"DONE","INCOMPLETE")))</x:f>
        <x:v>PENDING</x:v>
      </x:c>
    </x:row>
    <x:row r="209">
      <x:c r="A209" s="151" t="str">
        <x:v>inclusion</x:v>
      </x:c>
      <x:c r="B209" s="151" t="str">
        <x:v>SV-0239</x:v>
      </x:c>
      <x:c r="C209" s="151" t="str">
        <x:v>PC-01402</x:v>
      </x:c>
      <x:c r="D209" s="151" t="str">
        <x:v>en|both</x:v>
      </x:c>
      <x:c r="E209" s="151" t="n">
        <x:v>19.069444444444443</x:v>
      </x:c>
      <x:c r="F209" s="151" t="str">
        <x:v>European Central Bank / Eurosystem (digital euro)</x:v>
      </x:c>
      <x:c r="G209" s="151" t="str">
        <x:v>consumers would have access to public 
money in digital form, which would provide a high level of privacy in their everyday 
payments and ultimately increase competition in the payments market</x:v>
      </x:c>
      <x:c r="H209" s="151" t="str">
        <x:v>exclude</x:v>
      </x:c>
      <x:c r="I209" s="151" t="str">
        <x:v>keep</x:v>
      </x:c>
      <x:c r="J209" s="151"/>
      <x:c r="K209" s="151" t="str">
        <x:v>PRIV.ANON</x:v>
      </x:c>
      <x:c r="L209" s="151" t="str"/>
      <x:c r="M209" s="151" t="str">
        <x:v>PRIV</x:v>
      </x:c>
      <x:c r="N209" s="151"/>
      <x:c r="O209" s="151" t="str">
        <x:v>finding</x:v>
      </x:c>
      <x:c r="P209" s="151"/>
      <x:c r="Q209" s="151" t="str">
        <x:v>increases</x:v>
      </x:c>
      <x:c r="R209" s="151"/>
      <x:c r="S209" s="151" t="str">
        <x:v>not_applicable</x:v>
      </x:c>
      <x:c r="T209" s="151"/>
      <x:c r="U209" s="151" t="n">
        <x:v>2</x:v>
      </x:c>
      <x:c r="V209" s="151"/>
      <x:c r="W209" s="151"/>
      <x:c r="X209" s="146"/>
      <x:c r="Y209" s="146"/>
      <x:c r="Z209" s="146"/>
      <x:c r="AA209" s="146"/>
      <x:c r="AB209" s="146"/>
      <x:c r="AC209" s="146"/>
      <x:c r="AD209" s="146"/>
      <x:c r="AE209" s="146"/>
      <x:c r="AF209" s="154" t="str">
        <x:f>IF(X209="","PENDING",IF(X209="exclude","DONE",IF(COUNTA(Y209:AC209)=5,"DONE","INCOMPLETE")))</x:f>
        <x:v>PENDING</x:v>
      </x:c>
    </x:row>
    <x:row r="210">
      <x:c r="A210" s="151" t="str">
        <x:v>inclusion</x:v>
      </x:c>
      <x:c r="B210" s="151" t="str">
        <x:v>SV-0240</x:v>
      </x:c>
      <x:c r="C210" s="151" t="str">
        <x:v>PC-03687</x:v>
      </x:c>
      <x:c r="D210" s="151" t="str">
        <x:v>en|openai_only</x:v>
      </x:c>
      <x:c r="E210" s="151" t="n">
        <x:v>19.21875</x:v>
      </x:c>
      <x:c r="F210" s="151" t="str">
        <x:v>Bank of Japan</x:v>
      </x:c>
      <x:c r="G210" s="151" t="str">
        <x:v>One possible strategy for mitigating the impact of record locking is “record splitting,” where 
the account -balance data recorded in the CBDC ledger are split into multiple parts.</x:v>
      </x:c>
      <x:c r="H210" s="151" t="str">
        <x:v>keep</x:v>
      </x:c>
      <x:c r="I210" s="151" t="str">
        <x:v>exclude</x:v>
      </x:c>
      <x:c r="J210" s="151" t="str">
        <x:v>SYS.design</x:v>
      </x:c>
      <x:c r="K210" s="151"/>
      <x:c r="L210" s="151" t="str">
        <x:v>SYS</x:v>
      </x:c>
      <x:c r="M210" s="151" t="str"/>
      <x:c r="N210" s="151" t="str">
        <x:v>proposal</x:v>
      </x:c>
      <x:c r="O210" s="151"/>
      <x:c r="P210" s="151" t="str">
        <x:v>neutral</x:v>
      </x:c>
      <x:c r="Q210" s="151"/>
      <x:c r="R210" s="151" t="str">
        <x:v>not_applicable</x:v>
      </x:c>
      <x:c r="S210" s="151"/>
      <x:c r="T210" s="151" t="n">
        <x:v>2</x:v>
      </x:c>
      <x:c r="U210" s="151"/>
      <x:c r="V210" s="151"/>
      <x:c r="W210" s="151"/>
      <x:c r="X210" s="146"/>
      <x:c r="Y210" s="146"/>
      <x:c r="Z210" s="146"/>
      <x:c r="AA210" s="146"/>
      <x:c r="AB210" s="146"/>
      <x:c r="AC210" s="146"/>
      <x:c r="AD210" s="146"/>
      <x:c r="AE210" s="146"/>
      <x:c r="AF210" s="154" t="str">
        <x:f>IF(X210="","PENDING",IF(X210="exclude","DONE",IF(COUNTA(Y210:AC210)=5,"DONE","INCOMPLETE")))</x:f>
        <x:v>PENDING</x:v>
      </x:c>
    </x:row>
    <x:row r="211">
      <x:c r="A211" s="151" t="str">
        <x:v>strength</x:v>
      </x:c>
      <x:c r="B211" s="151" t="str">
        <x:v>SV-0241</x:v>
      </x:c>
      <x:c r="C211" s="151" t="str">
        <x:v>PC-00606</x:v>
      </x:c>
      <x:c r="D211" s="151" t="str">
        <x:v>en|both</x:v>
      </x:c>
      <x:c r="E211" s="151" t="n">
        <x:v>19.069444444444443</x:v>
      </x:c>
      <x:c r="F211" s="151" t="str">
        <x:v>Central Bank of The Bahamas (Sand Dollar)</x:v>
      </x:c>
      <x:c r="G211" s="151" t="str">
        <x:v>Deposits can be made 
by account holder and 
3rd parties, but 
withdrawals must be 
made by account holder 
only.</x:v>
      </x:c>
      <x:c r="H211" s="151" t="str">
        <x:v>keep</x:v>
      </x:c>
      <x:c r="I211" s="151" t="str">
        <x:v>keep</x:v>
      </x:c>
      <x:c r="J211" s="151" t="str">
        <x:v>SYS.design</x:v>
      </x:c>
      <x:c r="K211" s="151" t="str">
        <x:v>SYS.design</x:v>
      </x:c>
      <x:c r="L211" s="151" t="str">
        <x:v>SYS</x:v>
      </x:c>
      <x:c r="M211" s="151" t="str">
        <x:v>SYS</x:v>
      </x:c>
      <x:c r="N211" s="151" t="str">
        <x:v>decision</x:v>
      </x:c>
      <x:c r="O211" s="151" t="str">
        <x:v>decision</x:v>
      </x:c>
      <x:c r="P211" s="151" t="str">
        <x:v>neutral</x:v>
      </x:c>
      <x:c r="Q211" s="151" t="str">
        <x:v>neutral</x:v>
      </x:c>
      <x:c r="R211" s="151" t="str">
        <x:v>not_applicable</x:v>
      </x:c>
      <x:c r="S211" s="151" t="str">
        <x:v>not_applicable</x:v>
      </x:c>
      <x:c r="T211" s="151" t="n">
        <x:v>3</x:v>
      </x:c>
      <x:c r="U211" s="151" t="n">
        <x:v>2</x:v>
      </x:c>
      <x:c r="V211" s="151"/>
      <x:c r="W211" s="151"/>
      <x:c r="X211" s="146"/>
      <x:c r="Y211" s="146"/>
      <x:c r="Z211" s="146"/>
      <x:c r="AA211" s="146"/>
      <x:c r="AB211" s="146"/>
      <x:c r="AC211" s="146"/>
      <x:c r="AD211" s="146"/>
      <x:c r="AE211" s="146"/>
      <x:c r="AF211" s="154" t="str">
        <x:f>IF(X211="","PENDING",IF(X211="exclude","DONE",IF(COUNTA(Y211:AC211)=5,"DONE","INCOMPLETE")))</x:f>
        <x:v>PENDING</x:v>
      </x:c>
    </x:row>
    <x:row r="212">
      <x:c r="A212" s="151" t="str">
        <x:v>strength</x:v>
      </x:c>
      <x:c r="B212" s="151" t="str">
        <x:v>SV-0242</x:v>
      </x:c>
      <x:c r="C212" s="151" t="str">
        <x:v>PC-00859</x:v>
      </x:c>
      <x:c r="D212" s="151" t="str">
        <x:v>en|both</x:v>
      </x:c>
      <x:c r="E212" s="151" t="n">
        <x:v>19.069444444444443</x:v>
      </x:c>
      <x:c r="F212" s="151" t="str">
        <x:v>Bank of Canada and Payments Canada (Project Jasper)</x:v>
      </x:c>
      <x:c r="G212" s="151" t="str">
        <x:v>The positions are 
ordered by the International Securities Identification Number (ISIN) and then by 
decreasing value. The process tries to settle each of these positions in order, 
skipping any position where a counterparty has insufficient cash or equity DDR 
for that ISIN on-ledger.</x:v>
      </x:c>
      <x:c r="H212" s="151" t="str">
        <x:v>keep</x:v>
      </x:c>
      <x:c r="I212" s="151" t="str">
        <x:v>keep</x:v>
      </x:c>
      <x:c r="J212" s="151" t="str">
        <x:v>SYS.design</x:v>
      </x:c>
      <x:c r="K212" s="151" t="str">
        <x:v>SYS.design</x:v>
      </x:c>
      <x:c r="L212" s="151" t="str">
        <x:v>SYS</x:v>
      </x:c>
      <x:c r="M212" s="151" t="str">
        <x:v>SYS</x:v>
      </x:c>
      <x:c r="N212" s="151" t="str">
        <x:v>decision</x:v>
      </x:c>
      <x:c r="O212" s="151" t="str">
        <x:v>decision</x:v>
      </x:c>
      <x:c r="P212" s="151" t="str">
        <x:v>neutral</x:v>
      </x:c>
      <x:c r="Q212" s="151" t="str">
        <x:v>neutral</x:v>
      </x:c>
      <x:c r="R212" s="151" t="str">
        <x:v>not_applicable</x:v>
      </x:c>
      <x:c r="S212" s="151" t="str">
        <x:v>not_applicable</x:v>
      </x:c>
      <x:c r="T212" s="151" t="n">
        <x:v>3</x:v>
      </x:c>
      <x:c r="U212" s="151" t="n">
        <x:v>2</x:v>
      </x:c>
      <x:c r="V212" s="151"/>
      <x:c r="W212" s="151"/>
      <x:c r="X212" s="146"/>
      <x:c r="Y212" s="146"/>
      <x:c r="Z212" s="146"/>
      <x:c r="AA212" s="146"/>
      <x:c r="AB212" s="146"/>
      <x:c r="AC212" s="146"/>
      <x:c r="AD212" s="146"/>
      <x:c r="AE212" s="146"/>
      <x:c r="AF212" s="154" t="str">
        <x:f>IF(X212="","PENDING",IF(X212="exclude","DONE",IF(COUNTA(Y212:AC212)=5,"DONE","INCOMPLETE")))</x:f>
        <x:v>PENDING</x:v>
      </x:c>
    </x:row>
    <x:row r="213">
      <x:c r="A213" s="151" t="str">
        <x:v>code</x:v>
      </x:c>
      <x:c r="B213" s="151" t="str">
        <x:v>SV-0243</x:v>
      </x:c>
      <x:c r="C213" s="151" t="str">
        <x:v>PC-05453</x:v>
      </x:c>
      <x:c r="D213" s="151" t="str">
        <x:v>en|both</x:v>
      </x:c>
      <x:c r="E213" s="151" t="n">
        <x:v>19.069444444444443</x:v>
      </x:c>
      <x:c r="F213" s="151" t="str">
        <x:v>Central Bank of Eswatini (Digital Lilangeni)</x:v>
      </x:c>
      <x:c r="G213" s="151" t="str">
        <x:v>An important insight that the CBE gained from this test process was an understanding 
of the requirements as well as limitations of consecutive offline payments. While 
multiple offline transactions can be completed with a smart card, it was realised that at 
some point the smart card needs to go online to reconcile the transaction history and 
“clean up” the card.</x:v>
      </x:c>
      <x:c r="H213" s="151" t="str">
        <x:v>keep</x:v>
      </x:c>
      <x:c r="I213" s="151" t="str">
        <x:v>keep</x:v>
      </x:c>
      <x:c r="J213" s="151" t="str">
        <x:v>OPS.resilience</x:v>
      </x:c>
      <x:c r="K213" s="151" t="str">
        <x:v>PROC.pilot_learning</x:v>
      </x:c>
      <x:c r="L213" s="151" t="str">
        <x:v>OPS</x:v>
      </x:c>
      <x:c r="M213" s="151" t="str">
        <x:v>PROC</x:v>
      </x:c>
      <x:c r="N213" s="151" t="str">
        <x:v>finding</x:v>
      </x:c>
      <x:c r="O213" s="151" t="str">
        <x:v>finding</x:v>
      </x:c>
      <x:c r="P213" s="151" t="str">
        <x:v>neutral</x:v>
      </x:c>
      <x:c r="Q213" s="151" t="str">
        <x:v>neutral</x:v>
      </x:c>
      <x:c r="R213" s="151" t="str">
        <x:v>not_applicable</x:v>
      </x:c>
      <x:c r="S213" s="151" t="str">
        <x:v>not_applicable</x:v>
      </x:c>
      <x:c r="T213" s="151" t="n">
        <x:v>3</x:v>
      </x:c>
      <x:c r="U213" s="151" t="n">
        <x:v>3</x:v>
      </x:c>
      <x:c r="V213" s="151"/>
      <x:c r="W213" s="151"/>
      <x:c r="X213" s="146"/>
      <x:c r="Y213" s="146"/>
      <x:c r="Z213" s="146"/>
      <x:c r="AA213" s="146"/>
      <x:c r="AB213" s="146"/>
      <x:c r="AC213" s="146"/>
      <x:c r="AD213" s="146"/>
      <x:c r="AE213" s="146"/>
      <x:c r="AF213" s="154" t="str">
        <x:f>IF(X213="","PENDING",IF(X213="exclude","DONE",IF(COUNTA(Y213:AC213)=5,"DONE","INCOMPLETE")))</x:f>
        <x:v>PENDING</x:v>
      </x:c>
    </x:row>
    <x:row r="214">
      <x:c r="A214" s="151" t="str">
        <x:v>code|strength</x:v>
      </x:c>
      <x:c r="B214" s="151" t="str">
        <x:v>SV-0244</x:v>
      </x:c>
      <x:c r="C214" s="151" t="str">
        <x:v>PC-02134</x:v>
      </x:c>
      <x:c r="D214" s="151" t="str">
        <x:v>en|both</x:v>
      </x:c>
      <x:c r="E214" s="151" t="n">
        <x:v>19.069444444444443</x:v>
      </x:c>
      <x:c r="F214" s="151" t="str">
        <x:v>Hong Kong Monetary Authority (e-HKD)</x:v>
      </x:c>
      <x:c r="G214" s="151" t="str">
        <x:v>In comparing the Banknote approach with the Coins approach, the HKMA is inclined 
towards the Coins approach under which e-HKD would be solely issued by one single 
authority, but would still have the advantage of tasking agent banks to handle all 
customer-facing activities relating to the distribution of e-HKD.</x:v>
      </x:c>
      <x:c r="H214" s="151" t="str">
        <x:v>keep</x:v>
      </x:c>
      <x:c r="I214" s="151" t="str">
        <x:v>keep</x:v>
      </x:c>
      <x:c r="J214" s="151" t="str">
        <x:v>SYS.design</x:v>
      </x:c>
      <x:c r="K214" s="151" t="str">
        <x:v>INTEROP.domestic</x:v>
      </x:c>
      <x:c r="L214" s="151" t="str">
        <x:v>SYS</x:v>
      </x:c>
      <x:c r="M214" s="151" t="str">
        <x:v>INTEROP</x:v>
      </x:c>
      <x:c r="N214" s="151" t="str">
        <x:v>proposal</x:v>
      </x:c>
      <x:c r="O214" s="151" t="str">
        <x:v>proposal</x:v>
      </x:c>
      <x:c r="P214" s="151" t="str">
        <x:v>neutral</x:v>
      </x:c>
      <x:c r="Q214" s="151" t="str">
        <x:v>neutral</x:v>
      </x:c>
      <x:c r="R214" s="151" t="str">
        <x:v>not_applicable</x:v>
      </x:c>
      <x:c r="S214" s="151" t="str">
        <x:v>not_applicable</x:v>
      </x:c>
      <x:c r="T214" s="151" t="n">
        <x:v>3</x:v>
      </x:c>
      <x:c r="U214" s="151" t="n">
        <x:v>2</x:v>
      </x:c>
      <x:c r="V214" s="151"/>
      <x:c r="W214" s="151"/>
      <x:c r="X214" s="146"/>
      <x:c r="Y214" s="146"/>
      <x:c r="Z214" s="146"/>
      <x:c r="AA214" s="146"/>
      <x:c r="AB214" s="146"/>
      <x:c r="AC214" s="146"/>
      <x:c r="AD214" s="146"/>
      <x:c r="AE214" s="146"/>
      <x:c r="AF214" s="154" t="str">
        <x:f>IF(X214="","PENDING",IF(X214="exclude","DONE",IF(COUNTA(Y214:AC214)=5,"DONE","INCOMPLETE")))</x:f>
        <x:v>PENDING</x:v>
      </x:c>
    </x:row>
    <x:row r="215">
      <x:c r="A215" s="151" t="str">
        <x:v>inclusion</x:v>
      </x:c>
      <x:c r="B215" s="151" t="str">
        <x:v>SV-0245</x:v>
      </x:c>
      <x:c r="C215" s="151" t="str">
        <x:v>PC-05465</x:v>
      </x:c>
      <x:c r="D215" s="151" t="str">
        <x:v>en|claude_only</x:v>
      </x:c>
      <x:c r="E215" s="151" t="n">
        <x:v>19.375</x:v>
      </x:c>
      <x:c r="F215" s="151" t="str">
        <x:v>Central Bank of Eswatini (Digital Lilangeni)</x:v>
      </x:c>
      <x:c r="G215" s="151" t="str">
        <x:v>The integration of Digital Lilangeni into the USS D system can also serve 
as a significant driver for financial inclusion.</x:v>
      </x:c>
      <x:c r="H215" s="151" t="str">
        <x:v>exclude</x:v>
      </x:c>
      <x:c r="I215" s="151" t="str">
        <x:v>keep</x:v>
      </x:c>
      <x:c r="J215" s="151"/>
      <x:c r="K215" s="151" t="str">
        <x:v>ACCESS.universal</x:v>
      </x:c>
      <x:c r="L215" s="151" t="str"/>
      <x:c r="M215" s="151" t="str">
        <x:v>ACCESS</x:v>
      </x:c>
      <x:c r="N215" s="151"/>
      <x:c r="O215" s="151" t="str">
        <x:v>proposal</x:v>
      </x:c>
      <x:c r="P215" s="151"/>
      <x:c r="Q215" s="151" t="str">
        <x:v>neutral</x:v>
      </x:c>
      <x:c r="R215" s="151"/>
      <x:c r="S215" s="151" t="str">
        <x:v>not_applicable</x:v>
      </x:c>
      <x:c r="T215" s="151"/>
      <x:c r="U215" s="151" t="n">
        <x:v>2</x:v>
      </x:c>
      <x:c r="V215" s="151"/>
      <x:c r="W215" s="151"/>
      <x:c r="X215" s="146"/>
      <x:c r="Y215" s="146"/>
      <x:c r="Z215" s="146"/>
      <x:c r="AA215" s="146"/>
      <x:c r="AB215" s="146"/>
      <x:c r="AC215" s="146"/>
      <x:c r="AD215" s="146"/>
      <x:c r="AE215" s="146"/>
      <x:c r="AF215" s="154" t="str">
        <x:f>IF(X215="","PENDING",IF(X215="exclude","DONE",IF(COUNTA(Y215:AC215)=5,"DONE","INCOMPLETE")))</x:f>
        <x:v>PENDING</x:v>
      </x:c>
    </x:row>
    <x:row r="216">
      <x:c r="A216" s="151" t="str">
        <x:v>odr</x:v>
      </x:c>
      <x:c r="B216" s="151" t="str">
        <x:v>SV-0246</x:v>
      </x:c>
      <x:c r="C216" s="151" t="str">
        <x:v>PC-02381</x:v>
      </x:c>
      <x:c r="D216" s="151" t="str">
        <x:v>en|both</x:v>
      </x:c>
      <x:c r="E216" s="151" t="n">
        <x:v>19.069444444444443</x:v>
      </x:c>
      <x:c r="F216" s="151" t="str">
        <x:v>Bank Indonesia (Digital Rupiah)</x:v>
      </x:c>
      <x:c r="G216" s="151" t="str">
        <x:v>Digital Rupiah will be designed 
to have the quality in mitigating 
those unique risks, including 
cybersecurity. Assessment and 
identification of risks will be 
done accordingly to produce 
safe, reliable, and resilient Digital 
Rupiah technology design.</x:v>
      </x:c>
      <x:c r="H216" s="151" t="str">
        <x:v>keep</x:v>
      </x:c>
      <x:c r="I216" s="151" t="str">
        <x:v>keep</x:v>
      </x:c>
      <x:c r="J216" s="151" t="str">
        <x:v>OPS.resilience</x:v>
      </x:c>
      <x:c r="K216" s="151" t="str">
        <x:v>OPS.resilience</x:v>
      </x:c>
      <x:c r="L216" s="151" t="str">
        <x:v>OPS</x:v>
      </x:c>
      <x:c r="M216" s="151" t="str">
        <x:v>OPS</x:v>
      </x:c>
      <x:c r="N216" s="151" t="str">
        <x:v>finding</x:v>
      </x:c>
      <x:c r="O216" s="151" t="str">
        <x:v>decision</x:v>
      </x:c>
      <x:c r="P216" s="151" t="str">
        <x:v>neutral</x:v>
      </x:c>
      <x:c r="Q216" s="151" t="str">
        <x:v>neutral</x:v>
      </x:c>
      <x:c r="R216" s="151" t="str">
        <x:v>not_applicable</x:v>
      </x:c>
      <x:c r="S216" s="151" t="str">
        <x:v>not_applicable</x:v>
      </x:c>
      <x:c r="T216" s="151" t="n">
        <x:v>2</x:v>
      </x:c>
      <x:c r="U216" s="151" t="n">
        <x:v>2</x:v>
      </x:c>
      <x:c r="V216" s="151"/>
      <x:c r="W216" s="151"/>
      <x:c r="X216" s="146"/>
      <x:c r="Y216" s="146"/>
      <x:c r="Z216" s="146"/>
      <x:c r="AA216" s="146"/>
      <x:c r="AB216" s="146"/>
      <x:c r="AC216" s="146"/>
      <x:c r="AD216" s="146"/>
      <x:c r="AE216" s="146"/>
      <x:c r="AF216" s="154" t="str">
        <x:f>IF(X216="","PENDING",IF(X216="exclude","DONE",IF(COUNTA(Y216:AC216)=5,"DONE","INCOMPLETE")))</x:f>
        <x:v>PENDING</x:v>
      </x:c>
    </x:row>
    <x:row r="217">
      <x:c r="A217" s="151" t="str">
        <x:v>inclusion</x:v>
      </x:c>
      <x:c r="B217" s="151" t="str">
        <x:v>SV-0248</x:v>
      </x:c>
      <x:c r="C217" s="151" t="str">
        <x:v>PC-06040</x:v>
      </x:c>
      <x:c r="D217" s="151" t="str">
        <x:v>en|openai_only</x:v>
      </x:c>
      <x:c r="E217" s="151" t="n">
        <x:v>19.21875</x:v>
      </x:c>
      <x:c r="F217" s="151" t="str">
        <x:v>Bank of England and HM Treasury (digital pound)</x:v>
      </x:c>
      <x:c r="G217" s="151" t="str">
        <x:v>Inclusive: CBDC payment systems should be designed to minimise barriers to use from (a) technical literacy, 
(b) disabilities, and (c) access to hardware (eg avoiding reliance on latest smartphones) or (d) access to mobile 
data networks (eg in rural areas).</x:v>
      </x:c>
      <x:c r="H217" s="151" t="str">
        <x:v>keep</x:v>
      </x:c>
      <x:c r="I217" s="151" t="str">
        <x:v>exclude</x:v>
      </x:c>
      <x:c r="J217" s="151" t="str">
        <x:v>ACCESS.universal</x:v>
      </x:c>
      <x:c r="K217" s="151"/>
      <x:c r="L217" s="151" t="str">
        <x:v>ACCESS</x:v>
      </x:c>
      <x:c r="M217" s="151" t="str"/>
      <x:c r="N217" s="151" t="str">
        <x:v>proposal</x:v>
      </x:c>
      <x:c r="O217" s="151"/>
      <x:c r="P217" s="151" t="str">
        <x:v>neutral</x:v>
      </x:c>
      <x:c r="Q217" s="151"/>
      <x:c r="R217" s="151" t="str">
        <x:v>not_applicable</x:v>
      </x:c>
      <x:c r="S217" s="151"/>
      <x:c r="T217" s="151" t="n">
        <x:v>3</x:v>
      </x:c>
      <x:c r="U217" s="151"/>
      <x:c r="V217" s="151"/>
      <x:c r="W217" s="151"/>
      <x:c r="X217" s="146"/>
      <x:c r="Y217" s="146"/>
      <x:c r="Z217" s="146"/>
      <x:c r="AA217" s="146"/>
      <x:c r="AB217" s="146"/>
      <x:c r="AC217" s="146"/>
      <x:c r="AD217" s="146"/>
      <x:c r="AE217" s="146"/>
      <x:c r="AF217" s="154" t="str">
        <x:f>IF(X217="","PENDING",IF(X217="exclude","DONE",IF(COUNTA(Y217:AC217)=5,"DONE","INCOMPLETE")))</x:f>
        <x:v>PENDING</x:v>
      </x:c>
    </x:row>
    <x:row r="218">
      <x:c r="A218" s="151" t="str">
        <x:v>code|odr</x:v>
      </x:c>
      <x:c r="B218" s="151" t="str">
        <x:v>SV-0251</x:v>
      </x:c>
      <x:c r="C218" s="151" t="str">
        <x:v>PC-02595</x:v>
      </x:c>
      <x:c r="D218" s="151" t="str">
        <x:v>en|both</x:v>
      </x:c>
      <x:c r="E218" s="151" t="n">
        <x:v>19.069444444444443</x:v>
      </x:c>
      <x:c r="F218" s="151" t="str">
        <x:v>Bank Indonesia (Digital Rupiah)</x:v>
      </x:c>
      <x:c r="G218" s="151" t="str">
        <x:v>R3 Corda uses a unique consensus method 
called ‘Notary,’ which acts as a central authority to 
verify the uniqueness of transactions (uniqueness 
consensus). Kaleido Hyperledger Besu uses a 
proof of authority (PoA) consensus method, where 
several validators pre-determined by participants are 
authorized to validate transactions.</x:v>
      </x:c>
      <x:c r="H218" s="151" t="str">
        <x:v>keep</x:v>
      </x:c>
      <x:c r="I218" s="151" t="str">
        <x:v>keep</x:v>
      </x:c>
      <x:c r="J218" s="151" t="str">
        <x:v>TECH.TOKEN.considered</x:v>
      </x:c>
      <x:c r="K218" s="151" t="str">
        <x:v>SYS.design</x:v>
      </x:c>
      <x:c r="L218" s="151" t="str">
        <x:v>TECH</x:v>
      </x:c>
      <x:c r="M218" s="151" t="str">
        <x:v>SYS</x:v>
      </x:c>
      <x:c r="N218" s="151" t="str">
        <x:v>decision</x:v>
      </x:c>
      <x:c r="O218" s="151" t="str">
        <x:v>finding</x:v>
      </x:c>
      <x:c r="P218" s="151" t="str">
        <x:v>neutral</x:v>
      </x:c>
      <x:c r="Q218" s="151" t="str">
        <x:v>neutral</x:v>
      </x:c>
      <x:c r="R218" s="151" t="str">
        <x:v>not_applicable</x:v>
      </x:c>
      <x:c r="S218" s="151" t="str">
        <x:v>not_applicable</x:v>
      </x:c>
      <x:c r="T218" s="151" t="n">
        <x:v>2</x:v>
      </x:c>
      <x:c r="U218" s="151" t="n">
        <x:v>2</x:v>
      </x:c>
      <x:c r="V218" s="151"/>
      <x:c r="W218" s="151"/>
      <x:c r="X218" s="146"/>
      <x:c r="Y218" s="146"/>
      <x:c r="Z218" s="146"/>
      <x:c r="AA218" s="146"/>
      <x:c r="AB218" s="146"/>
      <x:c r="AC218" s="146"/>
      <x:c r="AD218" s="146"/>
      <x:c r="AE218" s="146"/>
      <x:c r="AF218" s="154" t="str">
        <x:f>IF(X218="","PENDING",IF(X218="exclude","DONE",IF(COUNTA(Y218:AC218)=5,"DONE","INCOMPLETE")))</x:f>
        <x:v>PENDING</x:v>
      </x:c>
    </x:row>
    <x:row r="219">
      <x:c r="A219" s="151" t="str">
        <x:v>strength</x:v>
      </x:c>
      <x:c r="B219" s="151" t="str">
        <x:v>SV-0252</x:v>
      </x:c>
      <x:c r="C219" s="151" t="str">
        <x:v>PC-05103</x:v>
      </x:c>
      <x:c r="D219" s="151" t="str">
        <x:v>ru/uk|both</x:v>
      </x:c>
      <x:c r="E219" s="151" t="n">
        <x:v>20</x:v>
      </x:c>
      <x:c r="F219" s="151" t="str">
        <x:v>Bank of Russia (digital ruble)</x:v>
      </x:c>
      <x:c r="G219" s="151" t="str">
        <x:v>Для подготовки инфраструктуры участников платформы к обеспечению защиты информации 
при совершении операций с цифровыми рублями Банк России издал Положение № 833-П2, 
исполнение которого проверяется при подключении участника к платформе цифрового рубля 
в соответствии с Условиями по защите информации для участников платформы цифрового рубля, 
опубликованными на официальном сайте Банка России.</x:v>
      </x:c>
      <x:c r="H219" s="151" t="str">
        <x:v>keep</x:v>
      </x:c>
      <x:c r="I219" s="151" t="str">
        <x:v>keep</x:v>
      </x:c>
      <x:c r="J219" s="151" t="str">
        <x:v>OPS.resilience</x:v>
      </x:c>
      <x:c r="K219" s="151" t="str">
        <x:v>OPS.resilience</x:v>
      </x:c>
      <x:c r="L219" s="151" t="str">
        <x:v>OPS</x:v>
      </x:c>
      <x:c r="M219" s="151" t="str">
        <x:v>OPS</x:v>
      </x:c>
      <x:c r="N219" s="151" t="str">
        <x:v>decision</x:v>
      </x:c>
      <x:c r="O219" s="151" t="str">
        <x:v>decision</x:v>
      </x:c>
      <x:c r="P219" s="151" t="str">
        <x:v>neutral</x:v>
      </x:c>
      <x:c r="Q219" s="151" t="str">
        <x:v>neutral</x:v>
      </x:c>
      <x:c r="R219" s="151" t="str">
        <x:v>not_applicable</x:v>
      </x:c>
      <x:c r="S219" s="151" t="str">
        <x:v>not_applicable</x:v>
      </x:c>
      <x:c r="T219" s="151" t="n">
        <x:v>3</x:v>
      </x:c>
      <x:c r="U219" s="151" t="n">
        <x:v>2</x:v>
      </x:c>
      <x:c r="V219" s="151"/>
      <x:c r="W219" s="151"/>
      <x:c r="X219" s="146"/>
      <x:c r="Y219" s="146"/>
      <x:c r="Z219" s="146"/>
      <x:c r="AA219" s="146"/>
      <x:c r="AB219" s="146"/>
      <x:c r="AC219" s="146"/>
      <x:c r="AD219" s="146"/>
      <x:c r="AE219" s="146"/>
      <x:c r="AF219" s="154" t="str">
        <x:f>IF(X219="","PENDING",IF(X219="exclude","DONE",IF(COUNTA(Y219:AC219)=5,"DONE","INCOMPLETE")))</x:f>
        <x:v>PENDING</x:v>
      </x:c>
    </x:row>
    <x:row r="220">
      <x:c r="A220" s="151" t="str">
        <x:v>odr</x:v>
      </x:c>
      <x:c r="B220" s="151" t="str">
        <x:v>SV-0253</x:v>
      </x:c>
      <x:c r="C220" s="151" t="str">
        <x:v>PC-02996</x:v>
      </x:c>
      <x:c r="D220" s="151" t="str">
        <x:v>en|both</x:v>
      </x:c>
      <x:c r="E220" s="151" t="n">
        <x:v>19.069444444444443</x:v>
      </x:c>
      <x:c r="F220" s="151" t="str">
        <x:v>Bank of Israel (digital shekel)</x:v>
      </x:c>
      <x:c r="G220" s="151" t="str">
        <x:v>Expanding accessibility to these areas increases the usability and certainty of using 
the digital shekel  for the entire potential user population, enhancing its 
attractiveness.</x:v>
      </x:c>
      <x:c r="H220" s="151" t="str">
        <x:v>keep</x:v>
      </x:c>
      <x:c r="I220" s="151" t="str">
        <x:v>keep</x:v>
      </x:c>
      <x:c r="J220" s="151" t="str">
        <x:v>ADOPT.experience</x:v>
      </x:c>
      <x:c r="K220" s="151" t="str">
        <x:v>ADOPT.experience</x:v>
      </x:c>
      <x:c r="L220" s="151" t="str">
        <x:v>ADOPT</x:v>
      </x:c>
      <x:c r="M220" s="151" t="str">
        <x:v>ADOPT</x:v>
      </x:c>
      <x:c r="N220" s="151" t="str">
        <x:v>proposal</x:v>
      </x:c>
      <x:c r="O220" s="151" t="str">
        <x:v>finding</x:v>
      </x:c>
      <x:c r="P220" s="151" t="str">
        <x:v>neutral</x:v>
      </x:c>
      <x:c r="Q220" s="151" t="str">
        <x:v>neutral</x:v>
      </x:c>
      <x:c r="R220" s="151" t="str">
        <x:v>not_applicable</x:v>
      </x:c>
      <x:c r="S220" s="151" t="str">
        <x:v>not_applicable</x:v>
      </x:c>
      <x:c r="T220" s="151" t="n">
        <x:v>2</x:v>
      </x:c>
      <x:c r="U220" s="151" t="n">
        <x:v>2</x:v>
      </x:c>
      <x:c r="V220" s="151"/>
      <x:c r="W220" s="151" t="str">
        <x:v>x</x:v>
      </x:c>
      <x:c r="X220" s="146"/>
      <x:c r="Y220" s="146"/>
      <x:c r="Z220" s="146"/>
      <x:c r="AA220" s="146"/>
      <x:c r="AB220" s="146"/>
      <x:c r="AC220" s="146"/>
      <x:c r="AD220" s="146"/>
      <x:c r="AE220" s="146"/>
      <x:c r="AF220" s="154" t="str">
        <x:f>IF(X220="","PENDING",IF(X220="exclude","DONE",IF(COUNTA(Y220:AC220)=5,"DONE","INCOMPLETE")))</x:f>
        <x:v>PENDING</x:v>
      </x:c>
    </x:row>
    <x:row r="221">
      <x:c r="A221" s="151" t="str">
        <x:v>strength</x:v>
      </x:c>
      <x:c r="B221" s="151" t="str">
        <x:v>SV-0256</x:v>
      </x:c>
      <x:c r="C221" s="151" t="str">
        <x:v>PC-00461</x:v>
      </x:c>
      <x:c r="D221" s="151" t="str">
        <x:v>es|both</x:v>
      </x:c>
      <x:c r="E221" s="151" t="n">
        <x:v>26.5</x:v>
      </x:c>
      <x:c r="F221" s="151" t="str">
        <x:v>Banco Central de Bolivia (Boliviano Digital)</x:v>
      </x:c>
      <x:c r="G221" s="151" t="str">
        <x:v>Esta arquitectura deberá 
garantizar la continuidad operativa a toda hora, todos los días con latencias mínimas y 
tolerancia a ataques de denegación de servicio o accesos no autorizados.</x:v>
      </x:c>
      <x:c r="H221" s="151" t="str">
        <x:v>keep</x:v>
      </x:c>
      <x:c r="I221" s="151" t="str">
        <x:v>keep</x:v>
      </x:c>
      <x:c r="J221" s="151" t="str">
        <x:v>OPS.resilience</x:v>
      </x:c>
      <x:c r="K221" s="151" t="str">
        <x:v>OPS.resilience</x:v>
      </x:c>
      <x:c r="L221" s="151" t="str">
        <x:v>OPS</x:v>
      </x:c>
      <x:c r="M221" s="151" t="str">
        <x:v>OPS</x:v>
      </x:c>
      <x:c r="N221" s="151" t="str">
        <x:v>proposal</x:v>
      </x:c>
      <x:c r="O221" s="151" t="str">
        <x:v>proposal</x:v>
      </x:c>
      <x:c r="P221" s="151" t="str">
        <x:v>neutral</x:v>
      </x:c>
      <x:c r="Q221" s="151" t="str">
        <x:v>neutral</x:v>
      </x:c>
      <x:c r="R221" s="151" t="str">
        <x:v>not_applicable</x:v>
      </x:c>
      <x:c r="S221" s="151" t="str">
        <x:v>not_applicable</x:v>
      </x:c>
      <x:c r="T221" s="151" t="n">
        <x:v>3</x:v>
      </x:c>
      <x:c r="U221" s="151" t="n">
        <x:v>2</x:v>
      </x:c>
      <x:c r="V221" s="151"/>
      <x:c r="W221" s="151"/>
      <x:c r="X221" s="146"/>
      <x:c r="Y221" s="146"/>
      <x:c r="Z221" s="146"/>
      <x:c r="AA221" s="146"/>
      <x:c r="AB221" s="146"/>
      <x:c r="AC221" s="146"/>
      <x:c r="AD221" s="146"/>
      <x:c r="AE221" s="146"/>
      <x:c r="AF221" s="154" t="str">
        <x:f>IF(X221="","PENDING",IF(X221="exclude","DONE",IF(COUNTA(Y221:AC221)=5,"DONE","INCOMPLETE")))</x:f>
        <x:v>PENDING</x:v>
      </x:c>
    </x:row>
    <x:row r="222">
      <x:c r="A222" s="151" t="str">
        <x:v>strength</x:v>
      </x:c>
      <x:c r="B222" s="151" t="str">
        <x:v>SV-0257</x:v>
      </x:c>
      <x:c r="C222" s="151" t="str">
        <x:v>PC-04015</x:v>
      </x:c>
      <x:c r="D222" s="151" t="str">
        <x:v>en|both</x:v>
      </x:c>
      <x:c r="E222" s="151" t="n">
        <x:v>19.069444444444443</x:v>
      </x:c>
      <x:c r="F222" s="151" t="str">
        <x:v>Monetary Authority of Macao (e-MOP)</x:v>
      </x:c>
      <x:c r="G222" s="151" t="str">
        <x:v>the AMCM will prioritise initiating trials of cross-
border payments between Macao and the Mainland in the In-Depth 
Cooperation Zone.  This endeavour aims to explore the use of e-MOP 
in Hengqin, creating a financial environment facilitating Macao 
residents to live and work in the In-Depth Cooperation Zone.</x:v>
      </x:c>
      <x:c r="H222" s="151" t="str">
        <x:v>keep</x:v>
      </x:c>
      <x:c r="I222" s="151" t="str">
        <x:v>keep</x:v>
      </x:c>
      <x:c r="J222" s="151" t="str">
        <x:v>INTEROP.crossborder</x:v>
      </x:c>
      <x:c r="K222" s="151" t="str">
        <x:v>INTEROP.crossborder</x:v>
      </x:c>
      <x:c r="L222" s="151" t="str">
        <x:v>INTEROP</x:v>
      </x:c>
      <x:c r="M222" s="151" t="str">
        <x:v>INTEROP</x:v>
      </x:c>
      <x:c r="N222" s="151" t="str">
        <x:v>proposal</x:v>
      </x:c>
      <x:c r="O222" s="151" t="str">
        <x:v>proposal</x:v>
      </x:c>
      <x:c r="P222" s="151" t="str">
        <x:v>neutral</x:v>
      </x:c>
      <x:c r="Q222" s="151" t="str">
        <x:v>neutral</x:v>
      </x:c>
      <x:c r="R222" s="151" t="str">
        <x:v>not_applicable</x:v>
      </x:c>
      <x:c r="S222" s="151" t="str">
        <x:v>not_applicable</x:v>
      </x:c>
      <x:c r="T222" s="151" t="n">
        <x:v>3</x:v>
      </x:c>
      <x:c r="U222" s="151" t="n">
        <x:v>2</x:v>
      </x:c>
      <x:c r="V222" s="151"/>
      <x:c r="W222" s="151"/>
      <x:c r="X222" s="146"/>
      <x:c r="Y222" s="146"/>
      <x:c r="Z222" s="146"/>
      <x:c r="AA222" s="146"/>
      <x:c r="AB222" s="146"/>
      <x:c r="AC222" s="146"/>
      <x:c r="AD222" s="146"/>
      <x:c r="AE222" s="146"/>
      <x:c r="AF222" s="154" t="str">
        <x:f>IF(X222="","PENDING",IF(X222="exclude","DONE",IF(COUNTA(Y222:AC222)=5,"DONE","INCOMPLETE")))</x:f>
        <x:v>PENDING</x:v>
      </x:c>
    </x:row>
    <x:row r="223">
      <x:c r="A223" s="151" t="str">
        <x:v>inclusion</x:v>
      </x:c>
      <x:c r="B223" s="151" t="str">
        <x:v>SV-0259</x:v>
      </x:c>
      <x:c r="C223" s="151" t="str">
        <x:v>PC-02158</x:v>
      </x:c>
      <x:c r="D223" s="151" t="str">
        <x:v>en|claude_only</x:v>
      </x:c>
      <x:c r="E223" s="151" t="n">
        <x:v>19.375</x:v>
      </x:c>
      <x:c r="F223" s="151" t="str">
        <x:v>Magyar Nemzeti Bank (Student Safe / retail CBDC pilot context)</x:v>
      </x:c>
      <x:c r="G223" s="151" t="str">
        <x:v>The MNB learns and gathers experience through fully fledged tests, involving real consumers.</x:v>
      </x:c>
      <x:c r="H223" s="151" t="str">
        <x:v>exclude</x:v>
      </x:c>
      <x:c r="I223" s="151" t="str">
        <x:v>keep</x:v>
      </x:c>
      <x:c r="J223" s="151"/>
      <x:c r="K223" s="151" t="str">
        <x:v>SYS.design</x:v>
      </x:c>
      <x:c r="L223" s="151" t="str"/>
      <x:c r="M223" s="151" t="str">
        <x:v>SYS</x:v>
      </x:c>
      <x:c r="N223" s="151"/>
      <x:c r="O223" s="151" t="str">
        <x:v>decision</x:v>
      </x:c>
      <x:c r="P223" s="151"/>
      <x:c r="Q223" s="151" t="str">
        <x:v>neutral</x:v>
      </x:c>
      <x:c r="R223" s="151"/>
      <x:c r="S223" s="151" t="str">
        <x:v>not_applicable</x:v>
      </x:c>
      <x:c r="T223" s="151"/>
      <x:c r="U223" s="151" t="n">
        <x:v>2</x:v>
      </x:c>
      <x:c r="V223" s="151"/>
      <x:c r="W223" s="151"/>
      <x:c r="X223" s="146"/>
      <x:c r="Y223" s="146"/>
      <x:c r="Z223" s="146"/>
      <x:c r="AA223" s="146"/>
      <x:c r="AB223" s="146"/>
      <x:c r="AC223" s="146"/>
      <x:c r="AD223" s="146"/>
      <x:c r="AE223" s="146"/>
      <x:c r="AF223" s="154" t="str">
        <x:f>IF(X223="","PENDING",IF(X223="exclude","DONE",IF(COUNTA(Y223:AC223)=5,"DONE","INCOMPLETE")))</x:f>
        <x:v>PENDING</x:v>
      </x:c>
    </x:row>
    <x:row r="224">
      <x:c r="A224" s="151" t="str">
        <x:v>inclusion</x:v>
      </x:c>
      <x:c r="B224" s="151" t="str">
        <x:v>SV-0260</x:v>
      </x:c>
      <x:c r="C224" s="151" t="str">
        <x:v>PC-05233</x:v>
      </x:c>
      <x:c r="D224" s="151" t="str">
        <x:v>en|claude_only</x:v>
      </x:c>
      <x:c r="E224" s="151" t="n">
        <x:v>19.375</x:v>
      </x:c>
      <x:c r="F224" s="151" t="str">
        <x:v>Sveriges Riksbank</x:v>
      </x:c>
      <x:c r="G224" s="151" t="str">
        <x:v>By the Riksbank requiring participants in RIX-INST to accept more 
types of instant payments from the autumn of 2024, users in Sweden can have 
greater choice.</x:v>
      </x:c>
      <x:c r="H224" s="151" t="str">
        <x:v>exclude</x:v>
      </x:c>
      <x:c r="I224" s="151" t="str">
        <x:v>keep</x:v>
      </x:c>
      <x:c r="J224" s="151"/>
      <x:c r="K224" s="151" t="str">
        <x:v>SYS.design</x:v>
      </x:c>
      <x:c r="L224" s="151" t="str"/>
      <x:c r="M224" s="151" t="str">
        <x:v>SYS</x:v>
      </x:c>
      <x:c r="N224" s="151"/>
      <x:c r="O224" s="151" t="str">
        <x:v>decision</x:v>
      </x:c>
      <x:c r="P224" s="151"/>
      <x:c r="Q224" s="151" t="str">
        <x:v>neutral</x:v>
      </x:c>
      <x:c r="R224" s="151"/>
      <x:c r="S224" s="151" t="str">
        <x:v>not_applicable</x:v>
      </x:c>
      <x:c r="T224" s="151"/>
      <x:c r="U224" s="151" t="n">
        <x:v>2</x:v>
      </x:c>
      <x:c r="V224" s="151"/>
      <x:c r="W224" s="151"/>
      <x:c r="X224" s="146"/>
      <x:c r="Y224" s="146"/>
      <x:c r="Z224" s="146"/>
      <x:c r="AA224" s="146"/>
      <x:c r="AB224" s="146"/>
      <x:c r="AC224" s="146"/>
      <x:c r="AD224" s="146"/>
      <x:c r="AE224" s="146"/>
      <x:c r="AF224" s="154" t="str">
        <x:f>IF(X224="","PENDING",IF(X224="exclude","DONE",IF(COUNTA(Y224:AC224)=5,"DONE","INCOMPLETE")))</x:f>
        <x:v>PENDING</x:v>
      </x:c>
    </x:row>
    <x:row r="225">
      <x:c r="A225" s="151" t="str">
        <x:v>strength</x:v>
      </x:c>
      <x:c r="B225" s="151" t="str">
        <x:v>SV-0261</x:v>
      </x:c>
      <x:c r="C225" s="151" t="str">
        <x:v>PC-05720</x:v>
      </x:c>
      <x:c r="D225" s="151" t="str">
        <x:v>en|both</x:v>
      </x:c>
      <x:c r="E225" s="151" t="n">
        <x:v>19.069444444444443</x:v>
      </x:c>
      <x:c r="F225" s="151" t="str">
        <x:v>Central Bank of the Republic of Turkiye (Digital Turkish Lira)</x:v>
      </x:c>
      <x:c r="G225" s="151" t="str">
        <x:v>End user should be able to use the system safely and with ease.</x:v>
      </x:c>
      <x:c r="H225" s="151" t="str">
        <x:v>keep</x:v>
      </x:c>
      <x:c r="I225" s="151" t="str">
        <x:v>keep</x:v>
      </x:c>
      <x:c r="J225" s="151" t="str">
        <x:v>ADOPT.experience</x:v>
      </x:c>
      <x:c r="K225" s="151" t="str">
        <x:v>ADOPT.experience</x:v>
      </x:c>
      <x:c r="L225" s="151" t="str">
        <x:v>ADOPT</x:v>
      </x:c>
      <x:c r="M225" s="151" t="str">
        <x:v>ADOPT</x:v>
      </x:c>
      <x:c r="N225" s="151" t="str">
        <x:v>proposal</x:v>
      </x:c>
      <x:c r="O225" s="151" t="str">
        <x:v>proposal</x:v>
      </x:c>
      <x:c r="P225" s="151" t="str">
        <x:v>neutral</x:v>
      </x:c>
      <x:c r="Q225" s="151" t="str">
        <x:v>neutral</x:v>
      </x:c>
      <x:c r="R225" s="151" t="str">
        <x:v>not_applicable</x:v>
      </x:c>
      <x:c r="S225" s="151" t="str">
        <x:v>not_applicable</x:v>
      </x:c>
      <x:c r="T225" s="151" t="n">
        <x:v>3</x:v>
      </x:c>
      <x:c r="U225" s="151" t="n">
        <x:v>2</x:v>
      </x:c>
      <x:c r="V225" s="151"/>
      <x:c r="W225" s="151"/>
      <x:c r="X225" s="146"/>
      <x:c r="Y225" s="146"/>
      <x:c r="Z225" s="146"/>
      <x:c r="AA225" s="146"/>
      <x:c r="AB225" s="146"/>
      <x:c r="AC225" s="146"/>
      <x:c r="AD225" s="146"/>
      <x:c r="AE225" s="146"/>
      <x:c r="AF225" s="154" t="str">
        <x:f>IF(X225="","PENDING",IF(X225="exclude","DONE",IF(COUNTA(Y225:AC225)=5,"DONE","INCOMPLETE")))</x:f>
        <x:v>PENDING</x:v>
      </x:c>
    </x:row>
    <x:row r="226">
      <x:c r="A226" s="151" t="str">
        <x:v>code</x:v>
      </x:c>
      <x:c r="B226" s="151" t="str">
        <x:v>SV-0262</x:v>
      </x:c>
      <x:c r="C226" s="151" t="str">
        <x:v>PC-06629</x:v>
      </x:c>
      <x:c r="D226" s="151" t="str">
        <x:v>en|both</x:v>
      </x:c>
      <x:c r="E226" s="151" t="n">
        <x:v>19.069444444444443</x:v>
      </x:c>
      <x:c r="F226" s="151" t="str">
        <x:v>Banco Central del Uruguay (e-Peso pilot)</x:v>
      </x:c>
      <x:c r="G226" s="151" t="str">
        <x:v>digital money was used for small payments and transfers as a 
complement to existing means of payment.</x:v>
      </x:c>
      <x:c r="H226" s="151" t="str">
        <x:v>keep</x:v>
      </x:c>
      <x:c r="I226" s="151" t="str">
        <x:v>keep</x:v>
      </x:c>
      <x:c r="J226" s="151" t="str">
        <x:v>CASH.relation</x:v>
      </x:c>
      <x:c r="K226" s="151" t="str">
        <x:v>OPS.resilience</x:v>
      </x:c>
      <x:c r="L226" s="151" t="str">
        <x:v>CASH</x:v>
      </x:c>
      <x:c r="M226" s="151" t="str">
        <x:v>OPS</x:v>
      </x:c>
      <x:c r="N226" s="151" t="str">
        <x:v>finding</x:v>
      </x:c>
      <x:c r="O226" s="151" t="str">
        <x:v>finding</x:v>
      </x:c>
      <x:c r="P226" s="151" t="str">
        <x:v>neutral</x:v>
      </x:c>
      <x:c r="Q226" s="151" t="str">
        <x:v>neutral</x:v>
      </x:c>
      <x:c r="R226" s="151" t="str">
        <x:v>not_applicable</x:v>
      </x:c>
      <x:c r="S226" s="151" t="str">
        <x:v>not_applicable</x:v>
      </x:c>
      <x:c r="T226" s="151" t="n">
        <x:v>2</x:v>
      </x:c>
      <x:c r="U226" s="151" t="n">
        <x:v>2</x:v>
      </x:c>
      <x:c r="V226" s="151"/>
      <x:c r="W226" s="151"/>
      <x:c r="X226" s="146"/>
      <x:c r="Y226" s="146"/>
      <x:c r="Z226" s="146"/>
      <x:c r="AA226" s="146"/>
      <x:c r="AB226" s="146"/>
      <x:c r="AC226" s="146"/>
      <x:c r="AD226" s="146"/>
      <x:c r="AE226" s="146"/>
      <x:c r="AF226" s="154" t="str">
        <x:f>IF(X226="","PENDING",IF(X226="exclude","DONE",IF(COUNTA(Y226:AC226)=5,"DONE","INCOMPLETE")))</x:f>
        <x:v>PENDING</x:v>
      </x:c>
    </x:row>
    <x:row r="227">
      <x:c r="A227" s="151" t="str">
        <x:v>inclusion</x:v>
      </x:c>
      <x:c r="B227" s="151" t="str">
        <x:v>SV-0263</x:v>
      </x:c>
      <x:c r="C227" s="151" t="str">
        <x:v>PC-05289</x:v>
      </x:c>
      <x:c r="D227" s="151" t="str">
        <x:v>en|openai_only</x:v>
      </x:c>
      <x:c r="E227" s="151" t="n">
        <x:v>19.21875</x:v>
      </x:c>
      <x:c r="F227" s="151" t="str">
        <x:v>Monetary Authority of Singapore (Project Orchid / purpose-bound money)</x:v>
      </x:c>
      <x:c r="G227" s="151" t="str">
        <x:v>PBM smart contracts, if deployed onto public 
ledgers, offer greater transparency for government 
social programmes.</x:v>
      </x:c>
      <x:c r="H227" s="151" t="str">
        <x:v>keep</x:v>
      </x:c>
      <x:c r="I227" s="151" t="str">
        <x:v>exclude</x:v>
      </x:c>
      <x:c r="J227" s="151" t="str">
        <x:v>PRIV.CB.visibility.transparent</x:v>
      </x:c>
      <x:c r="K227" s="151"/>
      <x:c r="L227" s="151" t="str">
        <x:v>PRIV</x:v>
      </x:c>
      <x:c r="M227" s="151" t="str"/>
      <x:c r="N227" s="151" t="str">
        <x:v>proposal</x:v>
      </x:c>
      <x:c r="O227" s="151"/>
      <x:c r="P227" s="151" t="str">
        <x:v>decreases</x:v>
      </x:c>
      <x:c r="Q227" s="151"/>
      <x:c r="R227" s="151" t="str">
        <x:v>from_state</x:v>
      </x:c>
      <x:c r="S227" s="151"/>
      <x:c r="T227" s="151" t="n">
        <x:v>3</x:v>
      </x:c>
      <x:c r="U227" s="151"/>
      <x:c r="V227" s="151"/>
      <x:c r="W227" s="151"/>
      <x:c r="X227" s="146"/>
      <x:c r="Y227" s="146"/>
      <x:c r="Z227" s="146"/>
      <x:c r="AA227" s="146"/>
      <x:c r="AB227" s="146"/>
      <x:c r="AC227" s="146"/>
      <x:c r="AD227" s="146"/>
      <x:c r="AE227" s="146"/>
      <x:c r="AF227" s="154" t="str">
        <x:f>IF(X227="","PENDING",IF(X227="exclude","DONE",IF(COUNTA(Y227:AC227)=5,"DONE","INCOMPLETE")))</x:f>
        <x:v>PENDING</x:v>
      </x:c>
    </x:row>
    <x:row r="228">
      <x:c r="A228" s="151" t="str">
        <x:v>code|strength</x:v>
      </x:c>
      <x:c r="B228" s="151" t="str">
        <x:v>SV-0264</x:v>
      </x:c>
      <x:c r="C228" s="151" t="str">
        <x:v>PC-04610</x:v>
      </x:c>
      <x:c r="D228" s="151" t="str">
        <x:v>en|both</x:v>
      </x:c>
      <x:c r="E228" s="151" t="n">
        <x:v>19.069444444444443</x:v>
      </x:c>
      <x:c r="F228" s="151" t="str">
        <x:v>Reserve Bank of New Zealand (digital cash/CBDC)</x:v>
      </x:c>
      <x:c r="G228" s="151" t="str">
        <x:v>RBNZ’s initial preference is for CBDC users to use proxy identities to protect their privacy in the system.A balance between strong data control of proxy identities whilst allowing the option for the user to manage their proxy identities themselves.</x:v>
      </x:c>
      <x:c r="H228" s="151" t="str">
        <x:v>keep</x:v>
      </x:c>
      <x:c r="I228" s="151" t="str">
        <x:v>keep</x:v>
      </x:c>
      <x:c r="J228" s="151" t="str">
        <x:v>PRIV.ANON</x:v>
      </x:c>
      <x:c r="K228" s="151" t="str">
        <x:v>PRIV.PET</x:v>
      </x:c>
      <x:c r="L228" s="151" t="str">
        <x:v>PRIV</x:v>
      </x:c>
      <x:c r="M228" s="151" t="str">
        <x:v>PRIV</x:v>
      </x:c>
      <x:c r="N228" s="151" t="str">
        <x:v>proposal</x:v>
      </x:c>
      <x:c r="O228" s="151" t="str">
        <x:v>proposal</x:v>
      </x:c>
      <x:c r="P228" s="151" t="str">
        <x:v>increases</x:v>
      </x:c>
      <x:c r="Q228" s="151" t="str">
        <x:v>increases</x:v>
      </x:c>
      <x:c r="R228" s="151" t="str">
        <x:v>from_state</x:v>
      </x:c>
      <x:c r="S228" s="151" t="str">
        <x:v>from_state</x:v>
      </x:c>
      <x:c r="T228" s="151" t="n">
        <x:v>2</x:v>
      </x:c>
      <x:c r="U228" s="151" t="n">
        <x:v>3</x:v>
      </x:c>
      <x:c r="V228" s="151"/>
      <x:c r="W228" s="151"/>
      <x:c r="X228" s="146"/>
      <x:c r="Y228" s="146"/>
      <x:c r="Z228" s="146"/>
      <x:c r="AA228" s="146"/>
      <x:c r="AB228" s="146"/>
      <x:c r="AC228" s="146"/>
      <x:c r="AD228" s="146"/>
      <x:c r="AE228" s="146"/>
      <x:c r="AF228" s="154" t="str">
        <x:f>IF(X228="","PENDING",IF(X228="exclude","DONE",IF(COUNTA(Y228:AC228)=5,"DONE","INCOMPLETE")))</x:f>
        <x:v>PENDING</x:v>
      </x:c>
    </x:row>
    <x:row r="229">
      <x:c r="A229" s="151" t="str">
        <x:v>inclusion</x:v>
      </x:c>
      <x:c r="B229" s="151" t="str">
        <x:v>SV-0265</x:v>
      </x:c>
      <x:c r="C229" s="151" t="str">
        <x:v>PC-04885</x:v>
      </x:c>
      <x:c r="D229" s="151" t="str">
        <x:v>ru/uk|claude_only</x:v>
      </x:c>
      <x:c r="E229" s="151" t="n">
        <x:v>37</x:v>
      </x:c>
      <x:c r="F229" s="151" t="str">
        <x:v>Bank of Russia (digital ruble)</x:v>
      </x:c>
      <x:c r="G229" s="151" t="str">
        <x:v>Однако возможное влияние на  ликвидность банков будет постепенным и  растянутым 
во времени по мере распространения в обращении цифрового рубля.</x:v>
      </x:c>
      <x:c r="H229" s="151" t="str">
        <x:v>exclude</x:v>
      </x:c>
      <x:c r="I229" s="151" t="str">
        <x:v>keep</x:v>
      </x:c>
      <x:c r="J229" s="151"/>
      <x:c r="K229" s="151" t="str">
        <x:v>STAB.disintermediation</x:v>
      </x:c>
      <x:c r="L229" s="151" t="str"/>
      <x:c r="M229" s="151" t="str">
        <x:v>STAB</x:v>
      </x:c>
      <x:c r="N229" s="151"/>
      <x:c r="O229" s="151" t="str">
        <x:v>finding</x:v>
      </x:c>
      <x:c r="P229" s="151"/>
      <x:c r="Q229" s="151" t="str">
        <x:v>neutral</x:v>
      </x:c>
      <x:c r="R229" s="151"/>
      <x:c r="S229" s="151" t="str">
        <x:v>not_applicable</x:v>
      </x:c>
      <x:c r="T229" s="151"/>
      <x:c r="U229" s="151" t="n">
        <x:v>2</x:v>
      </x:c>
      <x:c r="V229" s="151"/>
      <x:c r="W229" s="151"/>
      <x:c r="X229" s="146"/>
      <x:c r="Y229" s="146"/>
      <x:c r="Z229" s="146"/>
      <x:c r="AA229" s="146"/>
      <x:c r="AB229" s="146"/>
      <x:c r="AC229" s="146"/>
      <x:c r="AD229" s="146"/>
      <x:c r="AE229" s="146"/>
      <x:c r="AF229" s="154" t="str">
        <x:f>IF(X229="","PENDING",IF(X229="exclude","DONE",IF(COUNTA(Y229:AC229)=5,"DONE","INCOMPLETE")))</x:f>
        <x:v>PENDING</x:v>
      </x:c>
    </x:row>
    <x:row r="230">
      <x:c r="A230" s="151" t="str">
        <x:v>strength</x:v>
      </x:c>
      <x:c r="B230" s="151" t="str">
        <x:v>SV-0267</x:v>
      </x:c>
      <x:c r="C230" s="151" t="str">
        <x:v>PC-06945</x:v>
      </x:c>
      <x:c r="D230" s="151" t="str">
        <x:v>en|both</x:v>
      </x:c>
      <x:c r="E230" s="151" t="n">
        <x:v>19.069444444444443</x:v>
      </x:c>
      <x:c r="F230" s="151" t="str">
        <x:v>South African Reserve Bank</x:v>
      </x:c>
      <x:c r="G230" s="151" t="str">
        <x:v>The amounts and balances were shielded, with the network only seeing the Pedersen commitment  
for each transaction. The SARB still approved the transfer.</x:v>
      </x:c>
      <x:c r="H230" s="151" t="str">
        <x:v>keep</x:v>
      </x:c>
      <x:c r="I230" s="151" t="str">
        <x:v>keep</x:v>
      </x:c>
      <x:c r="J230" s="151" t="str">
        <x:v>PRIV.PET</x:v>
      </x:c>
      <x:c r="K230" s="151" t="str">
        <x:v>PRIV.PET</x:v>
      </x:c>
      <x:c r="L230" s="151" t="str">
        <x:v>PRIV</x:v>
      </x:c>
      <x:c r="M230" s="151" t="str">
        <x:v>PRIV</x:v>
      </x:c>
      <x:c r="N230" s="151" t="str">
        <x:v>finding</x:v>
      </x:c>
      <x:c r="O230" s="151" t="str">
        <x:v>finding</x:v>
      </x:c>
      <x:c r="P230" s="151" t="str">
        <x:v>increases</x:v>
      </x:c>
      <x:c r="Q230" s="151" t="str">
        <x:v>increases</x:v>
      </x:c>
      <x:c r="R230" s="151" t="str">
        <x:v>from_counterparty</x:v>
      </x:c>
      <x:c r="S230" s="151" t="str">
        <x:v>from_counterparty</x:v>
      </x:c>
      <x:c r="T230" s="151" t="n">
        <x:v>2</x:v>
      </x:c>
      <x:c r="U230" s="151" t="n">
        <x:v>3</x:v>
      </x:c>
      <x:c r="V230" s="151"/>
      <x:c r="W230" s="151"/>
      <x:c r="X230" s="146"/>
      <x:c r="Y230" s="146"/>
      <x:c r="Z230" s="146"/>
      <x:c r="AA230" s="146"/>
      <x:c r="AB230" s="146"/>
      <x:c r="AC230" s="146"/>
      <x:c r="AD230" s="146"/>
      <x:c r="AE230" s="146"/>
      <x:c r="AF230" s="154" t="str">
        <x:f>IF(X230="","PENDING",IF(X230="exclude","DONE",IF(COUNTA(Y230:AC230)=5,"DONE","INCOMPLETE")))</x:f>
        <x:v>PENDING</x:v>
      </x:c>
    </x:row>
    <x:row r="231">
      <x:c r="A231" s="151" t="str">
        <x:v>inclusion</x:v>
      </x:c>
      <x:c r="B231" s="151" t="str">
        <x:v>SV-0268</x:v>
      </x:c>
      <x:c r="C231" s="151" t="str">
        <x:v>PC-01242</x:v>
      </x:c>
      <x:c r="D231" s="151" t="str">
        <x:v>en|openai_only</x:v>
      </x:c>
      <x:c r="E231" s="151" t="n">
        <x:v>19.21875</x:v>
      </x:c>
      <x:c r="F231" s="151" t="str">
        <x:v>People's Bank of China (e-CNY)</x:v>
      </x:c>
      <x:c r="G231" s="151" t="str">
        <x:v>A
ddi
t
i
ona
l
l
y
,
t
he
P
B
O
C
ha
s
s
e
t
up
a
f
r
a
m
e
w
or
k
of
bi
g
da
t
a
a
na
l
y
s
i
s
,
r
i
s
k
m
oni
t
or
i
ng
a
nd
e
a
r
l
y
w
a
r
ni
ng
f
or
e
-
C
N
Y
t
o
e
nha
nc
e
t
he
f
or
e
s
i
ght
e
dne
s
s
,
a
c
c
ur
a
c
y
a
nd
e
f
f
e
c
t
i
ve
ne
s
s
of
e
-
C
N
Y
m
a
na
ge
m
e
nt
.</x:v>
      </x:c>
      <x:c r="H231" s="151" t="str">
        <x:v>keep</x:v>
      </x:c>
      <x:c r="I231" s="151" t="str">
        <x:v>exclude</x:v>
      </x:c>
      <x:c r="J231" s="151" t="str">
        <x:v>SYS.design</x:v>
      </x:c>
      <x:c r="K231" s="151"/>
      <x:c r="L231" s="151" t="str">
        <x:v>SYS</x:v>
      </x:c>
      <x:c r="M231" s="151" t="str"/>
      <x:c r="N231" s="151" t="str">
        <x:v>decision</x:v>
      </x:c>
      <x:c r="O231" s="151"/>
      <x:c r="P231" s="151" t="str">
        <x:v>neutral</x:v>
      </x:c>
      <x:c r="Q231" s="151"/>
      <x:c r="R231" s="151" t="str">
        <x:v>not_applicable</x:v>
      </x:c>
      <x:c r="S231" s="151"/>
      <x:c r="T231" s="151" t="n">
        <x:v>2</x:v>
      </x:c>
      <x:c r="U231" s="151"/>
      <x:c r="V231" s="151"/>
      <x:c r="W231" s="151"/>
      <x:c r="X231" s="146"/>
      <x:c r="Y231" s="146"/>
      <x:c r="Z231" s="146"/>
      <x:c r="AA231" s="146"/>
      <x:c r="AB231" s="146"/>
      <x:c r="AC231" s="146"/>
      <x:c r="AD231" s="146"/>
      <x:c r="AE231" s="146"/>
      <x:c r="AF231" s="154" t="str">
        <x:f>IF(X231="","PENDING",IF(X231="exclude","DONE",IF(COUNTA(Y231:AC231)=5,"DONE","INCOMPLETE")))</x:f>
        <x:v>PENDING</x:v>
      </x:c>
    </x:row>
    <x:row r="232">
      <x:c r="A232" s="151" t="str">
        <x:v>strength</x:v>
      </x:c>
      <x:c r="B232" s="151" t="str">
        <x:v>SV-0269</x:v>
      </x:c>
      <x:c r="C232" s="151" t="str">
        <x:v>PC-02054</x:v>
      </x:c>
      <x:c r="D232" s="151" t="str">
        <x:v>en|both</x:v>
      </x:c>
      <x:c r="E232" s="151" t="n">
        <x:v>19.069444444444443</x:v>
      </x:c>
      <x:c r="F232" s="151" t="str">
        <x:v>Hong Kong Monetary Authority (e-HKD Phase 2 pilots)</x:v>
      </x:c>
      <x:c r="G232" s="151" t="str">
        <x:v>The pilots demonstrated the feasibility of these 
mechanisms, showing that interoperability 
can enhance the security and integrity of 
asset transfers while positioning an e-HKD as 
a versatile settlement instrument within the 
expanding tokenised asset and DeFi landscape.</x:v>
      </x:c>
      <x:c r="H232" s="151" t="str">
        <x:v>keep</x:v>
      </x:c>
      <x:c r="I232" s="151" t="str">
        <x:v>keep</x:v>
      </x:c>
      <x:c r="J232" s="151" t="str">
        <x:v>INTEROP.domestic</x:v>
      </x:c>
      <x:c r="K232" s="151" t="str">
        <x:v>INTEROP.domestic</x:v>
      </x:c>
      <x:c r="L232" s="151" t="str">
        <x:v>INTEROP</x:v>
      </x:c>
      <x:c r="M232" s="151" t="str">
        <x:v>INTEROP</x:v>
      </x:c>
      <x:c r="N232" s="151" t="str">
        <x:v>finding</x:v>
      </x:c>
      <x:c r="O232" s="151" t="str">
        <x:v>finding</x:v>
      </x:c>
      <x:c r="P232" s="151" t="str">
        <x:v>neutral</x:v>
      </x:c>
      <x:c r="Q232" s="151" t="str">
        <x:v>neutral</x:v>
      </x:c>
      <x:c r="R232" s="151" t="str">
        <x:v>not_applicable</x:v>
      </x:c>
      <x:c r="S232" s="151" t="str">
        <x:v>not_applicable</x:v>
      </x:c>
      <x:c r="T232" s="151" t="n">
        <x:v>3</x:v>
      </x:c>
      <x:c r="U232" s="151" t="n">
        <x:v>2</x:v>
      </x:c>
      <x:c r="V232" s="151"/>
      <x:c r="W232" s="151"/>
      <x:c r="X232" s="146"/>
      <x:c r="Y232" s="146"/>
      <x:c r="Z232" s="146"/>
      <x:c r="AA232" s="146"/>
      <x:c r="AB232" s="146"/>
      <x:c r="AC232" s="146"/>
      <x:c r="AD232" s="146"/>
      <x:c r="AE232" s="146"/>
      <x:c r="AF232" s="154" t="str">
        <x:f>IF(X232="","PENDING",IF(X232="exclude","DONE",IF(COUNTA(Y232:AC232)=5,"DONE","INCOMPLETE")))</x:f>
        <x:v>PENDING</x:v>
      </x:c>
    </x:row>
    <x:row r="233">
      <x:c r="A233" s="151" t="str">
        <x:v>inclusion</x:v>
      </x:c>
      <x:c r="B233" s="151" t="str">
        <x:v>SV-0270</x:v>
      </x:c>
      <x:c r="C233" s="151" t="str">
        <x:v>PC-01878</x:v>
      </x:c>
      <x:c r="D233" s="151" t="str">
        <x:v>en|openai_only</x:v>
      </x:c>
      <x:c r="E233" s="151" t="n">
        <x:v>19.21875</x:v>
      </x:c>
      <x:c r="F233" s="151" t="str">
        <x:v>Hong Kong Monetary Authority (e-HKD)</x:v>
      </x:c>
      <x:c r="G233" s="151" t="str">
        <x:v>Similarly, a bank may need 
to access transaction data of customers of other banks while processing a transaction for its customer.</x:v>
      </x:c>
      <x:c r="H233" s="151" t="str">
        <x:v>keep</x:v>
      </x:c>
      <x:c r="I233" s="151" t="str">
        <x:v>exclude</x:v>
      </x:c>
      <x:c r="J233" s="151" t="str">
        <x:v>PRIV.ANON</x:v>
      </x:c>
      <x:c r="K233" s="151"/>
      <x:c r="L233" s="151" t="str">
        <x:v>PRIV</x:v>
      </x:c>
      <x:c r="M233" s="151" t="str"/>
      <x:c r="N233" s="151" t="str">
        <x:v>proposal</x:v>
      </x:c>
      <x:c r="O233" s="151"/>
      <x:c r="P233" s="151" t="str">
        <x:v>decreases</x:v>
      </x:c>
      <x:c r="Q233" s="151"/>
      <x:c r="R233" s="151" t="str">
        <x:v>from_intermediary</x:v>
      </x:c>
      <x:c r="S233" s="151"/>
      <x:c r="T233" s="151" t="n">
        <x:v>2</x:v>
      </x:c>
      <x:c r="U233" s="151"/>
      <x:c r="V233" s="151"/>
      <x:c r="W233" s="151"/>
      <x:c r="X233" s="146"/>
      <x:c r="Y233" s="146"/>
      <x:c r="Z233" s="146"/>
      <x:c r="AA233" s="146"/>
      <x:c r="AB233" s="146"/>
      <x:c r="AC233" s="146"/>
      <x:c r="AD233" s="146"/>
      <x:c r="AE233" s="146"/>
      <x:c r="AF233" s="154" t="str">
        <x:f>IF(X233="","PENDING",IF(X233="exclude","DONE",IF(COUNTA(Y233:AC233)=5,"DONE","INCOMPLETE")))</x:f>
        <x:v>PENDING</x:v>
      </x:c>
    </x:row>
    <x:row r="234">
      <x:c r="A234" s="151" t="str">
        <x:v>code|odr|strength</x:v>
      </x:c>
      <x:c r="B234" s="151" t="str">
        <x:v>SV-0271</x:v>
      </x:c>
      <x:c r="C234" s="151" t="str">
        <x:v>PC-06523</x:v>
      </x:c>
      <x:c r="D234" s="151" t="str">
        <x:v>en|both</x:v>
      </x:c>
      <x:c r="E234" s="151" t="n">
        <x:v>19.069444444444443</x:v>
      </x:c>
      <x:c r="F234" s="151" t="str">
        <x:v>Federal Reserve Bank of New York (Project Cedar Phase I)</x:v>
      </x:c>
      <x:c r="G234" s="151" t="str">
        <x:v>Phase I was a successful twelve-week undertaking demonstrating the viability 
of this technology to enable instant and atomic settlement in a simulated foreign 
exchange (FX) spot transaction between the New York Fed and counterparties 
across separate, homogeneous ledgers.</x:v>
      </x:c>
      <x:c r="H234" s="151" t="str">
        <x:v>keep</x:v>
      </x:c>
      <x:c r="I234" s="151" t="str">
        <x:v>keep</x:v>
      </x:c>
      <x:c r="J234" s="151" t="str">
        <x:v>INTEROP.crossborder</x:v>
      </x:c>
      <x:c r="K234" s="151" t="str">
        <x:v>TECH.DLT</x:v>
      </x:c>
      <x:c r="L234" s="151" t="str">
        <x:v>INTEROP</x:v>
      </x:c>
      <x:c r="M234" s="151" t="str">
        <x:v>TECH</x:v>
      </x:c>
      <x:c r="N234" s="151" t="str">
        <x:v>finding</x:v>
      </x:c>
      <x:c r="O234" s="151" t="str">
        <x:v>decision</x:v>
      </x:c>
      <x:c r="P234" s="151" t="str">
        <x:v>neutral</x:v>
      </x:c>
      <x:c r="Q234" s="151" t="str">
        <x:v>neutral</x:v>
      </x:c>
      <x:c r="R234" s="151" t="str">
        <x:v>not_applicable</x:v>
      </x:c>
      <x:c r="S234" s="151" t="str">
        <x:v>not_applicable</x:v>
      </x:c>
      <x:c r="T234" s="151" t="n">
        <x:v>3</x:v>
      </x:c>
      <x:c r="U234" s="151" t="n">
        <x:v>2</x:v>
      </x:c>
      <x:c r="V234" s="151"/>
      <x:c r="W234" s="151"/>
      <x:c r="X234" s="146"/>
      <x:c r="Y234" s="146"/>
      <x:c r="Z234" s="146"/>
      <x:c r="AA234" s="146"/>
      <x:c r="AB234" s="146"/>
      <x:c r="AC234" s="146"/>
      <x:c r="AD234" s="146"/>
      <x:c r="AE234" s="146"/>
      <x:c r="AF234" s="154" t="str">
        <x:f>IF(X234="","PENDING",IF(X234="exclude","DONE",IF(COUNTA(Y234:AC234)=5,"DONE","INCOMPLETE")))</x:f>
        <x:v>PENDING</x:v>
      </x:c>
    </x:row>
    <x:row r="235">
      <x:c r="A235" s="151" t="str">
        <x:v>inclusion</x:v>
      </x:c>
      <x:c r="B235" s="151" t="str">
        <x:v>SV-0272</x:v>
      </x:c>
      <x:c r="C235" s="151" t="str">
        <x:v>PC-06706</x:v>
      </x:c>
      <x:c r="D235" s="151" t="str">
        <x:v>es|openai_only</x:v>
      </x:c>
      <x:c r="E235" s="151" t="n">
        <x:v>21</x:v>
      </x:c>
      <x:c r="F235" s="151" t="str">
        <x:v>Banco Central del Uruguay (e-Peso pilot)</x:v>
      </x:c>
      <x:c r="G235" s="151" t="str">
        <x:v>Realizar en RedPagos la primera carga a efectos 
de crear la billetera digital (Cash In)</x:v>
      </x:c>
      <x:c r="H235" s="151" t="str">
        <x:v>keep</x:v>
      </x:c>
      <x:c r="I235" s="151" t="str">
        <x:v>exclude</x:v>
      </x:c>
      <x:c r="J235" s="151" t="str">
        <x:v>INTEROP.domestic</x:v>
      </x:c>
      <x:c r="K235" s="151"/>
      <x:c r="L235" s="151" t="str">
        <x:v>INTEROP</x:v>
      </x:c>
      <x:c r="M235" s="151" t="str"/>
      <x:c r="N235" s="151" t="str">
        <x:v>decision</x:v>
      </x:c>
      <x:c r="O235" s="151"/>
      <x:c r="P235" s="151" t="str">
        <x:v>neutral</x:v>
      </x:c>
      <x:c r="Q235" s="151"/>
      <x:c r="R235" s="151" t="str">
        <x:v>not_applicable</x:v>
      </x:c>
      <x:c r="S235" s="151"/>
      <x:c r="T235" s="151" t="n">
        <x:v>2</x:v>
      </x:c>
      <x:c r="U235" s="151"/>
      <x:c r="V235" s="151"/>
      <x:c r="W235" s="151"/>
      <x:c r="X235" s="146"/>
      <x:c r="Y235" s="146"/>
      <x:c r="Z235" s="146"/>
      <x:c r="AA235" s="146"/>
      <x:c r="AB235" s="146"/>
      <x:c r="AC235" s="146"/>
      <x:c r="AD235" s="146"/>
      <x:c r="AE235" s="146"/>
      <x:c r="AF235" s="154" t="str">
        <x:f>IF(X235="","PENDING",IF(X235="exclude","DONE",IF(COUNTA(Y235:AC235)=5,"DONE","INCOMPLETE")))</x:f>
        <x:v>PENDING</x:v>
      </x:c>
    </x:row>
    <x:row r="236">
      <x:c r="A236" s="151" t="str">
        <x:v>code</x:v>
      </x:c>
      <x:c r="B236" s="151" t="str">
        <x:v>SV-0273</x:v>
      </x:c>
      <x:c r="C236" s="151" t="str">
        <x:v>PC-03840</x:v>
      </x:c>
      <x:c r="D236" s="151" t="str">
        <x:v>en|both</x:v>
      </x:c>
      <x:c r="E236" s="151" t="n">
        <x:v>19.069444444444443</x:v>
      </x:c>
      <x:c r="F236" s="151" t="str">
        <x:v>Bank of Japan</x:v>
      </x:c>
      <x:c r="G236" s="151" t="str">
        <x:v>The architecture evaluation based on the test results suggests the possibility that some databases 
could maintain high-performance scalability even under the load expected in the possible event of 
social implementation, implying that they could be used in ledger systems.</x:v>
      </x:c>
      <x:c r="H236" s="151" t="str">
        <x:v>keep</x:v>
      </x:c>
      <x:c r="I236" s="151" t="str">
        <x:v>keep</x:v>
      </x:c>
      <x:c r="J236" s="151" t="str">
        <x:v>SYS.design</x:v>
      </x:c>
      <x:c r="K236" s="151" t="str">
        <x:v>TECH.TOKEN.considered</x:v>
      </x:c>
      <x:c r="L236" s="151" t="str">
        <x:v>SYS</x:v>
      </x:c>
      <x:c r="M236" s="151" t="str">
        <x:v>TECH</x:v>
      </x:c>
      <x:c r="N236" s="151" t="str">
        <x:v>finding</x:v>
      </x:c>
      <x:c r="O236" s="151" t="str">
        <x:v>finding</x:v>
      </x:c>
      <x:c r="P236" s="151" t="str">
        <x:v>neutral</x:v>
      </x:c>
      <x:c r="Q236" s="151" t="str">
        <x:v>neutral</x:v>
      </x:c>
      <x:c r="R236" s="151" t="str">
        <x:v>not_applicable</x:v>
      </x:c>
      <x:c r="S236" s="151" t="str">
        <x:v>not_applicable</x:v>
      </x:c>
      <x:c r="T236" s="151" t="n">
        <x:v>2</x:v>
      </x:c>
      <x:c r="U236" s="151" t="n">
        <x:v>2</x:v>
      </x:c>
      <x:c r="V236" s="151"/>
      <x:c r="W236" s="151"/>
      <x:c r="X236" s="146"/>
      <x:c r="Y236" s="146"/>
      <x:c r="Z236" s="146"/>
      <x:c r="AA236" s="146"/>
      <x:c r="AB236" s="146"/>
      <x:c r="AC236" s="146"/>
      <x:c r="AD236" s="146"/>
      <x:c r="AE236" s="146"/>
      <x:c r="AF236" s="154" t="str">
        <x:f>IF(X236="","PENDING",IF(X236="exclude","DONE",IF(COUNTA(Y236:AC236)=5,"DONE","INCOMPLETE")))</x:f>
        <x:v>PENDING</x:v>
      </x:c>
    </x:row>
    <x:row r="237">
      <x:c r="A237" s="151" t="str">
        <x:v>code|odr</x:v>
      </x:c>
      <x:c r="B237" s="151" t="str">
        <x:v>SV-0274</x:v>
      </x:c>
      <x:c r="C237" s="151" t="str">
        <x:v>PC-01856</x:v>
      </x:c>
      <x:c r="D237" s="151" t="str">
        <x:v>en|both</x:v>
      </x:c>
      <x:c r="E237" s="151" t="n">
        <x:v>19.069444444444443</x:v>
      </x:c>
      <x:c r="F237" s="151" t="str">
        <x:v>Hong Kong Monetary Authority (e-HKD)</x:v>
      </x:c>
      <x:c r="G237" s="151" t="str">
        <x:v>In other words, cross -ledger asset recognition is achieved through signed 
transactions.</x:v>
      </x:c>
      <x:c r="H237" s="151" t="str">
        <x:v>keep</x:v>
      </x:c>
      <x:c r="I237" s="151" t="str">
        <x:v>keep</x:v>
      </x:c>
      <x:c r="J237" s="151" t="str">
        <x:v>TECH.DLT</x:v>
      </x:c>
      <x:c r="K237" s="151" t="str">
        <x:v>SYS.design</x:v>
      </x:c>
      <x:c r="L237" s="151" t="str">
        <x:v>TECH</x:v>
      </x:c>
      <x:c r="M237" s="151" t="str">
        <x:v>SYS</x:v>
      </x:c>
      <x:c r="N237" s="151" t="str">
        <x:v>proposal</x:v>
      </x:c>
      <x:c r="O237" s="151" t="str">
        <x:v>decision</x:v>
      </x:c>
      <x:c r="P237" s="151" t="str">
        <x:v>neutral</x:v>
      </x:c>
      <x:c r="Q237" s="151" t="str">
        <x:v>neutral</x:v>
      </x:c>
      <x:c r="R237" s="151" t="str">
        <x:v>not_applicable</x:v>
      </x:c>
      <x:c r="S237" s="151" t="str">
        <x:v>not_applicable</x:v>
      </x:c>
      <x:c r="T237" s="151" t="n">
        <x:v>2</x:v>
      </x:c>
      <x:c r="U237" s="151" t="n">
        <x:v>2</x:v>
      </x:c>
      <x:c r="V237" s="151"/>
      <x:c r="W237" s="151"/>
      <x:c r="X237" s="146"/>
      <x:c r="Y237" s="146"/>
      <x:c r="Z237" s="146"/>
      <x:c r="AA237" s="146"/>
      <x:c r="AB237" s="146"/>
      <x:c r="AC237" s="146"/>
      <x:c r="AD237" s="146"/>
      <x:c r="AE237" s="146"/>
      <x:c r="AF237" s="154" t="str">
        <x:f>IF(X237="","PENDING",IF(X237="exclude","DONE",IF(COUNTA(Y237:AC237)=5,"DONE","INCOMPLETE")))</x:f>
        <x:v>PENDING</x:v>
      </x:c>
    </x:row>
    <x:row r="238">
      <x:c r="A238" s="151" t="str">
        <x:v>code|odr</x:v>
      </x:c>
      <x:c r="B238" s="151" t="str">
        <x:v>SV-0275</x:v>
      </x:c>
      <x:c r="C238" s="151" t="str">
        <x:v>PC-04624</x:v>
      </x:c>
      <x:c r="D238" s="151" t="str">
        <x:v>en|both</x:v>
      </x:c>
      <x:c r="E238" s="151" t="n">
        <x:v>19.069444444444443</x:v>
      </x:c>
      <x:c r="F238" s="151" t="str">
        <x:v>Banco Central de Reserva del Peru</x:v>
      </x:c>
      <x:c r="G238" s="151" t="str">
        <x:v>• Multiple use cases, allow ing person-to-person (P2P), person-to- business (P2B) , and 
government-to-person (G2P) payments, and vice versa.</x:v>
      </x:c>
      <x:c r="H238" s="151" t="str">
        <x:v>keep</x:v>
      </x:c>
      <x:c r="I238" s="151" t="str">
        <x:v>keep</x:v>
      </x:c>
      <x:c r="J238" s="151" t="str">
        <x:v>LEGAL.basis</x:v>
      </x:c>
      <x:c r="K238" s="151" t="str">
        <x:v>SYS.design</x:v>
      </x:c>
      <x:c r="L238" s="151" t="str">
        <x:v>LEGAL</x:v>
      </x:c>
      <x:c r="M238" s="151" t="str">
        <x:v>SYS</x:v>
      </x:c>
      <x:c r="N238" s="151" t="str">
        <x:v>finding</x:v>
      </x:c>
      <x:c r="O238" s="151" t="str">
        <x:v>proposal</x:v>
      </x:c>
      <x:c r="P238" s="151" t="str">
        <x:v>neutral</x:v>
      </x:c>
      <x:c r="Q238" s="151" t="str">
        <x:v>neutral</x:v>
      </x:c>
      <x:c r="R238" s="151" t="str">
        <x:v>not_applicable</x:v>
      </x:c>
      <x:c r="S238" s="151" t="str">
        <x:v>not_applicable</x:v>
      </x:c>
      <x:c r="T238" s="151" t="n">
        <x:v>2</x:v>
      </x:c>
      <x:c r="U238" s="151" t="n">
        <x:v>2</x:v>
      </x:c>
      <x:c r="V238" s="151"/>
      <x:c r="W238" s="151"/>
      <x:c r="X238" s="146"/>
      <x:c r="Y238" s="146"/>
      <x:c r="Z238" s="146"/>
      <x:c r="AA238" s="146"/>
      <x:c r="AB238" s="146"/>
      <x:c r="AC238" s="146"/>
      <x:c r="AD238" s="146"/>
      <x:c r="AE238" s="146"/>
      <x:c r="AF238" s="154" t="str">
        <x:f>IF(X238="","PENDING",IF(X238="exclude","DONE",IF(COUNTA(Y238:AC238)=5,"DONE","INCOMPLETE")))</x:f>
        <x:v>PENDING</x:v>
      </x:c>
    </x:row>
    <x:row r="239">
      <x:c r="A239" s="151" t="str">
        <x:v>code|odr|strength</x:v>
      </x:c>
      <x:c r="B239" s="151" t="str">
        <x:v>SV-0276</x:v>
      </x:c>
      <x:c r="C239" s="151" t="str">
        <x:v>PC-05832</x:v>
      </x:c>
      <x:c r="D239" s="151" t="str">
        <x:v>en|both</x:v>
      </x:c>
      <x:c r="E239" s="151" t="n">
        <x:v>19.069444444444443</x:v>
      </x:c>
      <x:c r="F239" s="151" t="str">
        <x:v>Central Bank of the Republic of Turkiye (Digital Turkish Lira)</x:v>
      </x:c>
      <x:c r="G239" s="151" t="str">
        <x:v>it has been found that the digital currency system can be 
integrated into the distributed asset systems that are likely to be included in our lives in the future, 
but the methods of integration can create new dependencies.</x:v>
      </x:c>
      <x:c r="H239" s="151" t="str">
        <x:v>keep</x:v>
      </x:c>
      <x:c r="I239" s="151" t="str">
        <x:v>keep</x:v>
      </x:c>
      <x:c r="J239" s="151" t="str">
        <x:v>TECH.DLT</x:v>
      </x:c>
      <x:c r="K239" s="151" t="str">
        <x:v>PROC.pilot_learning</x:v>
      </x:c>
      <x:c r="L239" s="151" t="str">
        <x:v>TECH</x:v>
      </x:c>
      <x:c r="M239" s="151" t="str">
        <x:v>PROC</x:v>
      </x:c>
      <x:c r="N239" s="151" t="str">
        <x:v>decision</x:v>
      </x:c>
      <x:c r="O239" s="151" t="str">
        <x:v>finding</x:v>
      </x:c>
      <x:c r="P239" s="151" t="str">
        <x:v>neutral</x:v>
      </x:c>
      <x:c r="Q239" s="151" t="str">
        <x:v>neutral</x:v>
      </x:c>
      <x:c r="R239" s="151" t="str">
        <x:v>not_applicable</x:v>
      </x:c>
      <x:c r="S239" s="151" t="str">
        <x:v>not_applicable</x:v>
      </x:c>
      <x:c r="T239" s="151" t="n">
        <x:v>3</x:v>
      </x:c>
      <x:c r="U239" s="151" t="n">
        <x:v>2</x:v>
      </x:c>
      <x:c r="V239" s="151"/>
      <x:c r="W239" s="151"/>
      <x:c r="X239" s="146"/>
      <x:c r="Y239" s="146"/>
      <x:c r="Z239" s="146"/>
      <x:c r="AA239" s="146"/>
      <x:c r="AB239" s="146"/>
      <x:c r="AC239" s="146"/>
      <x:c r="AD239" s="146"/>
      <x:c r="AE239" s="146"/>
      <x:c r="AF239" s="154" t="str">
        <x:f>IF(X239="","PENDING",IF(X239="exclude","DONE",IF(COUNTA(Y239:AC239)=5,"DONE","INCOMPLETE")))</x:f>
        <x:v>PENDING</x:v>
      </x:c>
    </x:row>
    <x:row r="240">
      <x:c r="A240" s="151" t="str">
        <x:v>code|odr</x:v>
      </x:c>
      <x:c r="B240" s="151" t="str">
        <x:v>SV-0277</x:v>
      </x:c>
      <x:c r="C240" s="151" t="str">
        <x:v>PC-04090</x:v>
      </x:c>
      <x:c r="D240" s="151" t="str">
        <x:v>en|both</x:v>
      </x:c>
      <x:c r="E240" s="151" t="n">
        <x:v>19.069444444444443</x:v>
      </x:c>
      <x:c r="F240" s="151" t="str">
        <x:v>Norges Bank (Norwegian CBDC work)</x:v>
      </x:c>
      <x:c r="G240" s="151" t="str">
        <x:v>DSP må utformes i samsvar med gode IT-arkitekturprinsipper. Overordnet 
innebærer dette krav om skalerbarhet, tilgjengelighet, sikkerhet, teknologinøytralitet 
og tilpasningsdyktighet.</x:v>
      </x:c>
      <x:c r="H240" s="151" t="str">
        <x:v>keep</x:v>
      </x:c>
      <x:c r="I240" s="151" t="str">
        <x:v>keep</x:v>
      </x:c>
      <x:c r="J240" s="151" t="str">
        <x:v>OPS.resilience</x:v>
      </x:c>
      <x:c r="K240" s="151" t="str">
        <x:v>SYS.design</x:v>
      </x:c>
      <x:c r="L240" s="151" t="str">
        <x:v>OPS</x:v>
      </x:c>
      <x:c r="M240" s="151" t="str">
        <x:v>SYS</x:v>
      </x:c>
      <x:c r="N240" s="151" t="str">
        <x:v>proposal</x:v>
      </x:c>
      <x:c r="O240" s="151" t="str">
        <x:v>decision</x:v>
      </x:c>
      <x:c r="P240" s="151" t="str">
        <x:v>neutral</x:v>
      </x:c>
      <x:c r="Q240" s="151" t="str">
        <x:v>neutral</x:v>
      </x:c>
      <x:c r="R240" s="151" t="str">
        <x:v>not_applicable</x:v>
      </x:c>
      <x:c r="S240" s="151" t="str">
        <x:v>not_applicable</x:v>
      </x:c>
      <x:c r="T240" s="151" t="n">
        <x:v>2</x:v>
      </x:c>
      <x:c r="U240" s="151" t="n">
        <x:v>2</x:v>
      </x:c>
      <x:c r="V240" s="151"/>
      <x:c r="W240" s="151"/>
      <x:c r="X240" s="146"/>
      <x:c r="Y240" s="146"/>
      <x:c r="Z240" s="146"/>
      <x:c r="AA240" s="146"/>
      <x:c r="AB240" s="146"/>
      <x:c r="AC240" s="146"/>
      <x:c r="AD240" s="146"/>
      <x:c r="AE240" s="146"/>
      <x:c r="AF240" s="154" t="str">
        <x:f>IF(X240="","PENDING",IF(X240="exclude","DONE",IF(COUNTA(Y240:AC240)=5,"DONE","INCOMPLETE")))</x:f>
        <x:v>PENDING</x:v>
      </x:c>
    </x:row>
    <x:row r="241">
      <x:c r="A241" s="151" t="str">
        <x:v>inclusion</x:v>
      </x:c>
      <x:c r="B241" s="151" t="str">
        <x:v>SV-0278</x:v>
      </x:c>
      <x:c r="C241" s="151" t="str">
        <x:v>PC-01714</x:v>
      </x:c>
      <x:c r="D241" s="151" t="str">
        <x:v>en|claude_only</x:v>
      </x:c>
      <x:c r="E241" s="151" t="n">
        <x:v>19.375</x:v>
      </x:c>
      <x:c r="F241" s="151" t="str">
        <x:v>Bank of Ghana (eCedi)</x:v>
      </x:c>
      <x:c r="G241" s="151" t="str">
        <x:v>This preserves the existing architecture that 
provides consumers the desired level of privacy 
without limiting the central bank or any state 
mandated agency’s legal access to wallet or 
transaction related information.</x:v>
      </x:c>
      <x:c r="H241" s="151" t="str">
        <x:v>exclude</x:v>
      </x:c>
      <x:c r="I241" s="151" t="str">
        <x:v>keep</x:v>
      </x:c>
      <x:c r="J241" s="151"/>
      <x:c r="K241" s="151" t="str">
        <x:v>PRIV.BAL</x:v>
      </x:c>
      <x:c r="L241" s="151" t="str"/>
      <x:c r="M241" s="151" t="str">
        <x:v>PRIV</x:v>
      </x:c>
      <x:c r="N241" s="151"/>
      <x:c r="O241" s="151" t="str">
        <x:v>decision</x:v>
      </x:c>
      <x:c r="P241" s="151"/>
      <x:c r="Q241" s="151" t="str">
        <x:v>conditional</x:v>
      </x:c>
      <x:c r="R241" s="151"/>
      <x:c r="S241" s="151" t="str">
        <x:v>from_state</x:v>
      </x:c>
      <x:c r="T241" s="151"/>
      <x:c r="U241" s="151" t="n">
        <x:v>3</x:v>
      </x:c>
      <x:c r="V241" s="151"/>
      <x:c r="W241" s="151"/>
      <x:c r="X241" s="146"/>
      <x:c r="Y241" s="146"/>
      <x:c r="Z241" s="146"/>
      <x:c r="AA241" s="146"/>
      <x:c r="AB241" s="146"/>
      <x:c r="AC241" s="146"/>
      <x:c r="AD241" s="146"/>
      <x:c r="AE241" s="146"/>
      <x:c r="AF241" s="154" t="str">
        <x:f>IF(X241="","PENDING",IF(X241="exclude","DONE",IF(COUNTA(Y241:AC241)=5,"DONE","INCOMPLETE")))</x:f>
        <x:v>PENDING</x:v>
      </x:c>
    </x:row>
    <x:row r="242">
      <x:c r="A242" s="151" t="str">
        <x:v>inclusion</x:v>
      </x:c>
      <x:c r="B242" s="151" t="str">
        <x:v>SV-0279</x:v>
      </x:c>
      <x:c r="C242" s="151" t="str">
        <x:v>PC-05615</x:v>
      </x:c>
      <x:c r="D242" s="151" t="str">
        <x:v>en|claude_only</x:v>
      </x:c>
      <x:c r="E242" s="151" t="n">
        <x:v>19.375</x:v>
      </x:c>
      <x:c r="F242" s="151" t="str">
        <x:v>Bank of Thailand (retail CBDC pilot)</x:v>
      </x:c>
      <x:c r="G242" s="151" t="str">
        <x:v>The tests indicated that the CBDC design 
functioned well for minting, distribution, and 
melting of CBDC</x:v>
      </x:c>
      <x:c r="H242" s="151" t="str">
        <x:v>exclude</x:v>
      </x:c>
      <x:c r="I242" s="151" t="str">
        <x:v>keep</x:v>
      </x:c>
      <x:c r="J242" s="151"/>
      <x:c r="K242" s="151" t="str">
        <x:v>SYS.design</x:v>
      </x:c>
      <x:c r="L242" s="151" t="str"/>
      <x:c r="M242" s="151" t="str">
        <x:v>SYS</x:v>
      </x:c>
      <x:c r="N242" s="151"/>
      <x:c r="O242" s="151" t="str">
        <x:v>finding</x:v>
      </x:c>
      <x:c r="P242" s="151"/>
      <x:c r="Q242" s="151" t="str">
        <x:v>neutral</x:v>
      </x:c>
      <x:c r="R242" s="151"/>
      <x:c r="S242" s="151" t="str">
        <x:v>not_applicable</x:v>
      </x:c>
      <x:c r="T242" s="151"/>
      <x:c r="U242" s="151" t="n">
        <x:v>3</x:v>
      </x:c>
      <x:c r="V242" s="151"/>
      <x:c r="W242" s="151"/>
      <x:c r="X242" s="146"/>
      <x:c r="Y242" s="146"/>
      <x:c r="Z242" s="146"/>
      <x:c r="AA242" s="146"/>
      <x:c r="AB242" s="146"/>
      <x:c r="AC242" s="146"/>
      <x:c r="AD242" s="146"/>
      <x:c r="AE242" s="146"/>
      <x:c r="AF242" s="154" t="str">
        <x:f>IF(X242="","PENDING",IF(X242="exclude","DONE",IF(COUNTA(Y242:AC242)=5,"DONE","INCOMPLETE")))</x:f>
        <x:v>PENDING</x:v>
      </x:c>
    </x:row>
    <x:row r="243">
      <x:c r="A243" s="151" t="str">
        <x:v>inclusion</x:v>
      </x:c>
      <x:c r="B243" s="151" t="str">
        <x:v>SV-0280</x:v>
      </x:c>
      <x:c r="C243" s="151" t="str">
        <x:v>PC-00538</x:v>
      </x:c>
      <x:c r="D243" s="151" t="str">
        <x:v>en|both</x:v>
      </x:c>
      <x:c r="E243" s="151" t="n">
        <x:v>19.069444444444443</x:v>
      </x:c>
      <x:c r="F243" s="151" t="str">
        <x:v>Central Bank of The Bahamas (Sand Dollar)</x:v>
      </x:c>
      <x:c r="G243" s="151" t="str">
        <x:v>Monitoring for fraud detection.</x:v>
      </x:c>
      <x:c r="H243" s="151" t="str">
        <x:v>exclude</x:v>
      </x:c>
      <x:c r="I243" s="151" t="str">
        <x:v>keep</x:v>
      </x:c>
      <x:c r="J243" s="151"/>
      <x:c r="K243" s="151" t="str">
        <x:v>OPS.resilience</x:v>
      </x:c>
      <x:c r="L243" s="151" t="str"/>
      <x:c r="M243" s="151" t="str">
        <x:v>OPS</x:v>
      </x:c>
      <x:c r="N243" s="151"/>
      <x:c r="O243" s="151" t="str">
        <x:v>decision</x:v>
      </x:c>
      <x:c r="P243" s="151"/>
      <x:c r="Q243" s="151" t="str">
        <x:v>neutral</x:v>
      </x:c>
      <x:c r="R243" s="151"/>
      <x:c r="S243" s="151" t="str">
        <x:v>not_applicable</x:v>
      </x:c>
      <x:c r="T243" s="151"/>
      <x:c r="U243" s="151" t="n">
        <x:v>1</x:v>
      </x:c>
      <x:c r="V243" s="151"/>
      <x:c r="W243" s="151"/>
      <x:c r="X243" s="146"/>
      <x:c r="Y243" s="146"/>
      <x:c r="Z243" s="146"/>
      <x:c r="AA243" s="146"/>
      <x:c r="AB243" s="146"/>
      <x:c r="AC243" s="146"/>
      <x:c r="AD243" s="146"/>
      <x:c r="AE243" s="146"/>
      <x:c r="AF243" s="154" t="str">
        <x:f>IF(X243="","PENDING",IF(X243="exclude","DONE",IF(COUNTA(Y243:AC243)=5,"DONE","INCOMPLETE")))</x:f>
        <x:v>PENDING</x:v>
      </x:c>
    </x:row>
    <x:row r="244">
      <x:c r="A244" s="151" t="str">
        <x:v>code</x:v>
      </x:c>
      <x:c r="B244" s="151" t="str">
        <x:v>SV-0281</x:v>
      </x:c>
      <x:c r="C244" s="151" t="str">
        <x:v>PC-06339</x:v>
      </x:c>
      <x:c r="D244" s="151" t="str">
        <x:v>en|both</x:v>
      </x:c>
      <x:c r="E244" s="151" t="n">
        <x:v>19.069444444444443</x:v>
      </x:c>
      <x:c r="F244" s="151" t="str">
        <x:v>Bank of England and HM Treasury (digital pound)</x:v>
      </x:c>
      <x:c r="G244" s="151" t="str">
        <x:v>it is likely that the CBDC system would be designed to allow merchants to use 
existing PoS terminals to accept CBDC payments.</x:v>
      </x:c>
      <x:c r="H244" s="151" t="str">
        <x:v>keep</x:v>
      </x:c>
      <x:c r="I244" s="151" t="str">
        <x:v>keep</x:v>
      </x:c>
      <x:c r="J244" s="151" t="str">
        <x:v>INTEROP.domestic</x:v>
      </x:c>
      <x:c r="K244" s="151" t="str">
        <x:v>SYS.design</x:v>
      </x:c>
      <x:c r="L244" s="151" t="str">
        <x:v>INTEROP</x:v>
      </x:c>
      <x:c r="M244" s="151" t="str">
        <x:v>SYS</x:v>
      </x:c>
      <x:c r="N244" s="151" t="str">
        <x:v>proposal</x:v>
      </x:c>
      <x:c r="O244" s="151" t="str">
        <x:v>proposal</x:v>
      </x:c>
      <x:c r="P244" s="151" t="str">
        <x:v>neutral</x:v>
      </x:c>
      <x:c r="Q244" s="151" t="str">
        <x:v>neutral</x:v>
      </x:c>
      <x:c r="R244" s="151" t="str">
        <x:v>not_applicable</x:v>
      </x:c>
      <x:c r="S244" s="151" t="str">
        <x:v>not_applicable</x:v>
      </x:c>
      <x:c r="T244" s="151" t="n">
        <x:v>2</x:v>
      </x:c>
      <x:c r="U244" s="151" t="n">
        <x:v>2</x:v>
      </x:c>
      <x:c r="V244" s="151"/>
      <x:c r="W244" s="151"/>
      <x:c r="X244" s="146"/>
      <x:c r="Y244" s="146"/>
      <x:c r="Z244" s="146"/>
      <x:c r="AA244" s="146"/>
      <x:c r="AB244" s="146"/>
      <x:c r="AC244" s="146"/>
      <x:c r="AD244" s="146"/>
      <x:c r="AE244" s="146"/>
      <x:c r="AF244" s="154" t="str">
        <x:f>IF(X244="","PENDING",IF(X244="exclude","DONE",IF(COUNTA(Y244:AC244)=5,"DONE","INCOMPLETE")))</x:f>
        <x:v>PENDING</x:v>
      </x:c>
    </x:row>
    <x:row r="245">
      <x:c r="A245" s="151" t="str">
        <x:v>code|odr|privacy_direction</x:v>
      </x:c>
      <x:c r="B245" s="151" t="str">
        <x:v>SV-0282</x:v>
      </x:c>
      <x:c r="C245" s="151" t="str">
        <x:v>PC-04339</x:v>
      </x:c>
      <x:c r="D245" s="151" t="str">
        <x:v>en|both</x:v>
      </x:c>
      <x:c r="E245" s="151" t="n">
        <x:v>19.069444444444443</x:v>
      </x:c>
      <x:c r="F245" s="151" t="str">
        <x:v>Norges Bank (Norwegian CBDC work)</x:v>
      </x:c>
      <x:c r="G245" s="151" t="str">
        <x:v>Krav til kundekontroll19 vil likevel innebære at det må gjøres koblinger mellom 
«tokens» og identitet, for eksempel ved on-boarding av nye brukere, store 
transaksjoner og mistenkelige transaksjoner.</x:v>
      </x:c>
      <x:c r="H245" s="151" t="str">
        <x:v>keep</x:v>
      </x:c>
      <x:c r="I245" s="151" t="str">
        <x:v>keep</x:v>
      </x:c>
      <x:c r="J245" s="151" t="str">
        <x:v>PRIV.MIN</x:v>
      </x:c>
      <x:c r="K245" s="151" t="str">
        <x:v>KYC.TIER</x:v>
      </x:c>
      <x:c r="L245" s="151" t="str">
        <x:v>PRIV</x:v>
      </x:c>
      <x:c r="M245" s="151" t="str">
        <x:v>KYC</x:v>
      </x:c>
      <x:c r="N245" s="151" t="str">
        <x:v>proposal</x:v>
      </x:c>
      <x:c r="O245" s="151" t="str">
        <x:v>decision</x:v>
      </x:c>
      <x:c r="P245" s="151" t="str">
        <x:v>increases</x:v>
      </x:c>
      <x:c r="Q245" s="151" t="str">
        <x:v>decreases</x:v>
      </x:c>
      <x:c r="R245" s="151" t="str">
        <x:v>from_state</x:v>
      </x:c>
      <x:c r="S245" s="151" t="str">
        <x:v>from_state</x:v>
      </x:c>
      <x:c r="T245" s="151" t="n">
        <x:v>2</x:v>
      </x:c>
      <x:c r="U245" s="151" t="n">
        <x:v>2</x:v>
      </x:c>
      <x:c r="V245" s="151"/>
      <x:c r="W245" s="151"/>
      <x:c r="X245" s="146"/>
      <x:c r="Y245" s="146"/>
      <x:c r="Z245" s="146"/>
      <x:c r="AA245" s="146"/>
      <x:c r="AB245" s="146"/>
      <x:c r="AC245" s="146"/>
      <x:c r="AD245" s="146"/>
      <x:c r="AE245" s="146"/>
      <x:c r="AF245" s="154" t="str">
        <x:f>IF(X245="","PENDING",IF(X245="exclude","DONE",IF(COUNTA(Y245:AC245)=5,"DONE","INCOMPLETE")))</x:f>
        <x:v>PENDING</x:v>
      </x:c>
    </x:row>
    <x:row r="246">
      <x:c r="A246" s="151" t="str">
        <x:v>inclusion</x:v>
      </x:c>
      <x:c r="B246" s="151" t="str">
        <x:v>SV-0283</x:v>
      </x:c>
      <x:c r="C246" s="151" t="str">
        <x:v>PC-03564</x:v>
      </x:c>
      <x:c r="D246" s="151" t="str">
        <x:v>en|claude_only</x:v>
      </x:c>
      <x:c r="E246" s="151" t="n">
        <x:v>19.375</x:v>
      </x:c>
      <x:c r="F246" s="151" t="str">
        <x:v>Banca d'Italia research context</x:v>
      </x:c>
      <x:c r="G246" s="151" t="str">
        <x:v>the itCoin infrastructure would be one layer of the system, built by the 
Eurosystem for intermediaries, which in turn would be in charge of building, 
on top of it, a layer for retail users.</x:v>
      </x:c>
      <x:c r="H246" s="151" t="str">
        <x:v>exclude</x:v>
      </x:c>
      <x:c r="I246" s="151" t="str">
        <x:v>keep</x:v>
      </x:c>
      <x:c r="J246" s="151"/>
      <x:c r="K246" s="151" t="str">
        <x:v>SYS.design</x:v>
      </x:c>
      <x:c r="L246" s="151" t="str"/>
      <x:c r="M246" s="151" t="str">
        <x:v>SYS</x:v>
      </x:c>
      <x:c r="N246" s="151"/>
      <x:c r="O246" s="151" t="str">
        <x:v>proposal</x:v>
      </x:c>
      <x:c r="P246" s="151"/>
      <x:c r="Q246" s="151" t="str">
        <x:v>neutral</x:v>
      </x:c>
      <x:c r="R246" s="151"/>
      <x:c r="S246" s="151" t="str">
        <x:v>not_applicable</x:v>
      </x:c>
      <x:c r="T246" s="151"/>
      <x:c r="U246" s="151" t="n">
        <x:v>3</x:v>
      </x:c>
      <x:c r="V246" s="151"/>
      <x:c r="W246" s="151"/>
      <x:c r="X246" s="146"/>
      <x:c r="Y246" s="146"/>
      <x:c r="Z246" s="146"/>
      <x:c r="AA246" s="146"/>
      <x:c r="AB246" s="146"/>
      <x:c r="AC246" s="146"/>
      <x:c r="AD246" s="146"/>
      <x:c r="AE246" s="146"/>
      <x:c r="AF246" s="154" t="str">
        <x:f>IF(X246="","PENDING",IF(X246="exclude","DONE",IF(COUNTA(Y246:AC246)=5,"DONE","INCOMPLETE")))</x:f>
        <x:v>PENDING</x:v>
      </x:c>
    </x:row>
    <x:row r="247">
      <x:c r="A247" s="151" t="str">
        <x:v>inclusion</x:v>
      </x:c>
      <x:c r="B247" s="151" t="str">
        <x:v>SV-0284</x:v>
      </x:c>
      <x:c r="C247" s="151" t="str">
        <x:v>PC-01619</x:v>
      </x:c>
      <x:c r="D247" s="151" t="str">
        <x:v>en|openai_only</x:v>
      </x:c>
      <x:c r="E247" s="151" t="n">
        <x:v>19.21875</x:v>
      </x:c>
      <x:c r="F247" s="151" t="str">
        <x:v>Bank of Ghana (eCedi)</x:v>
      </x:c>
      <x:c r="G247" s="151" t="str">
        <x:v>Redemption of the eCedi to Cedi is 
available at any time.</x:v>
      </x:c>
      <x:c r="H247" s="151" t="str">
        <x:v>keep</x:v>
      </x:c>
      <x:c r="I247" s="151" t="str">
        <x:v>exclude</x:v>
      </x:c>
      <x:c r="J247" s="151" t="str">
        <x:v>INTEROP.domestic</x:v>
      </x:c>
      <x:c r="K247" s="151"/>
      <x:c r="L247" s="151" t="str">
        <x:v>INTEROP</x:v>
      </x:c>
      <x:c r="M247" s="151" t="str"/>
      <x:c r="N247" s="151" t="str">
        <x:v>decision</x:v>
      </x:c>
      <x:c r="O247" s="151"/>
      <x:c r="P247" s="151" t="str">
        <x:v>neutral</x:v>
      </x:c>
      <x:c r="Q247" s="151"/>
      <x:c r="R247" s="151" t="str">
        <x:v>not_applicable</x:v>
      </x:c>
      <x:c r="S247" s="151"/>
      <x:c r="T247" s="151" t="n">
        <x:v>2</x:v>
      </x:c>
      <x:c r="U247" s="151"/>
      <x:c r="V247" s="151"/>
      <x:c r="W247" s="151"/>
      <x:c r="X247" s="146"/>
      <x:c r="Y247" s="146"/>
      <x:c r="Z247" s="146"/>
      <x:c r="AA247" s="146"/>
      <x:c r="AB247" s="146"/>
      <x:c r="AC247" s="146"/>
      <x:c r="AD247" s="146"/>
      <x:c r="AE247" s="146"/>
      <x:c r="AF247" s="154" t="str">
        <x:f>IF(X247="","PENDING",IF(X247="exclude","DONE",IF(COUNTA(Y247:AC247)=5,"DONE","INCOMPLETE")))</x:f>
        <x:v>PENDING</x:v>
      </x:c>
    </x:row>
    <x:row r="248">
      <x:c r="A248" s="151" t="str">
        <x:v>code</x:v>
      </x:c>
      <x:c r="B248" s="151" t="str">
        <x:v>SV-0285</x:v>
      </x:c>
      <x:c r="C248" s="151" t="str">
        <x:v>PC-02130</x:v>
      </x:c>
      <x:c r="D248" s="151" t="str">
        <x:v>en|both</x:v>
      </x:c>
      <x:c r="E248" s="151" t="n">
        <x:v>19.069444444444443</x:v>
      </x:c>
      <x:c r="F248" s="151" t="str">
        <x:v>Hong Kong Monetary Authority (e-HKD)</x:v>
      </x:c>
      <x:c r="G248" s="151" t="str">
        <x:v>Unless adequate safeguards (see Section 4.1) are in place, the issuance and 
redemption of e-HKD under the AB approach may lead to increased volatility of 
the AB and hence HKD interbank liquidity conditions. The effect could be material 
if the AB were to drop to low levels, for example, during a financial crisis period 
with a deposit flight into e-HKD.</x:v>
      </x:c>
      <x:c r="H248" s="151" t="str">
        <x:v>keep</x:v>
      </x:c>
      <x:c r="I248" s="151" t="str">
        <x:v>keep</x:v>
      </x:c>
      <x:c r="J248" s="151" t="str">
        <x:v>STAB.disintermediation</x:v>
      </x:c>
      <x:c r="K248" s="151" t="str">
        <x:v>SYS.design</x:v>
      </x:c>
      <x:c r="L248" s="151" t="str">
        <x:v>STAB</x:v>
      </x:c>
      <x:c r="M248" s="151" t="str">
        <x:v>SYS</x:v>
      </x:c>
      <x:c r="N248" s="151" t="str">
        <x:v>proposal</x:v>
      </x:c>
      <x:c r="O248" s="151" t="str">
        <x:v>proposal</x:v>
      </x:c>
      <x:c r="P248" s="151" t="str">
        <x:v>neutral</x:v>
      </x:c>
      <x:c r="Q248" s="151" t="str">
        <x:v>neutral</x:v>
      </x:c>
      <x:c r="R248" s="151" t="str">
        <x:v>not_applicable</x:v>
      </x:c>
      <x:c r="S248" s="151" t="str">
        <x:v>not_applicable</x:v>
      </x:c>
      <x:c r="T248" s="151" t="n">
        <x:v>2</x:v>
      </x:c>
      <x:c r="U248" s="151" t="n">
        <x:v>2</x:v>
      </x:c>
      <x:c r="V248" s="151"/>
      <x:c r="W248" s="151"/>
      <x:c r="X248" s="146"/>
      <x:c r="Y248" s="146"/>
      <x:c r="Z248" s="146"/>
      <x:c r="AA248" s="146"/>
      <x:c r="AB248" s="146"/>
      <x:c r="AC248" s="146"/>
      <x:c r="AD248" s="146"/>
      <x:c r="AE248" s="146"/>
      <x:c r="AF248" s="154" t="str">
        <x:f>IF(X248="","PENDING",IF(X248="exclude","DONE",IF(COUNTA(Y248:AC248)=5,"DONE","INCOMPLETE")))</x:f>
        <x:v>PENDING</x:v>
      </x:c>
    </x:row>
    <x:row r="249">
      <x:c r="A249" s="151" t="str">
        <x:v>odr</x:v>
      </x:c>
      <x:c r="B249" s="151" t="str">
        <x:v>SV-0286</x:v>
      </x:c>
      <x:c r="C249" s="151" t="str">
        <x:v>PC-00392</x:v>
      </x:c>
      <x:c r="D249" s="151" t="str">
        <x:v>en|claude_only</x:v>
      </x:c>
      <x:c r="E249" s="151" t="n">
        <x:v>19.375</x:v>
      </x:c>
      <x:c r="F249" s="151" t="str">
        <x:v>Aruba policy study / Central Bank of Aruba</x:v>
      </x:c>
      <x:c r="G249" s="151" t="str">
        <x:v>Users cannot conduct high-value 
transactions by putting a cap on CBDC holdings, mitigating 
sizeable potential outflows from commercial bank deposits to 
CBDC holdings</x:v>
      </x:c>
      <x:c r="H249" s="151" t="str">
        <x:v>keep</x:v>
      </x:c>
      <x:c r="I249" s="151" t="str">
        <x:v>keep</x:v>
      </x:c>
      <x:c r="J249" s="151" t="str">
        <x:v>AML.LIMIT</x:v>
      </x:c>
      <x:c r="K249" s="151" t="str">
        <x:v>AML.LIMIT</x:v>
      </x:c>
      <x:c r="L249" s="151" t="str">
        <x:v>AML</x:v>
      </x:c>
      <x:c r="M249" s="151" t="str">
        <x:v>AML</x:v>
      </x:c>
      <x:c r="N249" s="151" t="str">
        <x:v>decision</x:v>
      </x:c>
      <x:c r="O249" s="151" t="str">
        <x:v>proposal</x:v>
      </x:c>
      <x:c r="P249" s="151" t="str">
        <x:v>neutral</x:v>
      </x:c>
      <x:c r="Q249" s="151" t="str">
        <x:v>neutral</x:v>
      </x:c>
      <x:c r="R249" s="151" t="str">
        <x:v>not_applicable</x:v>
      </x:c>
      <x:c r="S249" s="151" t="str">
        <x:v>not_applicable</x:v>
      </x:c>
      <x:c r="T249" s="151" t="n">
        <x:v>2</x:v>
      </x:c>
      <x:c r="U249" s="151" t="n">
        <x:v>2</x:v>
      </x:c>
      <x:c r="V249" s="151"/>
      <x:c r="W249" s="151"/>
      <x:c r="X249" s="146"/>
      <x:c r="Y249" s="146"/>
      <x:c r="Z249" s="146"/>
      <x:c r="AA249" s="146"/>
      <x:c r="AB249" s="146"/>
      <x:c r="AC249" s="146"/>
      <x:c r="AD249" s="146"/>
      <x:c r="AE249" s="146"/>
      <x:c r="AF249" s="154" t="str">
        <x:f>IF(X249="","PENDING",IF(X249="exclude","DONE",IF(COUNTA(Y249:AC249)=5,"DONE","INCOMPLETE")))</x:f>
        <x:v>PENDING</x:v>
      </x:c>
    </x:row>
    <x:row r="250">
      <x:c r="A250" s="151" t="str">
        <x:v>code</x:v>
      </x:c>
      <x:c r="B250" s="151" t="str">
        <x:v>SV-0287</x:v>
      </x:c>
      <x:c r="C250" s="151" t="str">
        <x:v>PC-04575</x:v>
      </x:c>
      <x:c r="D250" s="151" t="str">
        <x:v>en|both</x:v>
      </x:c>
      <x:c r="E250" s="151" t="n">
        <x:v>19.069444444444443</x:v>
      </x:c>
      <x:c r="F250" s="151" t="str">
        <x:v>Reserve Bank of New Zealand</x:v>
      </x:c>
      <x:c r="G250" s="151" t="str">
        <x:v>Universal: A CBDC should provide low-cost, basic saving and payments to all households, including 
those that are financially and digitally excluded.</x:v>
      </x:c>
      <x:c r="H250" s="151" t="str">
        <x:v>keep</x:v>
      </x:c>
      <x:c r="I250" s="151" t="str">
        <x:v>keep</x:v>
      </x:c>
      <x:c r="J250" s="151" t="str">
        <x:v>ADOPT.experience</x:v>
      </x:c>
      <x:c r="K250" s="151" t="str">
        <x:v>ACCESS.universal</x:v>
      </x:c>
      <x:c r="L250" s="151" t="str">
        <x:v>ADOPT</x:v>
      </x:c>
      <x:c r="M250" s="151" t="str">
        <x:v>ACCESS</x:v>
      </x:c>
      <x:c r="N250" s="151" t="str">
        <x:v>proposal</x:v>
      </x:c>
      <x:c r="O250" s="151" t="str">
        <x:v>proposal</x:v>
      </x:c>
      <x:c r="P250" s="151" t="str">
        <x:v>neutral</x:v>
      </x:c>
      <x:c r="Q250" s="151" t="str">
        <x:v>neutral</x:v>
      </x:c>
      <x:c r="R250" s="151" t="str">
        <x:v>not_applicable</x:v>
      </x:c>
      <x:c r="S250" s="151" t="str">
        <x:v>not_applicable</x:v>
      </x:c>
      <x:c r="T250" s="151" t="n">
        <x:v>2</x:v>
      </x:c>
      <x:c r="U250" s="151" t="n">
        <x:v>2</x:v>
      </x:c>
      <x:c r="V250" s="151"/>
      <x:c r="W250" s="151"/>
      <x:c r="X250" s="146"/>
      <x:c r="Y250" s="146"/>
      <x:c r="Z250" s="146"/>
      <x:c r="AA250" s="146"/>
      <x:c r="AB250" s="146"/>
      <x:c r="AC250" s="146"/>
      <x:c r="AD250" s="146"/>
      <x:c r="AE250" s="146"/>
      <x:c r="AF250" s="154" t="str">
        <x:f>IF(X250="","PENDING",IF(X250="exclude","DONE",IF(COUNTA(Y250:AC250)=5,"DONE","INCOMPLETE")))</x:f>
        <x:v>PENDING</x:v>
      </x:c>
    </x:row>
    <x:row r="251">
      <x:c r="A251" s="151" t="str">
        <x:v>code|privacy_relation|strength</x:v>
      </x:c>
      <x:c r="B251" s="151" t="str">
        <x:v>SV-0288</x:v>
      </x:c>
      <x:c r="C251" s="151" t="str">
        <x:v>PC-03402</x:v>
      </x:c>
      <x:c r="D251" s="151" t="str">
        <x:v>en|both</x:v>
      </x:c>
      <x:c r="E251" s="151" t="n">
        <x:v>19.069444444444443</x:v>
      </x:c>
      <x:c r="F251" s="151" t="str">
        <x:v>Reserve Bank of India (digital rupee)</x:v>
      </x:c>
      <x:c r="G251" s="151" t="str">
        <x:v>While dependency on external entity shall 
allow recoverability, it may also compromise 
with anonymity as the service provider shall 
always hav e visibility over the token 
movements in and out of the wallet.</x:v>
      </x:c>
      <x:c r="H251" s="151" t="str">
        <x:v>keep</x:v>
      </x:c>
      <x:c r="I251" s="151" t="str">
        <x:v>keep</x:v>
      </x:c>
      <x:c r="J251" s="151" t="str">
        <x:v>PRIV.CB.visibility.transparent</x:v>
      </x:c>
      <x:c r="K251" s="151" t="str">
        <x:v>PRIV.ANON</x:v>
      </x:c>
      <x:c r="L251" s="151" t="str">
        <x:v>PRIV</x:v>
      </x:c>
      <x:c r="M251" s="151" t="str">
        <x:v>PRIV</x:v>
      </x:c>
      <x:c r="N251" s="151" t="str">
        <x:v>proposal</x:v>
      </x:c>
      <x:c r="O251" s="151" t="str">
        <x:v>proposal</x:v>
      </x:c>
      <x:c r="P251" s="151" t="str">
        <x:v>decreases</x:v>
      </x:c>
      <x:c r="Q251" s="151" t="str">
        <x:v>decreases</x:v>
      </x:c>
      <x:c r="R251" s="151" t="str">
        <x:v>from_state</x:v>
      </x:c>
      <x:c r="S251" s="151" t="str">
        <x:v>from_intermediary</x:v>
      </x:c>
      <x:c r="T251" s="151" t="n">
        <x:v>3</x:v>
      </x:c>
      <x:c r="U251" s="151" t="n">
        <x:v>2</x:v>
      </x:c>
      <x:c r="V251" s="151"/>
      <x:c r="W251" s="151"/>
      <x:c r="X251" s="146"/>
      <x:c r="Y251" s="146"/>
      <x:c r="Z251" s="146"/>
      <x:c r="AA251" s="146"/>
      <x:c r="AB251" s="146"/>
      <x:c r="AC251" s="146"/>
      <x:c r="AD251" s="146"/>
      <x:c r="AE251" s="146"/>
      <x:c r="AF251" s="154" t="str">
        <x:f>IF(X251="","PENDING",IF(X251="exclude","DONE",IF(COUNTA(Y251:AC251)=5,"DONE","INCOMPLETE")))</x:f>
        <x:v>PENDING</x:v>
      </x:c>
    </x:row>
    <x:row r="252">
      <x:c r="A252" s="151" t="str">
        <x:v>code|privacy_direction|privacy_relation</x:v>
      </x:c>
      <x:c r="B252" s="151" t="str">
        <x:v>SV-0289</x:v>
      </x:c>
      <x:c r="C252" s="151" t="str">
        <x:v>PC-05175</x:v>
      </x:c>
      <x:c r="D252" s="151" t="str">
        <x:v>en|both</x:v>
      </x:c>
      <x:c r="E252" s="151" t="n">
        <x:v>19.069444444444443</x:v>
      </x:c>
      <x:c r="F252" s="151" t="str">
        <x:v>Sveriges Riksbank (e-krona)</x:v>
      </x:c>
      <x:c r="G252" s="151" t="str">
        <x:v>The base solution should therefore be constructed so 
that it can be integrated with new modules and functions via open, standardised 
interfaces.</x:v>
      </x:c>
      <x:c r="H252" s="151" t="str">
        <x:v>keep</x:v>
      </x:c>
      <x:c r="I252" s="151" t="str">
        <x:v>keep</x:v>
      </x:c>
      <x:c r="J252" s="151" t="str">
        <x:v>PRIV.ANON</x:v>
      </x:c>
      <x:c r="K252" s="151" t="str">
        <x:v>SYS.design</x:v>
      </x:c>
      <x:c r="L252" s="151" t="str">
        <x:v>PRIV</x:v>
      </x:c>
      <x:c r="M252" s="151" t="str">
        <x:v>SYS</x:v>
      </x:c>
      <x:c r="N252" s="151" t="str">
        <x:v>proposal</x:v>
      </x:c>
      <x:c r="O252" s="151" t="str">
        <x:v>proposal</x:v>
      </x:c>
      <x:c r="P252" s="151" t="str">
        <x:v>decreases</x:v>
      </x:c>
      <x:c r="Q252" s="151" t="str">
        <x:v>neutral</x:v>
      </x:c>
      <x:c r="R252" s="151" t="str">
        <x:v>from_state</x:v>
      </x:c>
      <x:c r="S252" s="151" t="str">
        <x:v>not_applicable</x:v>
      </x:c>
      <x:c r="T252" s="151" t="n">
        <x:v>2</x:v>
      </x:c>
      <x:c r="U252" s="151" t="n">
        <x:v>2</x:v>
      </x:c>
      <x:c r="V252" s="151"/>
      <x:c r="W252" s="151"/>
      <x:c r="X252" s="146"/>
      <x:c r="Y252" s="146"/>
      <x:c r="Z252" s="146"/>
      <x:c r="AA252" s="146"/>
      <x:c r="AB252" s="146"/>
      <x:c r="AC252" s="146"/>
      <x:c r="AD252" s="146"/>
      <x:c r="AE252" s="146"/>
      <x:c r="AF252" s="154" t="str">
        <x:f>IF(X252="","PENDING",IF(X252="exclude","DONE",IF(COUNTA(Y252:AC252)=5,"DONE","INCOMPLETE")))</x:f>
        <x:v>PENDING</x:v>
      </x:c>
    </x:row>
    <x:row r="253">
      <x:c r="A253" s="151" t="str">
        <x:v>code</x:v>
      </x:c>
      <x:c r="B253" s="151" t="str">
        <x:v>SV-0290</x:v>
      </x:c>
      <x:c r="C253" s="151" t="str">
        <x:v>PC-03254</x:v>
      </x:c>
      <x:c r="D253" s="151" t="str">
        <x:v>en|both</x:v>
      </x:c>
      <x:c r="E253" s="151" t="n">
        <x:v>19.069444444444443</x:v>
      </x:c>
      <x:c r="F253" s="151" t="str">
        <x:v>Bank of Israel (digital shekel)</x:v>
      </x:c>
      <x:c r="G253" s="151" t="str">
        <x:v>While the user can choose the PSP for carrying out any payment transaction, it will likely be necessary to define a PSP 
as the default in  the receipt of payments. In this way, the payer will only need to know the payee’s general address 
without having to know anything else about the various PSPs with which the payee is a customer.</x:v>
      </x:c>
      <x:c r="H253" s="151" t="str">
        <x:v>keep</x:v>
      </x:c>
      <x:c r="I253" s="151" t="str">
        <x:v>keep</x:v>
      </x:c>
      <x:c r="J253" s="151" t="str">
        <x:v>INST.mandate</x:v>
      </x:c>
      <x:c r="K253" s="151" t="str">
        <x:v>SYS.design</x:v>
      </x:c>
      <x:c r="L253" s="151" t="str">
        <x:v>INST</x:v>
      </x:c>
      <x:c r="M253" s="151" t="str">
        <x:v>SYS</x:v>
      </x:c>
      <x:c r="N253" s="151" t="str">
        <x:v>proposal</x:v>
      </x:c>
      <x:c r="O253" s="151" t="str">
        <x:v>proposal</x:v>
      </x:c>
      <x:c r="P253" s="151" t="str">
        <x:v>neutral</x:v>
      </x:c>
      <x:c r="Q253" s="151" t="str">
        <x:v>neutral</x:v>
      </x:c>
      <x:c r="R253" s="151" t="str">
        <x:v>not_applicable</x:v>
      </x:c>
      <x:c r="S253" s="151" t="str">
        <x:v>not_applicable</x:v>
      </x:c>
      <x:c r="T253" s="151" t="n">
        <x:v>2</x:v>
      </x:c>
      <x:c r="U253" s="151" t="n">
        <x:v>2</x:v>
      </x:c>
      <x:c r="V253" s="151"/>
      <x:c r="W253" s="151"/>
      <x:c r="X253" s="146"/>
      <x:c r="Y253" s="146"/>
      <x:c r="Z253" s="146"/>
      <x:c r="AA253" s="146"/>
      <x:c r="AB253" s="146"/>
      <x:c r="AC253" s="146"/>
      <x:c r="AD253" s="146"/>
      <x:c r="AE253" s="146"/>
      <x:c r="AF253" s="154" t="str">
        <x:f>IF(X253="","PENDING",IF(X253="exclude","DONE",IF(COUNTA(Y253:AC253)=5,"DONE","INCOMPLETE")))</x:f>
        <x:v>PENDING</x:v>
      </x:c>
    </x:row>
    <x:row r="254">
      <x:c r="A254" s="151" t="str">
        <x:v>code|odr</x:v>
      </x:c>
      <x:c r="B254" s="151" t="str">
        <x:v>SV-0291</x:v>
      </x:c>
      <x:c r="C254" s="151" t="str">
        <x:v>PC-02065</x:v>
      </x:c>
      <x:c r="D254" s="151" t="str">
        <x:v>en|both</x:v>
      </x:c>
      <x:c r="E254" s="151" t="n">
        <x:v>19.069444444444443</x:v>
      </x:c>
      <x:c r="F254" s="151" t="str">
        <x:v>Hong Kong Monetary Authority (e-HKD Phase 2 pilots)</x:v>
      </x:c>
      <x:c r="G254" s="151" t="str">
        <x:v>Near-instant conversion at a low cost between an 
e-HKD and traditional forms of money, such as 
commercial bank deposits and physical cash, is 
also crucial, particularly in the initial stages when 
an e-HKD might not yet be universally accepted.</x:v>
      </x:c>
      <x:c r="H254" s="151" t="str">
        <x:v>keep</x:v>
      </x:c>
      <x:c r="I254" s="151" t="str">
        <x:v>keep</x:v>
      </x:c>
      <x:c r="J254" s="151" t="str">
        <x:v>INTEROP.domestic</x:v>
      </x:c>
      <x:c r="K254" s="151" t="str">
        <x:v>CASH.relation</x:v>
      </x:c>
      <x:c r="L254" s="151" t="str">
        <x:v>INTEROP</x:v>
      </x:c>
      <x:c r="M254" s="151" t="str">
        <x:v>CASH</x:v>
      </x:c>
      <x:c r="N254" s="151" t="str">
        <x:v>proposal</x:v>
      </x:c>
      <x:c r="O254" s="151" t="str">
        <x:v>finding</x:v>
      </x:c>
      <x:c r="P254" s="151" t="str">
        <x:v>neutral</x:v>
      </x:c>
      <x:c r="Q254" s="151" t="str">
        <x:v>neutral</x:v>
      </x:c>
      <x:c r="R254" s="151" t="str">
        <x:v>not_applicable</x:v>
      </x:c>
      <x:c r="S254" s="151" t="str">
        <x:v>not_applicable</x:v>
      </x:c>
      <x:c r="T254" s="151" t="n">
        <x:v>3</x:v>
      </x:c>
      <x:c r="U254" s="151" t="n">
        <x:v>3</x:v>
      </x:c>
      <x:c r="V254" s="151"/>
      <x:c r="W254" s="151" t="str">
        <x:v>x</x:v>
      </x:c>
      <x:c r="X254" s="146"/>
      <x:c r="Y254" s="146"/>
      <x:c r="Z254" s="146"/>
      <x:c r="AA254" s="146"/>
      <x:c r="AB254" s="146"/>
      <x:c r="AC254" s="146"/>
      <x:c r="AD254" s="146"/>
      <x:c r="AE254" s="146"/>
      <x:c r="AF254" s="154" t="str">
        <x:f>IF(X254="","PENDING",IF(X254="exclude","DONE",IF(COUNTA(Y254:AC254)=5,"DONE","INCOMPLETE")))</x:f>
        <x:v>PENDING</x:v>
      </x:c>
    </x:row>
    <x:row r="255">
      <x:c r="A255" s="151" t="str">
        <x:v>inclusion</x:v>
      </x:c>
      <x:c r="B255" s="151" t="str">
        <x:v>SV-0292</x:v>
      </x:c>
      <x:c r="C255" s="151" t="str">
        <x:v>PC-03854</x:v>
      </x:c>
      <x:c r="D255" s="151" t="str">
        <x:v>en|both</x:v>
      </x:c>
      <x:c r="E255" s="151" t="n">
        <x:v>19.069444444444443</x:v>
      </x:c>
      <x:c r="F255" s="151" t="str">
        <x:v>Bank of Japan</x:v>
      </x:c>
      <x:c r="G255" s="151" t="str">
        <x:v>In the case of the above configuration, compared with a case in which account transaction status 
management is performed within the orchestration system, in terms of performance, the processing 
load may be reduced because the upper-limit determination process can be closed to each system, 
while the processin g load may increase because more data is newly updated, such as balance 
increase schedules and upper-limit flexibility processing.</x:v>
      </x:c>
      <x:c r="H255" s="151" t="str">
        <x:v>exclude</x:v>
      </x:c>
      <x:c r="I255" s="151" t="str">
        <x:v>keep</x:v>
      </x:c>
      <x:c r="J255" s="151"/>
      <x:c r="K255" s="151" t="str">
        <x:v>SYS.design</x:v>
      </x:c>
      <x:c r="L255" s="151" t="str"/>
      <x:c r="M255" s="151" t="str">
        <x:v>SYS</x:v>
      </x:c>
      <x:c r="N255" s="151"/>
      <x:c r="O255" s="151" t="str">
        <x:v>finding</x:v>
      </x:c>
      <x:c r="P255" s="151"/>
      <x:c r="Q255" s="151" t="str">
        <x:v>neutral</x:v>
      </x:c>
      <x:c r="R255" s="151"/>
      <x:c r="S255" s="151" t="str">
        <x:v>not_applicable</x:v>
      </x:c>
      <x:c r="T255" s="151"/>
      <x:c r="U255" s="151" t="n">
        <x:v>2</x:v>
      </x:c>
      <x:c r="V255" s="151"/>
      <x:c r="W255" s="151"/>
      <x:c r="X255" s="146"/>
      <x:c r="Y255" s="146"/>
      <x:c r="Z255" s="146"/>
      <x:c r="AA255" s="146"/>
      <x:c r="AB255" s="146"/>
      <x:c r="AC255" s="146"/>
      <x:c r="AD255" s="146"/>
      <x:c r="AE255" s="146"/>
      <x:c r="AF255" s="154" t="str">
        <x:f>IF(X255="","PENDING",IF(X255="exclude","DONE",IF(COUNTA(Y255:AC255)=5,"DONE","INCOMPLETE")))</x:f>
        <x:v>PENDING</x:v>
      </x:c>
    </x:row>
    <x:row r="256">
      <x:c r="A256" s="151" t="str">
        <x:v>inclusion</x:v>
      </x:c>
      <x:c r="B256" s="151" t="str">
        <x:v>SV-0293</x:v>
      </x:c>
      <x:c r="C256" s="151" t="str">
        <x:v>PC-03803</x:v>
      </x:c>
      <x:c r="D256" s="151" t="str">
        <x:v>en|openai_only</x:v>
      </x:c>
      <x:c r="E256" s="151" t="n">
        <x:v>19.21875</x:v>
      </x:c>
      <x:c r="F256" s="151" t="str">
        <x:v>Bank of Japan</x:v>
      </x:c>
      <x:c r="G256" s="151" t="str">
        <x:v>Instructions are sent from the scheduled t ransaction management system to the 
orchestration system one by one at a specified time, after which the same process as for a 
standard remittance is executed.</x:v>
      </x:c>
      <x:c r="H256" s="151" t="str">
        <x:v>keep</x:v>
      </x:c>
      <x:c r="I256" s="151" t="str">
        <x:v>exclude</x:v>
      </x:c>
      <x:c r="J256" s="151" t="str">
        <x:v>SYS.design</x:v>
      </x:c>
      <x:c r="K256" s="151"/>
      <x:c r="L256" s="151" t="str">
        <x:v>SYS</x:v>
      </x:c>
      <x:c r="M256" s="151" t="str"/>
      <x:c r="N256" s="151" t="str">
        <x:v>decision</x:v>
      </x:c>
      <x:c r="O256" s="151"/>
      <x:c r="P256" s="151" t="str">
        <x:v>neutral</x:v>
      </x:c>
      <x:c r="Q256" s="151"/>
      <x:c r="R256" s="151" t="str">
        <x:v>not_applicable</x:v>
      </x:c>
      <x:c r="S256" s="151"/>
      <x:c r="T256" s="151" t="n">
        <x:v>2</x:v>
      </x:c>
      <x:c r="U256" s="151"/>
      <x:c r="V256" s="151"/>
      <x:c r="W256" s="151"/>
      <x:c r="X256" s="146"/>
      <x:c r="Y256" s="146"/>
      <x:c r="Z256" s="146"/>
      <x:c r="AA256" s="146"/>
      <x:c r="AB256" s="146"/>
      <x:c r="AC256" s="146"/>
      <x:c r="AD256" s="146"/>
      <x:c r="AE256" s="146"/>
      <x:c r="AF256" s="154" t="str">
        <x:f>IF(X256="","PENDING",IF(X256="exclude","DONE",IF(COUNTA(Y256:AC256)=5,"DONE","INCOMPLETE")))</x:f>
        <x:v>PENDING</x:v>
      </x:c>
    </x:row>
    <x:row r="257">
      <x:c r="A257" s="151" t="str">
        <x:v>inclusion</x:v>
      </x:c>
      <x:c r="B257" s="151" t="str">
        <x:v>SV-0295</x:v>
      </x:c>
      <x:c r="C257" s="151" t="str">
        <x:v>PC-03748</x:v>
      </x:c>
      <x:c r="D257" s="151" t="str">
        <x:v>ja|openai_only</x:v>
      </x:c>
      <x:c r="E257" s="151" t="n">
        <x:v>2</x:v>
      </x:c>
      <x:c r="F257" s="151" t="str">
        <x:v>Bank of Japan (CBDC pilot)</x:v>
      </x:c>
      <x:c r="G257" s="151" t="str">
        <x:v>このため、パイロット実験における実験用システムとして、中央システムだけでは
なく、仲介機関システム、中央システムと各仲介機関システムを結ぶ「仲介機関ネッ
トワーク」や、エンドポイントデバイス（スマートフォンやタブレットを利用したア
プリ）までを構築する。</x:v>
      </x:c>
      <x:c r="H257" s="151" t="str">
        <x:v>keep</x:v>
      </x:c>
      <x:c r="I257" s="151" t="str">
        <x:v>exclude</x:v>
      </x:c>
      <x:c r="J257" s="151" t="str">
        <x:v>INTEROP.domestic</x:v>
      </x:c>
      <x:c r="K257" s="151"/>
      <x:c r="L257" s="151" t="str">
        <x:v>INTEROP</x:v>
      </x:c>
      <x:c r="M257" s="151" t="str"/>
      <x:c r="N257" s="151" t="str">
        <x:v>proposal</x:v>
      </x:c>
      <x:c r="O257" s="151"/>
      <x:c r="P257" s="151" t="str">
        <x:v>neutral</x:v>
      </x:c>
      <x:c r="Q257" s="151"/>
      <x:c r="R257" s="151" t="str">
        <x:v>not_applicable</x:v>
      </x:c>
      <x:c r="S257" s="151"/>
      <x:c r="T257" s="151" t="n">
        <x:v>3</x:v>
      </x:c>
      <x:c r="U257" s="151"/>
      <x:c r="V257" s="151"/>
      <x:c r="W257" s="151"/>
      <x:c r="X257" s="146"/>
      <x:c r="Y257" s="146"/>
      <x:c r="Z257" s="146"/>
      <x:c r="AA257" s="146"/>
      <x:c r="AB257" s="146"/>
      <x:c r="AC257" s="146"/>
      <x:c r="AD257" s="146"/>
      <x:c r="AE257" s="146"/>
      <x:c r="AF257" s="154" t="str">
        <x:f>IF(X257="","PENDING",IF(X257="exclude","DONE",IF(COUNTA(Y257:AC257)=5,"DONE","INCOMPLETE")))</x:f>
        <x:v>PENDING</x:v>
      </x:c>
    </x:row>
    <x:row r="258">
      <x:c r="A258" s="151" t="str">
        <x:v>code|odr</x:v>
      </x:c>
      <x:c r="B258" s="151" t="str">
        <x:v>SV-0296</x:v>
      </x:c>
      <x:c r="C258" s="151" t="str">
        <x:v>PC-04538</x:v>
      </x:c>
      <x:c r="D258" s="151" t="str">
        <x:v>en|claude_only</x:v>
      </x:c>
      <x:c r="E258" s="151" t="n">
        <x:v>19.375</x:v>
      </x:c>
      <x:c r="F258" s="151" t="str">
        <x:v>Reserve Bank of New Zealand</x:v>
      </x:c>
      <x:c r="G258" s="151" t="str">
        <x:v>this issues paper focuses on a CBDC that would be issued to 
any individual or business that wants to use it. Such a ‘general-purpose’ CBDC27 would be closer in 
function to cash and better placed to fulfil the role of central bank money than a ‘wholesale’ CBDC.</x:v>
      </x:c>
      <x:c r="H258" s="151" t="str">
        <x:v>keep</x:v>
      </x:c>
      <x:c r="I258" s="151" t="str">
        <x:v>keep</x:v>
      </x:c>
      <x:c r="J258" s="151" t="str">
        <x:v>CASH.relation</x:v>
      </x:c>
      <x:c r="K258" s="151" t="str">
        <x:v>SYS.design</x:v>
      </x:c>
      <x:c r="L258" s="151" t="str">
        <x:v>CASH</x:v>
      </x:c>
      <x:c r="M258" s="151" t="str">
        <x:v>SYS</x:v>
      </x:c>
      <x:c r="N258" s="151" t="str">
        <x:v>decision</x:v>
      </x:c>
      <x:c r="O258" s="151" t="str">
        <x:v>proposal</x:v>
      </x:c>
      <x:c r="P258" s="151" t="str">
        <x:v>neutral</x:v>
      </x:c>
      <x:c r="Q258" s="151" t="str">
        <x:v>neutral</x:v>
      </x:c>
      <x:c r="R258" s="151" t="str">
        <x:v>not_applicable</x:v>
      </x:c>
      <x:c r="S258" s="151" t="str">
        <x:v>not_applicable</x:v>
      </x:c>
      <x:c r="T258" s="151" t="n">
        <x:v>2</x:v>
      </x:c>
      <x:c r="U258" s="151" t="n">
        <x:v>2</x:v>
      </x:c>
      <x:c r="V258" s="151"/>
      <x:c r="W258" s="151"/>
      <x:c r="X258" s="146"/>
      <x:c r="Y258" s="146"/>
      <x:c r="Z258" s="146"/>
      <x:c r="AA258" s="146"/>
      <x:c r="AB258" s="146"/>
      <x:c r="AC258" s="146"/>
      <x:c r="AD258" s="146"/>
      <x:c r="AE258" s="146"/>
      <x:c r="AF258" s="154" t="str">
        <x:f>IF(X258="","PENDING",IF(X258="exclude","DONE",IF(COUNTA(Y258:AC258)=5,"DONE","INCOMPLETE")))</x:f>
        <x:v>PENDING</x:v>
      </x:c>
    </x:row>
    <x:row r="259">
      <x:c r="A259" s="151" t="str">
        <x:v>code|strength</x:v>
      </x:c>
      <x:c r="B259" s="151" t="str">
        <x:v>SV-0297</x:v>
      </x:c>
      <x:c r="C259" s="151" t="str">
        <x:v>PC-06644</x:v>
      </x:c>
      <x:c r="D259" s="151" t="str">
        <x:v>en|both</x:v>
      </x:c>
      <x:c r="E259" s="151" t="n">
        <x:v>19.069444444444443</x:v>
      </x:c>
      <x:c r="F259" s="151" t="str">
        <x:v>Banco Central del Uruguay (e-Peso pilot)</x:v>
      </x:c>
      <x:c r="G259" s="151" t="str">
        <x:v>The use of cash for 
small payments is the rule and to limit CBDC to small amounts for each user is the 
strategy to fulfill cash use without harming other instruments.</x:v>
      </x:c>
      <x:c r="H259" s="151" t="str">
        <x:v>keep</x:v>
      </x:c>
      <x:c r="I259" s="151" t="str">
        <x:v>keep</x:v>
      </x:c>
      <x:c r="J259" s="151" t="str">
        <x:v>TECH.DLT</x:v>
      </x:c>
      <x:c r="K259" s="151" t="str">
        <x:v>AML.LIMIT</x:v>
      </x:c>
      <x:c r="L259" s="151" t="str">
        <x:v>TECH</x:v>
      </x:c>
      <x:c r="M259" s="151" t="str">
        <x:v>AML</x:v>
      </x:c>
      <x:c r="N259" s="151" t="str">
        <x:v>decision</x:v>
      </x:c>
      <x:c r="O259" s="151" t="str">
        <x:v>decision</x:v>
      </x:c>
      <x:c r="P259" s="151" t="str">
        <x:v>neutral</x:v>
      </x:c>
      <x:c r="Q259" s="151" t="str">
        <x:v>neutral</x:v>
      </x:c>
      <x:c r="R259" s="151" t="str">
        <x:v>not_applicable</x:v>
      </x:c>
      <x:c r="S259" s="151" t="str">
        <x:v>not_applicable</x:v>
      </x:c>
      <x:c r="T259" s="151" t="n">
        <x:v>3</x:v>
      </x:c>
      <x:c r="U259" s="151" t="n">
        <x:v>2</x:v>
      </x:c>
      <x:c r="V259" s="151"/>
      <x:c r="W259" s="151"/>
      <x:c r="X259" s="146"/>
      <x:c r="Y259" s="146"/>
      <x:c r="Z259" s="146"/>
      <x:c r="AA259" s="146"/>
      <x:c r="AB259" s="146"/>
      <x:c r="AC259" s="146"/>
      <x:c r="AD259" s="146"/>
      <x:c r="AE259" s="146"/>
      <x:c r="AF259" s="154" t="str">
        <x:f>IF(X259="","PENDING",IF(X259="exclude","DONE",IF(COUNTA(Y259:AC259)=5,"DONE","INCOMPLETE")))</x:f>
        <x:v>PENDING</x:v>
      </x:c>
    </x:row>
    <x:row r="260">
      <x:c r="A260" s="151" t="str">
        <x:v>code|odr|privacy_direction|privacy_relation</x:v>
      </x:c>
      <x:c r="B260" s="151" t="str">
        <x:v>SV-0298</x:v>
      </x:c>
      <x:c r="C260" s="151" t="str">
        <x:v>PC-06419</x:v>
      </x:c>
      <x:c r="D260" s="151" t="str">
        <x:v>en|both</x:v>
      </x:c>
      <x:c r="E260" s="151" t="n">
        <x:v>19.069444444444443</x:v>
      </x:c>
      <x:c r="F260" s="151" t="str">
        <x:v>Maldives Monetary Authority / Maldives CBDC policy study</x:v>
      </x:c>
      <x:c r="G260" s="151" t="str">
        <x:v>At present, n o 
such legislation is planned to be  introduced in the Maldives, although data protection 
laws wou ld a pply. Some data protec tion contr ols are already in place within the 
Maldives Banking Act and there is an expectation that a Data Privacy Act will be 
introduced.</x:v>
      </x:c>
      <x:c r="H260" s="151" t="str">
        <x:v>keep</x:v>
      </x:c>
      <x:c r="I260" s="151" t="str">
        <x:v>keep</x:v>
      </x:c>
      <x:c r="J260" s="151" t="str">
        <x:v>INST.mandate</x:v>
      </x:c>
      <x:c r="K260" s="151" t="str">
        <x:v>PRIV.MIN</x:v>
      </x:c>
      <x:c r="L260" s="151" t="str">
        <x:v>INST</x:v>
      </x:c>
      <x:c r="M260" s="151" t="str">
        <x:v>PRIV</x:v>
      </x:c>
      <x:c r="N260" s="151" t="str">
        <x:v>proposal</x:v>
      </x:c>
      <x:c r="O260" s="151" t="str">
        <x:v>finding</x:v>
      </x:c>
      <x:c r="P260" s="151" t="str">
        <x:v>neutral</x:v>
      </x:c>
      <x:c r="Q260" s="151" t="str">
        <x:v>increases</x:v>
      </x:c>
      <x:c r="R260" s="151" t="str">
        <x:v>not_applicable</x:v>
      </x:c>
      <x:c r="S260" s="151" t="str">
        <x:v>from_state</x:v>
      </x:c>
      <x:c r="T260" s="151" t="n">
        <x:v>2</x:v>
      </x:c>
      <x:c r="U260" s="151" t="n">
        <x:v>2</x:v>
      </x:c>
      <x:c r="V260" s="151"/>
      <x:c r="W260" s="151"/>
      <x:c r="X260" s="146"/>
      <x:c r="Y260" s="146"/>
      <x:c r="Z260" s="146"/>
      <x:c r="AA260" s="146"/>
      <x:c r="AB260" s="146"/>
      <x:c r="AC260" s="146"/>
      <x:c r="AD260" s="146"/>
      <x:c r="AE260" s="146"/>
      <x:c r="AF260" s="154" t="str">
        <x:f>IF(X260="","PENDING",IF(X260="exclude","DONE",IF(COUNTA(Y260:AC260)=5,"DONE","INCOMPLETE")))</x:f>
        <x:v>PENDING</x:v>
      </x:c>
    </x:row>
    <x:row r="261">
      <x:c r="A261" s="151" t="str">
        <x:v>odr|strength</x:v>
      </x:c>
      <x:c r="B261" s="151" t="str">
        <x:v>SV-0299</x:v>
      </x:c>
      <x:c r="C261" s="151" t="str">
        <x:v>PC-03699</x:v>
      </x:c>
      <x:c r="D261" s="151" t="str">
        <x:v>en|both</x:v>
      </x:c>
      <x:c r="E261" s="151" t="n">
        <x:v>19.069444444444443</x:v>
      </x:c>
      <x:c r="F261" s="151" t="str">
        <x:v>Bank of Japan</x:v>
      </x:c>
      <x:c r="G261" s="151" t="str">
        <x:v>In order for a CBDC to be secure, an adequate level of security would need to be assured 
regardless of the design, but this could make system processing performance lower or increase 
deployment/operating costs.</x:v>
      </x:c>
      <x:c r="H261" s="151" t="str">
        <x:v>keep</x:v>
      </x:c>
      <x:c r="I261" s="151" t="str">
        <x:v>keep</x:v>
      </x:c>
      <x:c r="J261" s="151" t="str">
        <x:v>OPS.resilience</x:v>
      </x:c>
      <x:c r="K261" s="151" t="str">
        <x:v>OPS.resilience</x:v>
      </x:c>
      <x:c r="L261" s="151" t="str">
        <x:v>OPS</x:v>
      </x:c>
      <x:c r="M261" s="151" t="str">
        <x:v>OPS</x:v>
      </x:c>
      <x:c r="N261" s="151" t="str">
        <x:v>proposal</x:v>
      </x:c>
      <x:c r="O261" s="151" t="str">
        <x:v>finding</x:v>
      </x:c>
      <x:c r="P261" s="151" t="str">
        <x:v>neutral</x:v>
      </x:c>
      <x:c r="Q261" s="151" t="str">
        <x:v>neutral</x:v>
      </x:c>
      <x:c r="R261" s="151" t="str">
        <x:v>not_applicable</x:v>
      </x:c>
      <x:c r="S261" s="151" t="str">
        <x:v>not_applicable</x:v>
      </x:c>
      <x:c r="T261" s="151" t="n">
        <x:v>3</x:v>
      </x:c>
      <x:c r="U261" s="151" t="n">
        <x:v>2</x:v>
      </x:c>
      <x:c r="V261" s="151"/>
      <x:c r="W261" s="151"/>
      <x:c r="X261" s="146"/>
      <x:c r="Y261" s="146"/>
      <x:c r="Z261" s="146"/>
      <x:c r="AA261" s="146"/>
      <x:c r="AB261" s="146"/>
      <x:c r="AC261" s="146"/>
      <x:c r="AD261" s="146"/>
      <x:c r="AE261" s="146"/>
      <x:c r="AF261" s="154" t="str">
        <x:f>IF(X261="","PENDING",IF(X261="exclude","DONE",IF(COUNTA(Y261:AC261)=5,"DONE","INCOMPLETE")))</x:f>
        <x:v>PENDING</x:v>
      </x:c>
    </x:row>
    <x:row r="262">
      <x:c r="A262" s="151" t="str">
        <x:v>inclusion</x:v>
      </x:c>
      <x:c r="B262" s="151" t="str">
        <x:v>SV-0300</x:v>
      </x:c>
      <x:c r="C262" s="151" t="str">
        <x:v>PC-04239</x:v>
      </x:c>
      <x:c r="D262" s="151" t="str">
        <x:v>en|openai_only</x:v>
      </x:c>
      <x:c r="E262" s="151" t="n">
        <x:v>19.21875</x:v>
      </x:c>
      <x:c r="F262" s="151" t="str">
        <x:v>Norges Bank</x:v>
      </x:c>
      <x:c r="G262" s="151" t="str">
        <x:v>Renten på DSP kan danne et gulv for styringsrenten og renten på kontopenger 
i en kontobasert modell.</x:v>
      </x:c>
      <x:c r="H262" s="151" t="str">
        <x:v>keep</x:v>
      </x:c>
      <x:c r="I262" s="151" t="str">
        <x:v>exclude</x:v>
      </x:c>
      <x:c r="J262" s="151" t="str">
        <x:v>PROG.remuneration_considered</x:v>
      </x:c>
      <x:c r="K262" s="151"/>
      <x:c r="L262" s="151" t="str">
        <x:v>PROG</x:v>
      </x:c>
      <x:c r="M262" s="151" t="str"/>
      <x:c r="N262" s="151" t="str">
        <x:v>finding</x:v>
      </x:c>
      <x:c r="O262" s="151"/>
      <x:c r="P262" s="151" t="str">
        <x:v>neutral</x:v>
      </x:c>
      <x:c r="Q262" s="151"/>
      <x:c r="R262" s="151" t="str">
        <x:v>not_applicable</x:v>
      </x:c>
      <x:c r="S262" s="151"/>
      <x:c r="T262" s="151" t="n">
        <x:v>2</x:v>
      </x:c>
      <x:c r="U262" s="151"/>
      <x:c r="V262" s="151"/>
      <x:c r="W262" s="151"/>
      <x:c r="X262" s="146"/>
      <x:c r="Y262" s="146"/>
      <x:c r="Z262" s="146"/>
      <x:c r="AA262" s="146"/>
      <x:c r="AB262" s="146"/>
      <x:c r="AC262" s="146"/>
      <x:c r="AD262" s="146"/>
      <x:c r="AE262" s="146"/>
      <x:c r="AF262" s="154" t="str">
        <x:f>IF(X262="","PENDING",IF(X262="exclude","DONE",IF(COUNTA(Y262:AC262)=5,"DONE","INCOMPLETE")))</x:f>
        <x:v>PENDING</x:v>
      </x:c>
    </x:row>
    <x:row r="263">
      <x:c r="A263" s="151" t="str">
        <x:v>code|odr|strength</x:v>
      </x:c>
      <x:c r="B263" s="151" t="str">
        <x:v>SV-0301</x:v>
      </x:c>
      <x:c r="C263" s="151" t="str">
        <x:v>PC-01592</x:v>
      </x:c>
      <x:c r="D263" s="151" t="str">
        <x:v>en|both</x:v>
      </x:c>
      <x:c r="E263" s="151" t="n">
        <x:v>19.069444444444443</x:v>
      </x:c>
      <x:c r="F263" s="151" t="str">
        <x:v>Bank of Ghana (eCedi)</x:v>
      </x:c>
      <x:c r="G263" s="151" t="str">
        <x:v>The eCedi will also support programmable use 
cases to enable innovation and new business 
models while maintaining the trust of the users. 
Notable among the programmable use cases 
are “government-to-person” and “person-to-
government” payments. In addition, it is capable 
of “machine-to-machine” automated payments 
in the Internet of Things.</x:v>
      </x:c>
      <x:c r="H263" s="151" t="str">
        <x:v>keep</x:v>
      </x:c>
      <x:c r="I263" s="151" t="str">
        <x:v>keep</x:v>
      </x:c>
      <x:c r="J263" s="151" t="str">
        <x:v>INTEROP.crossborder</x:v>
      </x:c>
      <x:c r="K263" s="151" t="str">
        <x:v>PROG.generic</x:v>
      </x:c>
      <x:c r="L263" s="151" t="str">
        <x:v>INTEROP</x:v>
      </x:c>
      <x:c r="M263" s="151" t="str">
        <x:v>PROG</x:v>
      </x:c>
      <x:c r="N263" s="151" t="str">
        <x:v>proposal</x:v>
      </x:c>
      <x:c r="O263" s="151" t="str">
        <x:v>decision</x:v>
      </x:c>
      <x:c r="P263" s="151" t="str">
        <x:v>neutral</x:v>
      </x:c>
      <x:c r="Q263" s="151" t="str">
        <x:v>neutral</x:v>
      </x:c>
      <x:c r="R263" s="151" t="str">
        <x:v>not_applicable</x:v>
      </x:c>
      <x:c r="S263" s="151" t="str">
        <x:v>not_applicable</x:v>
      </x:c>
      <x:c r="T263" s="151" t="n">
        <x:v>2</x:v>
      </x:c>
      <x:c r="U263" s="151" t="n">
        <x:v>3</x:v>
      </x:c>
      <x:c r="V263" s="151"/>
      <x:c r="W263" s="151"/>
      <x:c r="X263" s="146"/>
      <x:c r="Y263" s="146"/>
      <x:c r="Z263" s="146"/>
      <x:c r="AA263" s="146"/>
      <x:c r="AB263" s="146"/>
      <x:c r="AC263" s="146"/>
      <x:c r="AD263" s="146"/>
      <x:c r="AE263" s="146"/>
      <x:c r="AF263" s="154" t="str">
        <x:f>IF(X263="","PENDING",IF(X263="exclude","DONE",IF(COUNTA(Y263:AC263)=5,"DONE","INCOMPLETE")))</x:f>
        <x:v>PENDING</x:v>
      </x:c>
    </x:row>
    <x:row r="264">
      <x:c r="A264" s="151" t="str">
        <x:v>inclusion</x:v>
      </x:c>
      <x:c r="B264" s="151" t="str">
        <x:v>SV-0302</x:v>
      </x:c>
      <x:c r="C264" s="151" t="str">
        <x:v>PC-00692</x:v>
      </x:c>
      <x:c r="D264" s="151" t="str">
        <x:v>en|openai_only</x:v>
      </x:c>
      <x:c r="E264" s="151" t="n">
        <x:v>19.21875</x:v>
      </x:c>
      <x:c r="F264" s="151" t="str">
        <x:v>Bank of Canada research on retail CBDC feasibility</x:v>
      </x:c>
      <x:c r="G264" s="151" t="str">
        <x:v>This is a micro -partitioned system based on a n 
unspent transaction output (UTXO) funds model.</x:v>
      </x:c>
      <x:c r="H264" s="151" t="str">
        <x:v>keep</x:v>
      </x:c>
      <x:c r="I264" s="151" t="str">
        <x:v>exclude</x:v>
      </x:c>
      <x:c r="J264" s="151" t="str">
        <x:v>SYS.design</x:v>
      </x:c>
      <x:c r="K264" s="151"/>
      <x:c r="L264" s="151" t="str">
        <x:v>SYS</x:v>
      </x:c>
      <x:c r="M264" s="151" t="str"/>
      <x:c r="N264" s="151" t="str">
        <x:v>proposal</x:v>
      </x:c>
      <x:c r="O264" s="151"/>
      <x:c r="P264" s="151" t="str">
        <x:v>neutral</x:v>
      </x:c>
      <x:c r="Q264" s="151"/>
      <x:c r="R264" s="151" t="str">
        <x:v>not_applicable</x:v>
      </x:c>
      <x:c r="S264" s="151"/>
      <x:c r="T264" s="151" t="n">
        <x:v>2</x:v>
      </x:c>
      <x:c r="U264" s="151"/>
      <x:c r="V264" s="151"/>
      <x:c r="W264" s="151"/>
      <x:c r="X264" s="146"/>
      <x:c r="Y264" s="146"/>
      <x:c r="Z264" s="146"/>
      <x:c r="AA264" s="146"/>
      <x:c r="AB264" s="146"/>
      <x:c r="AC264" s="146"/>
      <x:c r="AD264" s="146"/>
      <x:c r="AE264" s="146"/>
      <x:c r="AF264" s="154" t="str">
        <x:f>IF(X264="","PENDING",IF(X264="exclude","DONE",IF(COUNTA(Y264:AC264)=5,"DONE","INCOMPLETE")))</x:f>
        <x:v>PENDING</x:v>
      </x:c>
    </x:row>
    <x:row r="265">
      <x:c r="A265" s="151" t="str">
        <x:v>inclusion</x:v>
      </x:c>
      <x:c r="B265" s="151" t="str">
        <x:v>SV-0303</x:v>
      </x:c>
      <x:c r="C265" s="151" t="str">
        <x:v>PC-04755</x:v>
      </x:c>
      <x:c r="D265" s="151" t="str">
        <x:v>en|openai_only</x:v>
      </x:c>
      <x:c r="E265" s="151" t="n">
        <x:v>19.21875</x:v>
      </x:c>
      <x:c r="F265" s="151" t="str">
        <x:v>Republic of Palau (Palau Stablecoin programme)</x:v>
      </x:c>
      <x:c r="G265" s="151" t="str">
        <x:v>Retail purchase — 39 (50%)</x:v>
      </x:c>
      <x:c r="H265" s="151" t="str">
        <x:v>keep</x:v>
      </x:c>
      <x:c r="I265" s="151" t="str">
        <x:v>exclude</x:v>
      </x:c>
      <x:c r="J265" s="151" t="str">
        <x:v>ADOPT.experience</x:v>
      </x:c>
      <x:c r="K265" s="151"/>
      <x:c r="L265" s="151" t="str">
        <x:v>ADOPT</x:v>
      </x:c>
      <x:c r="M265" s="151" t="str"/>
      <x:c r="N265" s="151" t="str">
        <x:v>finding</x:v>
      </x:c>
      <x:c r="O265" s="151"/>
      <x:c r="P265" s="151" t="str">
        <x:v>neutral</x:v>
      </x:c>
      <x:c r="Q265" s="151"/>
      <x:c r="R265" s="151" t="str">
        <x:v>not_applicable</x:v>
      </x:c>
      <x:c r="S265" s="151"/>
      <x:c r="T265" s="151" t="n">
        <x:v>2</x:v>
      </x:c>
      <x:c r="U265" s="151"/>
      <x:c r="V265" s="151"/>
      <x:c r="W265" s="151"/>
      <x:c r="X265" s="146"/>
      <x:c r="Y265" s="146"/>
      <x:c r="Z265" s="146"/>
      <x:c r="AA265" s="146"/>
      <x:c r="AB265" s="146"/>
      <x:c r="AC265" s="146"/>
      <x:c r="AD265" s="146"/>
      <x:c r="AE265" s="146"/>
      <x:c r="AF265" s="154" t="str">
        <x:f>IF(X265="","PENDING",IF(X265="exclude","DONE",IF(COUNTA(Y265:AC265)=5,"DONE","INCOMPLETE")))</x:f>
        <x:v>PENDING</x:v>
      </x:c>
    </x:row>
    <x:row r="266">
      <x:c r="A266" s="151" t="str">
        <x:v>inclusion</x:v>
      </x:c>
      <x:c r="B266" s="151" t="str">
        <x:v>SV-0304</x:v>
      </x:c>
      <x:c r="C266" s="151" t="str">
        <x:v>PC-05356</x:v>
      </x:c>
      <x:c r="D266" s="151" t="str">
        <x:v>en|openai_only</x:v>
      </x:c>
      <x:c r="E266" s="151" t="n">
        <x:v>19.21875</x:v>
      </x:c>
      <x:c r="F266" s="151" t="str">
        <x:v>Monetary Authority of Singapore (Project Orchid / purpose-bound money)</x:v>
      </x:c>
      <x:c r="G266" s="151" t="str">
        <x:v>In the long term, recipients should 
have the freedom to choose their own wallet 
applications to access Government issued  
PBM tokens.</x:v>
      </x:c>
      <x:c r="H266" s="151" t="str">
        <x:v>keep</x:v>
      </x:c>
      <x:c r="I266" s="151" t="str">
        <x:v>exclude</x:v>
      </x:c>
      <x:c r="J266" s="151" t="str">
        <x:v>INTEROP.domestic</x:v>
      </x:c>
      <x:c r="K266" s="151"/>
      <x:c r="L266" s="151" t="str">
        <x:v>INTEROP</x:v>
      </x:c>
      <x:c r="M266" s="151" t="str"/>
      <x:c r="N266" s="151" t="str">
        <x:v>proposal</x:v>
      </x:c>
      <x:c r="O266" s="151"/>
      <x:c r="P266" s="151" t="str">
        <x:v>neutral</x:v>
      </x:c>
      <x:c r="Q266" s="151"/>
      <x:c r="R266" s="151" t="str">
        <x:v>not_applicable</x:v>
      </x:c>
      <x:c r="S266" s="151"/>
      <x:c r="T266" s="151" t="n">
        <x:v>2</x:v>
      </x:c>
      <x:c r="U266" s="151"/>
      <x:c r="V266" s="151"/>
      <x:c r="W266" s="151"/>
      <x:c r="X266" s="146"/>
      <x:c r="Y266" s="146"/>
      <x:c r="Z266" s="146"/>
      <x:c r="AA266" s="146"/>
      <x:c r="AB266" s="146"/>
      <x:c r="AC266" s="146"/>
      <x:c r="AD266" s="146"/>
      <x:c r="AE266" s="146"/>
      <x:c r="AF266" s="154" t="str">
        <x:f>IF(X266="","PENDING",IF(X266="exclude","DONE",IF(COUNTA(Y266:AC266)=5,"DONE","INCOMPLETE")))</x:f>
        <x:v>PENDING</x:v>
      </x:c>
    </x:row>
    <x:row r="267">
      <x:c r="A267" s="151" t="str">
        <x:v>code|strength</x:v>
      </x:c>
      <x:c r="B267" s="151" t="str">
        <x:v>SV-0305</x:v>
      </x:c>
      <x:c r="C267" s="151" t="str">
        <x:v>PC-04319</x:v>
      </x:c>
      <x:c r="D267" s="151" t="str">
        <x:v>en|both</x:v>
      </x:c>
      <x:c r="E267" s="151" t="n">
        <x:v>19.069444444444443</x:v>
      </x:c>
      <x:c r="F267" s="151" t="str">
        <x:v>Norges Bank (Norwegian CBDC work)</x:v>
      </x:c>
      <x:c r="G267" s="151" t="str">
        <x:v>Men det bør ikke etableres et rangforhold mellom DSP og kontanter, slik at 
innehavere at DSP kan kreve dem vekslet til kontanter, mens innehavere av 
kontanter ikke kan kreve dem vekslet til DSP, eller motsatt.</x:v>
      </x:c>
      <x:c r="H267" s="151" t="str">
        <x:v>keep</x:v>
      </x:c>
      <x:c r="I267" s="151" t="str">
        <x:v>keep</x:v>
      </x:c>
      <x:c r="J267" s="151" t="str">
        <x:v>ACCESS.universal</x:v>
      </x:c>
      <x:c r="K267" s="151" t="str">
        <x:v>CASH.relation</x:v>
      </x:c>
      <x:c r="L267" s="151" t="str">
        <x:v>ACCESS</x:v>
      </x:c>
      <x:c r="M267" s="151" t="str">
        <x:v>CASH</x:v>
      </x:c>
      <x:c r="N267" s="151" t="str">
        <x:v>proposal</x:v>
      </x:c>
      <x:c r="O267" s="151" t="str">
        <x:v>proposal</x:v>
      </x:c>
      <x:c r="P267" s="151" t="str">
        <x:v>neutral</x:v>
      </x:c>
      <x:c r="Q267" s="151" t="str">
        <x:v>neutral</x:v>
      </x:c>
      <x:c r="R267" s="151" t="str">
        <x:v>not_applicable</x:v>
      </x:c>
      <x:c r="S267" s="151" t="str">
        <x:v>not_applicable</x:v>
      </x:c>
      <x:c r="T267" s="151" t="n">
        <x:v>3</x:v>
      </x:c>
      <x:c r="U267" s="151" t="n">
        <x:v>2</x:v>
      </x:c>
      <x:c r="V267" s="151"/>
      <x:c r="W267" s="151"/>
      <x:c r="X267" s="146"/>
      <x:c r="Y267" s="146"/>
      <x:c r="Z267" s="146"/>
      <x:c r="AA267" s="146"/>
      <x:c r="AB267" s="146"/>
      <x:c r="AC267" s="146"/>
      <x:c r="AD267" s="146"/>
      <x:c r="AE267" s="146"/>
      <x:c r="AF267" s="154" t="str">
        <x:f>IF(X267="","PENDING",IF(X267="exclude","DONE",IF(COUNTA(Y267:AC267)=5,"DONE","INCOMPLETE")))</x:f>
        <x:v>PENDING</x:v>
      </x:c>
    </x:row>
    <x:row r="268">
      <x:c r="A268" s="151" t="str">
        <x:v>inclusion</x:v>
      </x:c>
      <x:c r="B268" s="151" t="str">
        <x:v>SV-0306</x:v>
      </x:c>
      <x:c r="C268" s="151" t="str">
        <x:v>PC-02614</x:v>
      </x:c>
      <x:c r="D268" s="151" t="str">
        <x:v>en|openai_only</x:v>
      </x:c>
      <x:c r="E268" s="151" t="n">
        <x:v>19.21875</x:v>
      </x:c>
      <x:c r="F268" s="151" t="str">
        <x:v>Bank Indonesia (Digital Rupiah)</x:v>
      </x:c>
      <x:c r="G268" s="151" t="str">
        <x:v>The wRD 
platform demonstrated that message formats and 
communication protocols could be configured to 
meet user requirements.</x:v>
      </x:c>
      <x:c r="H268" s="151" t="str">
        <x:v>keep</x:v>
      </x:c>
      <x:c r="I268" s="151" t="str">
        <x:v>exclude</x:v>
      </x:c>
      <x:c r="J268" s="151" t="str">
        <x:v>INTEROP.domestic</x:v>
      </x:c>
      <x:c r="K268" s="151"/>
      <x:c r="L268" s="151" t="str">
        <x:v>INTEROP</x:v>
      </x:c>
      <x:c r="M268" s="151" t="str"/>
      <x:c r="N268" s="151" t="str">
        <x:v>finding</x:v>
      </x:c>
      <x:c r="O268" s="151"/>
      <x:c r="P268" s="151" t="str">
        <x:v>neutral</x:v>
      </x:c>
      <x:c r="Q268" s="151"/>
      <x:c r="R268" s="151" t="str">
        <x:v>not_applicable</x:v>
      </x:c>
      <x:c r="S268" s="151"/>
      <x:c r="T268" s="151" t="n">
        <x:v>2</x:v>
      </x:c>
      <x:c r="U268" s="151"/>
      <x:c r="V268" s="151"/>
      <x:c r="W268" s="151"/>
      <x:c r="X268" s="146"/>
      <x:c r="Y268" s="146"/>
      <x:c r="Z268" s="146"/>
      <x:c r="AA268" s="146"/>
      <x:c r="AB268" s="146"/>
      <x:c r="AC268" s="146"/>
      <x:c r="AD268" s="146"/>
      <x:c r="AE268" s="146"/>
      <x:c r="AF268" s="154" t="str">
        <x:f>IF(X268="","PENDING",IF(X268="exclude","DONE",IF(COUNTA(Y268:AC268)=5,"DONE","INCOMPLETE")))</x:f>
        <x:v>PENDING</x:v>
      </x:c>
    </x:row>
    <x:row r="269">
      <x:c r="A269" s="151" t="str">
        <x:v>code|odr</x:v>
      </x:c>
      <x:c r="B269" s="151" t="str">
        <x:v>SV-0307</x:v>
      </x:c>
      <x:c r="C269" s="151" t="str">
        <x:v>PC-04981</x:v>
      </x:c>
      <x:c r="D269" s="151" t="str">
        <x:v>en|both</x:v>
      </x:c>
      <x:c r="E269" s="151" t="n">
        <x:v>19.069444444444443</x:v>
      </x:c>
      <x:c r="F269" s="151" t="str">
        <x:v>Bank of Russia (digital ruble)</x:v>
      </x:c>
      <x:c r="G269" s="151" t="str">
        <x:v>With the introduction of a digital ruble, households will distribute their money based on their 
needs between cash, accounts with commercial banks, and electronic wallets in digital rubles in the 
same way as they currently distribute it between cash and bank accounts.</x:v>
      </x:c>
      <x:c r="H269" s="151" t="str">
        <x:v>keep</x:v>
      </x:c>
      <x:c r="I269" s="151" t="str">
        <x:v>keep</x:v>
      </x:c>
      <x:c r="J269" s="151" t="str">
        <x:v>CASH.relation</x:v>
      </x:c>
      <x:c r="K269" s="151" t="str">
        <x:v>STAB.disintermediation</x:v>
      </x:c>
      <x:c r="L269" s="151" t="str">
        <x:v>CASH</x:v>
      </x:c>
      <x:c r="M269" s="151" t="str">
        <x:v>STAB</x:v>
      </x:c>
      <x:c r="N269" s="151" t="str">
        <x:v>proposal</x:v>
      </x:c>
      <x:c r="O269" s="151" t="str">
        <x:v>finding</x:v>
      </x:c>
      <x:c r="P269" s="151" t="str">
        <x:v>neutral</x:v>
      </x:c>
      <x:c r="Q269" s="151" t="str">
        <x:v>neutral</x:v>
      </x:c>
      <x:c r="R269" s="151" t="str">
        <x:v>not_applicable</x:v>
      </x:c>
      <x:c r="S269" s="151" t="str">
        <x:v>not_applicable</x:v>
      </x:c>
      <x:c r="T269" s="151" t="n">
        <x:v>2</x:v>
      </x:c>
      <x:c r="U269" s="151" t="n">
        <x:v>2</x:v>
      </x:c>
      <x:c r="V269" s="151"/>
      <x:c r="W269" s="151"/>
      <x:c r="X269" s="146"/>
      <x:c r="Y269" s="146"/>
      <x:c r="Z269" s="146"/>
      <x:c r="AA269" s="146"/>
      <x:c r="AB269" s="146"/>
      <x:c r="AC269" s="146"/>
      <x:c r="AD269" s="146"/>
      <x:c r="AE269" s="146"/>
      <x:c r="AF269" s="154" t="str">
        <x:f>IF(X269="","PENDING",IF(X269="exclude","DONE",IF(COUNTA(Y269:AC269)=5,"DONE","INCOMPLETE")))</x:f>
        <x:v>PENDING</x:v>
      </x:c>
    </x:row>
    <x:row r="270">
      <x:c r="A270" s="151" t="str">
        <x:v>strength</x:v>
      </x:c>
      <x:c r="B270" s="151" t="str">
        <x:v>SV-0308</x:v>
      </x:c>
      <x:c r="C270" s="151" t="str">
        <x:v>PC-02691</x:v>
      </x:c>
      <x:c r="D270" s="151" t="str">
        <x:v>en|both</x:v>
      </x:c>
      <x:c r="E270" s="151" t="n">
        <x:v>19.069444444444443</x:v>
      </x:c>
      <x:c r="F270" s="151" t="str">
        <x:v>Bank of Israel (digital shekel)</x:v>
      </x:c>
      <x:c r="G270" s="151" t="str">
        <x:v>Participants will not be able to use the information accumulated about users and their 
activities in the digital shekel system for commercial purposes unless users give clear and 
informed consent.</x:v>
      </x:c>
      <x:c r="H270" s="151" t="str">
        <x:v>keep</x:v>
      </x:c>
      <x:c r="I270" s="151" t="str">
        <x:v>keep</x:v>
      </x:c>
      <x:c r="J270" s="151" t="str">
        <x:v>PRIV.MIN</x:v>
      </x:c>
      <x:c r="K270" s="151" t="str">
        <x:v>PRIV.MIN</x:v>
      </x:c>
      <x:c r="L270" s="151" t="str">
        <x:v>PRIV</x:v>
      </x:c>
      <x:c r="M270" s="151" t="str">
        <x:v>PRIV</x:v>
      </x:c>
      <x:c r="N270" s="151" t="str">
        <x:v>decision</x:v>
      </x:c>
      <x:c r="O270" s="151" t="str">
        <x:v>decision</x:v>
      </x:c>
      <x:c r="P270" s="151" t="str">
        <x:v>increases</x:v>
      </x:c>
      <x:c r="Q270" s="151" t="str">
        <x:v>increases</x:v>
      </x:c>
      <x:c r="R270" s="151" t="str">
        <x:v>from_intermediary</x:v>
      </x:c>
      <x:c r="S270" s="151" t="str">
        <x:v>from_intermediary</x:v>
      </x:c>
      <x:c r="T270" s="151" t="n">
        <x:v>3</x:v>
      </x:c>
      <x:c r="U270" s="151" t="n">
        <x:v>2</x:v>
      </x:c>
      <x:c r="V270" s="151"/>
      <x:c r="W270" s="151"/>
      <x:c r="X270" s="146"/>
      <x:c r="Y270" s="146"/>
      <x:c r="Z270" s="146"/>
      <x:c r="AA270" s="146"/>
      <x:c r="AB270" s="146"/>
      <x:c r="AC270" s="146"/>
      <x:c r="AD270" s="146"/>
      <x:c r="AE270" s="146"/>
      <x:c r="AF270" s="154" t="str">
        <x:f>IF(X270="","PENDING",IF(X270="exclude","DONE",IF(COUNTA(Y270:AC270)=5,"DONE","INCOMPLETE")))</x:f>
        <x:v>PENDING</x:v>
      </x:c>
    </x:row>
    <x:row r="271">
      <x:c r="A271" s="151" t="str">
        <x:v>inclusion</x:v>
      </x:c>
      <x:c r="B271" s="151" t="str">
        <x:v>SV-0309</x:v>
      </x:c>
      <x:c r="C271" s="151" t="str">
        <x:v>PC-04927</x:v>
      </x:c>
      <x:c r="D271" s="151" t="str">
        <x:v>en|claude_only</x:v>
      </x:c>
      <x:c r="E271" s="151" t="n">
        <x:v>19.375</x:v>
      </x:c>
      <x:c r="F271" s="151" t="str">
        <x:v>Bank of Russia (digital ruble)</x:v>
      </x:c>
      <x:c r="G271" s="151" t="str">
        <x:v>For cross-border payments, the digital ruble platform can be integrated with CBDC platforms 
of other countries and international organisations, which will speed up and reduce the cost of 
payments for consumers.</x:v>
      </x:c>
      <x:c r="H271" s="151" t="str">
        <x:v>exclude</x:v>
      </x:c>
      <x:c r="I271" s="151" t="str">
        <x:v>keep</x:v>
      </x:c>
      <x:c r="J271" s="151"/>
      <x:c r="K271" s="151" t="str">
        <x:v>INTEROP.crossborder</x:v>
      </x:c>
      <x:c r="L271" s="151" t="str"/>
      <x:c r="M271" s="151" t="str">
        <x:v>INTEROP</x:v>
      </x:c>
      <x:c r="N271" s="151"/>
      <x:c r="O271" s="151" t="str">
        <x:v>proposal</x:v>
      </x:c>
      <x:c r="P271" s="151"/>
      <x:c r="Q271" s="151" t="str">
        <x:v>neutral</x:v>
      </x:c>
      <x:c r="R271" s="151"/>
      <x:c r="S271" s="151" t="str">
        <x:v>not_applicable</x:v>
      </x:c>
      <x:c r="T271" s="151"/>
      <x:c r="U271" s="151" t="n">
        <x:v>2</x:v>
      </x:c>
      <x:c r="V271" s="151"/>
      <x:c r="W271" s="151"/>
      <x:c r="X271" s="146"/>
      <x:c r="Y271" s="146"/>
      <x:c r="Z271" s="146"/>
      <x:c r="AA271" s="146"/>
      <x:c r="AB271" s="146"/>
      <x:c r="AC271" s="146"/>
      <x:c r="AD271" s="146"/>
      <x:c r="AE271" s="146"/>
      <x:c r="AF271" s="154" t="str">
        <x:f>IF(X271="","PENDING",IF(X271="exclude","DONE",IF(COUNTA(Y271:AC271)=5,"DONE","INCOMPLETE")))</x:f>
        <x:v>PENDING</x:v>
      </x:c>
    </x:row>
    <x:row r="272">
      <x:c r="A272" s="151" t="str">
        <x:v>code|odr|strength</x:v>
      </x:c>
      <x:c r="B272" s="151" t="str">
        <x:v>SV-0310</x:v>
      </x:c>
      <x:c r="C272" s="151" t="str">
        <x:v>PC-05268</x:v>
      </x:c>
      <x:c r="D272" s="151" t="str">
        <x:v>en|both</x:v>
      </x:c>
      <x:c r="E272" s="151" t="n">
        <x:v>19.069444444444443</x:v>
      </x:c>
      <x:c r="F272" s="151" t="str">
        <x:v>Monetary Authority of Singapore (Project Orchid / purpose-bound money)</x:v>
      </x:c>
      <x:c r="G272" s="151" t="str">
        <x:v>PBMs are 
bearer instruments, with self-contained 
programming logic and transferrable 
between two parties without intermediaries.</x:v>
      </x:c>
      <x:c r="H272" s="151" t="str">
        <x:v>keep</x:v>
      </x:c>
      <x:c r="I272" s="151" t="str">
        <x:v>keep</x:v>
      </x:c>
      <x:c r="J272" s="151" t="str">
        <x:v>PROG.generic</x:v>
      </x:c>
      <x:c r="K272" s="151" t="str">
        <x:v>SYS.design</x:v>
      </x:c>
      <x:c r="L272" s="151" t="str">
        <x:v>PROG</x:v>
      </x:c>
      <x:c r="M272" s="151" t="str">
        <x:v>SYS</x:v>
      </x:c>
      <x:c r="N272" s="151" t="str">
        <x:v>proposal</x:v>
      </x:c>
      <x:c r="O272" s="151" t="str">
        <x:v>finding</x:v>
      </x:c>
      <x:c r="P272" s="151" t="str">
        <x:v>neutral</x:v>
      </x:c>
      <x:c r="Q272" s="151" t="str">
        <x:v>neutral</x:v>
      </x:c>
      <x:c r="R272" s="151" t="str">
        <x:v>not_applicable</x:v>
      </x:c>
      <x:c r="S272" s="151" t="str">
        <x:v>not_applicable</x:v>
      </x:c>
      <x:c r="T272" s="151" t="n">
        <x:v>3</x:v>
      </x:c>
      <x:c r="U272" s="151" t="n">
        <x:v>2</x:v>
      </x:c>
      <x:c r="V272" s="151"/>
      <x:c r="W272" s="151" t="str">
        <x:v>x</x:v>
      </x:c>
      <x:c r="X272" s="146"/>
      <x:c r="Y272" s="146"/>
      <x:c r="Z272" s="146"/>
      <x:c r="AA272" s="146"/>
      <x:c r="AB272" s="146"/>
      <x:c r="AC272" s="146"/>
      <x:c r="AD272" s="146"/>
      <x:c r="AE272" s="146"/>
      <x:c r="AF272" s="154" t="str">
        <x:f>IF(X272="","PENDING",IF(X272="exclude","DONE",IF(COUNTA(Y272:AC272)=5,"DONE","INCOMPLETE")))</x:f>
        <x:v>PENDING</x:v>
      </x:c>
    </x:row>
    <x:row r="273">
      <x:c r="A273" s="151" t="str">
        <x:v>odr|strength</x:v>
      </x:c>
      <x:c r="B273" s="151" t="str">
        <x:v>SV-0311</x:v>
      </x:c>
      <x:c r="C273" s="151" t="str">
        <x:v>PC-02865</x:v>
      </x:c>
      <x:c r="D273" s="151" t="str">
        <x:v>en|both</x:v>
      </x:c>
      <x:c r="E273" s="151" t="n">
        <x:v>19.069444444444443</x:v>
      </x:c>
      <x:c r="F273" s="151" t="str">
        <x:v>Bank of Israel (digital shekel)</x:v>
      </x:c>
      <x:c r="G273" s="151" t="str">
        <x:v>Any PSP serving the private 
user sector will be required to provide this access technology to its users.</x:v>
      </x:c>
      <x:c r="H273" s="151" t="str">
        <x:v>keep</x:v>
      </x:c>
      <x:c r="I273" s="151" t="str">
        <x:v>keep</x:v>
      </x:c>
      <x:c r="J273" s="151" t="str">
        <x:v>ACCESS.universal</x:v>
      </x:c>
      <x:c r="K273" s="151" t="str">
        <x:v>ACCESS.universal</x:v>
      </x:c>
      <x:c r="L273" s="151" t="str">
        <x:v>ACCESS</x:v>
      </x:c>
      <x:c r="M273" s="151" t="str">
        <x:v>ACCESS</x:v>
      </x:c>
      <x:c r="N273" s="151" t="str">
        <x:v>proposal</x:v>
      </x:c>
      <x:c r="O273" s="151" t="str">
        <x:v>decision</x:v>
      </x:c>
      <x:c r="P273" s="151" t="str">
        <x:v>neutral</x:v>
      </x:c>
      <x:c r="Q273" s="151" t="str">
        <x:v>neutral</x:v>
      </x:c>
      <x:c r="R273" s="151" t="str">
        <x:v>not_applicable</x:v>
      </x:c>
      <x:c r="S273" s="151" t="str">
        <x:v>not_applicable</x:v>
      </x:c>
      <x:c r="T273" s="151" t="n">
        <x:v>3</x:v>
      </x:c>
      <x:c r="U273" s="151" t="n">
        <x:v>2</x:v>
      </x:c>
      <x:c r="V273" s="151"/>
      <x:c r="W273" s="151"/>
      <x:c r="X273" s="146"/>
      <x:c r="Y273" s="146"/>
      <x:c r="Z273" s="146"/>
      <x:c r="AA273" s="146"/>
      <x:c r="AB273" s="146"/>
      <x:c r="AC273" s="146"/>
      <x:c r="AD273" s="146"/>
      <x:c r="AE273" s="146"/>
      <x:c r="AF273" s="154" t="str">
        <x:f>IF(X273="","PENDING",IF(X273="exclude","DONE",IF(COUNTA(Y273:AC273)=5,"DONE","INCOMPLETE")))</x:f>
        <x:v>PENDING</x:v>
      </x:c>
    </x:row>
    <x:row r="274">
      <x:c r="A274" s="151" t="str">
        <x:v>inclusion</x:v>
      </x:c>
      <x:c r="B274" s="151" t="str">
        <x:v>SV-0312</x:v>
      </x:c>
      <x:c r="C274" s="151" t="str">
        <x:v>PC-06194</x:v>
      </x:c>
      <x:c r="D274" s="151" t="str">
        <x:v>en|openai_only</x:v>
      </x:c>
      <x:c r="E274" s="151" t="n">
        <x:v>19.21875</x:v>
      </x:c>
      <x:c r="F274" s="151" t="str">
        <x:v>Bank of England and HM Treasury (digital pound)</x:v>
      </x:c>
      <x:c r="G274" s="151" t="str">
        <x:v>Users 
could access CBDC through wallets on smart devices.</x:v>
      </x:c>
      <x:c r="H274" s="151" t="str">
        <x:v>keep</x:v>
      </x:c>
      <x:c r="I274" s="151" t="str">
        <x:v>exclude</x:v>
      </x:c>
      <x:c r="J274" s="151" t="str">
        <x:v>SYS.design</x:v>
      </x:c>
      <x:c r="K274" s="151"/>
      <x:c r="L274" s="151" t="str">
        <x:v>SYS</x:v>
      </x:c>
      <x:c r="M274" s="151" t="str"/>
      <x:c r="N274" s="151" t="str">
        <x:v>proposal</x:v>
      </x:c>
      <x:c r="O274" s="151"/>
      <x:c r="P274" s="151" t="str">
        <x:v>neutral</x:v>
      </x:c>
      <x:c r="Q274" s="151"/>
      <x:c r="R274" s="151" t="str">
        <x:v>not_applicable</x:v>
      </x:c>
      <x:c r="S274" s="151"/>
      <x:c r="T274" s="151" t="n">
        <x:v>2</x:v>
      </x:c>
      <x:c r="U274" s="151"/>
      <x:c r="V274" s="151"/>
      <x:c r="W274" s="151"/>
      <x:c r="X274" s="146"/>
      <x:c r="Y274" s="146"/>
      <x:c r="Z274" s="146"/>
      <x:c r="AA274" s="146"/>
      <x:c r="AB274" s="146"/>
      <x:c r="AC274" s="146"/>
      <x:c r="AD274" s="146"/>
      <x:c r="AE274" s="146"/>
      <x:c r="AF274" s="154" t="str">
        <x:f>IF(X274="","PENDING",IF(X274="exclude","DONE",IF(COUNTA(Y274:AC274)=5,"DONE","INCOMPLETE")))</x:f>
        <x:v>PENDING</x:v>
      </x:c>
    </x:row>
    <x:row r="275">
      <x:c r="A275" s="151" t="str">
        <x:v>code|odr|privacy_direction|privacy_relation|strength</x:v>
      </x:c>
      <x:c r="B275" s="151" t="str">
        <x:v>SV-0313</x:v>
      </x:c>
      <x:c r="C275" s="151" t="str">
        <x:v>PC-02663</x:v>
      </x:c>
      <x:c r="D275" s="151" t="str">
        <x:v>en|both</x:v>
      </x:c>
      <x:c r="E275" s="151" t="n">
        <x:v>19.069444444444443</x:v>
      </x:c>
      <x:c r="F275" s="151" t="str">
        <x:v>Bank of Israel (digital shekel)</x:v>
      </x:c>
      <x:c r="G275" s="151" t="str">
        <x:v>Alongside the backend 
layer, several other central services will operate, such as an alias management system and a 
fraud monitoring system that will help identify and prevent fraud through  real-time data 
analysis. These systems will be designed to maintaining the DS's privacy principles  and 
operate accordingly.</x:v>
      </x:c>
      <x:c r="H275" s="151" t="str">
        <x:v>keep</x:v>
      </x:c>
      <x:c r="I275" s="151" t="str">
        <x:v>keep</x:v>
      </x:c>
      <x:c r="J275" s="151" t="str">
        <x:v>INTEROP.domestic</x:v>
      </x:c>
      <x:c r="K275" s="151" t="str">
        <x:v>AML.MON</x:v>
      </x:c>
      <x:c r="L275" s="151" t="str">
        <x:v>INTEROP</x:v>
      </x:c>
      <x:c r="M275" s="151" t="str">
        <x:v>AML</x:v>
      </x:c>
      <x:c r="N275" s="151" t="str">
        <x:v>proposal</x:v>
      </x:c>
      <x:c r="O275" s="151" t="str">
        <x:v>decision</x:v>
      </x:c>
      <x:c r="P275" s="151" t="str">
        <x:v>neutral</x:v>
      </x:c>
      <x:c r="Q275" s="151" t="str">
        <x:v>conditional</x:v>
      </x:c>
      <x:c r="R275" s="151" t="str">
        <x:v>not_applicable</x:v>
      </x:c>
      <x:c r="S275" s="151" t="str">
        <x:v>from_state</x:v>
      </x:c>
      <x:c r="T275" s="151" t="n">
        <x:v>2</x:v>
      </x:c>
      <x:c r="U275" s="151" t="n">
        <x:v>3</x:v>
      </x:c>
      <x:c r="V275" s="151"/>
      <x:c r="W275" s="151"/>
      <x:c r="X275" s="146"/>
      <x:c r="Y275" s="146"/>
      <x:c r="Z275" s="146"/>
      <x:c r="AA275" s="146"/>
      <x:c r="AB275" s="146"/>
      <x:c r="AC275" s="146"/>
      <x:c r="AD275" s="146"/>
      <x:c r="AE275" s="146"/>
      <x:c r="AF275" s="154" t="str">
        <x:f>IF(X275="","PENDING",IF(X275="exclude","DONE",IF(COUNTA(Y275:AC275)=5,"DONE","INCOMPLETE")))</x:f>
        <x:v>PENDING</x:v>
      </x:c>
    </x:row>
    <x:row r="276">
      <x:c r="A276" s="151" t="str">
        <x:v>inclusion</x:v>
      </x:c>
      <x:c r="B276" s="151" t="str">
        <x:v>SV-0314</x:v>
      </x:c>
      <x:c r="C276" s="151" t="str">
        <x:v>PC-06743</x:v>
      </x:c>
      <x:c r="D276" s="151" t="str">
        <x:v>en|openai_only</x:v>
      </x:c>
      <x:c r="E276" s="151" t="n">
        <x:v>19.21875</x:v>
      </x:c>
      <x:c r="F276" s="151" t="str">
        <x:v>South African Reserve Bank</x:v>
      </x:c>
      <x:c r="G276" s="151" t="str">
        <x:v>wCBDC was issued to commercial banks when 
they bought it with money from their settlement 
account in the SAMOS system.</x:v>
      </x:c>
      <x:c r="H276" s="151" t="str">
        <x:v>keep</x:v>
      </x:c>
      <x:c r="I276" s="151" t="str">
        <x:v>exclude</x:v>
      </x:c>
      <x:c r="J276" s="151" t="str">
        <x:v>INTEROP.domestic</x:v>
      </x:c>
      <x:c r="K276" s="151"/>
      <x:c r="L276" s="151" t="str">
        <x:v>INTEROP</x:v>
      </x:c>
      <x:c r="M276" s="151" t="str"/>
      <x:c r="N276" s="151" t="str">
        <x:v>decision</x:v>
      </x:c>
      <x:c r="O276" s="151"/>
      <x:c r="P276" s="151" t="str">
        <x:v>neutral</x:v>
      </x:c>
      <x:c r="Q276" s="151"/>
      <x:c r="R276" s="151" t="str">
        <x:v>not_applicable</x:v>
      </x:c>
      <x:c r="S276" s="151"/>
      <x:c r="T276" s="151" t="n">
        <x:v>2</x:v>
      </x:c>
      <x:c r="U276" s="151"/>
      <x:c r="V276" s="151"/>
      <x:c r="W276" s="151"/>
      <x:c r="X276" s="146"/>
      <x:c r="Y276" s="146"/>
      <x:c r="Z276" s="146"/>
      <x:c r="AA276" s="146"/>
      <x:c r="AB276" s="146"/>
      <x:c r="AC276" s="146"/>
      <x:c r="AD276" s="146"/>
      <x:c r="AE276" s="146"/>
      <x:c r="AF276" s="154" t="str">
        <x:f>IF(X276="","PENDING",IF(X276="exclude","DONE",IF(COUNTA(Y276:AC276)=5,"DONE","INCOMPLETE")))</x:f>
        <x:v>PENDING</x:v>
      </x:c>
    </x:row>
    <x:row r="277">
      <x:c r="A277" s="151" t="str">
        <x:v>strength</x:v>
      </x:c>
      <x:c r="B277" s="151" t="str">
        <x:v>SV-0315</x:v>
      </x:c>
      <x:c r="C277" s="151" t="str">
        <x:v>PC-04977</x:v>
      </x:c>
      <x:c r="D277" s="151" t="str">
        <x:v>en|both</x:v>
      </x:c>
      <x:c r="E277" s="151" t="n">
        <x:v>19.069444444444443</x:v>
      </x:c>
      <x:c r="F277" s="151" t="str">
        <x:v>Bank of Russia (digital ruble)</x:v>
      </x:c>
      <x:c r="G277" s="151" t="str">
        <x:v>When implementing the offline digital ruble mode, special attention should 
be paid to confirming the paying capacity of digital rubles offered as payment in this mode.</x:v>
      </x:c>
      <x:c r="H277" s="151" t="str">
        <x:v>keep</x:v>
      </x:c>
      <x:c r="I277" s="151" t="str">
        <x:v>keep</x:v>
      </x:c>
      <x:c r="J277" s="151" t="str">
        <x:v>OPS.resilience</x:v>
      </x:c>
      <x:c r="K277" s="151" t="str">
        <x:v>OPS.resilience</x:v>
      </x:c>
      <x:c r="L277" s="151" t="str">
        <x:v>OPS</x:v>
      </x:c>
      <x:c r="M277" s="151" t="str">
        <x:v>OPS</x:v>
      </x:c>
      <x:c r="N277" s="151" t="str">
        <x:v>proposal</x:v>
      </x:c>
      <x:c r="O277" s="151" t="str">
        <x:v>proposal</x:v>
      </x:c>
      <x:c r="P277" s="151" t="str">
        <x:v>neutral</x:v>
      </x:c>
      <x:c r="Q277" s="151" t="str">
        <x:v>neutral</x:v>
      </x:c>
      <x:c r="R277" s="151" t="str">
        <x:v>not_applicable</x:v>
      </x:c>
      <x:c r="S277" s="151" t="str">
        <x:v>not_applicable</x:v>
      </x:c>
      <x:c r="T277" s="151" t="n">
        <x:v>2</x:v>
      </x:c>
      <x:c r="U277" s="151" t="n">
        <x:v>1</x:v>
      </x:c>
      <x:c r="V277" s="151"/>
      <x:c r="W277" s="151"/>
      <x:c r="X277" s="146"/>
      <x:c r="Y277" s="146"/>
      <x:c r="Z277" s="146"/>
      <x:c r="AA277" s="146"/>
      <x:c r="AB277" s="146"/>
      <x:c r="AC277" s="146"/>
      <x:c r="AD277" s="146"/>
      <x:c r="AE277" s="146"/>
      <x:c r="AF277" s="154" t="str">
        <x:f>IF(X277="","PENDING",IF(X277="exclude","DONE",IF(COUNTA(Y277:AC277)=5,"DONE","INCOMPLETE")))</x:f>
        <x:v>PENDING</x:v>
      </x:c>
    </x:row>
    <x:row r="278">
      <x:c r="A278" s="151" t="str">
        <x:v>odr|strength</x:v>
      </x:c>
      <x:c r="B278" s="151" t="str">
        <x:v>SV-0316</x:v>
      </x:c>
      <x:c r="C278" s="151" t="str">
        <x:v>PC-04536</x:v>
      </x:c>
      <x:c r="D278" s="151" t="str">
        <x:v>en|both</x:v>
      </x:c>
      <x:c r="E278" s="151" t="n">
        <x:v>19.069444444444443</x:v>
      </x:c>
      <x:c r="F278" s="151" t="str">
        <x:v>Reserve Bank of New Zealand</x:v>
      </x:c>
      <x:c r="G278" s="151" t="str">
        <x:v>Any 
decision to issue a CBDC would only be made following consultation with the Government, the 
public and other stakeholders.</x:v>
      </x:c>
      <x:c r="H278" s="151" t="str">
        <x:v>keep</x:v>
      </x:c>
      <x:c r="I278" s="151" t="str">
        <x:v>keep</x:v>
      </x:c>
      <x:c r="J278" s="151" t="str">
        <x:v>INST.mandate</x:v>
      </x:c>
      <x:c r="K278" s="151" t="str">
        <x:v>INST.mandate</x:v>
      </x:c>
      <x:c r="L278" s="151" t="str">
        <x:v>INST</x:v>
      </x:c>
      <x:c r="M278" s="151" t="str">
        <x:v>INST</x:v>
      </x:c>
      <x:c r="N278" s="151" t="str">
        <x:v>proposal</x:v>
      </x:c>
      <x:c r="O278" s="151" t="str">
        <x:v>decision</x:v>
      </x:c>
      <x:c r="P278" s="151" t="str">
        <x:v>neutral</x:v>
      </x:c>
      <x:c r="Q278" s="151" t="str">
        <x:v>neutral</x:v>
      </x:c>
      <x:c r="R278" s="151" t="str">
        <x:v>not_applicable</x:v>
      </x:c>
      <x:c r="S278" s="151" t="str">
        <x:v>not_applicable</x:v>
      </x:c>
      <x:c r="T278" s="151" t="n">
        <x:v>3</x:v>
      </x:c>
      <x:c r="U278" s="151" t="n">
        <x:v>2</x:v>
      </x:c>
      <x:c r="V278" s="151"/>
      <x:c r="W278" s="151"/>
      <x:c r="X278" s="146"/>
      <x:c r="Y278" s="146"/>
      <x:c r="Z278" s="146"/>
      <x:c r="AA278" s="146"/>
      <x:c r="AB278" s="146"/>
      <x:c r="AC278" s="146"/>
      <x:c r="AD278" s="146"/>
      <x:c r="AE278" s="146"/>
      <x:c r="AF278" s="154" t="str">
        <x:f>IF(X278="","PENDING",IF(X278="exclude","DONE",IF(COUNTA(Y278:AC278)=5,"DONE","INCOMPLETE")))</x:f>
        <x:v>PENDING</x:v>
      </x:c>
    </x:row>
    <x:row r="279">
      <x:c r="A279" s="151" t="str">
        <x:v>strength</x:v>
      </x:c>
      <x:c r="B279" s="151" t="str">
        <x:v>SV-0317</x:v>
      </x:c>
      <x:c r="C279" s="151" t="str">
        <x:v>PC-02411</x:v>
      </x:c>
      <x:c r="D279" s="151" t="str">
        <x:v>en|both</x:v>
      </x:c>
      <x:c r="E279" s="151" t="n">
        <x:v>19.069444444444443</x:v>
      </x:c>
      <x:c r="F279" s="151" t="str">
        <x:v>Bank Indonesia (Digital Rupiah)</x:v>
      </x:c>
      <x:c r="G279" s="151" t="str">
        <x:v>w-Digital Rupiah platform 
will be integrated, interconnected, and 
interoperable (3i) with the existing BI-
RTGS through a converter.</x:v>
      </x:c>
      <x:c r="H279" s="151" t="str">
        <x:v>keep</x:v>
      </x:c>
      <x:c r="I279" s="151" t="str">
        <x:v>keep</x:v>
      </x:c>
      <x:c r="J279" s="151" t="str">
        <x:v>INTEROP.domestic</x:v>
      </x:c>
      <x:c r="K279" s="151" t="str">
        <x:v>INTEROP.domestic</x:v>
      </x:c>
      <x:c r="L279" s="151" t="str">
        <x:v>INTEROP</x:v>
      </x:c>
      <x:c r="M279" s="151" t="str">
        <x:v>INTEROP</x:v>
      </x:c>
      <x:c r="N279" s="151" t="str">
        <x:v>decision</x:v>
      </x:c>
      <x:c r="O279" s="151" t="str">
        <x:v>decision</x:v>
      </x:c>
      <x:c r="P279" s="151" t="str">
        <x:v>neutral</x:v>
      </x:c>
      <x:c r="Q279" s="151" t="str">
        <x:v>neutral</x:v>
      </x:c>
      <x:c r="R279" s="151" t="str">
        <x:v>not_applicable</x:v>
      </x:c>
      <x:c r="S279" s="151" t="str">
        <x:v>not_applicable</x:v>
      </x:c>
      <x:c r="T279" s="151" t="n">
        <x:v>2</x:v>
      </x:c>
      <x:c r="U279" s="151" t="n">
        <x:v>3</x:v>
      </x:c>
      <x:c r="V279" s="151"/>
      <x:c r="W279" s="151"/>
      <x:c r="X279" s="146"/>
      <x:c r="Y279" s="146"/>
      <x:c r="Z279" s="146"/>
      <x:c r="AA279" s="146"/>
      <x:c r="AB279" s="146"/>
      <x:c r="AC279" s="146"/>
      <x:c r="AD279" s="146"/>
      <x:c r="AE279" s="146"/>
      <x:c r="AF279" s="154" t="str">
        <x:f>IF(X279="","PENDING",IF(X279="exclude","DONE",IF(COUNTA(Y279:AC279)=5,"DONE","INCOMPLETE")))</x:f>
        <x:v>PENDING</x:v>
      </x:c>
    </x:row>
    <x:row r="280">
      <x:c r="A280" s="151" t="str">
        <x:v>code|odr|strength</x:v>
      </x:c>
      <x:c r="B280" s="151" t="str">
        <x:v>SV-0318</x:v>
      </x:c>
      <x:c r="C280" s="151" t="str">
        <x:v>PC-02110</x:v>
      </x:c>
      <x:c r="D280" s="151" t="str">
        <x:v>en|both</x:v>
      </x:c>
      <x:c r="E280" s="151" t="n">
        <x:v>19.069444444444443</x:v>
      </x:c>
      <x:c r="F280" s="151" t="str">
        <x:v>Hong Kong Monetary Authority (e-HKD)</x:v>
      </x:c>
      <x:c r="G280" s="151" t="str">
        <x:v>Given that e-HKD 
is designed for settling real-time small-value retail payments, it is also unlikely that its 
use by regular citizens would be greatly inhibited by these fairly loose holding caps.</x:v>
      </x:c>
      <x:c r="H280" s="151" t="str">
        <x:v>keep</x:v>
      </x:c>
      <x:c r="I280" s="151" t="str">
        <x:v>keep</x:v>
      </x:c>
      <x:c r="J280" s="151" t="str">
        <x:v>AML.LIMIT</x:v>
      </x:c>
      <x:c r="K280" s="151" t="str">
        <x:v>SYS.design</x:v>
      </x:c>
      <x:c r="L280" s="151" t="str">
        <x:v>AML</x:v>
      </x:c>
      <x:c r="M280" s="151" t="str">
        <x:v>SYS</x:v>
      </x:c>
      <x:c r="N280" s="151" t="str">
        <x:v>decision</x:v>
      </x:c>
      <x:c r="O280" s="151" t="str">
        <x:v>proposal</x:v>
      </x:c>
      <x:c r="P280" s="151" t="str">
        <x:v>neutral</x:v>
      </x:c>
      <x:c r="Q280" s="151" t="str">
        <x:v>neutral</x:v>
      </x:c>
      <x:c r="R280" s="151" t="str">
        <x:v>not_applicable</x:v>
      </x:c>
      <x:c r="S280" s="151" t="str">
        <x:v>not_applicable</x:v>
      </x:c>
      <x:c r="T280" s="151" t="n">
        <x:v>3</x:v>
      </x:c>
      <x:c r="U280" s="151" t="n">
        <x:v>2</x:v>
      </x:c>
      <x:c r="V280" s="151"/>
      <x:c r="W280" s="151"/>
      <x:c r="X280" s="146"/>
      <x:c r="Y280" s="146"/>
      <x:c r="Z280" s="146"/>
      <x:c r="AA280" s="146"/>
      <x:c r="AB280" s="146"/>
      <x:c r="AC280" s="146"/>
      <x:c r="AD280" s="146"/>
      <x:c r="AE280" s="146"/>
      <x:c r="AF280" s="154" t="str">
        <x:f>IF(X280="","PENDING",IF(X280="exclude","DONE",IF(COUNTA(Y280:AC280)=5,"DONE","INCOMPLETE")))</x:f>
        <x:v>PENDING</x:v>
      </x:c>
    </x:row>
    <x:row r="281">
      <x:c r="A281" s="151" t="str">
        <x:v>strength</x:v>
      </x:c>
      <x:c r="B281" s="151" t="str">
        <x:v>SV-0319</x:v>
      </x:c>
      <x:c r="C281" s="151" t="str">
        <x:v>PC-02013</x:v>
      </x:c>
      <x:c r="D281" s="151" t="str">
        <x:v>en|both</x:v>
      </x:c>
      <x:c r="E281" s="151" t="n">
        <x:v>19.069444444444443</x:v>
      </x:c>
      <x:c r="F281" s="151" t="str">
        <x:v>Hong Kong Monetary Authority (e-HKD Phase 2 pilots)</x:v>
      </x:c>
      <x:c r="G281" s="151" t="str">
        <x:v>System transformation would be needed for 
enabling transactions using an e-HKD and 
tokenised deposits. However, less system 
overhaul would be required for banks to 
implement tokenised deposits, as banks could 
leverage some of the infrastructure they have 
established for other deposit products.</x:v>
      </x:c>
      <x:c r="H281" s="151" t="str">
        <x:v>keep</x:v>
      </x:c>
      <x:c r="I281" s="151" t="str">
        <x:v>keep</x:v>
      </x:c>
      <x:c r="J281" s="151" t="str">
        <x:v>SYS.design</x:v>
      </x:c>
      <x:c r="K281" s="151" t="str">
        <x:v>SYS.design</x:v>
      </x:c>
      <x:c r="L281" s="151" t="str">
        <x:v>SYS</x:v>
      </x:c>
      <x:c r="M281" s="151" t="str">
        <x:v>SYS</x:v>
      </x:c>
      <x:c r="N281" s="151" t="str">
        <x:v>finding</x:v>
      </x:c>
      <x:c r="O281" s="151" t="str">
        <x:v>finding</x:v>
      </x:c>
      <x:c r="P281" s="151" t="str">
        <x:v>neutral</x:v>
      </x:c>
      <x:c r="Q281" s="151" t="str">
        <x:v>neutral</x:v>
      </x:c>
      <x:c r="R281" s="151" t="str">
        <x:v>not_applicable</x:v>
      </x:c>
      <x:c r="S281" s="151" t="str">
        <x:v>not_applicable</x:v>
      </x:c>
      <x:c r="T281" s="151" t="n">
        <x:v>3</x:v>
      </x:c>
      <x:c r="U281" s="151" t="n">
        <x:v>2</x:v>
      </x:c>
      <x:c r="V281" s="151"/>
      <x:c r="W281" s="151"/>
      <x:c r="X281" s="146"/>
      <x:c r="Y281" s="146"/>
      <x:c r="Z281" s="146"/>
      <x:c r="AA281" s="146"/>
      <x:c r="AB281" s="146"/>
      <x:c r="AC281" s="146"/>
      <x:c r="AD281" s="146"/>
      <x:c r="AE281" s="146"/>
      <x:c r="AF281" s="154" t="str">
        <x:f>IF(X281="","PENDING",IF(X281="exclude","DONE",IF(COUNTA(Y281:AC281)=5,"DONE","INCOMPLETE")))</x:f>
        <x:v>PENDING</x:v>
      </x:c>
    </x:row>
    <x:row r="282">
      <x:c r="A282" s="151" t="str">
        <x:v>inclusion</x:v>
      </x:c>
      <x:c r="B282" s="151" t="str">
        <x:v>SV-0320</x:v>
      </x:c>
      <x:c r="C282" s="151" t="str">
        <x:v>PC-00664</x:v>
      </x:c>
      <x:c r="D282" s="151" t="str">
        <x:v>en|openai_only</x:v>
      </x:c>
      <x:c r="E282" s="151" t="n">
        <x:v>19.21875</x:v>
      </x:c>
      <x:c r="F282" s="151" t="str">
        <x:v>Bank of Canada research on privacy-enhancing technologies for a potential CBDC</x:v>
      </x:c>
      <x:c r="G282" s="151" t="str">
        <x:v>Interoperability with existing financial systems and infrastructure also poses significant challenges.</x:v>
      </x:c>
      <x:c r="H282" s="151" t="str">
        <x:v>keep</x:v>
      </x:c>
      <x:c r="I282" s="151" t="str">
        <x:v>exclude</x:v>
      </x:c>
      <x:c r="J282" s="151" t="str">
        <x:v>INTEROP.domestic</x:v>
      </x:c>
      <x:c r="K282" s="151"/>
      <x:c r="L282" s="151" t="str">
        <x:v>INTEROP</x:v>
      </x:c>
      <x:c r="M282" s="151" t="str"/>
      <x:c r="N282" s="151" t="str">
        <x:v>finding</x:v>
      </x:c>
      <x:c r="O282" s="151"/>
      <x:c r="P282" s="151" t="str">
        <x:v>neutral</x:v>
      </x:c>
      <x:c r="Q282" s="151"/>
      <x:c r="R282" s="151" t="str">
        <x:v>not_applicable</x:v>
      </x:c>
      <x:c r="S282" s="151"/>
      <x:c r="T282" s="151" t="n">
        <x:v>2</x:v>
      </x:c>
      <x:c r="U282" s="151"/>
      <x:c r="V282" s="151"/>
      <x:c r="W282" s="151"/>
      <x:c r="X282" s="146"/>
      <x:c r="Y282" s="146"/>
      <x:c r="Z282" s="146"/>
      <x:c r="AA282" s="146"/>
      <x:c r="AB282" s="146"/>
      <x:c r="AC282" s="146"/>
      <x:c r="AD282" s="146"/>
      <x:c r="AE282" s="146"/>
      <x:c r="AF282" s="154" t="str">
        <x:f>IF(X282="","PENDING",IF(X282="exclude","DONE",IF(COUNTA(Y282:AC282)=5,"DONE","INCOMPLETE")))</x:f>
        <x:v>PENDING</x:v>
      </x:c>
    </x:row>
    <x:row r="283">
      <x:c r="A283" s="151" t="str">
        <x:v>odr</x:v>
      </x:c>
      <x:c r="B283" s="151" t="str">
        <x:v>SV-0321</x:v>
      </x:c>
      <x:c r="C283" s="151" t="str">
        <x:v>PC-03015</x:v>
      </x:c>
      <x:c r="D283" s="151" t="str">
        <x:v>en|both</x:v>
      </x:c>
      <x:c r="E283" s="151" t="n">
        <x:v>19.069444444444443</x:v>
      </x:c>
      <x:c r="F283" s="151" t="str">
        <x:v>Bank of Israel (digital shekel)</x:v>
      </x:c>
      <x:c r="G283" s="151" t="str">
        <x:v>ATMs will also 
enable software and wallet restrictions updates, among other things, for business continuity 
in case of network failure (assuming the ATM still has communication).</x:v>
      </x:c>
      <x:c r="H283" s="151" t="str">
        <x:v>keep</x:v>
      </x:c>
      <x:c r="I283" s="151" t="str">
        <x:v>keep</x:v>
      </x:c>
      <x:c r="J283" s="151" t="str">
        <x:v>OPS.resilience</x:v>
      </x:c>
      <x:c r="K283" s="151" t="str">
        <x:v>OPS.resilience</x:v>
      </x:c>
      <x:c r="L283" s="151" t="str">
        <x:v>OPS</x:v>
      </x:c>
      <x:c r="M283" s="151" t="str">
        <x:v>OPS</x:v>
      </x:c>
      <x:c r="N283" s="151" t="str">
        <x:v>proposal</x:v>
      </x:c>
      <x:c r="O283" s="151" t="str">
        <x:v>decision</x:v>
      </x:c>
      <x:c r="P283" s="151" t="str">
        <x:v>neutral</x:v>
      </x:c>
      <x:c r="Q283" s="151" t="str">
        <x:v>neutral</x:v>
      </x:c>
      <x:c r="R283" s="151" t="str">
        <x:v>not_applicable</x:v>
      </x:c>
      <x:c r="S283" s="151" t="str">
        <x:v>not_applicable</x:v>
      </x:c>
      <x:c r="T283" s="151" t="n">
        <x:v>2</x:v>
      </x:c>
      <x:c r="U283" s="151" t="n">
        <x:v>2</x:v>
      </x:c>
      <x:c r="V283" s="151"/>
      <x:c r="W283" s="151"/>
      <x:c r="X283" s="146"/>
      <x:c r="Y283" s="146"/>
      <x:c r="Z283" s="146"/>
      <x:c r="AA283" s="146"/>
      <x:c r="AB283" s="146"/>
      <x:c r="AC283" s="146"/>
      <x:c r="AD283" s="146"/>
      <x:c r="AE283" s="146"/>
      <x:c r="AF283" s="154" t="str">
        <x:f>IF(X283="","PENDING",IF(X283="exclude","DONE",IF(COUNTA(Y283:AC283)=5,"DONE","INCOMPLETE")))</x:f>
        <x:v>PENDING</x:v>
      </x:c>
    </x:row>
    <x:row r="284">
      <x:c r="A284" s="151" t="str">
        <x:v>code|odr|strength</x:v>
      </x:c>
      <x:c r="B284" s="151" t="str">
        <x:v>SV-0322</x:v>
      </x:c>
      <x:c r="C284" s="151" t="str">
        <x:v>PC-06014</x:v>
      </x:c>
      <x:c r="D284" s="151" t="str">
        <x:v>en|both</x:v>
      </x:c>
      <x:c r="E284" s="151" t="n">
        <x:v>19.069444444444443</x:v>
      </x:c>
      <x:c r="F284" s="151" t="str">
        <x:v>Bank of England and HM Treasury (digital pound)</x:v>
      </x:c>
      <x:c r="G284" s="151" t="str">
        <x:v>However, to be practical and attractive, CBDC would need to be directly convertible into cash and deposits.</x:v>
      </x:c>
      <x:c r="H284" s="151" t="str">
        <x:v>keep</x:v>
      </x:c>
      <x:c r="I284" s="151" t="str">
        <x:v>keep</x:v>
      </x:c>
      <x:c r="J284" s="151" t="str">
        <x:v>INTEROP.domestic</x:v>
      </x:c>
      <x:c r="K284" s="151" t="str">
        <x:v>CASH.relation</x:v>
      </x:c>
      <x:c r="L284" s="151" t="str">
        <x:v>INTEROP</x:v>
      </x:c>
      <x:c r="M284" s="151" t="str">
        <x:v>CASH</x:v>
      </x:c>
      <x:c r="N284" s="151" t="str">
        <x:v>proposal</x:v>
      </x:c>
      <x:c r="O284" s="151" t="str">
        <x:v>finding</x:v>
      </x:c>
      <x:c r="P284" s="151" t="str">
        <x:v>neutral</x:v>
      </x:c>
      <x:c r="Q284" s="151" t="str">
        <x:v>neutral</x:v>
      </x:c>
      <x:c r="R284" s="151" t="str">
        <x:v>not_applicable</x:v>
      </x:c>
      <x:c r="S284" s="151" t="str">
        <x:v>not_applicable</x:v>
      </x:c>
      <x:c r="T284" s="151" t="n">
        <x:v>3</x:v>
      </x:c>
      <x:c r="U284" s="151" t="n">
        <x:v>2</x:v>
      </x:c>
      <x:c r="V284" s="151"/>
      <x:c r="W284" s="151" t="str">
        <x:v>x</x:v>
      </x:c>
      <x:c r="X284" s="146"/>
      <x:c r="Y284" s="146"/>
      <x:c r="Z284" s="146"/>
      <x:c r="AA284" s="146"/>
      <x:c r="AB284" s="146"/>
      <x:c r="AC284" s="146"/>
      <x:c r="AD284" s="146"/>
      <x:c r="AE284" s="146"/>
      <x:c r="AF284" s="154" t="str">
        <x:f>IF(X284="","PENDING",IF(X284="exclude","DONE",IF(COUNTA(Y284:AC284)=5,"DONE","INCOMPLETE")))</x:f>
        <x:v>PENDING</x:v>
      </x:c>
    </x:row>
    <x:row r="285">
      <x:c r="A285" s="151" t="str">
        <x:v>inclusion</x:v>
      </x:c>
      <x:c r="B285" s="151" t="str">
        <x:v>SV-0324</x:v>
      </x:c>
      <x:c r="C285" s="151" t="str">
        <x:v>PC-06781</x:v>
      </x:c>
      <x:c r="D285" s="151" t="str">
        <x:v>en|claude_only</x:v>
      </x:c>
      <x:c r="E285" s="151" t="n">
        <x:v>19.375</x:v>
      </x:c>
      <x:c r="F285" s="151" t="str">
        <x:v>South African Reserve Bank</x:v>
      </x:c>
      <x:c r="G285" s="151" t="str">
        <x:v>The 
verification of the value of the wCBDC is linked 
to the central bank as its issuer</x:v>
      </x:c>
      <x:c r="H285" s="151" t="str">
        <x:v>exclude</x:v>
      </x:c>
      <x:c r="I285" s="151" t="str">
        <x:v>keep</x:v>
      </x:c>
      <x:c r="J285" s="151"/>
      <x:c r="K285" s="151" t="str">
        <x:v>SYS.design</x:v>
      </x:c>
      <x:c r="L285" s="151" t="str"/>
      <x:c r="M285" s="151" t="str">
        <x:v>SYS</x:v>
      </x:c>
      <x:c r="N285" s="151"/>
      <x:c r="O285" s="151" t="str">
        <x:v>finding</x:v>
      </x:c>
      <x:c r="P285" s="151"/>
      <x:c r="Q285" s="151" t="str">
        <x:v>neutral</x:v>
      </x:c>
      <x:c r="R285" s="151"/>
      <x:c r="S285" s="151" t="str">
        <x:v>not_applicable</x:v>
      </x:c>
      <x:c r="T285" s="151"/>
      <x:c r="U285" s="151" t="n">
        <x:v>2</x:v>
      </x:c>
      <x:c r="V285" s="151"/>
      <x:c r="W285" s="151"/>
      <x:c r="X285" s="146"/>
      <x:c r="Y285" s="146"/>
      <x:c r="Z285" s="146"/>
      <x:c r="AA285" s="146"/>
      <x:c r="AB285" s="146"/>
      <x:c r="AC285" s="146"/>
      <x:c r="AD285" s="146"/>
      <x:c r="AE285" s="146"/>
      <x:c r="AF285" s="154" t="str">
        <x:f>IF(X285="","PENDING",IF(X285="exclude","DONE",IF(COUNTA(Y285:AC285)=5,"DONE","INCOMPLETE")))</x:f>
        <x:v>PENDING</x:v>
      </x:c>
    </x:row>
    <x:row r="286">
      <x:c r="A286" s="151" t="str">
        <x:v>code|privacy_direction|privacy_relation</x:v>
      </x:c>
      <x:c r="B286" s="151" t="str">
        <x:v>SV-0325</x:v>
      </x:c>
      <x:c r="C286" s="151" t="str">
        <x:v>PC-05108</x:v>
      </x:c>
      <x:c r="D286" s="151" t="str">
        <x:v>ru/uk|both</x:v>
      </x:c>
      <x:c r="E286" s="151" t="n">
        <x:v>20</x:v>
      </x:c>
      <x:c r="F286" s="151" t="str">
        <x:v>Bank of Russia (digital ruble)</x:v>
      </x:c>
      <x:c r="G286" s="151" t="str">
        <x:v>Реализация указанных выше подходов позволяет обеспечить целостность и конфиденциальность 
информации при проведении пользователями операций с цифровыми рублями. Под защитой 
находятся сведения о средствах на счетах цифрового рубля, о транзакциях с цифровыми 
рублями и информация, необходимая для авторизации и идентификации пользователей, включая 
персональные данные.</x:v>
      </x:c>
      <x:c r="H286" s="151" t="str">
        <x:v>keep</x:v>
      </x:c>
      <x:c r="I286" s="151" t="str">
        <x:v>keep</x:v>
      </x:c>
      <x:c r="J286" s="151" t="str">
        <x:v>PRIV.MIN</x:v>
      </x:c>
      <x:c r="K286" s="151" t="str">
        <x:v>OPS.resilience</x:v>
      </x:c>
      <x:c r="L286" s="151" t="str">
        <x:v>PRIV</x:v>
      </x:c>
      <x:c r="M286" s="151" t="str">
        <x:v>OPS</x:v>
      </x:c>
      <x:c r="N286" s="151" t="str">
        <x:v>decision</x:v>
      </x:c>
      <x:c r="O286" s="151" t="str">
        <x:v>decision</x:v>
      </x:c>
      <x:c r="P286" s="151" t="str">
        <x:v>increases</x:v>
      </x:c>
      <x:c r="Q286" s="151" t="str">
        <x:v>neutral</x:v>
      </x:c>
      <x:c r="R286" s="151" t="str">
        <x:v>from_state</x:v>
      </x:c>
      <x:c r="S286" s="151" t="str">
        <x:v>not_applicable</x:v>
      </x:c>
      <x:c r="T286" s="151" t="n">
        <x:v>2</x:v>
      </x:c>
      <x:c r="U286" s="151" t="n">
        <x:v>2</x:v>
      </x:c>
      <x:c r="V286" s="151"/>
      <x:c r="W286" s="151"/>
      <x:c r="X286" s="146"/>
      <x:c r="Y286" s="146"/>
      <x:c r="Z286" s="146"/>
      <x:c r="AA286" s="146"/>
      <x:c r="AB286" s="146"/>
      <x:c r="AC286" s="146"/>
      <x:c r="AD286" s="146"/>
      <x:c r="AE286" s="146"/>
      <x:c r="AF286" s="154" t="str">
        <x:f>IF(X286="","PENDING",IF(X286="exclude","DONE",IF(COUNTA(Y286:AC286)=5,"DONE","INCOMPLETE")))</x:f>
        <x:v>PENDING</x:v>
      </x:c>
    </x:row>
    <x:row r="287">
      <x:c r="A287" s="151" t="str">
        <x:v>code|strength</x:v>
      </x:c>
      <x:c r="B287" s="151" t="str">
        <x:v>SV-0326</x:v>
      </x:c>
      <x:c r="C287" s="151" t="str">
        <x:v>PC-04598</x:v>
      </x:c>
      <x:c r="D287" s="151" t="str">
        <x:v>en|both</x:v>
      </x:c>
      <x:c r="E287" s="151" t="n">
        <x:v>19.069444444444443</x:v>
      </x:c>
      <x:c r="F287" s="151" t="str">
        <x:v>Reserve Bank of New Zealand (digital cash/CBDC)</x:v>
      </x:c>
      <x:c r="G287" s="151" t="str">
        <x:v>Rationale:Offline capability will be an important feature of a NZ CBDC, as users will be able to spend/transfer/ receive CBDC without access to the internet or cellular data.</x:v>
      </x:c>
      <x:c r="H287" s="151" t="str">
        <x:v>keep</x:v>
      </x:c>
      <x:c r="I287" s="151" t="str">
        <x:v>keep</x:v>
      </x:c>
      <x:c r="J287" s="151" t="str">
        <x:v>ACCESS.universal</x:v>
      </x:c>
      <x:c r="K287" s="151" t="str">
        <x:v>OPS.resilience</x:v>
      </x:c>
      <x:c r="L287" s="151" t="str">
        <x:v>ACCESS</x:v>
      </x:c>
      <x:c r="M287" s="151" t="str">
        <x:v>OPS</x:v>
      </x:c>
      <x:c r="N287" s="151" t="str">
        <x:v>proposal</x:v>
      </x:c>
      <x:c r="O287" s="151" t="str">
        <x:v>proposal</x:v>
      </x:c>
      <x:c r="P287" s="151" t="str">
        <x:v>neutral</x:v>
      </x:c>
      <x:c r="Q287" s="151" t="str">
        <x:v>neutral</x:v>
      </x:c>
      <x:c r="R287" s="151" t="str">
        <x:v>not_applicable</x:v>
      </x:c>
      <x:c r="S287" s="151" t="str">
        <x:v>not_applicable</x:v>
      </x:c>
      <x:c r="T287" s="151" t="n">
        <x:v>2</x:v>
      </x:c>
      <x:c r="U287" s="151" t="n">
        <x:v>3</x:v>
      </x:c>
      <x:c r="V287" s="151"/>
      <x:c r="W287" s="151" t="str">
        <x:v>x</x:v>
      </x:c>
      <x:c r="X287" s="146"/>
      <x:c r="Y287" s="146"/>
      <x:c r="Z287" s="146"/>
      <x:c r="AA287" s="146"/>
      <x:c r="AB287" s="146"/>
      <x:c r="AC287" s="146"/>
      <x:c r="AD287" s="146"/>
      <x:c r="AE287" s="146"/>
      <x:c r="AF287" s="154" t="str">
        <x:f>IF(X287="","PENDING",IF(X287="exclude","DONE",IF(COUNTA(Y287:AC287)=5,"DONE","INCOMPLETE")))</x:f>
        <x:v>PENDING</x:v>
      </x:c>
    </x:row>
    <x:row r="288">
      <x:c r="A288" s="151" t="str">
        <x:v>code|strength</x:v>
      </x:c>
      <x:c r="B288" s="151" t="str">
        <x:v>SV-0327</x:v>
      </x:c>
      <x:c r="C288" s="151" t="str">
        <x:v>PC-05942</x:v>
      </x:c>
      <x:c r="D288" s="151" t="str">
        <x:v>en|both</x:v>
      </x:c>
      <x:c r="E288" s="151" t="n">
        <x:v>19.069444444444443</x:v>
      </x:c>
      <x:c r="F288" s="151" t="str">
        <x:v>National Bank of Ukraine (e-hryvnia pilot)</x:v>
      </x:c>
      <x:c r="G288" s="151" t="str">
        <x:v>Considering that the Pilot Project had a limited list of 
transaction types and a limited range of users, as well as the 
minor quantity and volumes of executed transactions, the 
project did not fully uncover the instrument’s att ractiveness 
and the potential level of involvement of Ukraine's population 
in using it.</x:v>
      </x:c>
      <x:c r="H288" s="151" t="str">
        <x:v>keep</x:v>
      </x:c>
      <x:c r="I288" s="151" t="str">
        <x:v>keep</x:v>
      </x:c>
      <x:c r="J288" s="151" t="str">
        <x:v>PROC.pilot_learning</x:v>
      </x:c>
      <x:c r="K288" s="151" t="str">
        <x:v>ADOPT.experience</x:v>
      </x:c>
      <x:c r="L288" s="151" t="str">
        <x:v>PROC</x:v>
      </x:c>
      <x:c r="M288" s="151" t="str">
        <x:v>ADOPT</x:v>
      </x:c>
      <x:c r="N288" s="151" t="str">
        <x:v>finding</x:v>
      </x:c>
      <x:c r="O288" s="151" t="str">
        <x:v>finding</x:v>
      </x:c>
      <x:c r="P288" s="151" t="str">
        <x:v>neutral</x:v>
      </x:c>
      <x:c r="Q288" s="151" t="str">
        <x:v>neutral</x:v>
      </x:c>
      <x:c r="R288" s="151" t="str">
        <x:v>not_applicable</x:v>
      </x:c>
      <x:c r="S288" s="151" t="str">
        <x:v>not_applicable</x:v>
      </x:c>
      <x:c r="T288" s="151" t="n">
        <x:v>3</x:v>
      </x:c>
      <x:c r="U288" s="151" t="n">
        <x:v>2</x:v>
      </x:c>
      <x:c r="V288" s="151"/>
      <x:c r="W288" s="151"/>
      <x:c r="X288" s="146"/>
      <x:c r="Y288" s="146"/>
      <x:c r="Z288" s="146"/>
      <x:c r="AA288" s="146"/>
      <x:c r="AB288" s="146"/>
      <x:c r="AC288" s="146"/>
      <x:c r="AD288" s="146"/>
      <x:c r="AE288" s="146"/>
      <x:c r="AF288" s="154" t="str">
        <x:f>IF(X288="","PENDING",IF(X288="exclude","DONE",IF(COUNTA(Y288:AC288)=5,"DONE","INCOMPLETE")))</x:f>
        <x:v>PENDING</x:v>
      </x:c>
    </x:row>
    <x:row r="289">
      <x:c r="A289" s="151" t="str">
        <x:v>code|odr|strength</x:v>
      </x:c>
      <x:c r="B289" s="151" t="str">
        <x:v>SV-0329</x:v>
      </x:c>
      <x:c r="C289" s="151" t="str">
        <x:v>PC-04299</x:v>
      </x:c>
      <x:c r="D289" s="151" t="str">
        <x:v>en|both</x:v>
      </x:c>
      <x:c r="E289" s="151" t="n">
        <x:v>19.069444444444443</x:v>
      </x:c>
      <x:c r="F289" s="151" t="str">
        <x:v>Norges Bank (Norwegian CBDC work)</x:v>
      </x:c>
      <x:c r="G289" s="151" t="str">
        <x:v>DSP fremstår som mer attraktivt enn 
bankinnskudd og kan få høyere markedsverdi i et «skyggemarked».</x:v>
      </x:c>
      <x:c r="H289" s="151" t="str">
        <x:v>keep</x:v>
      </x:c>
      <x:c r="I289" s="151" t="str">
        <x:v>keep</x:v>
      </x:c>
      <x:c r="J289" s="151" t="str">
        <x:v>ACCESS.universal</x:v>
      </x:c>
      <x:c r="K289" s="151" t="str">
        <x:v>STAB.disintermediation</x:v>
      </x:c>
      <x:c r="L289" s="151" t="str">
        <x:v>ACCESS</x:v>
      </x:c>
      <x:c r="M289" s="151" t="str">
        <x:v>STAB</x:v>
      </x:c>
      <x:c r="N289" s="151" t="str">
        <x:v>decision</x:v>
      </x:c>
      <x:c r="O289" s="151" t="str">
        <x:v>finding</x:v>
      </x:c>
      <x:c r="P289" s="151" t="str">
        <x:v>neutral</x:v>
      </x:c>
      <x:c r="Q289" s="151" t="str">
        <x:v>neutral</x:v>
      </x:c>
      <x:c r="R289" s="151" t="str">
        <x:v>not_applicable</x:v>
      </x:c>
      <x:c r="S289" s="151" t="str">
        <x:v>not_applicable</x:v>
      </x:c>
      <x:c r="T289" s="151" t="n">
        <x:v>3</x:v>
      </x:c>
      <x:c r="U289" s="151" t="n">
        <x:v>2</x:v>
      </x:c>
      <x:c r="V289" s="151"/>
      <x:c r="W289" s="151"/>
      <x:c r="X289" s="146"/>
      <x:c r="Y289" s="146"/>
      <x:c r="Z289" s="146"/>
      <x:c r="AA289" s="146"/>
      <x:c r="AB289" s="146"/>
      <x:c r="AC289" s="146"/>
      <x:c r="AD289" s="146"/>
      <x:c r="AE289" s="146"/>
      <x:c r="AF289" s="154" t="str">
        <x:f>IF(X289="","PENDING",IF(X289="exclude","DONE",IF(COUNTA(Y289:AC289)=5,"DONE","INCOMPLETE")))</x:f>
        <x:v>PENDING</x:v>
      </x:c>
    </x:row>
    <x:row r="290">
      <x:c r="A290" s="151" t="str">
        <x:v>inclusion</x:v>
      </x:c>
      <x:c r="B290" s="151" t="str">
        <x:v>SV-0331</x:v>
      </x:c>
      <x:c r="C290" s="151" t="str">
        <x:v>PC-04135</x:v>
      </x:c>
      <x:c r="D290" s="151" t="str">
        <x:v>en|claude_only</x:v>
      </x:c>
      <x:c r="E290" s="151" t="n">
        <x:v>19.375</x:v>
      </x:c>
      <x:c r="F290" s="151" t="str">
        <x:v>Norges Bank (Norwegian CBDC work)</x:v>
      </x:c>
      <x:c r="G290" s="151" t="str">
        <x:v>Som nevnt over vil et system for registerbaserte tokenpenger i prinsippet basere seg 
på at brukerne har tilgang til internett (er online) og at sentralbankens 
valideringssystem er operativt.</x:v>
      </x:c>
      <x:c r="H290" s="151" t="str">
        <x:v>exclude</x:v>
      </x:c>
      <x:c r="I290" s="151" t="str">
        <x:v>keep</x:v>
      </x:c>
      <x:c r="J290" s="151"/>
      <x:c r="K290" s="151" t="str">
        <x:v>OPS.resilience</x:v>
      </x:c>
      <x:c r="L290" s="151" t="str"/>
      <x:c r="M290" s="151" t="str">
        <x:v>OPS</x:v>
      </x:c>
      <x:c r="N290" s="151"/>
      <x:c r="O290" s="151" t="str">
        <x:v>proposal</x:v>
      </x:c>
      <x:c r="P290" s="151"/>
      <x:c r="Q290" s="151" t="str">
        <x:v>neutral</x:v>
      </x:c>
      <x:c r="R290" s="151"/>
      <x:c r="S290" s="151" t="str">
        <x:v>not_applicable</x:v>
      </x:c>
      <x:c r="T290" s="151"/>
      <x:c r="U290" s="151" t="n">
        <x:v>2</x:v>
      </x:c>
      <x:c r="V290" s="151"/>
      <x:c r="W290" s="151"/>
      <x:c r="X290" s="146"/>
      <x:c r="Y290" s="146"/>
      <x:c r="Z290" s="146"/>
      <x:c r="AA290" s="146"/>
      <x:c r="AB290" s="146"/>
      <x:c r="AC290" s="146"/>
      <x:c r="AD290" s="146"/>
      <x:c r="AE290" s="146"/>
      <x:c r="AF290" s="154" t="str">
        <x:f>IF(X290="","PENDING",IF(X290="exclude","DONE",IF(COUNTA(Y290:AC290)=5,"DONE","INCOMPLETE")))</x:f>
        <x:v>PENDING</x:v>
      </x:c>
    </x:row>
    <x:row r="291">
      <x:c r="A291" s="151" t="str">
        <x:v>strength</x:v>
      </x:c>
      <x:c r="B291" s="151" t="str">
        <x:v>SV-0332</x:v>
      </x:c>
      <x:c r="C291" s="151" t="str">
        <x:v>PC-02332</x:v>
      </x:c>
      <x:c r="D291" s="151" t="str">
        <x:v>en|both</x:v>
      </x:c>
      <x:c r="E291" s="151" t="n">
        <x:v>19.069444444444443</x:v>
      </x:c>
      <x:c r="F291" s="151" t="str">
        <x:v>Bank Indonesia (Digital Rupiah)</x:v>
      </x:c>
      <x:c r="G291" s="151" t="str">
        <x:v>R-Digital	Rupiah	is	accessible	via	account- 	
and token-based, arranged based on users’ 
segmentation	(tiering)	and	transactions 	
value cap.</x:v>
      </x:c>
      <x:c r="H291" s="151" t="str">
        <x:v>keep</x:v>
      </x:c>
      <x:c r="I291" s="151" t="str">
        <x:v>keep</x:v>
      </x:c>
      <x:c r="J291" s="151" t="str">
        <x:v>AML.LIMIT</x:v>
      </x:c>
      <x:c r="K291" s="151" t="str">
        <x:v>AML.LIMIT</x:v>
      </x:c>
      <x:c r="L291" s="151" t="str">
        <x:v>AML</x:v>
      </x:c>
      <x:c r="M291" s="151" t="str">
        <x:v>AML</x:v>
      </x:c>
      <x:c r="N291" s="151" t="str">
        <x:v>decision</x:v>
      </x:c>
      <x:c r="O291" s="151" t="str">
        <x:v>decision</x:v>
      </x:c>
      <x:c r="P291" s="151" t="str">
        <x:v>neutral</x:v>
      </x:c>
      <x:c r="Q291" s="151" t="str">
        <x:v>neutral</x:v>
      </x:c>
      <x:c r="R291" s="151" t="str">
        <x:v>not_applicable</x:v>
      </x:c>
      <x:c r="S291" s="151" t="str">
        <x:v>not_applicable</x:v>
      </x:c>
      <x:c r="T291" s="151" t="n">
        <x:v>2</x:v>
      </x:c>
      <x:c r="U291" s="151" t="n">
        <x:v>3</x:v>
      </x:c>
      <x:c r="V291" s="151"/>
      <x:c r="W291" s="151" t="str">
        <x:v>x</x:v>
      </x:c>
      <x:c r="X291" s="146"/>
      <x:c r="Y291" s="146"/>
      <x:c r="Z291" s="146"/>
      <x:c r="AA291" s="146"/>
      <x:c r="AB291" s="146"/>
      <x:c r="AC291" s="146"/>
      <x:c r="AD291" s="146"/>
      <x:c r="AE291" s="146"/>
      <x:c r="AF291" s="154" t="str">
        <x:f>IF(X291="","PENDING",IF(X291="exclude","DONE",IF(COUNTA(Y291:AC291)=5,"DONE","INCOMPLETE")))</x:f>
        <x:v>PENDING</x:v>
      </x:c>
    </x:row>
    <x:row r="292">
      <x:c r="A292" s="151" t="str">
        <x:v>inclusion</x:v>
      </x:c>
      <x:c r="B292" s="151" t="str">
        <x:v>SV-0334</x:v>
      </x:c>
      <x:c r="C292" s="151" t="str">
        <x:v>PC-03634</x:v>
      </x:c>
      <x:c r="D292" s="151" t="str">
        <x:v>en|claude_only</x:v>
      </x:c>
      <x:c r="E292" s="151" t="n">
        <x:v>19.375</x:v>
      </x:c>
      <x:c r="F292" s="151" t="str">
        <x:v>Banca d'Italia research context</x:v>
      </x:c>
      <x:c r="G292" s="151" t="str">
        <x:v>It would be possible to apply limits and thresholds in TIPS+, 
depending on additional information collected by the platform 
and provided by gatekeepers, to set up accounts with specific 
characteristics for non-euro area residents.</x:v>
      </x:c>
      <x:c r="H292" s="151" t="str">
        <x:v>exclude</x:v>
      </x:c>
      <x:c r="I292" s="151" t="str">
        <x:v>keep</x:v>
      </x:c>
      <x:c r="J292" s="151"/>
      <x:c r="K292" s="151" t="str">
        <x:v>INTEROP.crossborder</x:v>
      </x:c>
      <x:c r="L292" s="151" t="str"/>
      <x:c r="M292" s="151" t="str">
        <x:v>INTEROP</x:v>
      </x:c>
      <x:c r="N292" s="151"/>
      <x:c r="O292" s="151" t="str">
        <x:v>proposal</x:v>
      </x:c>
      <x:c r="P292" s="151"/>
      <x:c r="Q292" s="151" t="str">
        <x:v>neutral</x:v>
      </x:c>
      <x:c r="R292" s="151"/>
      <x:c r="S292" s="151" t="str">
        <x:v>not_applicable</x:v>
      </x:c>
      <x:c r="T292" s="151"/>
      <x:c r="U292" s="151" t="n">
        <x:v>2</x:v>
      </x:c>
      <x:c r="V292" s="151"/>
      <x:c r="W292" s="151"/>
      <x:c r="X292" s="146"/>
      <x:c r="Y292" s="146"/>
      <x:c r="Z292" s="146"/>
      <x:c r="AA292" s="146"/>
      <x:c r="AB292" s="146"/>
      <x:c r="AC292" s="146"/>
      <x:c r="AD292" s="146"/>
      <x:c r="AE292" s="146"/>
      <x:c r="AF292" s="154" t="str">
        <x:f>IF(X292="","PENDING",IF(X292="exclude","DONE",IF(COUNTA(Y292:AC292)=5,"DONE","INCOMPLETE")))</x:f>
        <x:v>PENDING</x:v>
      </x:c>
    </x:row>
    <x:row r="293">
      <x:c r="A293" s="151" t="str">
        <x:v>code</x:v>
      </x:c>
      <x:c r="B293" s="151" t="str">
        <x:v>SV-0335</x:v>
      </x:c>
      <x:c r="C293" s="151" t="str">
        <x:v>PC-04222</x:v>
      </x:c>
      <x:c r="D293" s="151" t="str">
        <x:v>en|both</x:v>
      </x:c>
      <x:c r="E293" s="151" t="n">
        <x:v>19.069444444444443</x:v>
      </x:c>
      <x:c r="F293" s="151" t="str">
        <x:v>Norges Bank</x:v>
      </x:c>
      <x:c r="G293" s="151" t="str">
        <x:v>Sikkerhet: IT-løsningen for DSP skal etterleve risikobaserte krav til 
driftssikkerhet, sikring mot brudd på konfidensialitet, integritet og 
tilgjengelighet, samt beskyttelse mot cyberangrep.</x:v>
      </x:c>
      <x:c r="H293" s="151" t="str">
        <x:v>keep</x:v>
      </x:c>
      <x:c r="I293" s="151" t="str">
        <x:v>keep</x:v>
      </x:c>
      <x:c r="J293" s="151" t="str">
        <x:v>SYS.design</x:v>
      </x:c>
      <x:c r="K293" s="151" t="str">
        <x:v>OPS.resilience</x:v>
      </x:c>
      <x:c r="L293" s="151" t="str">
        <x:v>SYS</x:v>
      </x:c>
      <x:c r="M293" s="151" t="str">
        <x:v>OPS</x:v>
      </x:c>
      <x:c r="N293" s="151" t="str">
        <x:v>decision</x:v>
      </x:c>
      <x:c r="O293" s="151" t="str">
        <x:v>decision</x:v>
      </x:c>
      <x:c r="P293" s="151" t="str">
        <x:v>neutral</x:v>
      </x:c>
      <x:c r="Q293" s="151" t="str">
        <x:v>neutral</x:v>
      </x:c>
      <x:c r="R293" s="151" t="str">
        <x:v>not_applicable</x:v>
      </x:c>
      <x:c r="S293" s="151" t="str">
        <x:v>not_applicable</x:v>
      </x:c>
      <x:c r="T293" s="151" t="n">
        <x:v>2</x:v>
      </x:c>
      <x:c r="U293" s="151" t="n">
        <x:v>2</x:v>
      </x:c>
      <x:c r="V293" s="151"/>
      <x:c r="W293" s="151"/>
      <x:c r="X293" s="146"/>
      <x:c r="Y293" s="146"/>
      <x:c r="Z293" s="146"/>
      <x:c r="AA293" s="146"/>
      <x:c r="AB293" s="146"/>
      <x:c r="AC293" s="146"/>
      <x:c r="AD293" s="146"/>
      <x:c r="AE293" s="146"/>
      <x:c r="AF293" s="154" t="str">
        <x:f>IF(X293="","PENDING",IF(X293="exclude","DONE",IF(COUNTA(Y293:AC293)=5,"DONE","INCOMPLETE")))</x:f>
        <x:v>PENDING</x:v>
      </x:c>
    </x:row>
    <x:row r="294">
      <x:c r="A294" s="151" t="str">
        <x:v>odr</x:v>
      </x:c>
      <x:c r="B294" s="151" t="str">
        <x:v>SV-0336</x:v>
      </x:c>
      <x:c r="C294" s="151" t="str">
        <x:v>PC-03020</x:v>
      </x:c>
      <x:c r="D294" s="151" t="str">
        <x:v>en|both</x:v>
      </x:c>
      <x:c r="E294" s="151" t="n">
        <x:v>19.069444444444443</x:v>
      </x:c>
      <x:c r="F294" s="151" t="str">
        <x:v>Bank of Israel (digital shekel)</x:v>
      </x:c>
      <x:c r="G294" s="151" t="str">
        <x:v>The PSP will configure the offline 
wallet to prevent receiving amounts that exceed the defined limit, and a wallet in this state 
will not be able to receive funds.</x:v>
      </x:c>
      <x:c r="H294" s="151" t="str">
        <x:v>keep</x:v>
      </x:c>
      <x:c r="I294" s="151" t="str">
        <x:v>keep</x:v>
      </x:c>
      <x:c r="J294" s="151" t="str">
        <x:v>AML.LIMIT</x:v>
      </x:c>
      <x:c r="K294" s="151" t="str">
        <x:v>AML.LIMIT</x:v>
      </x:c>
      <x:c r="L294" s="151" t="str">
        <x:v>AML</x:v>
      </x:c>
      <x:c r="M294" s="151" t="str">
        <x:v>AML</x:v>
      </x:c>
      <x:c r="N294" s="151" t="str">
        <x:v>proposal</x:v>
      </x:c>
      <x:c r="O294" s="151" t="str">
        <x:v>decision</x:v>
      </x:c>
      <x:c r="P294" s="151" t="str">
        <x:v>neutral</x:v>
      </x:c>
      <x:c r="Q294" s="151" t="str">
        <x:v>neutral</x:v>
      </x:c>
      <x:c r="R294" s="151" t="str">
        <x:v>not_applicable</x:v>
      </x:c>
      <x:c r="S294" s="151" t="str">
        <x:v>not_applicable</x:v>
      </x:c>
      <x:c r="T294" s="151" t="n">
        <x:v>2</x:v>
      </x:c>
      <x:c r="U294" s="151" t="n">
        <x:v>2</x:v>
      </x:c>
      <x:c r="V294" s="151"/>
      <x:c r="W294" s="151"/>
      <x:c r="X294" s="146"/>
      <x:c r="Y294" s="146"/>
      <x:c r="Z294" s="146"/>
      <x:c r="AA294" s="146"/>
      <x:c r="AB294" s="146"/>
      <x:c r="AC294" s="146"/>
      <x:c r="AD294" s="146"/>
      <x:c r="AE294" s="146"/>
      <x:c r="AF294" s="154" t="str">
        <x:f>IF(X294="","PENDING",IF(X294="exclude","DONE",IF(COUNTA(Y294:AC294)=5,"DONE","INCOMPLETE")))</x:f>
        <x:v>PENDING</x:v>
      </x:c>
    </x:row>
    <x:row r="295">
      <x:c r="A295" s="151" t="str">
        <x:v>code|odr</x:v>
      </x:c>
      <x:c r="B295" s="151" t="str">
        <x:v>SV-0337</x:v>
      </x:c>
      <x:c r="C295" s="151" t="str">
        <x:v>PC-04955</x:v>
      </x:c>
      <x:c r="D295" s="151" t="str">
        <x:v>en|both</x:v>
      </x:c>
      <x:c r="E295" s="151" t="n">
        <x:v>19.069444444444443</x:v>
      </x:c>
      <x:c r="F295" s="151" t="str">
        <x:v>Bank of Russia (digital ruble)</x:v>
      </x:c>
      <x:c r="G295" s="151" t="str">
        <x:v>use their wallets with digital rubles via various financial intermediaries without tying it to a 
single financial intermediary where it was opened (subject to adequate user identification).</x:v>
      </x:c>
      <x:c r="H295" s="151" t="str">
        <x:v>keep</x:v>
      </x:c>
      <x:c r="I295" s="151" t="str">
        <x:v>keep</x:v>
      </x:c>
      <x:c r="J295" s="151" t="str">
        <x:v>PRIV.MIN</x:v>
      </x:c>
      <x:c r="K295" s="151" t="str">
        <x:v>SYS.design</x:v>
      </x:c>
      <x:c r="L295" s="151" t="str">
        <x:v>PRIV</x:v>
      </x:c>
      <x:c r="M295" s="151" t="str">
        <x:v>SYS</x:v>
      </x:c>
      <x:c r="N295" s="151" t="str">
        <x:v>proposal</x:v>
      </x:c>
      <x:c r="O295" s="151" t="str">
        <x:v>decision</x:v>
      </x:c>
      <x:c r="P295" s="151" t="str">
        <x:v>neutral</x:v>
      </x:c>
      <x:c r="Q295" s="151" t="str">
        <x:v>neutral</x:v>
      </x:c>
      <x:c r="R295" s="151" t="str">
        <x:v>not_applicable</x:v>
      </x:c>
      <x:c r="S295" s="151" t="str">
        <x:v>not_applicable</x:v>
      </x:c>
      <x:c r="T295" s="151" t="n">
        <x:v>2</x:v>
      </x:c>
      <x:c r="U295" s="151" t="n">
        <x:v>2</x:v>
      </x:c>
      <x:c r="V295" s="151"/>
      <x:c r="W295" s="151"/>
      <x:c r="X295" s="146"/>
      <x:c r="Y295" s="146"/>
      <x:c r="Z295" s="146"/>
      <x:c r="AA295" s="146"/>
      <x:c r="AB295" s="146"/>
      <x:c r="AC295" s="146"/>
      <x:c r="AD295" s="146"/>
      <x:c r="AE295" s="146"/>
      <x:c r="AF295" s="154" t="str">
        <x:f>IF(X295="","PENDING",IF(X295="exclude","DONE",IF(COUNTA(Y295:AC295)=5,"DONE","INCOMPLETE")))</x:f>
        <x:v>PENDING</x:v>
      </x:c>
    </x:row>
    <x:row r="296">
      <x:c r="A296" s="151" t="str">
        <x:v>inclusion</x:v>
      </x:c>
      <x:c r="B296" s="151" t="str">
        <x:v>SV-0338</x:v>
      </x:c>
      <x:c r="C296" s="151" t="str">
        <x:v>PC-03923</x:v>
      </x:c>
      <x:c r="D296" s="151" t="str">
        <x:v>en|openai_only</x:v>
      </x:c>
      <x:c r="E296" s="151" t="n">
        <x:v>19.21875</x:v>
      </x:c>
      <x:c r="F296" s="151" t="str">
        <x:v>Monetary Authority of Macao (e-MOP)</x:v>
      </x:c>
      <x:c r="G296" s="151" t="str">
        <x:v>the adoption 
of e-MOP is envisaged not only to enhance the payment experience 
for inbound visitors, but also to strengthen Macao’s strategic 
positioning as a  “world centre of tourism and leisure”.</x:v>
      </x:c>
      <x:c r="H296" s="151" t="str">
        <x:v>keep</x:v>
      </x:c>
      <x:c r="I296" s="151" t="str">
        <x:v>exclude</x:v>
      </x:c>
      <x:c r="J296" s="151" t="str">
        <x:v>ADOPT.experience</x:v>
      </x:c>
      <x:c r="K296" s="151"/>
      <x:c r="L296" s="151" t="str">
        <x:v>ADOPT</x:v>
      </x:c>
      <x:c r="M296" s="151" t="str"/>
      <x:c r="N296" s="151" t="str">
        <x:v>proposal</x:v>
      </x:c>
      <x:c r="O296" s="151"/>
      <x:c r="P296" s="151" t="str">
        <x:v>neutral</x:v>
      </x:c>
      <x:c r="Q296" s="151"/>
      <x:c r="R296" s="151" t="str">
        <x:v>not_applicable</x:v>
      </x:c>
      <x:c r="S296" s="151"/>
      <x:c r="T296" s="151" t="n">
        <x:v>2</x:v>
      </x:c>
      <x:c r="U296" s="151"/>
      <x:c r="V296" s="151"/>
      <x:c r="W296" s="151"/>
      <x:c r="X296" s="146"/>
      <x:c r="Y296" s="146"/>
      <x:c r="Z296" s="146"/>
      <x:c r="AA296" s="146"/>
      <x:c r="AB296" s="146"/>
      <x:c r="AC296" s="146"/>
      <x:c r="AD296" s="146"/>
      <x:c r="AE296" s="146"/>
      <x:c r="AF296" s="154" t="str">
        <x:f>IF(X296="","PENDING",IF(X296="exclude","DONE",IF(COUNTA(Y296:AC296)=5,"DONE","INCOMPLETE")))</x:f>
        <x:v>PENDING</x:v>
      </x:c>
    </x:row>
    <x:row r="297">
      <x:c r="A297" s="151" t="str">
        <x:v>inclusion</x:v>
      </x:c>
      <x:c r="B297" s="151" t="str">
        <x:v>SV-0339</x:v>
      </x:c>
      <x:c r="C297" s="151" t="str">
        <x:v>PC-04706</x:v>
      </x:c>
      <x:c r="D297" s="151" t="str">
        <x:v>en|both</x:v>
      </x:c>
      <x:c r="E297" s="151" t="n">
        <x:v>19.069444444444443</x:v>
      </x:c>
      <x:c r="F297" s="151" t="str">
        <x:v>Republic of Palau (Palau Stablecoin programme)</x:v>
      </x:c>
      <x:c r="G297" s="151" t="str">
        <x:v>The Ministry of Finance (MOF) of the Republic of Palau recently completed Phase 1 of the Palau Stablecoin 
(PSC) Program focusing on a Solution Design Pilot and Research and Development Project in partnership 
with Ripple’s Central Bank Digital Currencies (CBDC) and Central Bank Engagements team and using the 
Ripple CBDC platform.</x:v>
      </x:c>
      <x:c r="H297" s="151" t="str">
        <x:v>keep</x:v>
      </x:c>
      <x:c r="I297" s="151" t="str">
        <x:v>exclude</x:v>
      </x:c>
      <x:c r="J297" s="151" t="str">
        <x:v>SYS.design</x:v>
      </x:c>
      <x:c r="K297" s="151" t="str">
        <x:v>ACCESS.universal</x:v>
      </x:c>
      <x:c r="L297" s="151" t="str">
        <x:v>SYS</x:v>
      </x:c>
      <x:c r="M297" s="151" t="str">
        <x:v>ACCESS</x:v>
      </x:c>
      <x:c r="N297" s="151" t="str">
        <x:v>decision</x:v>
      </x:c>
      <x:c r="O297" s="151" t="str">
        <x:v>proposal</x:v>
      </x:c>
      <x:c r="P297" s="151" t="str">
        <x:v>neutral</x:v>
      </x:c>
      <x:c r="Q297" s="151" t="str">
        <x:v>neutral</x:v>
      </x:c>
      <x:c r="R297" s="151" t="str">
        <x:v>not_applicable</x:v>
      </x:c>
      <x:c r="S297" s="151" t="str">
        <x:v>not_applicable</x:v>
      </x:c>
      <x:c r="T297" s="151" t="n">
        <x:v>2</x:v>
      </x:c>
      <x:c r="U297" s="151" t="n">
        <x:v>2</x:v>
      </x:c>
      <x:c r="V297" s="151"/>
      <x:c r="W297" s="151" t="str">
        <x:v>x</x:v>
      </x:c>
      <x:c r="X297" s="146"/>
      <x:c r="Y297" s="146"/>
      <x:c r="Z297" s="146"/>
      <x:c r="AA297" s="146"/>
      <x:c r="AB297" s="146"/>
      <x:c r="AC297" s="146"/>
      <x:c r="AD297" s="146"/>
      <x:c r="AE297" s="146"/>
      <x:c r="AF297" s="154" t="str">
        <x:f>IF(X297="","PENDING",IF(X297="exclude","DONE",IF(COUNTA(Y297:AC297)=5,"DONE","INCOMPLETE")))</x:f>
        <x:v>PENDING</x:v>
      </x:c>
    </x:row>
    <x:row r="298">
      <x:c r="A298" s="151" t="str">
        <x:v>inclusion</x:v>
      </x:c>
      <x:c r="B298" s="151" t="str">
        <x:v>SV-0340</x:v>
      </x:c>
      <x:c r="C298" s="151" t="str">
        <x:v>PC-02925</x:v>
      </x:c>
      <x:c r="D298" s="151" t="str">
        <x:v>en|openai_only</x:v>
      </x:c>
      <x:c r="E298" s="151" t="n">
        <x:v>19.21875</x:v>
      </x:c>
      <x:c r="F298" s="151" t="str">
        <x:v>Bank of Israel (digital shekel)</x:v>
      </x:c>
      <x:c r="G298" s="151" t="str">
        <x:v>Special 
connectivity between the digital shekel  system and MASAV will allow splitting these 
payments also to the payees' digital shekel wallets.</x:v>
      </x:c>
      <x:c r="H298" s="151" t="str">
        <x:v>keep</x:v>
      </x:c>
      <x:c r="I298" s="151" t="str">
        <x:v>exclude</x:v>
      </x:c>
      <x:c r="J298" s="151" t="str">
        <x:v>INTEROP.domestic</x:v>
      </x:c>
      <x:c r="K298" s="151"/>
      <x:c r="L298" s="151" t="str">
        <x:v>INTEROP</x:v>
      </x:c>
      <x:c r="M298" s="151" t="str"/>
      <x:c r="N298" s="151" t="str">
        <x:v>proposal</x:v>
      </x:c>
      <x:c r="O298" s="151"/>
      <x:c r="P298" s="151" t="str">
        <x:v>neutral</x:v>
      </x:c>
      <x:c r="Q298" s="151"/>
      <x:c r="R298" s="151" t="str">
        <x:v>not_applicable</x:v>
      </x:c>
      <x:c r="S298" s="151"/>
      <x:c r="T298" s="151" t="n">
        <x:v>2</x:v>
      </x:c>
      <x:c r="U298" s="151"/>
      <x:c r="V298" s="151"/>
      <x:c r="W298" s="151"/>
      <x:c r="X298" s="146"/>
      <x:c r="Y298" s="146"/>
      <x:c r="Z298" s="146"/>
      <x:c r="AA298" s="146"/>
      <x:c r="AB298" s="146"/>
      <x:c r="AC298" s="146"/>
      <x:c r="AD298" s="146"/>
      <x:c r="AE298" s="146"/>
      <x:c r="AF298" s="154" t="str">
        <x:f>IF(X298="","PENDING",IF(X298="exclude","DONE",IF(COUNTA(Y298:AC298)=5,"DONE","INCOMPLETE")))</x:f>
        <x:v>PENDING</x:v>
      </x:c>
    </x:row>
    <x:row r="299">
      <x:c r="A299" s="151" t="str">
        <x:v>inclusion</x:v>
      </x:c>
      <x:c r="B299" s="151" t="str">
        <x:v>SV-0341</x:v>
      </x:c>
      <x:c r="C299" s="151" t="str">
        <x:v>PC-00654</x:v>
      </x:c>
      <x:c r="D299" s="151" t="str">
        <x:v>en|claude_only</x:v>
      </x:c>
      <x:c r="E299" s="151" t="n">
        <x:v>19.375</x:v>
      </x:c>
      <x:c r="F299" s="151" t="str">
        <x:v>Bank of Canada research on privacy-enhancing technologies for a potential CBDC</x:v>
      </x:c>
      <x:c r="G299" s="151" t="str">
        <x:v>In general, we
follow two principles to balance privacy and compliance requirements: (1) minimize the number of entities
that have visibility of PII;</x:v>
      </x:c>
      <x:c r="H299" s="151" t="str">
        <x:v>exclude</x:v>
      </x:c>
      <x:c r="I299" s="151" t="str">
        <x:v>keep</x:v>
      </x:c>
      <x:c r="J299" s="151"/>
      <x:c r="K299" s="151" t="str">
        <x:v>PRIV.MIN</x:v>
      </x:c>
      <x:c r="L299" s="151" t="str"/>
      <x:c r="M299" s="151" t="str">
        <x:v>PRIV</x:v>
      </x:c>
      <x:c r="N299" s="151"/>
      <x:c r="O299" s="151" t="str">
        <x:v>decision</x:v>
      </x:c>
      <x:c r="P299" s="151"/>
      <x:c r="Q299" s="151" t="str">
        <x:v>increases</x:v>
      </x:c>
      <x:c r="R299" s="151"/>
      <x:c r="S299" s="151" t="str">
        <x:v>not_applicable</x:v>
      </x:c>
      <x:c r="T299" s="151"/>
      <x:c r="U299" s="151" t="n">
        <x:v>3</x:v>
      </x:c>
      <x:c r="V299" s="151"/>
      <x:c r="W299" s="151"/>
      <x:c r="X299" s="146"/>
      <x:c r="Y299" s="146"/>
      <x:c r="Z299" s="146"/>
      <x:c r="AA299" s="146"/>
      <x:c r="AB299" s="146"/>
      <x:c r="AC299" s="146"/>
      <x:c r="AD299" s="146"/>
      <x:c r="AE299" s="146"/>
      <x:c r="AF299" s="154" t="str">
        <x:f>IF(X299="","PENDING",IF(X299="exclude","DONE",IF(COUNTA(Y299:AC299)=5,"DONE","INCOMPLETE")))</x:f>
        <x:v>PENDING</x:v>
      </x:c>
    </x:row>
    <x:row r="300">
      <x:c r="A300" s="151" t="str">
        <x:v>code</x:v>
      </x:c>
      <x:c r="B300" s="151" t="str">
        <x:v>SV-0342</x:v>
      </x:c>
      <x:c r="C300" s="151" t="str">
        <x:v>PC-00503</x:v>
      </x:c>
      <x:c r="D300" s="151" t="str">
        <x:v>en|both</x:v>
      </x:c>
      <x:c r="E300" s="151" t="n">
        <x:v>19.069444444444443</x:v>
      </x:c>
      <x:c r="F300" s="151" t="str">
        <x:v>Banco Central do Brasil (Drex / Digital Real)</x:v>
      </x:c>
      <x:c r="G300" s="151" t="str">
        <x:v>Adoption of resiliency and cybersecurity standards equivalent to 
those applicable to critical infrastructures in the financial market.</x:v>
      </x:c>
      <x:c r="H300" s="151" t="str">
        <x:v>keep</x:v>
      </x:c>
      <x:c r="I300" s="151" t="str">
        <x:v>keep</x:v>
      </x:c>
      <x:c r="J300" s="151" t="str">
        <x:v>TECH.DLT</x:v>
      </x:c>
      <x:c r="K300" s="151" t="str">
        <x:v>OPS.resilience</x:v>
      </x:c>
      <x:c r="L300" s="151" t="str">
        <x:v>TECH</x:v>
      </x:c>
      <x:c r="M300" s="151" t="str">
        <x:v>OPS</x:v>
      </x:c>
      <x:c r="N300" s="151" t="str">
        <x:v>decision</x:v>
      </x:c>
      <x:c r="O300" s="151" t="str">
        <x:v>decision</x:v>
      </x:c>
      <x:c r="P300" s="151" t="str">
        <x:v>neutral</x:v>
      </x:c>
      <x:c r="Q300" s="151" t="str">
        <x:v>neutral</x:v>
      </x:c>
      <x:c r="R300" s="151" t="str">
        <x:v>not_applicable</x:v>
      </x:c>
      <x:c r="S300" s="151" t="str">
        <x:v>not_applicable</x:v>
      </x:c>
      <x:c r="T300" s="151" t="n">
        <x:v>3</x:v>
      </x:c>
      <x:c r="U300" s="151" t="n">
        <x:v>3</x:v>
      </x:c>
      <x:c r="V300" s="151"/>
      <x:c r="W300" s="151"/>
      <x:c r="X300" s="146"/>
      <x:c r="Y300" s="146"/>
      <x:c r="Z300" s="146"/>
      <x:c r="AA300" s="146"/>
      <x:c r="AB300" s="146"/>
      <x:c r="AC300" s="146"/>
      <x:c r="AD300" s="146"/>
      <x:c r="AE300" s="146"/>
      <x:c r="AF300" s="154" t="str">
        <x:f>IF(X300="","PENDING",IF(X300="exclude","DONE",IF(COUNTA(Y300:AC300)=5,"DONE","INCOMPLETE")))</x:f>
        <x:v>PENDING</x:v>
      </x:c>
    </x:row>
    <x:row r="301">
      <x:c r="A301" s="151" t="str">
        <x:v>inclusion</x:v>
      </x:c>
      <x:c r="B301" s="151" t="str">
        <x:v>SV-0343</x:v>
      </x:c>
      <x:c r="C301" s="151" t="str">
        <x:v>PC-05912</x:v>
      </x:c>
      <x:c r="D301" s="151" t="str">
        <x:v>en|claude_only</x:v>
      </x:c>
      <x:c r="E301" s="151" t="n">
        <x:v>19.375</x:v>
      </x:c>
      <x:c r="F301" s="151" t="str">
        <x:v>National Bank of Ukraine (e-hryvnia pilot)</x:v>
      </x:c>
      <x:c r="G301" s="151" t="str">
        <x:v>We consider the risk of influencing inflation to be improbable, 
as the full -scale implementation of the domestic digital 
currency foresees no uncontrollable issuance of hryvnia.</x:v>
      </x:c>
      <x:c r="H301" s="151" t="str">
        <x:v>exclude</x:v>
      </x:c>
      <x:c r="I301" s="151" t="str">
        <x:v>keep</x:v>
      </x:c>
      <x:c r="J301" s="151"/>
      <x:c r="K301" s="151" t="str">
        <x:v>STAB.disintermediation</x:v>
      </x:c>
      <x:c r="L301" s="151" t="str"/>
      <x:c r="M301" s="151" t="str">
        <x:v>STAB</x:v>
      </x:c>
      <x:c r="N301" s="151"/>
      <x:c r="O301" s="151" t="str">
        <x:v>finding</x:v>
      </x:c>
      <x:c r="P301" s="151"/>
      <x:c r="Q301" s="151" t="str">
        <x:v>neutral</x:v>
      </x:c>
      <x:c r="R301" s="151"/>
      <x:c r="S301" s="151" t="str">
        <x:v>not_applicable</x:v>
      </x:c>
      <x:c r="T301" s="151"/>
      <x:c r="U301" s="151" t="n">
        <x:v>2</x:v>
      </x:c>
      <x:c r="V301" s="151"/>
      <x:c r="W301" s="151"/>
      <x:c r="X301" s="146"/>
      <x:c r="Y301" s="146"/>
      <x:c r="Z301" s="146"/>
      <x:c r="AA301" s="146"/>
      <x:c r="AB301" s="146"/>
      <x:c r="AC301" s="146"/>
      <x:c r="AD301" s="146"/>
      <x:c r="AE301" s="146"/>
      <x:c r="AF301" s="154" t="str">
        <x:f>IF(X301="","PENDING",IF(X301="exclude","DONE",IF(COUNTA(Y301:AC301)=5,"DONE","INCOMPLETE")))</x:f>
        <x:v>PENDING</x:v>
      </x:c>
    </x:row>
    <x:row r="302">
      <x:c r="A302" s="151" t="str">
        <x:v>inclusion</x:v>
      </x:c>
      <x:c r="B302" s="151" t="str">
        <x:v>SV-0344</x:v>
      </x:c>
      <x:c r="C302" s="151" t="str">
        <x:v>PC-00141</x:v>
      </x:c>
      <x:c r="D302" s="151" t="str">
        <x:v>en|both</x:v>
      </x:c>
      <x:c r="E302" s="151" t="n">
        <x:v>19.069444444444443</x:v>
      </x:c>
      <x:c r="F302" s="151" t="str">
        <x:v>Reserve Bank of Australia and Digital Finance CRC (Australian CBDC pilot)</x:v>
      </x:c>
      <x:c r="G302" s="151" t="str">
        <x:v>The identity of end users was held by each industry participant, with no identity information stored 
on the pilot CBDC platform; identity management was not a research focus of the project.</x:v>
      </x:c>
      <x:c r="H302" s="151" t="str">
        <x:v>exclude</x:v>
      </x:c>
      <x:c r="I302" s="151" t="str">
        <x:v>keep</x:v>
      </x:c>
      <x:c r="J302" s="151"/>
      <x:c r="K302" s="151" t="str">
        <x:v>SYS.design</x:v>
      </x:c>
      <x:c r="L302" s="151" t="str"/>
      <x:c r="M302" s="151" t="str">
        <x:v>SYS</x:v>
      </x:c>
      <x:c r="N302" s="151"/>
      <x:c r="O302" s="151" t="str">
        <x:v>decision</x:v>
      </x:c>
      <x:c r="P302" s="151"/>
      <x:c r="Q302" s="151" t="str">
        <x:v>neutral</x:v>
      </x:c>
      <x:c r="R302" s="151"/>
      <x:c r="S302" s="151" t="str">
        <x:v>not_applicable</x:v>
      </x:c>
      <x:c r="T302" s="151"/>
      <x:c r="U302" s="151" t="n">
        <x:v>2</x:v>
      </x:c>
      <x:c r="V302" s="151"/>
      <x:c r="W302" s="151"/>
      <x:c r="X302" s="146"/>
      <x:c r="Y302" s="146"/>
      <x:c r="Z302" s="146"/>
      <x:c r="AA302" s="146"/>
      <x:c r="AB302" s="146"/>
      <x:c r="AC302" s="146"/>
      <x:c r="AD302" s="146"/>
      <x:c r="AE302" s="146"/>
      <x:c r="AF302" s="154" t="str">
        <x:f>IF(X302="","PENDING",IF(X302="exclude","DONE",IF(COUNTA(Y302:AC302)=5,"DONE","INCOMPLETE")))</x:f>
        <x:v>PENDING</x:v>
      </x:c>
    </x:row>
    <x:row r="303">
      <x:c r="A303" s="151" t="str">
        <x:v>code</x:v>
      </x:c>
      <x:c r="B303" s="151" t="str">
        <x:v>SV-0345</x:v>
      </x:c>
      <x:c r="C303" s="151" t="str">
        <x:v>PC-01105</x:v>
      </x:c>
      <x:c r="D303" s="151" t="str">
        <x:v>en|both</x:v>
      </x:c>
      <x:c r="E303" s="151" t="n">
        <x:v>19.069444444444443</x:v>
      </x:c>
      <x:c r="F303" s="151" t="str">
        <x:v>Bank of Canada and Payments Canada (Project Jasper)</x:v>
      </x:c>
      <x:c r="G303" s="151" t="str">
        <x:v>I
n Phase 2, the prototype was built using the Corda 
platform. Corda was selected after a detailed  
review of the options.</x:v>
      </x:c>
      <x:c r="H303" s="151" t="str">
        <x:v>keep</x:v>
      </x:c>
      <x:c r="I303" s="151" t="str">
        <x:v>keep</x:v>
      </x:c>
      <x:c r="J303" s="151" t="str">
        <x:v>INTEROP.domestic</x:v>
      </x:c>
      <x:c r="K303" s="151" t="str">
        <x:v>TECH.DLT</x:v>
      </x:c>
      <x:c r="L303" s="151" t="str">
        <x:v>INTEROP</x:v>
      </x:c>
      <x:c r="M303" s="151" t="str">
        <x:v>TECH</x:v>
      </x:c>
      <x:c r="N303" s="151" t="str">
        <x:v>decision</x:v>
      </x:c>
      <x:c r="O303" s="151" t="str">
        <x:v>decision</x:v>
      </x:c>
      <x:c r="P303" s="151" t="str">
        <x:v>neutral</x:v>
      </x:c>
      <x:c r="Q303" s="151" t="str">
        <x:v>neutral</x:v>
      </x:c>
      <x:c r="R303" s="151" t="str">
        <x:v>not_applicable</x:v>
      </x:c>
      <x:c r="S303" s="151" t="str">
        <x:v>not_applicable</x:v>
      </x:c>
      <x:c r="T303" s="151" t="n">
        <x:v>3</x:v>
      </x:c>
      <x:c r="U303" s="151" t="n">
        <x:v>3</x:v>
      </x:c>
      <x:c r="V303" s="151"/>
      <x:c r="W303" s="151"/>
      <x:c r="X303" s="146"/>
      <x:c r="Y303" s="146"/>
      <x:c r="Z303" s="146"/>
      <x:c r="AA303" s="146"/>
      <x:c r="AB303" s="146"/>
      <x:c r="AC303" s="146"/>
      <x:c r="AD303" s="146"/>
      <x:c r="AE303" s="146"/>
      <x:c r="AF303" s="154" t="str">
        <x:f>IF(X303="","PENDING",IF(X303="exclude","DONE",IF(COUNTA(Y303:AC303)=5,"DONE","INCOMPLETE")))</x:f>
        <x:v>PENDING</x:v>
      </x:c>
    </x:row>
    <x:row r="304">
      <x:c r="A304" s="151" t="str">
        <x:v>inclusion</x:v>
      </x:c>
      <x:c r="B304" s="151" t="str">
        <x:v>SV-0347</x:v>
      </x:c>
      <x:c r="C304" s="151" t="str">
        <x:v>PC-06647</x:v>
      </x:c>
      <x:c r="D304" s="151" t="str">
        <x:v>en|openai_only</x:v>
      </x:c>
      <x:c r="E304" s="151" t="n">
        <x:v>19.21875</x:v>
      </x:c>
      <x:c r="F304" s="151" t="str">
        <x:v>Banco Central del Uruguay (e-Peso pilot)</x:v>
      </x:c>
      <x:c r="G304" s="151" t="str">
        <x:v>to limit CBDC to small amounts for each user is the 
strategy to fulfill cash use without harming other instruments.</x:v>
      </x:c>
      <x:c r="H304" s="151" t="str">
        <x:v>keep</x:v>
      </x:c>
      <x:c r="I304" s="151" t="str">
        <x:v>exclude</x:v>
      </x:c>
      <x:c r="J304" s="151" t="str">
        <x:v>AML.LIMIT</x:v>
      </x:c>
      <x:c r="K304" s="151"/>
      <x:c r="L304" s="151" t="str">
        <x:v>AML</x:v>
      </x:c>
      <x:c r="M304" s="151" t="str"/>
      <x:c r="N304" s="151" t="str">
        <x:v>proposal</x:v>
      </x:c>
      <x:c r="O304" s="151"/>
      <x:c r="P304" s="151" t="str">
        <x:v>neutral</x:v>
      </x:c>
      <x:c r="Q304" s="151"/>
      <x:c r="R304" s="151" t="str">
        <x:v>not_applicable</x:v>
      </x:c>
      <x:c r="S304" s="151"/>
      <x:c r="T304" s="151" t="n">
        <x:v>2</x:v>
      </x:c>
      <x:c r="U304" s="151"/>
      <x:c r="V304" s="151"/>
      <x:c r="W304" s="151"/>
      <x:c r="X304" s="146"/>
      <x:c r="Y304" s="146"/>
      <x:c r="Z304" s="146"/>
      <x:c r="AA304" s="146"/>
      <x:c r="AB304" s="146"/>
      <x:c r="AC304" s="146"/>
      <x:c r="AD304" s="146"/>
      <x:c r="AE304" s="146"/>
      <x:c r="AF304" s="154" t="str">
        <x:f>IF(X304="","PENDING",IF(X304="exclude","DONE",IF(COUNTA(Y304:AC304)=5,"DONE","INCOMPLETE")))</x:f>
        <x:v>PENDING</x:v>
      </x:c>
    </x:row>
    <x:row r="305">
      <x:c r="A305" s="151" t="str">
        <x:v>inclusion</x:v>
      </x:c>
      <x:c r="B305" s="151" t="str">
        <x:v>SV-0348</x:v>
      </x:c>
      <x:c r="C305" s="151" t="str">
        <x:v>PC-06898</x:v>
      </x:c>
      <x:c r="D305" s="151" t="str">
        <x:v>en|both</x:v>
      </x:c>
      <x:c r="E305" s="151" t="n">
        <x:v>19.069444444444443</x:v>
      </x:c>
      <x:c r="F305" s="151" t="str">
        <x:v>South African Reserve Bank</x:v>
      </x:c>
      <x:c r="G305" s="151" t="str">
        <x:v>In iteration 3 the transactions are confidential and the 
SARB node approves all the transactions after checks.</x:v>
      </x:c>
      <x:c r="H305" s="151" t="str">
        <x:v>keep</x:v>
      </x:c>
      <x:c r="I305" s="151" t="str">
        <x:v>exclude</x:v>
      </x:c>
      <x:c r="J305" s="151" t="str">
        <x:v>PRIV.ANON</x:v>
      </x:c>
      <x:c r="K305" s="151" t="str">
        <x:v>PRIV.CB.visibility.transparent</x:v>
      </x:c>
      <x:c r="L305" s="151" t="str">
        <x:v>PRIV</x:v>
      </x:c>
      <x:c r="M305" s="151" t="str">
        <x:v>PRIV</x:v>
      </x:c>
      <x:c r="N305" s="151" t="str">
        <x:v>finding</x:v>
      </x:c>
      <x:c r="O305" s="151" t="str">
        <x:v>finding</x:v>
      </x:c>
      <x:c r="P305" s="151" t="str">
        <x:v>increases</x:v>
      </x:c>
      <x:c r="Q305" s="151" t="str">
        <x:v>decreases</x:v>
      </x:c>
      <x:c r="R305" s="151" t="str">
        <x:v>from_state</x:v>
      </x:c>
      <x:c r="S305" s="151" t="str">
        <x:v>from_state</x:v>
      </x:c>
      <x:c r="T305" s="151" t="n">
        <x:v>2</x:v>
      </x:c>
      <x:c r="U305" s="151" t="n">
        <x:v>2</x:v>
      </x:c>
      <x:c r="V305" s="151"/>
      <x:c r="W305" s="151" t="str">
        <x:v>x</x:v>
      </x:c>
      <x:c r="X305" s="146"/>
      <x:c r="Y305" s="146"/>
      <x:c r="Z305" s="146"/>
      <x:c r="AA305" s="146"/>
      <x:c r="AB305" s="146"/>
      <x:c r="AC305" s="146"/>
      <x:c r="AD305" s="146"/>
      <x:c r="AE305" s="146"/>
      <x:c r="AF305" s="154" t="str">
        <x:f>IF(X305="","PENDING",IF(X305="exclude","DONE",IF(COUNTA(Y305:AC305)=5,"DONE","INCOMPLETE")))</x:f>
        <x:v>PENDING</x:v>
      </x:c>
    </x:row>
    <x:row r="306">
      <x:c r="A306" s="151" t="str">
        <x:v>inclusion</x:v>
      </x:c>
      <x:c r="B306" s="151" t="str">
        <x:v>SV-0349</x:v>
      </x:c>
      <x:c r="C306" s="151" t="str">
        <x:v>PC-02064</x:v>
      </x:c>
      <x:c r="D306" s="151" t="str">
        <x:v>en|openai_only</x:v>
      </x:c>
      <x:c r="E306" s="151" t="n">
        <x:v>19.21875</x:v>
      </x:c>
      <x:c r="F306" s="151" t="str">
        <x:v>Hong Kong Monetary Authority (e-HKD Phase 2 pilots)</x:v>
      </x:c>
      <x:c r="G306" s="151" t="str">
        <x:v>The performance of public DLTs in handling 
high-volume retail transactions is a major issue.</x:v>
      </x:c>
      <x:c r="H306" s="151" t="str">
        <x:v>keep</x:v>
      </x:c>
      <x:c r="I306" s="151" t="str">
        <x:v>exclude</x:v>
      </x:c>
      <x:c r="J306" s="151" t="str">
        <x:v>TECH.DLT</x:v>
      </x:c>
      <x:c r="K306" s="151"/>
      <x:c r="L306" s="151" t="str">
        <x:v>TECH</x:v>
      </x:c>
      <x:c r="M306" s="151" t="str"/>
      <x:c r="N306" s="151" t="str">
        <x:v>finding</x:v>
      </x:c>
      <x:c r="O306" s="151"/>
      <x:c r="P306" s="151" t="str">
        <x:v>neutral</x:v>
      </x:c>
      <x:c r="Q306" s="151"/>
      <x:c r="R306" s="151" t="str">
        <x:v>not_applicable</x:v>
      </x:c>
      <x:c r="S306" s="151"/>
      <x:c r="T306" s="151" t="n">
        <x:v>2</x:v>
      </x:c>
      <x:c r="U306" s="151"/>
      <x:c r="V306" s="151"/>
      <x:c r="W306" s="151"/>
      <x:c r="X306" s="146"/>
      <x:c r="Y306" s="146"/>
      <x:c r="Z306" s="146"/>
      <x:c r="AA306" s="146"/>
      <x:c r="AB306" s="146"/>
      <x:c r="AC306" s="146"/>
      <x:c r="AD306" s="146"/>
      <x:c r="AE306" s="146"/>
      <x:c r="AF306" s="154" t="str">
        <x:f>IF(X306="","PENDING",IF(X306="exclude","DONE",IF(COUNTA(Y306:AC306)=5,"DONE","INCOMPLETE")))</x:f>
        <x:v>PENDING</x:v>
      </x:c>
    </x:row>
    <x:row r="307">
      <x:c r="A307" s="151" t="str">
        <x:v>inclusion</x:v>
      </x:c>
      <x:c r="B307" s="151" t="str">
        <x:v>SV-0350</x:v>
      </x:c>
      <x:c r="C307" s="151" t="str">
        <x:v>PC-00991</x:v>
      </x:c>
      <x:c r="D307" s="151" t="str">
        <x:v>en|openai_only</x:v>
      </x:c>
      <x:c r="E307" s="151" t="n">
        <x:v>19.21875</x:v>
      </x:c>
      <x:c r="F307" s="151" t="str">
        <x:v>Bank of Canada and Payments Canada (Project Jasper)</x:v>
      </x:c>
      <x:c r="G307" s="151" t="str">
        <x:v>The signature of the supervisory node is 
then sought, and upon obtaining this signature, the 
sender initiates the last leg of the transaction by sub-
mitting the DDR Object to the notary for its signature.</x:v>
      </x:c>
      <x:c r="H307" s="151" t="str">
        <x:v>keep</x:v>
      </x:c>
      <x:c r="I307" s="151" t="str">
        <x:v>exclude</x:v>
      </x:c>
      <x:c r="J307" s="151" t="str">
        <x:v>SYS.design</x:v>
      </x:c>
      <x:c r="K307" s="151"/>
      <x:c r="L307" s="151" t="str">
        <x:v>SYS</x:v>
      </x:c>
      <x:c r="M307" s="151" t="str"/>
      <x:c r="N307" s="151" t="str">
        <x:v>decision</x:v>
      </x:c>
      <x:c r="O307" s="151"/>
      <x:c r="P307" s="151" t="str">
        <x:v>neutral</x:v>
      </x:c>
      <x:c r="Q307" s="151"/>
      <x:c r="R307" s="151" t="str">
        <x:v>not_applicable</x:v>
      </x:c>
      <x:c r="S307" s="151"/>
      <x:c r="T307" s="151" t="n">
        <x:v>2</x:v>
      </x:c>
      <x:c r="U307" s="151"/>
      <x:c r="V307" s="151"/>
      <x:c r="W307" s="151"/>
      <x:c r="X307" s="146"/>
      <x:c r="Y307" s="146"/>
      <x:c r="Z307" s="146"/>
      <x:c r="AA307" s="146"/>
      <x:c r="AB307" s="146"/>
      <x:c r="AC307" s="146"/>
      <x:c r="AD307" s="146"/>
      <x:c r="AE307" s="146"/>
      <x:c r="AF307" s="154" t="str">
        <x:f>IF(X307="","PENDING",IF(X307="exclude","DONE",IF(COUNTA(Y307:AC307)=5,"DONE","INCOMPLETE")))</x:f>
        <x:v>PENDING</x:v>
      </x:c>
    </x:row>
    <x:row r="308">
      <x:c r="A308" s="151" t="str">
        <x:v>code|strength</x:v>
      </x:c>
      <x:c r="B308" s="151" t="str">
        <x:v>SV-0352</x:v>
      </x:c>
      <x:c r="C308" s="151" t="str">
        <x:v>PC-05960</x:v>
      </x:c>
      <x:c r="D308" s="151" t="str">
        <x:v>en|both</x:v>
      </x:c>
      <x:c r="E308" s="151" t="n">
        <x:v>19.069444444444443</x:v>
      </x:c>
      <x:c r="F308" s="151" t="str">
        <x:v>National Bank of Ukraine (e-hryvnia pilot)</x:v>
      </x:c>
      <x:c r="G308" s="151" t="str">
        <x:v>The distributed ledger technology (DLT, blockchain) can be used as a platform for e-hryvnia issuance and circulation. 
 However, main advantages of the technology, including the absence of a single center of trust and the capability of any 
person to check any transaction, cannot be used together with the centralized e -hryvnia issuance model. Thus, it is not 
critical whether this technology is used if the centralized model is chosen.</x:v>
      </x:c>
      <x:c r="H308" s="151" t="str">
        <x:v>keep</x:v>
      </x:c>
      <x:c r="I308" s="151" t="str">
        <x:v>keep</x:v>
      </x:c>
      <x:c r="J308" s="151" t="str">
        <x:v>TECH.DLT</x:v>
      </x:c>
      <x:c r="K308" s="151" t="str">
        <x:v>TECH.TOKEN.decided_yes</x:v>
      </x:c>
      <x:c r="L308" s="151" t="str">
        <x:v>TECH</x:v>
      </x:c>
      <x:c r="M308" s="151" t="str">
        <x:v>TECH</x:v>
      </x:c>
      <x:c r="N308" s="151" t="str">
        <x:v>finding</x:v>
      </x:c>
      <x:c r="O308" s="151" t="str">
        <x:v>finding</x:v>
      </x:c>
      <x:c r="P308" s="151" t="str">
        <x:v>neutral</x:v>
      </x:c>
      <x:c r="Q308" s="151" t="str">
        <x:v>neutral</x:v>
      </x:c>
      <x:c r="R308" s="151" t="str">
        <x:v>not_applicable</x:v>
      </x:c>
      <x:c r="S308" s="151" t="str">
        <x:v>not_applicable</x:v>
      </x:c>
      <x:c r="T308" s="151" t="n">
        <x:v>3</x:v>
      </x:c>
      <x:c r="U308" s="151" t="n">
        <x:v>2</x:v>
      </x:c>
      <x:c r="V308" s="151"/>
      <x:c r="W308" s="151" t="str">
        <x:v>x</x:v>
      </x:c>
      <x:c r="X308" s="146"/>
      <x:c r="Y308" s="146"/>
      <x:c r="Z308" s="146"/>
      <x:c r="AA308" s="146"/>
      <x:c r="AB308" s="146"/>
      <x:c r="AC308" s="146"/>
      <x:c r="AD308" s="146"/>
      <x:c r="AE308" s="146"/>
      <x:c r="AF308" s="154" t="str">
        <x:f>IF(X308="","PENDING",IF(X308="exclude","DONE",IF(COUNTA(Y308:AC308)=5,"DONE","INCOMPLETE")))</x:f>
        <x:v>PENDING</x:v>
      </x:c>
    </x:row>
    <x:row r="309">
      <x:c r="A309" s="151" t="str">
        <x:v>inclusion</x:v>
      </x:c>
      <x:c r="B309" s="151" t="str">
        <x:v>SV-0353</x:v>
      </x:c>
      <x:c r="C309" s="151" t="str">
        <x:v>PC-05566</x:v>
      </x:c>
      <x:c r="D309" s="151" t="str">
        <x:v>en|both</x:v>
      </x:c>
      <x:c r="E309" s="151" t="n">
        <x:v>19.069444444444443</x:v>
      </x:c>
      <x:c r="F309" s="151" t="str">
        <x:v>Central Bank of Eswatini (Digital Lilangeni)</x:v>
      </x:c>
      <x:c r="G309" s="151" t="str">
        <x:v>With regard to a 
potential roll-out of CBDC in the Kingdom of Eswatini, the CBE will treat the topic 
of information security with the highest priority.</x:v>
      </x:c>
      <x:c r="H309" s="151" t="str">
        <x:v>exclude</x:v>
      </x:c>
      <x:c r="I309" s="151" t="str">
        <x:v>keep</x:v>
      </x:c>
      <x:c r="J309" s="151"/>
      <x:c r="K309" s="151" t="str">
        <x:v>OPS.resilience</x:v>
      </x:c>
      <x:c r="L309" s="151" t="str"/>
      <x:c r="M309" s="151" t="str">
        <x:v>OPS</x:v>
      </x:c>
      <x:c r="N309" s="151"/>
      <x:c r="O309" s="151" t="str">
        <x:v>proposal</x:v>
      </x:c>
      <x:c r="P309" s="151"/>
      <x:c r="Q309" s="151" t="str">
        <x:v>neutral</x:v>
      </x:c>
      <x:c r="R309" s="151"/>
      <x:c r="S309" s="151" t="str">
        <x:v>not_applicable</x:v>
      </x:c>
      <x:c r="T309" s="151"/>
      <x:c r="U309" s="151" t="n">
        <x:v>2</x:v>
      </x:c>
      <x:c r="V309" s="151"/>
      <x:c r="W309" s="151"/>
      <x:c r="X309" s="146"/>
      <x:c r="Y309" s="146"/>
      <x:c r="Z309" s="146"/>
      <x:c r="AA309" s="146"/>
      <x:c r="AB309" s="146"/>
      <x:c r="AC309" s="146"/>
      <x:c r="AD309" s="146"/>
      <x:c r="AE309" s="146"/>
      <x:c r="AF309" s="154" t="str">
        <x:f>IF(X309="","PENDING",IF(X309="exclude","DONE",IF(COUNTA(Y309:AC309)=5,"DONE","INCOMPLETE")))</x:f>
        <x:v>PENDING</x:v>
      </x:c>
    </x:row>
    <x:row r="310">
      <x:c r="A310" s="151" t="str">
        <x:v>code|strength</x:v>
      </x:c>
      <x:c r="B310" s="151" t="str">
        <x:v>SV-0354</x:v>
      </x:c>
      <x:c r="C310" s="151" t="str">
        <x:v>PC-03308</x:v>
      </x:c>
      <x:c r="D310" s="151" t="str">
        <x:v>en|both</x:v>
      </x:c>
      <x:c r="E310" s="151" t="n">
        <x:v>19.069444444444443</x:v>
      </x:c>
      <x:c r="F310" s="151" t="str">
        <x:v>Reserve Bank of India (digital rupee)</x:v>
      </x:c>
      <x:c r="G310" s="151" t="str">
        <x:v>In the case of P2P and P2M payments made at any CBDC QR, the transactions 
happen between two e₹ wallets, and are settled instantaneously without passing 
through user’s bank accounts.</x:v>
      </x:c>
      <x:c r="H310" s="151" t="str">
        <x:v>keep</x:v>
      </x:c>
      <x:c r="I310" s="151" t="str">
        <x:v>keep</x:v>
      </x:c>
      <x:c r="J310" s="151" t="str">
        <x:v>TECH.TOKEN.considered</x:v>
      </x:c>
      <x:c r="K310" s="151" t="str">
        <x:v>SYS.design</x:v>
      </x:c>
      <x:c r="L310" s="151" t="str">
        <x:v>TECH</x:v>
      </x:c>
      <x:c r="M310" s="151" t="str">
        <x:v>SYS</x:v>
      </x:c>
      <x:c r="N310" s="151" t="str">
        <x:v>decision</x:v>
      </x:c>
      <x:c r="O310" s="151" t="str">
        <x:v>decision</x:v>
      </x:c>
      <x:c r="P310" s="151" t="str">
        <x:v>neutral</x:v>
      </x:c>
      <x:c r="Q310" s="151" t="str">
        <x:v>neutral</x:v>
      </x:c>
      <x:c r="R310" s="151" t="str">
        <x:v>not_applicable</x:v>
      </x:c>
      <x:c r="S310" s="151" t="str">
        <x:v>not_applicable</x:v>
      </x:c>
      <x:c r="T310" s="151" t="n">
        <x:v>3</x:v>
      </x:c>
      <x:c r="U310" s="151" t="n">
        <x:v>2</x:v>
      </x:c>
      <x:c r="V310" s="151"/>
      <x:c r="W310" s="151"/>
      <x:c r="X310" s="146"/>
      <x:c r="Y310" s="146"/>
      <x:c r="Z310" s="146"/>
      <x:c r="AA310" s="146"/>
      <x:c r="AB310" s="146"/>
      <x:c r="AC310" s="146"/>
      <x:c r="AD310" s="146"/>
      <x:c r="AE310" s="146"/>
      <x:c r="AF310" s="154" t="str">
        <x:f>IF(X310="","PENDING",IF(X310="exclude","DONE",IF(COUNTA(Y310:AC310)=5,"DONE","INCOMPLETE")))</x:f>
        <x:v>PENDING</x:v>
      </x:c>
    </x:row>
    <x:row r="311">
      <x:c r="A311" s="151" t="str">
        <x:v>inclusion</x:v>
      </x:c>
      <x:c r="B311" s="151" t="str">
        <x:v>SV-0355</x:v>
      </x:c>
      <x:c r="C311" s="151" t="str">
        <x:v>PC-06306</x:v>
      </x:c>
      <x:c r="D311" s="151" t="str">
        <x:v>en|both</x:v>
      </x:c>
      <x:c r="E311" s="151" t="n">
        <x:v>19.069444444444443</x:v>
      </x:c>
      <x:c r="F311" s="151" t="str">
        <x:v>Bank of England and HM Treasury (digital pound)</x:v>
      </x:c>
      <x:c r="G311" s="151" t="str">
        <x:v>the Bank may also wish to collect 
aggregate data, which have been effectively anonymised, for the purposes of economic and 
policy analysis, in the course of its duties for monetary and financial stability.</x:v>
      </x:c>
      <x:c r="H311" s="151" t="str">
        <x:v>keep</x:v>
      </x:c>
      <x:c r="I311" s="151" t="str">
        <x:v>exclude</x:v>
      </x:c>
      <x:c r="J311" s="151" t="str">
        <x:v>PRIV.CB.visibility.opaque</x:v>
      </x:c>
      <x:c r="K311" s="151" t="str">
        <x:v>PRIV.ANON</x:v>
      </x:c>
      <x:c r="L311" s="151" t="str">
        <x:v>PRIV</x:v>
      </x:c>
      <x:c r="M311" s="151" t="str">
        <x:v>PRIV</x:v>
      </x:c>
      <x:c r="N311" s="151" t="str">
        <x:v>proposal</x:v>
      </x:c>
      <x:c r="O311" s="151" t="str">
        <x:v>proposal</x:v>
      </x:c>
      <x:c r="P311" s="151" t="str">
        <x:v>conditional</x:v>
      </x:c>
      <x:c r="Q311" s="151" t="str">
        <x:v>increases</x:v>
      </x:c>
      <x:c r="R311" s="151" t="str">
        <x:v>from_state</x:v>
      </x:c>
      <x:c r="S311" s="151" t="str">
        <x:v>from_state</x:v>
      </x:c>
      <x:c r="T311" s="151" t="n">
        <x:v>1</x:v>
      </x:c>
      <x:c r="U311" s="151" t="n">
        <x:v>2</x:v>
      </x:c>
      <x:c r="V311" s="151"/>
      <x:c r="W311" s="151" t="str">
        <x:v>x</x:v>
      </x:c>
      <x:c r="X311" s="146"/>
      <x:c r="Y311" s="146"/>
      <x:c r="Z311" s="146"/>
      <x:c r="AA311" s="146"/>
      <x:c r="AB311" s="146"/>
      <x:c r="AC311" s="146"/>
      <x:c r="AD311" s="146"/>
      <x:c r="AE311" s="146"/>
      <x:c r="AF311" s="154" t="str">
        <x:f>IF(X311="","PENDING",IF(X311="exclude","DONE",IF(COUNTA(Y311:AC311)=5,"DONE","INCOMPLETE")))</x:f>
        <x:v>PENDING</x:v>
      </x:c>
    </x:row>
    <x:row r="312">
      <x:c r="A312" s="151" t="str">
        <x:v>code|odr|strength</x:v>
      </x:c>
      <x:c r="B312" s="151" t="str">
        <x:v>SV-0356</x:v>
      </x:c>
      <x:c r="C312" s="151" t="str">
        <x:v>PC-02789</x:v>
      </x:c>
      <x:c r="D312" s="151" t="str">
        <x:v>en|both</x:v>
      </x:c>
      <x:c r="E312" s="151" t="n">
        <x:v>19.069444444444443</x:v>
      </x:c>
      <x:c r="F312" s="151" t="str">
        <x:v>Bank of Israel (digital shekel)</x:v>
      </x:c>
      <x:c r="G312" s="151" t="str">
        <x:v>To increase the ability of PSPs to develop a sustainable business model, they will not be 
required to onboard every end user who approaches them but will be allowed to specialise 
in certain user segments.</x:v>
      </x:c>
      <x:c r="H312" s="151" t="str">
        <x:v>keep</x:v>
      </x:c>
      <x:c r="I312" s="151" t="str">
        <x:v>keep</x:v>
      </x:c>
      <x:c r="J312" s="151" t="str">
        <x:v>SYS.design</x:v>
      </x:c>
      <x:c r="K312" s="151" t="str">
        <x:v>ACCESS.universal</x:v>
      </x:c>
      <x:c r="L312" s="151" t="str">
        <x:v>SYS</x:v>
      </x:c>
      <x:c r="M312" s="151" t="str">
        <x:v>ACCESS</x:v>
      </x:c>
      <x:c r="N312" s="151" t="str">
        <x:v>proposal</x:v>
      </x:c>
      <x:c r="O312" s="151" t="str">
        <x:v>decision</x:v>
      </x:c>
      <x:c r="P312" s="151" t="str">
        <x:v>neutral</x:v>
      </x:c>
      <x:c r="Q312" s="151" t="str">
        <x:v>neutral</x:v>
      </x:c>
      <x:c r="R312" s="151" t="str">
        <x:v>not_applicable</x:v>
      </x:c>
      <x:c r="S312" s="151" t="str">
        <x:v>not_applicable</x:v>
      </x:c>
      <x:c r="T312" s="151" t="n">
        <x:v>3</x:v>
      </x:c>
      <x:c r="U312" s="151" t="n">
        <x:v>1</x:v>
      </x:c>
      <x:c r="V312" s="151"/>
      <x:c r="W312" s="151"/>
      <x:c r="X312" s="146"/>
      <x:c r="Y312" s="146"/>
      <x:c r="Z312" s="146"/>
      <x:c r="AA312" s="146"/>
      <x:c r="AB312" s="146"/>
      <x:c r="AC312" s="146"/>
      <x:c r="AD312" s="146"/>
      <x:c r="AE312" s="146"/>
      <x:c r="AF312" s="154" t="str">
        <x:f>IF(X312="","PENDING",IF(X312="exclude","DONE",IF(COUNTA(Y312:AC312)=5,"DONE","INCOMPLETE")))</x:f>
        <x:v>PENDING</x:v>
      </x:c>
    </x:row>
    <x:row r="313">
      <x:c r="A313" s="151" t="str">
        <x:v>odr</x:v>
      </x:c>
      <x:c r="B313" s="151" t="str">
        <x:v>SV-0357</x:v>
      </x:c>
      <x:c r="C313" s="151" t="str">
        <x:v>PC-02981</x:v>
      </x:c>
      <x:c r="D313" s="151" t="str">
        <x:v>en|both</x:v>
      </x:c>
      <x:c r="E313" s="151" t="n">
        <x:v>19.069444444444443</x:v>
      </x:c>
      <x:c r="F313" s="151" t="str">
        <x:v>Bank of Israel (digital shekel)</x:v>
      </x:c>
      <x:c r="G313" s="151" t="str">
        <x:v>Based on the prop osed design of 
the backend layer, an end user can 
open multiple wallets at the 
central database, with the PSP 
managing the hierarchy between 
the wallets.</x:v>
      </x:c>
      <x:c r="H313" s="151" t="str">
        <x:v>keep</x:v>
      </x:c>
      <x:c r="I313" s="151" t="str">
        <x:v>keep</x:v>
      </x:c>
      <x:c r="J313" s="151" t="str">
        <x:v>SYS.design</x:v>
      </x:c>
      <x:c r="K313" s="151" t="str">
        <x:v>SYS.design</x:v>
      </x:c>
      <x:c r="L313" s="151" t="str">
        <x:v>SYS</x:v>
      </x:c>
      <x:c r="M313" s="151" t="str">
        <x:v>SYS</x:v>
      </x:c>
      <x:c r="N313" s="151" t="str">
        <x:v>proposal</x:v>
      </x:c>
      <x:c r="O313" s="151" t="str">
        <x:v>decision</x:v>
      </x:c>
      <x:c r="P313" s="151" t="str">
        <x:v>neutral</x:v>
      </x:c>
      <x:c r="Q313" s="151" t="str">
        <x:v>neutral</x:v>
      </x:c>
      <x:c r="R313" s="151" t="str">
        <x:v>not_applicable</x:v>
      </x:c>
      <x:c r="S313" s="151" t="str">
        <x:v>not_applicable</x:v>
      </x:c>
      <x:c r="T313" s="151" t="n">
        <x:v>2</x:v>
      </x:c>
      <x:c r="U313" s="151" t="n">
        <x:v>2</x:v>
      </x:c>
      <x:c r="V313" s="151"/>
      <x:c r="W313" s="151"/>
      <x:c r="X313" s="146"/>
      <x:c r="Y313" s="146"/>
      <x:c r="Z313" s="146"/>
      <x:c r="AA313" s="146"/>
      <x:c r="AB313" s="146"/>
      <x:c r="AC313" s="146"/>
      <x:c r="AD313" s="146"/>
      <x:c r="AE313" s="146"/>
      <x:c r="AF313" s="154" t="str">
        <x:f>IF(X313="","PENDING",IF(X313="exclude","DONE",IF(COUNTA(Y313:AC313)=5,"DONE","INCOMPLETE")))</x:f>
        <x:v>PENDING</x:v>
      </x:c>
    </x:row>
    <x:row r="314">
      <x:c r="A314" s="151" t="str">
        <x:v>inclusion</x:v>
      </x:c>
      <x:c r="B314" s="151" t="str">
        <x:v>SV-0358</x:v>
      </x:c>
      <x:c r="C314" s="151" t="str">
        <x:v>PC-04726</x:v>
      </x:c>
      <x:c r="D314" s="151" t="str">
        <x:v>en|both</x:v>
      </x:c>
      <x:c r="E314" s="151" t="n">
        <x:v>19.069444444444443</x:v>
      </x:c>
      <x:c r="F314" s="151" t="str">
        <x:v>Republic of Palau (Palau Stablecoin programme)</x:v>
      </x:c>
      <x:c r="G314" s="151" t="str">
        <x:v>A weekly batch upload and distribution of 100 PSC to each approved 
user account was scheduled and executed by the MOF.</x:v>
      </x:c>
      <x:c r="H314" s="151" t="str">
        <x:v>exclude</x:v>
      </x:c>
      <x:c r="I314" s="151" t="str">
        <x:v>keep</x:v>
      </x:c>
      <x:c r="J314" s="151"/>
      <x:c r="K314" s="151" t="str">
        <x:v>SYS.design</x:v>
      </x:c>
      <x:c r="L314" s="151" t="str"/>
      <x:c r="M314" s="151" t="str">
        <x:v>SYS</x:v>
      </x:c>
      <x:c r="N314" s="151"/>
      <x:c r="O314" s="151" t="str">
        <x:v>decision</x:v>
      </x:c>
      <x:c r="P314" s="151"/>
      <x:c r="Q314" s="151" t="str">
        <x:v>neutral</x:v>
      </x:c>
      <x:c r="R314" s="151"/>
      <x:c r="S314" s="151" t="str">
        <x:v>not_applicable</x:v>
      </x:c>
      <x:c r="T314" s="151"/>
      <x:c r="U314" s="151" t="n">
        <x:v>2</x:v>
      </x:c>
      <x:c r="V314" s="151"/>
      <x:c r="W314" s="151"/>
      <x:c r="X314" s="146"/>
      <x:c r="Y314" s="146"/>
      <x:c r="Z314" s="146"/>
      <x:c r="AA314" s="146"/>
      <x:c r="AB314" s="146"/>
      <x:c r="AC314" s="146"/>
      <x:c r="AD314" s="146"/>
      <x:c r="AE314" s="146"/>
      <x:c r="AF314" s="154" t="str">
        <x:f>IF(X314="","PENDING",IF(X314="exclude","DONE",IF(COUNTA(Y314:AC314)=5,"DONE","INCOMPLETE")))</x:f>
        <x:v>PENDING</x:v>
      </x:c>
    </x:row>
    <x:row r="315">
      <x:c r="A315" s="151" t="str">
        <x:v>inclusion</x:v>
      </x:c>
      <x:c r="B315" s="151" t="str">
        <x:v>SV-0359</x:v>
      </x:c>
      <x:c r="C315" s="151" t="str">
        <x:v>PC-05969</x:v>
      </x:c>
      <x:c r="D315" s="151" t="str">
        <x:v>en|openai_only</x:v>
      </x:c>
      <x:c r="E315" s="151" t="n">
        <x:v>19.21875</x:v>
      </x:c>
      <x:c r="F315" s="151" t="str">
        <x:v>National Bank of Ukraine (e-hryvnia pilot)</x:v>
      </x:c>
      <x:c r="G315" s="151" t="str">
        <x:v>Under the decentralized model, e-hryvnia will no longer be classified as CBDC, since it will be issued not by the central 
bank but by payment market participants under the regulator’s control.</x:v>
      </x:c>
      <x:c r="H315" s="151" t="str">
        <x:v>keep</x:v>
      </x:c>
      <x:c r="I315" s="151" t="str">
        <x:v>exclude</x:v>
      </x:c>
      <x:c r="J315" s="151" t="str">
        <x:v>SYS.design</x:v>
      </x:c>
      <x:c r="K315" s="151"/>
      <x:c r="L315" s="151" t="str">
        <x:v>SYS</x:v>
      </x:c>
      <x:c r="M315" s="151" t="str"/>
      <x:c r="N315" s="151" t="str">
        <x:v>proposal</x:v>
      </x:c>
      <x:c r="O315" s="151"/>
      <x:c r="P315" s="151" t="str">
        <x:v>neutral</x:v>
      </x:c>
      <x:c r="Q315" s="151"/>
      <x:c r="R315" s="151" t="str">
        <x:v>not_applicable</x:v>
      </x:c>
      <x:c r="S315" s="151"/>
      <x:c r="T315" s="151" t="n">
        <x:v>2</x:v>
      </x:c>
      <x:c r="U315" s="151"/>
      <x:c r="V315" s="151"/>
      <x:c r="W315" s="151"/>
      <x:c r="X315" s="146"/>
      <x:c r="Y315" s="146"/>
      <x:c r="Z315" s="146"/>
      <x:c r="AA315" s="146"/>
      <x:c r="AB315" s="146"/>
      <x:c r="AC315" s="146"/>
      <x:c r="AD315" s="146"/>
      <x:c r="AE315" s="146"/>
      <x:c r="AF315" s="154" t="str">
        <x:f>IF(X315="","PENDING",IF(X315="exclude","DONE",IF(COUNTA(Y315:AC315)=5,"DONE","INCOMPLETE")))</x:f>
        <x:v>PENDING</x:v>
      </x:c>
    </x:row>
    <x:row r="316">
      <x:c r="A316" s="151" t="str">
        <x:v>inclusion</x:v>
      </x:c>
      <x:c r="B316" s="151" t="str">
        <x:v>SV-0360</x:v>
      </x:c>
      <x:c r="C316" s="151" t="str">
        <x:v>PC-03329</x:v>
      </x:c>
      <x:c r="D316" s="151" t="str">
        <x:v>en|both</x:v>
      </x:c>
      <x:c r="E316" s="151" t="n">
        <x:v>19.069444444444443</x:v>
      </x:c>
      <x:c r="F316" s="151" t="str">
        <x:v>Reserve Bank of India (digital rupee)</x:v>
      </x:c>
      <x:c r="G316" s="151" t="str">
        <x:v>account-based 
CBDC may be considered for CBDC-W.</x:v>
      </x:c>
      <x:c r="H316" s="151" t="str">
        <x:v>exclude</x:v>
      </x:c>
      <x:c r="I316" s="151" t="str">
        <x:v>keep</x:v>
      </x:c>
      <x:c r="J316" s="151"/>
      <x:c r="K316" s="151" t="str">
        <x:v>TECH.TOKEN.decided_no</x:v>
      </x:c>
      <x:c r="L316" s="151" t="str"/>
      <x:c r="M316" s="151" t="str">
        <x:v>TECH</x:v>
      </x:c>
      <x:c r="N316" s="151"/>
      <x:c r="O316" s="151" t="str">
        <x:v>proposal</x:v>
      </x:c>
      <x:c r="P316" s="151"/>
      <x:c r="Q316" s="151" t="str">
        <x:v>neutral</x:v>
      </x:c>
      <x:c r="R316" s="151"/>
      <x:c r="S316" s="151" t="str">
        <x:v>not_applicable</x:v>
      </x:c>
      <x:c r="T316" s="151"/>
      <x:c r="U316" s="151" t="n">
        <x:v>1</x:v>
      </x:c>
      <x:c r="V316" s="151"/>
      <x:c r="W316" s="151" t="str">
        <x:v>x</x:v>
      </x:c>
      <x:c r="X316" s="146"/>
      <x:c r="Y316" s="146"/>
      <x:c r="Z316" s="146"/>
      <x:c r="AA316" s="146"/>
      <x:c r="AB316" s="146"/>
      <x:c r="AC316" s="146"/>
      <x:c r="AD316" s="146"/>
      <x:c r="AE316" s="146"/>
      <x:c r="AF316" s="154" t="str">
        <x:f>IF(X316="","PENDING",IF(X316="exclude","DONE",IF(COUNTA(Y316:AC316)=5,"DONE","INCOMPLETE")))</x:f>
        <x:v>PENDING</x:v>
      </x:c>
    </x:row>
    <x:row r="317">
      <x:c r="A317" s="151" t="str">
        <x:v>inclusion</x:v>
      </x:c>
      <x:c r="B317" s="151" t="str">
        <x:v>SV-0361</x:v>
      </x:c>
      <x:c r="C317" s="151" t="str">
        <x:v>PC-01034</x:v>
      </x:c>
      <x:c r="D317" s="151" t="str">
        <x:v>en|openai_only</x:v>
      </x:c>
      <x:c r="E317" s="151" t="n">
        <x:v>19.21875</x:v>
      </x:c>
      <x:c r="F317" s="151" t="str">
        <x:v>Bank of Canada and Payments Canada (Project Jasper)</x:v>
      </x:c>
      <x:c r="G317" s="151" t="str">
        <x:v>while the platform 
demonstrated the ability to process 14 transactions 
per second (similar to throughput levels observed in 
incumbent systems), this represented maximum  
capacity.</x:v>
      </x:c>
      <x:c r="H317" s="151" t="str">
        <x:v>keep</x:v>
      </x:c>
      <x:c r="I317" s="151" t="str">
        <x:v>exclude</x:v>
      </x:c>
      <x:c r="J317" s="151" t="str">
        <x:v>OPS.resilience</x:v>
      </x:c>
      <x:c r="K317" s="151"/>
      <x:c r="L317" s="151" t="str">
        <x:v>OPS</x:v>
      </x:c>
      <x:c r="M317" s="151" t="str"/>
      <x:c r="N317" s="151" t="str">
        <x:v>finding</x:v>
      </x:c>
      <x:c r="O317" s="151"/>
      <x:c r="P317" s="151" t="str">
        <x:v>neutral</x:v>
      </x:c>
      <x:c r="Q317" s="151"/>
      <x:c r="R317" s="151" t="str">
        <x:v>not_applicable</x:v>
      </x:c>
      <x:c r="S317" s="151"/>
      <x:c r="T317" s="151" t="n">
        <x:v>2</x:v>
      </x:c>
      <x:c r="U317" s="151"/>
      <x:c r="V317" s="151"/>
      <x:c r="W317" s="151"/>
      <x:c r="X317" s="146"/>
      <x:c r="Y317" s="146"/>
      <x:c r="Z317" s="146"/>
      <x:c r="AA317" s="146"/>
      <x:c r="AB317" s="146"/>
      <x:c r="AC317" s="146"/>
      <x:c r="AD317" s="146"/>
      <x:c r="AE317" s="146"/>
      <x:c r="AF317" s="154" t="str">
        <x:f>IF(X317="","PENDING",IF(X317="exclude","DONE",IF(COUNTA(Y317:AC317)=5,"DONE","INCOMPLETE")))</x:f>
        <x:v>PENDING</x:v>
      </x:c>
    </x:row>
    <x:row r="318">
      <x:c r="A318" s="151" t="str">
        <x:v>inclusion</x:v>
      </x:c>
      <x:c r="B318" s="151" t="str">
        <x:v>SV-0362</x:v>
      </x:c>
      <x:c r="C318" s="151" t="str">
        <x:v>PC-01136</x:v>
      </x:c>
      <x:c r="D318" s="151" t="str">
        <x:v>en|openai_only</x:v>
      </x:c>
      <x:c r="E318" s="151" t="n">
        <x:v>19.21875</x:v>
      </x:c>
      <x:c r="F318" s="151" t="str">
        <x:v>Bank of Canada and Payments Canada (Project Jasper)</x:v>
      </x:c>
      <x:c r="G318" s="151" t="str">
        <x:v>If n &gt; l  we identify the single lowest payment from the party with the largest liquidity shortfall,  
 and ask if removing this payment would put any other bank into a liquidity shortfall. If not, we remove  
 the payment and start over . If it does, we leave that payment in the queue and remove the next smallest  
 payment from the party with the largest liquidity shortfall.</x:v>
      </x:c>
      <x:c r="H318" s="151" t="str">
        <x:v>keep</x:v>
      </x:c>
      <x:c r="I318" s="151" t="str">
        <x:v>exclude</x:v>
      </x:c>
      <x:c r="J318" s="151" t="str">
        <x:v>SYS.design</x:v>
      </x:c>
      <x:c r="K318" s="151"/>
      <x:c r="L318" s="151" t="str">
        <x:v>SYS</x:v>
      </x:c>
      <x:c r="M318" s="151" t="str"/>
      <x:c r="N318" s="151" t="str">
        <x:v>decision</x:v>
      </x:c>
      <x:c r="O318" s="151"/>
      <x:c r="P318" s="151" t="str">
        <x:v>neutral</x:v>
      </x:c>
      <x:c r="Q318" s="151"/>
      <x:c r="R318" s="151" t="str">
        <x:v>not_applicable</x:v>
      </x:c>
      <x:c r="S318" s="151"/>
      <x:c r="T318" s="151" t="n">
        <x:v>3</x:v>
      </x:c>
      <x:c r="U318" s="151"/>
      <x:c r="V318" s="151"/>
      <x:c r="W318" s="151"/>
      <x:c r="X318" s="146"/>
      <x:c r="Y318" s="146"/>
      <x:c r="Z318" s="146"/>
      <x:c r="AA318" s="146"/>
      <x:c r="AB318" s="146"/>
      <x:c r="AC318" s="146"/>
      <x:c r="AD318" s="146"/>
      <x:c r="AE318" s="146"/>
      <x:c r="AF318" s="154" t="str">
        <x:f>IF(X318="","PENDING",IF(X318="exclude","DONE",IF(COUNTA(Y318:AC318)=5,"DONE","INCOMPLETE")))</x:f>
        <x:v>PENDING</x:v>
      </x:c>
    </x:row>
    <x:row r="319">
      <x:c r="A319" s="151" t="str">
        <x:v>code</x:v>
      </x:c>
      <x:c r="B319" s="151" t="str">
        <x:v>SV-0364</x:v>
      </x:c>
      <x:c r="C319" s="151" t="str">
        <x:v>PC-01094</x:v>
      </x:c>
      <x:c r="D319" s="151" t="str">
        <x:v>en|both</x:v>
      </x:c>
      <x:c r="E319" s="151" t="n">
        <x:v>19.069444444444443</x:v>
      </x:c>
      <x:c r="F319" s="151" t="str">
        <x:v>Bank of Canada and Payments Canada (Project Jasper)</x:v>
      </x:c>
      <x:c r="G319" s="151" t="str">
        <x:v>• Slow mining and expensive network—R3N1 still 
uses Proof of Work and it isn’t that much faster 
than the public network.</x:v>
      </x:c>
      <x:c r="H319" s="151" t="str">
        <x:v>keep</x:v>
      </x:c>
      <x:c r="I319" s="151" t="str">
        <x:v>keep</x:v>
      </x:c>
      <x:c r="J319" s="151" t="str">
        <x:v>TECH.DLT</x:v>
      </x:c>
      <x:c r="K319" s="151" t="str">
        <x:v>TECH.TOKEN.considered</x:v>
      </x:c>
      <x:c r="L319" s="151" t="str">
        <x:v>TECH</x:v>
      </x:c>
      <x:c r="M319" s="151" t="str">
        <x:v>TECH</x:v>
      </x:c>
      <x:c r="N319" s="151" t="str">
        <x:v>finding</x:v>
      </x:c>
      <x:c r="O319" s="151" t="str">
        <x:v>finding</x:v>
      </x:c>
      <x:c r="P319" s="151" t="str">
        <x:v>neutral</x:v>
      </x:c>
      <x:c r="Q319" s="151" t="str">
        <x:v>neutral</x:v>
      </x:c>
      <x:c r="R319" s="151" t="str">
        <x:v>not_applicable</x:v>
      </x:c>
      <x:c r="S319" s="151" t="str">
        <x:v>not_applicable</x:v>
      </x:c>
      <x:c r="T319" s="151" t="n">
        <x:v>2</x:v>
      </x:c>
      <x:c r="U319" s="151" t="n">
        <x:v>2</x:v>
      </x:c>
      <x:c r="V319" s="151"/>
      <x:c r="W319" s="151" t="str">
        <x:v>x</x:v>
      </x:c>
      <x:c r="X319" s="146"/>
      <x:c r="Y319" s="146"/>
      <x:c r="Z319" s="146"/>
      <x:c r="AA319" s="146"/>
      <x:c r="AB319" s="146"/>
      <x:c r="AC319" s="146"/>
      <x:c r="AD319" s="146"/>
      <x:c r="AE319" s="146"/>
      <x:c r="AF319" s="154" t="str">
        <x:f>IF(X319="","PENDING",IF(X319="exclude","DONE",IF(COUNTA(Y319:AC319)=5,"DONE","INCOMPLETE")))</x:f>
        <x:v>PENDING</x:v>
      </x:c>
    </x:row>
    <x:row r="320">
      <x:c r="A320" s="152" t="str">
        <x:v>inclusion</x:v>
      </x:c>
      <x:c r="B320" s="152" t="str">
        <x:v>SV-0365</x:v>
      </x:c>
      <x:c r="C320" s="152" t="str">
        <x:v>PC-04290</x:v>
      </x:c>
      <x:c r="D320" s="152" t="str">
        <x:v>en|openai_only</x:v>
      </x:c>
      <x:c r="E320" s="152" t="n">
        <x:v>19.21875</x:v>
      </x:c>
      <x:c r="F320" s="152" t="str">
        <x:v>Norges Bank (Norwegian CBDC work)</x:v>
      </x:c>
      <x:c r="G320" s="152" t="str">
        <x:v>Arbeidsgruppen har heller ikke funnet grunnlag for å revurdere de to hovedgruppene av tekniske løsninger gitt i Norges Bank (2019).</x:v>
      </x:c>
      <x:c r="H320" s="152" t="str">
        <x:v>keep</x:v>
      </x:c>
      <x:c r="I320" s="152" t="str">
        <x:v>exclude</x:v>
      </x:c>
      <x:c r="J320" s="152" t="str">
        <x:v>SYS.design</x:v>
      </x:c>
      <x:c r="K320" s="152"/>
      <x:c r="L320" s="152" t="str">
        <x:v>SYS</x:v>
      </x:c>
      <x:c r="M320" s="152" t="str"/>
      <x:c r="N320" s="152" t="str">
        <x:v>decision</x:v>
      </x:c>
      <x:c r="O320" s="152"/>
      <x:c r="P320" s="152" t="str">
        <x:v>neutral</x:v>
      </x:c>
      <x:c r="Q320" s="152"/>
      <x:c r="R320" s="152" t="str">
        <x:v>not_applicable</x:v>
      </x:c>
      <x:c r="S320" s="152"/>
      <x:c r="T320" s="152" t="n">
        <x:v>2</x:v>
      </x:c>
      <x:c r="U320" s="152"/>
      <x:c r="V320" s="152"/>
      <x:c r="W320" s="152"/>
      <x:c r="X320" s="148"/>
      <x:c r="Y320" s="148"/>
      <x:c r="Z320" s="148"/>
      <x:c r="AA320" s="148"/>
      <x:c r="AB320" s="148"/>
      <x:c r="AC320" s="148"/>
      <x:c r="AD320" s="148"/>
      <x:c r="AE320" s="148"/>
      <x:c r="AF320" s="155" t="str">
        <x:f>IF(X320="","PENDING",IF(X320="exclude","DONE",IF(COUNTA(Y320:AC320)=5,"DONE","INCOMPLETE")))</x:f>
        <x:v>PENDING</x:v>
      </x:c>
    </x:row>
  </x:sheetData>
  <x:dataValidations count="6">
    <x:dataValidation type="list" sqref="X2:X320">
      <x:formula1>'Lists'!$A$2:$A$3</x:formula1>
    </x:dataValidation>
    <x:dataValidation type="list" sqref="Y2:Y320">
      <x:formula1>'Lists'!$B$2:$B$40</x:formula1>
    </x:dataValidation>
    <x:dataValidation type="list" sqref="Z2:Z320">
      <x:formula1>'Lists'!$C$2:$C$4</x:formula1>
    </x:dataValidation>
    <x:dataValidation type="list" sqref="AA2:AA320">
      <x:formula1>'Lists'!$D$2:$D$5</x:formula1>
    </x:dataValidation>
    <x:dataValidation type="list" sqref="AB2:AB320">
      <x:formula1>'Lists'!$E$2:$E$5</x:formula1>
    </x:dataValidation>
    <x:dataValidation type="list" sqref="AC2:AC320">
      <x:formula1>'Lists'!$F$2:$F$4</x:formula1>
    </x:dataValidation>
  </x:dataValidations>
  <x:pageMargins left="0.7" right="0.7" top="0.75" bottom="0.75" header="0.3" footer="0.3"/>
  <x:tableParts count="1">
    <x:tablePart xmlns:r="http://schemas.openxmlformats.org/officeDocument/2006/relationships" r:id="Rcead8f9b1c524ec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30" hidden="0" customWidth="1"/>
    <x:col min="3" max="3" width="42" hidden="0" customWidth="1"/>
    <x:col min="4" max="4" width="7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s>
  <x:sheetData>
    <x:row r="1">
      <x:c r="A1" s="29" t="str">
        <x:v>Empty case</x:v>
      </x:c>
      <x:c r="B1" s="29" t="str">
        <x:v>Authority</x:v>
      </x:c>
      <x:c r="C1" s="29" t="str">
        <x:v>Authority note</x:v>
      </x:c>
      <x:c r="D1" s="29" t="str">
        <x:v>Source text</x:v>
      </x:c>
      <x:c r="E1" s="29" t="str">
        <x:v>Missed claims</x:v>
      </x:c>
      <x:c r="F1" s="29" t="str">
        <x:v>Confidence</x:v>
      </x:c>
      <x:c r="G1" s="29" t="str">
        <x:v>Notes</x:v>
      </x:c>
      <x:c r="H1" s="29" t="str">
        <x:v>Unit ID</x:v>
      </x:c>
      <x:c r="I1" s="29" t="str">
        <x:v>Render file</x:v>
      </x:c>
      <x:c r="J1" s="29" t="str">
        <x:v>Excluded untranslated</x:v>
      </x:c>
    </x:row>
    <x:row r="2">
      <x:c r="A2" s="37" t="str">
        <x:v>DE-0001</x:v>
      </x:c>
      <x:c r="B2" s="37" t="str">
        <x:v>Board of Governors of the Federal Reserve System (potential US CBDC)</x:v>
      </x:c>
      <x:c r="C2" s="37" t="str">
        <x:v>Discussion paper, not an issuance decision. Retain explicit Federal Reserve positions, prerequisites, design preferences, or stated risks for a potential US CBDC. Exclude questions, option inventories, literature, and stakeholder views.</x:v>
      </x:c>
      <x:c r="D2" s="37" t="str">
        <x:v>Appendix C: Access to Money andPayment ServicesIn order to serve as a means of payment and a store of value, money must be accessible to thegeneral public. The means by which the general public accesses different types of money vary.Figure C.1. Overview of a typical payment
*Nonbank ﬁnancial service providers may be involved in various stages of both the front-end and the back-end of the payment chain. For example, there may 
  be multiple paths from a nonbank to the receiver. 
Sender’s bank 
Sender 
(e.g., consumer) 
Receiver 
(e.g., merchant) Payment transaction 
Funds are sent as credits (sender pushes funds) or debits (receiver pulls funds) 
Nonbank* Receiver’s bank 
1
1 2
3 1 22 3
2
Front 
end 
(consumer 
facing) 
Back 
end 
(payment 
processing) 
Payment infrastructure 
(e.g., Federal Reserve, 
private-sector providers) 
Payment clearing and settlement 12
In this example, the general public interacts with the “front end” of t he payment system by swiping their credit card at a checkout 
machine or using a mobile app to send money. These payments may     ﬂow solely through applications operated by and accounts 
maintained by banks,     originate in a nonbank ﬁnancial service and then ﬂow through the bankin g system, or     remain only in 
the records of the nonbank services (though customer nonbank account s may be funded/defunded by bank accounts).  
1
2 3
29</x:v>
      </x:c>
      <x:c r="E2" s="144" t="str">
        <x:v>no</x:v>
      </x:c>
      <x:c r="F2" s="144" t="str">
        <x:v>high</x:v>
      </x:c>
      <x:c r="G2" s="144"/>
      <x:c r="H2" s="37" t="str">
        <x:v>PRD-0080-P0033-U01</x:v>
      </x:c>
      <x:c r="I2" s="37"/>
      <x:c r="J2" s="141" t="b">
        <x:v>0</x:v>
      </x:c>
    </x:row>
    <x:row r="3">
      <x:c r="A3" s="38" t="str">
        <x:v>DE-0002</x:v>
      </x:c>
      <x:c r="B3" s="38" t="str">
        <x:v>Banca d'Italia research context</x:v>
      </x:c>
      <x:c r="C3" s="38" t="str">
        <x:v>This research paper is not automatically an issuer commitment. Retain only Banca d'Italia own-project results or explicit institutional positions; exclude literature and model assumptions.</x:v>
      </x:c>
      <x:c r="D3" s="38" t="str">
        <x:v>61
An example of this kind is the Bitcoin DLT. 84 For each payment, a set of 
unspent tokens belonging to the payer is destroyed and (usually) two tokens 
with the same total value are created simultaneously: one going to the payee as 
payment and the other one being returned to the payer as exchange. 
In order to prevent double spending, in both the account-based and token-
based approaches, the accounts/tokens are stored on the ledger and updated 
by the ledger operator. In other words, neither tokens nor accounts are kept in 
the end user devices, which in general contains the cryptographic credentials 
that can be used to authorize transactions on the ledger. For this reason, 
neither the account-based nor the token-based approach refer to an offline and 
cash-like transfer, in which a payment is made without reference to any third 
party or intermediary.85 Unless other arrangements are in place, the end user is 
always required to have a connection to the ledger, in order to safely receive 
payments.
3. d istribution degrees of systems And infrAstructures
The modern applications’ architecture has led to a dualism between system 
and infrastructure architecture, where system depicts the business and 
organizational view, while infrastructure refers to the technological and 
architectural one. 
From a business and organizational point of view, three different system 
architectures exist: centralized, distributed and decentralized.
A centralized system is owned by a single entity or organization. In this case, 
users have to trust that the entity behaves correctly and in their interest. 
Currently, most of the internet applications are centralized (Amazon, Google, 
Facebook, etc.) and owned by a company or person that provides and 
maintains the source code to execute on a computer, server or even a cluster. 
As said, the centralized system concept regards a business view, irrespective 
of the actual technical infrastructure.
In the distributed systems, instead, the ownership is spread over some “well 
known” organizations. In this case, there are multiple central owners that have 
a part or a copy of the resources. With these systems the users don’t have to 
trust a single organization or entity, but have different choices. Domain Name 
System (DNS) is a great example of a distributed system. It maps hostname 
to IP addresses and is implemented as a distributed, hierarchical database. 
Focusing on the root server, one of the three classes of DNS servers, 13 root 
name servers are available worldwide, run by 12 organizations, which the user 
has to ultimately trust.
84 See Nakamoto (2008). 
85 See Bank of England (2020), Section 6.6.</x:v>
      </x:c>
      <x:c r="E3" s="146" t="str">
        <x:v>no</x:v>
      </x:c>
      <x:c r="F3" s="146" t="str">
        <x:v>high</x:v>
      </x:c>
      <x:c r="G3" s="146"/>
      <x:c r="H3" s="38" t="str">
        <x:v>PRD-0042-P0063-U01</x:v>
      </x:c>
      <x:c r="I3" s="38"/>
      <x:c r="J3" s="142" t="b">
        <x:v>0</x:v>
      </x:c>
    </x:row>
    <x:row r="4">
      <x:c r="A4" s="38" t="str">
        <x:v>DE-0003</x:v>
      </x:c>
      <x:c r="B4" s="38" t="str">
        <x:v>People's Bank of China (e-CNY)</x:v>
      </x:c>
      <x:c r="C4" s="38" t="str">
        <x:v>This is a BIS research source, not automatically a PBOC position. Retain only concrete e-CNY features or decisions explicitly attributed to the PBOC; exclude modelling, literature, and foreign CBDCs.</x:v>
      </x:c>
      <x:c r="D4" s="38" t="str">
        <x:v>170 BIS Papers No 123 
After a liquidity deficit emerges, the central bank will move from absorbing 
liquidity through deposits and bond issuance to providing liquidity through repos. If 
required, the central bank can expand its marketable collateral list, which currently 
contains only top -quality securities and, if need be, it can also initiate auctions for 
loans secured by non -marketable collateral. According to the central bank’s 
estimates, the vo lume of potential collateral is sufficient to accommodate banks’ 
demand for liquidity arising from the introduction of a digital rouble.  
The switch to a liquidity deficit, in turn, will affect the position of the short -term 
money market interest rates in the central bank’s interest rates corridor. Currently, 
due to small market inefficiencies the short-term rates have a predominantly negative 
spread to the central bank’s main policy rate. The liquidity deficit means that the 
overnight money market rates will form in the upper end of the corridor. The factors 
behind the interest rates’ spread to the policy rate are well researched, and once t he 
liquidity situation is settled, the spread will stabilise at some level. Then, the central 
bank will be able to incorporate this spread into its policy rate decisions so as to set 
short-term rates on the desired trajectory.  
During the transition period  there might be some short -term interest rate 
volatility; however, this volatility is expected to be brief and its effect on the longer 
rates (and the economy in general) will be quite limited.  
The liquidity drain may disproportionally affect large banks that rely more than 
others on cheap or free funds in their clients’ current accounts, taking advantage, 
inter alia, of the network effect and their central role in payments. The profit margins 
of these banks will be compressed most prominently, which will even out the 
competition in the banking sector. Conversely, the banks offering their clients better 
conditions like remuneration of current accounts and other benefits will be able to 
attract clients more easily. Overall, since Russia is firmly in positive  rates territory, a 
digital rouble will not compete with banks’ liabilities as a means of saving, so the 
liquidity outflow from the banking sector will likely be moderate and will not result in 
any form of financial sector disintermediation.  
The digital r ouble will affect financial stability as well. On the one hand, the 
introduction of a new secure and sustainable means of payment will further promote 
financial stability as well as the emergence of new types of financial transactions such 
as transactions with automatic execution (smart contracts). On the other hand, the 
digital rouble could pose a threat to financial stability. In the event of an adverse 
external event a bank run could be facilitated by the existence of an extremely liquid 
(compared even t o cash) and secure form of money. However, in reality such 
developments are unlikely, for several reasons. First, the central bank will establish 
transaction caps to ensure that clients cannot convert large sums from bank deposits 
into digital roubles at once. Second, the Russian banking sector enjoys much higher 
trust from the public than 5 or 10 years ago. In the previous periods of financial 
turmoil, the banks witnessed deposit outflows but even they were short -lived and 
manageable. With time, as both financial inclusion and the resilience of the payment 
system increases, the risk of “flight to safety” will further decline.  . Finally, the central 
bank has a strong lender of last resort framework, under which the banks can quickly borrow 
liquidity from the central bank against a wide pool of collateral. So overall, the balance of 
risks and opportunities for financial stability is positive.  
Due to the already high level of financial inclusion in Russia, the introduction of 
a digital rouble will not substan tially affect monetary policy transmission. The 
efficiency of monetary policy may increase somewhat over the long term owing to</x:v>
      </x:c>
      <x:c r="E4" s="146" t="str">
        <x:v>no</x:v>
      </x:c>
      <x:c r="F4" s="146" t="str">
        <x:v>high</x:v>
      </x:c>
      <x:c r="G4" s="146"/>
      <x:c r="H4" s="38" t="str">
        <x:v>PRD-0018-P0174-U01</x:v>
      </x:c>
      <x:c r="I4" s="38"/>
      <x:c r="J4" s="142" t="b">
        <x:v>0</x:v>
      </x:c>
    </x:row>
    <x:row r="5">
      <x:c r="A5" s="38" t="str">
        <x:v>DE-0004</x:v>
      </x:c>
      <x:c r="B5" s="38" t="str">
        <x:v>People's Bank of China (e-CNY)</x:v>
      </x:c>
      <x:c r="C5" s="38" t="str">
        <x:v>This is a BIS research source, not automatically a PBOC position. Retain only concrete e-CNY features or decisions explicitly attributed to the PBOC; exclude modelling, literature, and foreign CBDCs.</x:v>
      </x:c>
      <x:c r="D5" s="38" t="str">
        <x:v>96 BIS Papers No 123 
Standard (SNAP) and regulatory reform, as  well as the implementation plan for the 
Bank Indonesia Fast Payment (BI -FAST) system. Digital economic and financial 
transactions are proliferating  along with increasing acceptance  and people’s 
preferences for online shopping, expansion, and convenience o f digital payment 
systems, as well as digital banking acceleration. 
The rapid changes in the payment landscape, coupled with other digital 
disruptions such as the emergence of private digital currency, the internet of 
things (IoT), big data, blockchain, ar tificial intelligence (AI), decentralised 
finance (DeFi) and machine -to-machine (MtM) communication, have a 
significant impact on central banking practices . These have triggered central 
banks to adopt a more proactive stance to anticipate the uncertainty in the future, 
including the issuance of CBDC.  
Central banks consider issuing a CBDC for various reasons shaped by local 
circumstances and at a different pace across jurisdictions and types of economy. 
As such, the objectives of CBDC issuance in different countries converge into six 
main objectives: (i) to provide risk-free digital payment using central bank money  
compared to the services provided by private entities; (ii) to mitigate risk to currency 
sovereignty and monetary stability from non- sovereign digital currency ; (iii) to 
enhance payment system competition, efficiency and resilience, including for cross -
border payments; (iv) to provide a new instrument for monetary and financial stability 
policy; (v) to facilitate fiscal transfers/su bsidy distribution directly to the recipient ’s 
account/wallet; and (vi) to s upport financial inclusion with the digitalis ation of 
payment data, offline functionality, and cost-effective transactions.  
To ensure the smooth implementation of CBDC, the majori ty of central 
banks follow three common foundational principles.  First, the CBDC should be 
implemented based on a strong legal basis which serves as a consensus from several 
stakeholders. Second, CBDC should support the objectives of the central bank on 
monetary, payment system and financial system stability. Third, CBDC should 
promote financial inclusion, innovation , and efficiency of the financial system in the 
digital era.  
The use of CBDC as a form of central bank money that could act as both a 
liquid, safe settlement asset and an anchor for the payment system will improve 
the payment system’s efficiency by increasing competition in the domestic and 
global payment systems markets . The issuance of CBDC can provide benefits for 
the wholesale and retail pay ment rails. For wholesale payment system s, wholesale 
CBDC ( wCBDC) could increase settlement efficiency for transactions regarding 
securities, derivatives and cross -border payments. As a digital service, CBDC can be 
designed to support 24/7 operation and al low easier asset exchange. In addition, it  
could enable simplified payment data streams and better traceability of illicit 
transactions. Lastly, certain models of CBDC might increase trust between 
counterparties. Besides this, CBDC can also potentially benefit retail payment systems. 
A retail CBDC (rCBDC) could reduce the cost of managing cash for central banks as 
well as enabling fast, cost-effective and secure payments. This might result in a more 
efficient payment system. Moreover, CBDC could promote cen tral banks’ ability to 
monitor economic activities in real-time and support innovation by private entities, 
including enhancing financial inclusion. A domestic CBDC might also function as the 
requirement for better cross-border arrangements.  
Despite the p otential benefits of CBDC, there are several challenges that  
central banks should assess. Wholesale CBDC might disrupt the innovation already</x:v>
      </x:c>
      <x:c r="E5" s="146" t="str">
        <x:v>no</x:v>
      </x:c>
      <x:c r="F5" s="146" t="str">
        <x:v>high</x:v>
      </x:c>
      <x:c r="G5" s="146"/>
      <x:c r="H5" s="38" t="str">
        <x:v>PRD-0018-P0100-U01</x:v>
      </x:c>
      <x:c r="I5" s="38"/>
      <x:c r="J5" s="142" t="b">
        <x:v>0</x:v>
      </x:c>
    </x:row>
    <x:row r="6">
      <x:c r="A6" s="38" t="str">
        <x:v>DE-0005</x:v>
      </x:c>
      <x:c r="B6" s="38" t="str">
        <x:v>Reserve Bank of New Zealand</x:v>
      </x:c>
      <x:c r="C6" s="38" t="str">
        <x:v>Retain the named authority's own CBDC decisions, explicit proposals, requirements, features, and executed findings. Exclude generic context, literature, foreign projects, and stakeholder views not explicitly adopted by the authority.</x:v>
      </x:c>
      <x:c r="D6" s="38" t="str">
        <x:v>29  
29  Future of Money – Central Bank Digital Currency  
One important design and calibration issue for future consideration is whether and by how much 
the Reserve Bank may want to limit the volume of CBDC that can be issued to wholesale 
customers, to reduce the possibility of a wholesale run on banks to a CBDC. In crisis scenarios we 
would be able to quickly detect a run to a CBDC and halt these flows to provide stability to the 
banking system if needed.  
Alternatively, the Reserve Bank could impose negative interest rates on large holdings of CBDC. 
This might replicate the storage costs of cash and reduce the attractiveness of switching money 
from transaction accounts to a CBDC in large quantities. 
These are just some high-level examples of the types of mitigant that will need to be thought 
through in the next stage(s) of CBDC development. 
(b) Reserve Bank balance sheet 
In addition to giving proper attention and consideration to the impacts of a CBDC on private-
sector financial intermediaries, it is necessary to think through the impacts of the issuance of a 
CBDC on the Reserve Bank’s balance sheet. This includes impacts on the size of the balance sheet 
and on our monetary policy settings, which would depend on how great the demand for a CBDC 
was, where it came from (i.e. cash, transaction accounts or other assets), and whether we satisfied 
the demand for a CBDC (see Annex C).  
These considerations are not new; the Reserve Bank already makes decisions on the supply of 
money (in terms of cash in circulation and liquidity in the financial system), monetary policies and 
financial stability policies that all affect the value anchor and the financial system – it is just that the 
current calibration, relationships, processes and policies of existing roles are more established than 
those for a CBDC.  
5.3 Design complexities 
The development of a CBDC would require a significant investment in technology and systems to 
engage in experimentation and, if a CBDC were to be issued, support a new CBDC payments 
infrastructure.  
As stated, the consideration of the form a CBDC should take includes whether it is token or 
account based, whether it uses distributed ledger technology or conventional infrastructure, how it 
can safely support offline payments, who can access it and how much can be made available.  
Further consideration would also need to be given to its distribution. For example, there is a 
spectrum of distribution models to consider, ranging from a CBDC that could be distributed via a 
direct model, whereby the Reserve Bank would provide end-to-end infrastructure and services, to 
a CBDC distributed via an intermediated model, in which the Reserve Bank would provide only 
legal issuance and the private sector would provide all other services and infrastructure. There are 
many possible variants along the spectrum (e.g. the central bank may provide core back-end 
infrastructure and outsource the front-end services). The particular objectives of a CBDC and the 
design choices would all have a bearing on the array of distribution choices. Figure 11 illustrates 
three stylised operating models. Most central banks are considering a model where the central 
bank issues a CBDC and the private sector provides front-end and some back-end services.54  
____________ 
54  Auer, R and R Böhme (2020).</x:v>
      </x:c>
      <x:c r="E6" s="146" t="str">
        <x:v>no</x:v>
      </x:c>
      <x:c r="F6" s="146" t="str">
        <x:v>high</x:v>
      </x:c>
      <x:c r="G6" s="146"/>
      <x:c r="H6" s="38" t="str">
        <x:v>PRD-0057-P0029-U01</x:v>
      </x:c>
      <x:c r="I6" s="38"/>
      <x:c r="J6" s="142" t="b">
        <x:v>0</x:v>
      </x:c>
    </x:row>
    <x:row r="7">
      <x:c r="A7" s="38" t="str">
        <x:v>DE-0006</x:v>
      </x:c>
      <x:c r="B7" s="38" t="str">
        <x:v>People's Bank of China (e-CNY)</x:v>
      </x:c>
      <x:c r="C7" s="38" t="str">
        <x:v>This is a BIS research source, not automatically a PBOC position. Retain only concrete e-CNY features or decisions explicitly attributed to the PBOC; exclude modelling, literature, and foreign CBDCs.</x:v>
      </x:c>
      <x:c r="D7" s="38" t="str">
        <x:v>BIS Papers No 123 185 
CBDCs in emerging market economies 
Background 
The request to the South African Reserve Bank (SARB) – and indeed all participating 
EME Deputy Governors –  was for a “short paper (5 –6 pages) on one or two aspects 
or questions listed in the draft agenda”. While there are multiple questions listed, the 
five main aspects are as follows: 
• Main objectives of introducing CBDCs  
• Guiding principles of CBDC design and data governance  
• Challenges of CBDCs for monetary policy, financial intermediation a nd financial 
stability  
• CBDCs and financial inclusion  
• Cross-border aspects of CBDCs  
Although the SARB’s note will touch on all five aspects listed above, particular 
attention will be paid to our reflections on the objectives of retail CBDCs and the 
cross-border aspects of CBDCs given the SARB’s ongoing feasibility study and its 
participation in Project Dunbar respectively. 
Overview of the SARB’s CBDC research and exploration  
The SARB has initiated projects in both the wholesale and retail CBDC space.  
From a retail or rCBDC perspective, the SARB is  continuing its research to 
practically investigate the feasibility, desirability and appropriateness of a CBDC as 
electronic legal tender, for general purpose retail use,  complementary to cash. The 
objective of the feasibility study is to consider how the issuance of a general purpose 
CBDC will feed into the SARB’s policy position and mandate. The SARB is working 
with two vendors to explore the different deployment solution s to unpack and 
understand the options and considerations for a retail CBDC in South Africa. 
On the wholesale  or wCBDC side, the SARB is  currently finalising the second 
phase of an initiative called Project Khokha, which explores the technical, policy and 
regulatory implications of distributed ledger technology (DLT )-driven innovation in 
South Africa’s financial markets. In our first iteration, Project Khokha 1 sought to trial 
interbank wholesale settlement using DLT, while Project Khokha 2 seeks to issue, clear 
and settle debentures on DLT usin g tokenised money. One of the key technical 
objectives of Project Khokha 2 is to explore interoperability in financial markets with 
multiple tokenised assets. We expect to publish our report on Project Khokha 2 during 
the second quarter of 2022. The report  will guide the next phase in our strategy and 
inform our strategic direction in the wCBDC area.   
From a regional payments perspective, the SARB currently operates the real-time 
gross settlement (RTGS) system for the Southern African Development Community 
(SADC), or SADC -RTGS, which was originally established in part to support and 
facilitate trade in the region among member countries. The SADC-RTGS is supported</x:v>
      </x:c>
      <x:c r="E7" s="146" t="str">
        <x:v>no</x:v>
      </x:c>
      <x:c r="F7" s="146" t="str">
        <x:v>high</x:v>
      </x:c>
      <x:c r="G7" s="146"/>
      <x:c r="H7" s="38" t="str">
        <x:v>PRD-0018-P0189-U01</x:v>
      </x:c>
      <x:c r="I7" s="38"/>
      <x:c r="J7" s="142" t="b">
        <x:v>0</x:v>
      </x:c>
    </x:row>
    <x:row r="8">
      <x:c r="A8" s="38" t="str">
        <x:v>DE-0007</x:v>
      </x:c>
      <x:c r="B8" s="38" t="str">
        <x:v>Banque de France (wholesale CBDC programme)</x:v>
      </x:c>
      <x:c r="C8" s="38" t="str">
        <x:v>Retain Banque de France own-programme decisions and executed findings. Exclude foreign experiments and general market regulation without a CBDC-specific conclusion.</x:v>
      </x:c>
      <x:c r="D8" s="38" t="str">
        <x:v>Payments and market infrastructures in the digital era – 5
CHAPTER 20  THE ROLE AND CONTRIBUTION OF INNOVATION  
FOR PAYMENT INSTRUMENTS AND MARKET INFRASTRUCTURES
“Explore a US CBDC by placing urgency on research and development of a potential US CBDC, should 
issuance be deemed in the national interest. The Order directs the US Government to assess the technological 
infrastructure and capacity needs for a potential US CBDC in a manner that protects Americans’ interests. 
The Order also encourages the Federal Reserve to continue its research, development, and assessment 
efforts for a US CBDC, including development of a plan for broader US Government action in support of their 
work. This effort prioritizes US participation in multi-country experimentation, and ensures US leadership 
internationally to promote CBDC development that is consistent with US priorities and democratic values. ”
In addition, at the multilateral level, in October 2021, the G7 adopted 13 principles applicable to retail 
CBDC worldwide with the aim of avoiding any risks to financial stability, monetary policy and spillovers, 
as well as ensuring data protection, cybersecurity, competition, AML/CTF , environmental protection and 
financial inclusion.
Other central banks, besides the Chinese Central Bank (see Box 4), that have also commenced retail 
CBDC projects include Russia and Ukraine:
•  The Bank of Russia published a report in October 2020 entitled A digital ruble which served as the 
basis for a public consultation, and for which the summary of responses was published in April 2021. 
In February 2022, it issued a press release indicating that the first phase of its pilot test programme 
was completed in 2021 and that the tests will continue in 2022.
•  The National Bank of Ukraine, which began CBDC projects in 2016, published a report at the start 
of 2019 entitled “ Analytical report on the e-hryvnia pilot project” . It then launched a public consultation, 
for which the summary of responses was published in July 2021.
Three central banks had an operational CBDC at the start of 2022:
•  The Central Bank of the Bahamas, which commenced its CBDC projects in 2016, followed by a pilot test 
phase beginning at the end of 2019, will go down in history as the first central bank to have launched 
its digital currency, the sand dollar, in October 2020.
•  The Central Bank of Nigeria launched its digital currency, the eNaira, in October 2021.
•  The Eastern Caribbean Central Bank (ECCB) launched its digital currency, DCash, at the start of 2022.
Box 4: The Chinese central bank digital currency project (e-CNY or e-yuan) 1
History
Originally called DC/EP (Digital Currency Electronic Payment) then renamed e-CNY (or e-yuan), the Chinese 
central bank digital currency (CBDC) project was launched in 2014 by the People’s Bank of China (PBOC). 
In 2017 , the PBOC formed a Digital Currency Institute in charge of leading the project. After an analysis 
and design phase, the project entered the pilot phase at the start of 2020 and the geographic perimeter 
has gradually extended to include the major Chinese metropolitan areas.
.../...
1  The Chinese project has prompted many publications, but until recently it was not possible to obtain them from primary sources (namely, from the PBOC), 
or at least not in English. This gap was filled with the publication of a white paper by the PBOC in July 2021 and with a series of talks by Changchun Mu, 
Director General of the Digital Currency Institute of the PBOC, at international conferences, as well as a speech by Governor Yi Gang on the e-yuan.</x:v>
      </x:c>
      <x:c r="E8" s="146" t="str">
        <x:v>no</x:v>
      </x:c>
      <x:c r="F8" s="146" t="str">
        <x:v>high</x:v>
      </x:c>
      <x:c r="G8" s="146"/>
      <x:c r="H8" s="38" t="str">
        <x:v>PRD-0029-P0007-U01</x:v>
      </x:c>
      <x:c r="I8" s="38"/>
      <x:c r="J8" s="142" t="b">
        <x:v>0</x:v>
      </x:c>
    </x:row>
    <x:row r="9">
      <x:c r="A9" s="38" t="str">
        <x:v>DE-0008</x:v>
      </x:c>
      <x:c r="B9" s="38" t="str">
        <x:v>People's Bank of China (e-CNY)</x:v>
      </x:c>
      <x:c r="C9" s="38" t="str">
        <x:v>This is a BIS research source, not automatically a PBOC position. Retain only concrete e-CNY features or decisions explicitly attributed to the PBOC; exclude modelling, literature, and foreign CBDCs.</x:v>
      </x:c>
      <x:c r="D9" s="38" t="str">
        <x:v>182 BIS Papers No 123 
14 It is worth n oting that some of these risks to domestic credit creation and 
financial stability could also arise as major jurisdictions issue frictionless retail CBDCs 
or equivalent instruments, even if Singapore does not. This could occur, for instance, 
if there is su bstitution of domestic bank deposits to these digital monies in a crisis. 
Digital currencies issued by foreign central banks, or stablecoins fully backed by 
foreign safe assets (particularly central bank reserves), could be seen as substantively 
safer than bank money in Singapore during times of stress , while being potentially 
more easily available through digital channels than foreign bank accounts are today.  
15 With appropriate regulatory safeguards, the macro-financial risks posed by 
retail CBDCs can likely be made manageable. Possible measures include financial 
disincentives or hard limits to prevent excessive CBDC holdings, as well as restrictions 
on the use of CBDC by non- residents. These risks could further be tempered by 
innovative design and technological solutions built into a new digital currency. Such 
safeguards should ensure that retail CBDCs serve primarily as a medium of exchange 
and not a major store of value.  
16 Overall, MAS’ current view is that there is no pressing need for a retail CBDC 
in Singapore at this point in time. Demand for cash domestically remains some way 
from the “minimum threshold” where concerns regarding the negative implications 
from the lack of cash in circulation might arise. Retail electronic payments are 
generally competitive, efficient and cheap, and innovation continues to flourish. Even 
as pockets of frictions and high costs remain, there are other initiatives in the pipeline 
to address them. The fundamental soundness of the Singapore dollar and its 
dominance in the dom estic economy will also be a bulwark against any rapid move 
towards substitution with foreign currencies. 
17 Nevertheless, MAS recognises the possibility that retail CBDCs may offer 
innovative solutions in the future.  The gains from enabling greater innovation in 
payments and payment-adjacent digital services will grow as businesses continue to 
digitalise their operations. The case for a public payment alternative to protect end 
user welfare in digital payments will na turally strengthen as more payments move 
entirely online, and could be underscored if the market structure of electronic 
payments grows more concentrated and rent -seeking behaviour begins to emerge, 
as has already occurred in some jurisdictions.  
18 There is  thus value in  MAS embark ing on the upstream technical work 
pertinent to the issuance of a retail CBDC.  The development of a retail CBDC 
system and its ecosystem is likely to be an extended and complex undertaking. 
Structural trends reshaping domestic mone y and payments have long runways and 
could accelerate unexpectedly. MAS and the financial and technology industries 
should begin to build up the necessary expertise and capabilities to issue a CBDC if 
the need arises.  
19 MAS’ exploration of CBDC technology, in partnership with the industry, has 
the potential to generate transferable know -how that could benefit payment 
innovation more broadly.  Retail CBDCs have uniquely high requirements, of 
scalability, extensibility and reliability. They are thus a useful “ high-water mark” to 
spur innovations around this payment trilemma, which could have spillover benefits 
to payments even beyond CBDCs.</x:v>
      </x:c>
      <x:c r="E9" s="146" t="str">
        <x:v>no</x:v>
      </x:c>
      <x:c r="F9" s="146" t="str">
        <x:v>high</x:v>
      </x:c>
      <x:c r="G9" s="146"/>
      <x:c r="H9" s="38" t="str">
        <x:v>PRD-0018-P0186-U01</x:v>
      </x:c>
      <x:c r="I9" s="38"/>
      <x:c r="J9" s="142" t="b">
        <x:v>0</x:v>
      </x:c>
    </x:row>
    <x:row r="10">
      <x:c r="A10" s="38" t="str">
        <x:v>DE-0009</x:v>
      </x:c>
      <x:c r="B10" s="38" t="str">
        <x:v>Bank of Canada</x:v>
      </x:c>
      <x:c r="C10" s="38" t="str">
        <x:v>Research or joint-project source: retain only executed own-project findings or concrete CBDC conclusions explicitly attributed to the named authority. Exclude author assumptions, literature, external examples, and unadopted proposals.</x:v>
      </x:c>
      <x:c r="D10" s="38" t="str">
        <x:v>18 
Canada) would be required to provide information about the identity of the recipient of interest 
income to tax authorities. The central bank would also be required to withhold tax on interest 
income credited to non-resident holders of I-CBDC.22 As a result, anonymity— one of the main 
attractions of bank notes—would not be fully possible with I -CBDC.23 It should be noted, 
however, that the identity of the I-CBDC owner and the parties involved in an I-CBDC 
transaction could still be anonymous to other parties, aside from the central bank.  
This erosion of anonymity would reduce the appeal of I-CBDC for those transactions where 
(complete) privacy was desired. On the other hand, this loss of anonymity would help address 
concerns about the use of CBDC for criminal activity. More generally, such a provision could 
constrain access to I-CBDC to those individuals and firms who have verifiable identification 
(e.g., a tax identification code, social insurance or a business registration number).24    
5.2  I-CBDC and central bank seigniorage  
Paying interest on I-CBDC would directly reduce seigniorage in proportion to the level of 
interest rates. At the same time, paying interest would increase the demand for CBDC, especially 
relative to bank notes, while the erosion of anonymity (discussed above) would tend to reduce 
demand for I-CBDC relative to bank notes. Whether a sustained shift from commercial bank 
deposits and other conventional claims to I-CBDC would occur—and so benefit seign iorage—
depends largely on how financial institutions respond to the existence of I-CBDC, which is 
considered in section 5.4.25  
5.3  I-CBDC and monetary policy  
As noted above, the central bank would remain the ultimate (monopoly) supplier of reserves, 
bank notes and CBDC (interest-bearing or not), so the central bank could set related terms and 
conditions, and therefore control monetary policy. So, again, paying interest on CBDC should 
not compromise or fundamentally affect a central bank’s ability to influence short-term interest 
rates to achieve price stability, although implementation tactics could change.  
In principle, one would expect that the interest rate paid by the central bank on reserves would be 
the same as the interest rate paid on I-CBDC, as each reflects the setting of monetary policy. 
These liabilities are also close substitutes in some contexts. Further, a spread between the interest 
22 In Canada, any entity that makes certain payments, including interest income, to a resident of Canada is required 
to report such income to the Canadian Revenue Agency and to prepare a corresponding record for the income 
recipient. These records identify the types of investment income that residents of Canada must report on their 
income tax returns. The tax authorities in Canada also require an individual or organization to withhold income tax 
of 25 per cent or the percentage established under a tax agreement on amounts paid or credited to non-residents.  
23 This argument may not apply in economies such as Hong Kong where interest income is not subject to income 
taxes. 
24 A central bank could consider issuing both an anonymous benchmark CBDC (with a cap on the maximum amount 
that could be held) along with an I-CBDC (with no cap on balances). Analysis of such an approach is for future 
research. 
25 Barrdear and Kumhof (2016) argue that interest-bearing CBDC would lead to a large increase in demand for 
central bank liabilities, which would lead to an increase in seigniorage, and, in turn, to larger residual transfers to the 
government. They also note that with such a large shift into CBDC, the central bank would need to hold more 
government bonds on its balance sheet. This increased demand for government bonds, other things being equal, 
would increase bond prices and lower associated bond interest rates, thus reducing government funding costs.</x:v>
      </x:c>
      <x:c r="E10" s="146" t="str">
        <x:v>yes</x:v>
      </x:c>
      <x:c r="F10" s="146" t="str">
        <x:v>high</x:v>
      </x:c>
      <x:c r="G10" s="146"/>
      <x:c r="H10" s="38" t="str">
        <x:v>PRD-0013-P0022-U01</x:v>
      </x:c>
      <x:c r="I10" s="38"/>
      <x:c r="J10" s="142" t="b">
        <x:v>0</x:v>
      </x:c>
    </x:row>
    <x:row r="11">
      <x:c r="A11" s="38" t="str">
        <x:v>DE-0010</x:v>
      </x:c>
      <x:c r="B11" s="38" t="str">
        <x:v>Reserve Bank of India (digital rupee)</x:v>
      </x:c>
      <x:c r="C11" s="38" t="str">
        <x:v>Retain RBI proposals, decisions, requirements, and operating-model claims for the digital rupee.</x:v>
      </x:c>
      <x:c r="D11" s="38" t="str">
        <x:v>Concept Note on CBDC 
16 
Chapter 3 - Motivations for issuance of 
CBDCs 
3.1 Different jurisdictions have justified the 
adoption of CBDC for very diverse reasons. 
Some of them are enumerated below: 
i. Central Banks, faced with dwindling 
usage of paper currency, seek to 
popularise a more acceptable electronic 
form of currency (like Sweden); 
ii. Jurisdictions with significant physical 
cash usage seeking to make issuance 
more efficient (like Denmark, Germany, 
Japan or even the US); 
iii. Countries with geographical barriers 
restricting the physical movement of 
cash had motivation to go for CBDC 
(e.g. The Bahamas and the Caribbean 
with small and large numbers of islands 
spread out);  
iv. Central Banks seek to meet the public’s 
need for digital currencies, manifested in 
the increasing use of private virtual 
currencies, and thereby avoid the more 
damaging consequences of such private 
currencies. 
3.2 Further, CBDCs have some clear 
advantages over other digital payments 
systems, as it being a sovereign currency, 
ensures settlement finality and thus reduces  
settlement risk in the financial system. CBDCs 
could also potentially enable a more real-time, 
cost-effective seamless integration of cross 
border payment systems. India has made 
impressive progress in innovation in digital 
10 RBI Annual Report 2021-22 
payments. The payment systems are available 
24X7, 365 days a year to both retail and 
wholesale customers, they are largely real -
time, the cost of transaction is perhaps the 
lowest in the world, users have a wide array of 
options for doing transactions and digital 
payments have grown at an impressive CAGR 
of 55% over the last five years.  
3.3 Supported by the state-of-the-art 
payment systems of India that are affordable, 
accessible, convenient, efficient, safe and 
secure, the e₹ system will bolster India’s  digital 
economy, enhance financial inclusion, and 
make the monetary and payment systems more 
efficient. There are a large and diverse number 
of motivations for India to consider  CBDC. 
Some of the important motivations for India to 
consider issuing CBDC are given below.
3.3.1 Reduction in cost associated with physical 
cash management 
Cost of c ash management in India has 
continued to be significant. The total 
expenditure incurred on security printing during 
April 1, 2021 to March 31, 2022 was ₹ 4,984.80 
crore as against ₹4,012.10 crore in the previous 
year (July 1, 2020 to March 31, 2021) 10. This 
cost, which does not include the Environmental, 
Social, and Governance (ESG) cost of printing 
money, is predominantly borne by four 
stakeholders –general public , businesses, 
banks, and the Central Bank. CBDC affects the 
overall value of the money issuing function to 
the extent that it reduces operational costs e.g. 
costs related to printing, storage, transportation 
and replacement of banknotes, and cost s 
associated with delay in reconciliation and</x:v>
      </x:c>
      <x:c r="E11" s="146" t="str">
        <x:v>no</x:v>
      </x:c>
      <x:c r="F11" s="146" t="str">
        <x:v>high</x:v>
      </x:c>
      <x:c r="G11" s="146"/>
      <x:c r="H11" s="38" t="str">
        <x:v>PRD-0088-P0016-U01</x:v>
      </x:c>
      <x:c r="I11" s="38"/>
      <x:c r="J11" s="142" t="b">
        <x:v>0</x:v>
      </x:c>
    </x:row>
    <x:row r="12">
      <x:c r="A12" s="38" t="str">
        <x:v>DE-0011</x:v>
      </x:c>
      <x:c r="B12" s="38" t="str">
        <x:v>South African Reserve Bank</x:v>
      </x:c>
      <x:c r="C12" s="38" t="str">
        <x:v>Retain the named authority's own CBDC decisions, explicit proposals, requirements, features, and executed findings. Exclude generic context, literature, foreign projects, and stakeholder views not explicitly adopted by the authority.</x:v>
      </x:c>
      <x:c r="D12" s="38" t="str">
        <x:v>35Project Khokha Fintech Report  
 STRUCTURE OF THE PROJECT | CHAPTER 2
HYPOTHESES TESTED
The technical goals  
are expressed formally  
as hypotheses.
The project set out to test a number of key hypotheses 
which are depicted in figure 6:
Figure 6: The key hypotheses of Project Khokha
Real-time gross settlement transactions can be executed 
using standard payment message formats (leveraging the 
ISO 20022 format).
Messages can be processed at sufficient scale 
and in line with the current system processing times.
Blocks should be propagated within 1s to a 95% 
confidence level and within 2s to a 99% confidence level.
The confidentiality and privacy of transactions 
between commercial banks is maintained.
The visibility of the system for the SARB is sufficient 
for oversight and operational management.</x:v>
      </x:c>
      <x:c r="E12" s="146" t="str">
        <x:v>no</x:v>
      </x:c>
      <x:c r="F12" s="146" t="str">
        <x:v>high</x:v>
      </x:c>
      <x:c r="G12" s="146"/>
      <x:c r="H12" s="38" t="str">
        <x:v>PRD-0087-P0035-U01</x:v>
      </x:c>
      <x:c r="I12" s="38"/>
      <x:c r="J12" s="142" t="b">
        <x:v>0</x:v>
      </x:c>
    </x:row>
    <x:row r="13">
      <x:c r="A13" s="38" t="str">
        <x:v>DE-0012</x:v>
      </x:c>
      <x:c r="B13" s="38" t="str">
        <x:v>Bank of Canada research on privacy-enhancing technologies for a potential CBDC</x:v>
      </x:c>
      <x:c r="C13" s="38" t="str">
        <x:v>Staff research is not an adopted design. Retain empirical findings or explicit Bank of Canada conclusions tied to its potential CBDC; exclude literature summaries.</x:v>
      </x:c>
      <x:c r="D13" s="38" t="str">
        <x:v>2.3.3 Cryptographic commitment
A cryptographic commitment scheme allows us to commit to a chosen message while preserving its secrecy
(with the ability to reveal it later) by publishing its hash value. A binding factor can be used when data
size is small to prevent a brute-force attack. A commitment 𝐶𝑜𝑚(𝑚,𝑟)to message 𝑚 and a blinding factor
𝑟 has the following properties:
• Hiding: One party wants to commit the message 𝑚 without revealing the content of 𝑚 itself.
• Binding: If one party makes a commitment to 𝑚, they reveal a different message 𝑚′ instead.
Brassard, Chaum, and Cr´ epeau (1988) provide a formal definition of a commitment scheme, as follows:
A commitment scheme consists of three polynomial-time algorithms 𝐶 = (Gen,Commit,Open)satisfying
the following constraints.
• 𝑟 ←Gen(1𝜆): take a security parameter 1 𝜆 and output a random number 𝑟.
• 𝑐 ←Commit(𝑚,𝑟): given a message 𝑚 and randomness 𝑟, compute as output a value 𝑐 that hides
message 𝑚 and such that it is computationally impossible to compute any pair (𝑚′,𝑟′) such that
Commit(𝑚′,𝑟′)=Commit(𝑚,𝑟).
• 𝑏←Open(𝑐,𝑚,𝑟 ): given (𝑐,𝑚,𝑟 )with a commitment 𝑐, a message 𝑚 and randomness 𝑟, the algorithm
returns true if and only if 𝑐=commit(𝑚,𝑟).
Pedersen commitment The Pedersen commitment is a commitment scheme that is binding under a
discrete logarithm assumption (Pedersen 1992). Given an elliptic curve 𝐸 defined over a finite field 𝐺𝐹(𝑝),
assume that 𝐸 has a group of points of large order 𝑞in which the discrete logarithm is hard, and two random
public generators 𝑔 and ℎ. The commitment of a message 𝑚 is a point 𝑐 on the elliptic curve 𝐸 that binds
a message 𝑚 and a random 𝑟 to a point 𝑐 on 𝐸. The Pedersen commitment is defined as follows:
𝐶𝑜𝑚(𝑚,𝑟)=𝑔𝑚ℎ𝑟
It would be infeasible to calculate another pair 𝑚′, 𝑟′ that can produce the same commitment 𝐶𝑜𝑚(𝑚).
The Petersen commitment is used in cryptocurrencies such as Monero to keep the amount of transactions
confidential. Additionally, Pedersen commitments are additively homomorphic, meaning the sum of a set of
commitments equals a commitment to the sum of the data, with the binding factor set as the sum of the
individual binding factors.
2.3.4 Zero-knowledge proofs
Goldwasser, Micali, and Rackoff (1989) first put forward and analyzed the concept of interactive proof
systems. This led to the creation of an important branch of cryptography and computational complexity
theory: that is, ZKP. In a ZKP system, a prover convinces a verifier that some statement is true or some
computations were correctly executed while leaking nothing but the validity of the assertion. ZKP has a
broad application because of this nature. As a simple example, consider the case where the prover claims
to have a way of factorizing large numbers. The verifier will send the prover a large number and the prover
will send back the factors. Successful factorization of several large integers will decrease the verifier’s doubt
about the truth of the prover’s claim. In spite of this, the verifier will learn nothing about the factorization
method.
Formally, a ZKP model is defined as an interactive proof system (𝑃,𝑉), where 𝑃 is a prover and 𝑉 is a
verifier. Protocol (𝑃,𝑉)is for proving a language membership statement for a language over {0,1}. Let 𝐿
be a language over {0,1}∗, for a membership instance 𝑥 ∈𝐿, 𝑃 and 𝑉 must share the common input 𝑥. A
proof instance is denoted as (𝑃,𝑉)(𝑥). Upon completing the interaction between two parties, the output of
the protocol should be of form (𝑃,𝑉)(𝑥)∈{ Accept, Reject}, representing 𝑉’s acceptance or rejection of 𝑃’s
claim that 𝑥 ∈𝐿. Note that an interactive ZKP system can be converted to a non-interactive ZKP system
by using the Fiat-Shamir transformation (Fiat and Shamir 1987).
A ZKP must have the following properties:
• Completeness: If the statement is correct, then the verifier will “always” accept.
• Soundness: If the statement is incorrect, then the verifier will “always” reject.
9</x:v>
      </x:c>
      <x:c r="E13" s="146" t="str">
        <x:v>no</x:v>
      </x:c>
      <x:c r="F13" s="146" t="str">
        <x:v>high</x:v>
      </x:c>
      <x:c r="G13" s="146"/>
      <x:c r="H13" s="38" t="str">
        <x:v>PRD-0107-P0012-U01</x:v>
      </x:c>
      <x:c r="I13" s="38"/>
      <x:c r="J13" s="142" t="b">
        <x:v>0</x:v>
      </x:c>
    </x:row>
    <x:row r="14">
      <x:c r="A14" s="38" t="str">
        <x:v>DE-0013</x:v>
      </x:c>
      <x:c r="B14" s="38" t="str">
        <x:v>Bank of Russia (digital ruble)</x:v>
      </x:c>
      <x:c r="C14" s="38" t="str">
        <x:v>Retain implemented digital-ruble features, requirements, and reported results.</x:v>
      </x:c>
      <x:c r="D14" s="38" t="str">
        <x:v>24
Цифровой рубль: 
текущий статус проекта
4.	 	ПЕРСПЕКТИВЫ 	И ДАЛЬНЕЙШИЕ 	ШАГИ
В настоящее время ключевым направлением развития цифрового рубля является 
масштабирование пилотного проекта – поэтапное увеличение числа участников и пользователей 
пилота, а также расширение перечня доступных сервисов.
В ходе пилотного проекта цифрового рубля продолжается изучение эффективности различных 
экономических моделей обращения цифрового рубля. В России в системе розничных платежей 
уже эффективно функционируют платежная система «Мир», Система быстрых платежей 
и другие инструменты, позволяющие удобно и оперативно осуществлять платежи гражданам 
и принимать оплату за товары бизнесу. В ходе пилота проводится дополнительное обсуждение 
экономической модели, в том числе оптовой составляющей цифрового рубля. Особое внимание 
уделяется определению приоритетных направлений развития сервисов на базе цифрового рубля.
Параллельно с этим ведется работа, направленная на взаимодействие с государственными 
структурами, банками и коммерческими компаниями: прорабатываются наиболее востребованные 
кейсы, исследуются сценарии использования цифрового рубля, которые позволят 
продемонстрировать наибольший потенциал для повышения экономической эффективности.
С запуском цифрового рубля Россия станет одной из первых стран, у которых есть весь комплекс 
компонентов платежной инфраструктуры: Национальная система платежных карт, Система 
быстрых платежей, Система передачи финансовых сообщений и цифровая национальная валюта.
В перспективе платформа цифрового рубля может стать не только централизованной 
платформой для платежей и переводов, но и основой для внедрения инноваций во многих 
отраслях экономики. Мы рассчитываем, что привычным способом расчетов, как и безналичные 
рубли, цифровой рубль станет на горизонте 5 – 7 лет. Это стратегический проект, способный 
трансформировать экономику России, усилив ее устойчивость к внешним шокам, успешное 
внедрение которого возможно только при взаимодействии Банка России с государством, 
бизнесом и обществом.</x:v>
      </x:c>
      <x:c r="E14" s="146"/>
      <x:c r="F14" s="146" t="str">
        <x:v>high</x:v>
      </x:c>
      <x:c r="G14" s="146" t="str">
        <x:v>NOT ASSESSABLE – NO TRANSLATION</x:v>
      </x:c>
      <x:c r="H14" s="38" t="str">
        <x:v>PRD-0065-P0025-U01</x:v>
      </x:c>
      <x:c r="I14" s="38"/>
      <x:c r="J14" s="142" t="b">
        <x:v>1</x:v>
      </x:c>
    </x:row>
    <x:row r="15">
      <x:c r="A15" s="38" t="str">
        <x:v>DE-0014</x:v>
      </x:c>
      <x:c r="B15" s="38" t="str">
        <x:v>People's Bank of China (e-CNY)</x:v>
      </x:c>
      <x:c r="C15" s="38" t="str">
        <x:v>This is a BIS research source, not automatically a PBOC position. Retain only concrete e-CNY features or decisions explicitly attributed to the PBOC; exclude modelling, literature, and foreign CBDCs.</x:v>
      </x:c>
      <x:c r="D15" s="38" t="str">
        <x:v>132 BIS Papers No 123 
Assessing CBDC potential for developing payment systems 
and promoting financial inclusion in Peru 
1. Initial conditions 
The Central Reserve Bank of Peru (BCRP) is currently assessing the potential benefits 
and risks of issuing a domestic central bank digital currency (CBDC). In particular, we 
explore the potential role of CBDC implementation in promoting financial inclusion 
and improving the payment system in Peru. 
In recent decades, the Peruvian economy has faced two main challenges, namely 
a bi-monetary financial system and a sizeable unbanked population. As an outcome 
of the inflation targeting regime and other policies, dollarisation has diminished. For 
instance, dollarisation of credit to the private sector has fallen sharply from around 
80% in 2000 to 23% in 2021(Graph  1). In the same period, total credit to the private 
sector increased from around 28%  to 47% of GDP, and broad money from 25 % to 
51% of GDP
5.  
Aside from this progress in de -dollarisation, in Peru some transactions can still 
be invoiced in US dollars (USD). Additionally, residents can freely open bank accounts 
and make ATM withdrawals in either soles (PEN) or USD (although to a lesser extent 
in the latter case). Such practice aligns with the dual currency settlement system of 
the national real-time gross settlement (RTGS) system, which was created in 2000 and 
is managed by the BCRP. In brief, Peru is a dual currency economy that, in the last 
decades, has achieved a downtrend in financial dollarisation with low levels of 
inflation. 
Currency in circulation (CiC) also increased from a relatively low level of 2.5 % of 
GDP in 2000 to 9.5 % of GDP in 2021(with a print of 6.8 % of GDP in 2019 before the 
pandemic). While the de -dollarization process contributed to a higher CiC, a key 
structural factor is that, with more access to roads, the population of rural areas 
reduced significantly the share of production for self- consumption during this 
century.    
All in all, there is still an important gap in terms of financial inclusion, as it greatly 
depends on structural factors such as a preference for cash and a low penetration of 
financial services in remote rural areas. Based on the Global Findex statistics, the 
5  Correspond to the BCRP statistical series PN03500MQ and PN03497MQ, respectively. 
Evolution of financial dollarisation  Graph 1</x:v>
      </x:c>
      <x:c r="E15" s="146" t="str">
        <x:v>no</x:v>
      </x:c>
      <x:c r="F15" s="146" t="str">
        <x:v>high</x:v>
      </x:c>
      <x:c r="G15" s="146"/>
      <x:c r="H15" s="38" t="str">
        <x:v>PRD-0018-P0136-U01</x:v>
      </x:c>
      <x:c r="I15" s="38"/>
      <x:c r="J15" s="142" t="b">
        <x:v>0</x:v>
      </x:c>
    </x:row>
    <x:row r="16">
      <x:c r="A16" s="38" t="str">
        <x:v>DE-0015</x:v>
      </x:c>
      <x:c r="B16" s="38" t="str">
        <x:v>People's Bank of China (e-CNY)</x:v>
      </x:c>
      <x:c r="C16" s="38" t="str">
        <x:v>This is a BIS research source, not automatically a PBOC position. Retain only concrete e-CNY features or decisions explicitly attributed to the PBOC; exclude modelling, literature, and foreign CBDCs.</x:v>
      </x:c>
      <x:c r="D16" s="38" t="str">
        <x:v>BIS Papers No 123 39 
The Central Bank of Chile´s approach to retail CBDC 
This document describes the current status of the analysis conducted  by the Central 
Bank of Chile (BCCh) on the eventual issuance of a retail central bank digital currency 
(CBDC). Since this process is at an  early stage, no formal policy decision  has been 
made yet. An internal Working Group (WG) on CBDC is preparing a white paper 
scheduled for release  in early 2022 which will assess and describe future steps on this 
matter. 
The BCCh established the WG with the objective of exploring and proposing a 
medium- to long-term strategy on digital payments in Chile. Currently, the WG has 
scoped the internal discussion on retail CBDC.  Its first duty is to understand whether 
there could be a compelling reason for a future issuance of CBDC in Chile. Thus, it has 
been relevant to assess the current situation of the Chilean retail payment system , 
looking for possible motivations for a retail CBDC and further designing principles for 
its eventual  implementation. 
1. Objectives and considerations for a retail CBDC issuance 
1.1 An overview of the Chilean retail payment system 
• The Chilean retail payment system is performing  adequately for the level of 
development of the economy. From the analysis performed, there are no relevant 
gaps that can be minimised with a CBDC solution. 
• A broad view of the local retail payment system can be captured  with the 
following figures:</x:v>
      </x:c>
      <x:c r="E16" s="146" t="str">
        <x:v>no</x:v>
      </x:c>
      <x:c r="F16" s="146" t="str">
        <x:v>high</x:v>
      </x:c>
      <x:c r="G16" s="146"/>
      <x:c r="H16" s="38" t="str">
        <x:v>PRD-0018-P0043-U01</x:v>
      </x:c>
      <x:c r="I16" s="38"/>
      <x:c r="J16" s="142" t="b">
        <x:v>0</x:v>
      </x:c>
    </x:row>
    <x:row r="17">
      <x:c r="A17" s="38" t="str">
        <x:v>DE-0016</x:v>
      </x:c>
      <x:c r="B17" s="38" t="str">
        <x:v>Banca d'Italia research context</x:v>
      </x:c>
      <x:c r="C17" s="38" t="str">
        <x:v>This research paper is not automatically an issuer commitment. Retain only Banca d'Italia own-project results or explicit institutional positions; exclude literature and model assumptions.</x:v>
      </x:c>
      <x:c r="D17" s="38" t="str">
        <x:v>64
choices that could reduce outsourcing risks to the intermediaries and potentially 
increase the safety of the CBDC for end users.
In the settlement agent intermediation, intermediaries own the keys to access 
and authorize the payment in D€93 and they execute transactions on behalf of 
their customers. As a result, a failure of the intermediary that acts as settlement 
agent, could result not only in the users being unable to access their CBDC 
balance and spend units, but also, potentially, in unauthorized transactions 
being sent to the CDBC ledger.
Unlike settlement agents, the gatekeepers are in charge of authenticating 
end users and of complying with the Know Your Customer (KYC), AML/CFT 
requirements; they also provide the technical connectivity between users 
and the payment system infrastructure. In this scenario, the gatekeepers may 
be technically unable to authorize transactions without cooperating with the 
end users. 94 This system avoids the case of unauthorized transactions being 
sent to the CBDC ledger when an intermediary, acting as a gatekeeper, 
defaults. 
For both the above intermediation types, it is also important to guarantee that 
the information on the CBDC balance that is presented to the end user has not 
been compromised. If the end users need to trust an intermediary to report 
a correct balance, then a failure of the intermediary could result in the user 
believing more funds to be available than there actually are in the central bank 
account.
Finally, if end user access to the ledger is not intermediated, then safety derives 
from the fact that information written on the ledger can be directly accessed by 
the end users. Nevertheless, the absence of intermediation entails problems of a 
different nature, which can make intermediated access to the CBDC altogether 
preferable.
 Annex 2: itcoin discussion topics
1. About on-ledger trAnsActionAl cApAcity 
The computational capacity of any payment system is a scarce resource because 
technological limits prevent it from being scaled indefinitely. In blockchain 
platforms like itCoin, this limit is related to two parameters: the amount of 
space available to describe new transactions per cycle (block space), and the 
period of the cycle itself (block time). 
Knowing what this limit is and working with a pseudonymous ledger – where 
there is no possibility of distinguishing a priori well-intentioned transactions 
93 See European Central Bank (2019).
94 For example, in order to authorize a transfer of CBDC units, the ledger may require that the end user explicitly provide 
a signature.</x:v>
      </x:c>
      <x:c r="E17" s="146" t="str">
        <x:v>no</x:v>
      </x:c>
      <x:c r="F17" s="146" t="str">
        <x:v>high</x:v>
      </x:c>
      <x:c r="G17" s="146"/>
      <x:c r="H17" s="38" t="str">
        <x:v>PRD-0042-P0066-U01</x:v>
      </x:c>
      <x:c r="I17" s="38"/>
      <x:c r="J17" s="142" t="b">
        <x:v>0</x:v>
      </x:c>
    </x:row>
    <x:row r="18">
      <x:c r="A18" s="38" t="str">
        <x:v>DE-0017</x:v>
      </x:c>
      <x:c r="B18" s="38" t="str">
        <x:v>Bank of Canada</x:v>
      </x:c>
      <x:c r="C18" s="38" t="str">
        <x:v>Research or joint-project source: retain only executed own-project findings or concrete CBDC conclusions explicitly attributed to the named authority. Exclude author assumptions, literature, external examples, and unadopted proposals.</x:v>
      </x:c>
      <x:c r="D18" s="38" t="str">
        <x:v>23 
countries, perhaps especially in emerging economies, but does not provide a motivation in the 
Canadian case.  
(ii) Increasing contestability in retail payments seems to be the most credible motivation to issue 
CBDC, and the overall impact depends importantly on the specific attributes of the CBDC.  
I-CBDC would provide for more contestability in payments than the benchmark CBDC, which 
does not pay interest. Banks (and other service providers), however, could respond to I-CBDC 
by increasing interest on payments balances or bundling services to maintain market share, 
which would provide incremental benefits to customers, other things being equal. And these 
developments could have wider implications for the financial system (see below). Further, to the 
extent that promoting contestability in retail payments was the primary motivation to issue 
CBDC, authorities should probably also consider whether there were other ways to achieve this 
goal, including through regulatory avenues or by acting as a catalyst, and assess which strategy 
would be most effective (Fung and Halaburda 2016). As for large-value payments, it seems 
unlikely that CBDC would lead to material benefits relative to an RTGS system.   
(iii) Some of the attributes of the benchmark CBDC discussed above are problematic—most 
notably anonymity, which would facilitate criminal activity. As a practical matter, complete 
anonymity seems to be undesirable for central bank digital currency.  
(iv) As noted, CBDC, especially if interest-bearing, would motivate endogenous responses by 
financial intermediaries to compete with CBDC to retain market share and funding. A plausible 
outcome is that banks would be able to compete effectively with CBDC so that households and 
firms would generally rely on bank deposits and related products in normal times. In stress 
periods, however, they could (more) easily shift to CBDC. As a result, compared with the status 
quo, CBDC (especially if interest-bearing) could lead to some redistribution of returns away 
from financial intermediaries, perhaps a (modest) contraction of intermediation, and increased 
volatility (other things being equal).     
(v) It follows that designing a CBDC with a focus on a particular attribute, in pursuit of a 
specific policy objective, is likely to have implications on other margins; indeed, 
interdependence of effects should be expected.  
(vi) The analysis in this paper is based on an assumption that the technological means to issue 
and transfer CBDC— e.g., a digital wallet and the distributed ledger technology—would be 
feasible and acceptable to the central bank. Similarly, this paper does not focus on the costs 
involved in issuing CBDC (including central bank reputation risk). From a benefit-cost 
perspective, including these considerations in the analysis would reduce the appeal of CBDC. 
(vii) Finally, given the complexity and uncertainty associated with introducing CBDC, central 
banks inclined to issue CBDC should proceed cautiously and incrementally, perhaps with a non-
anonymous CBDC that mimics bank notes—similar to the benchmark CBDC discussed above —
notwithstanding likely low adoption rates, and learn from experience.  
Looking ahead and with a view to future research, it could be useful to examine the implications 
of a CBDC with different attributes than the benchmark or I-CBDC considered in this paper. 
Ongoing monitoring and research regarding the adoption and possible implications of private 
cryptocurrencies also would be useful, as would further work on the interaction of CBDC, 
monetary policy and financial stability in various institutional settings. Further, to the extent that 
demand for bank notes decreases over time (contrary to the evidence in most countries, as shown</x:v>
      </x:c>
      <x:c r="E18" s="146" t="str">
        <x:v>no</x:v>
      </x:c>
      <x:c r="F18" s="146" t="str">
        <x:v>high</x:v>
      </x:c>
      <x:c r="G18" s="146"/>
      <x:c r="H18" s="38" t="str">
        <x:v>PRD-0013-P0027-U01</x:v>
      </x:c>
      <x:c r="I18" s="38"/>
      <x:c r="J18" s="142" t="b">
        <x:v>0</x:v>
      </x:c>
    </x:row>
    <x:row r="19">
      <x:c r="A19" s="38" t="str">
        <x:v>DE-0018</x:v>
      </x:c>
      <x:c r="B19" s="38" t="str">
        <x:v>Danmarks Nationalbank</x:v>
      </x:c>
      <x:c r="C19" s="38" t="str">
        <x:v>Retain the named authority's own CBDC decisions, explicit proposals, requirements, features, and executed findings. Exclude generic context, literature, foreign projects, and stakeholder views not explicitly adopted by the authority.</x:v>
      </x:c>
      <x:c r="D19" s="38" t="str">
        <x:v>ANALYSIS  — DANMARKS NATIONALBANK
NEW TYPES OF DIGITAL MONEY
25
Distribution 
Most pilot projects on retail CBDC involve some form 
of distribution via third parties. This means that even 
though any such CBDC is issued by the central bank, 
the acquisition and registration of holdings by citizens 
take place by means of, for example, banks, payment 
institutions or telecommunications operators.45 
Those third parties thus handle the administra-
tion of the account containing CBDC. At the same 
time, there is the possibility that the central bank 
can maintain an ongoing inventory of the citizens’ 
holdings with third parties. With such a model, the 
central bank will have the necessary information to 
ensure the citizens’ CBDC holdings if a third party 
enters into liquidation. In addition, the third parties 
are also responsible for handling of anti-money laun-
dering rules and know-your-customer checks. The 
central bank will thus not be the party responsible 
for the extensive administration in connection with 
the handling of customer relations, and the actors 
who already have retail solutions can service the 
citizens’ use of retail CBDC. 
Personal identification
A key question in retail CBDC is the consideration 
of user privacy, i.e. the degree to which data on the 
user and the individual transaction are collected and 
processed.46 Just as cash payments can be made 
anonymously, similar options are being investigated 
in the context of retail CBDC.
However, an account-based solution will require 
some form of personal identification and verification 
to access the account. This means that anonymous 
payments are generally not possible. This is also con-
nected with the anti-money laundering and know-your-
customer check requirements which obligate banks 
to be able to identify who is making a given payment. 
When some central banks explore the possibility of 
an anonymous retail CBDC, this typically concerns 
transactions involving minor amounts.47 In addition, 
45 See Bank for International Settlements, Annual Economic Report 2021: 
III. CBDCs: an opportunity for the monetary system, June 2021 (link ) 
and People’s Bank of China, Progress of Research &amp; Development of 
E-CNY in China, July 2021 (link ).
46 See The European Central Bank, A digital euro to meet the expectations 
of the Europeans, April 2021 (link ).
47 See, for example, Sveriges Riksbank, E-krona pilot Phase 1, April 2021 
(link ).
the degree of personal verification may depend on, for 
example, the size of the transaction or on whether the 
transaction is executed physically or in e-commerce. 
Restrictions on applications 
Central banks that are examining the use of a retail 
CBDC often stress that such use is expected to be 
subject to a number of restrictions. Such restrictions 
may, for example, be in the form of a cap on the 
amount that can be held in the account, or restric -
tions on the number and size of transactions that 
may be executed. In such case these restrictions will 
require an interaction between existing payment 
systems so that funds exceeding a given limit are 
automatically transferred to linked bank accounts. 
Alternatively, the applications offered by a retail 
CBDC can be restricted by introducing an interest 
rate on holdings above a certain amount that is less 
attractive than the interest rate offered by banks. 
This will reduce the holdings of retail CBDC.
The purpose of the restrictions is that a retail CBDC 
will be more suitable as a means of payment than as 
a storage of value. The cap and, in part, an unat-
tractive interest rate for holdings above a given level 
can ensure that there is no significant reduction in 
commercial bank deposits as a result of citizens con-
verting large amounts to retail CBDC. 
A retail CBDC may affect the banks’ business model, 
as they use bank deposits as a source of funding of 
their lending activities. For example, if the banks’ 
deposit base is reduced or becomes less stable as a 
result of a retail CBDC, the banks must either reduce 
their lending or find alternative sources of funding. 
In such a situation, the banks can seek to compen-
sate the loss of deposits by borrowing the money 
from the central bank. The increased lending to 
banks and deposits from citizens in the form of CBDC 
will, in practice, thus result in an increase in the  
central bank’s balance sheet.48
48 See Danmarks Nationalbank, Central bank digital currency in Den-
mark?, Danmarks Nationalbank Analysis, no. 28, December 2017 (link ).</x:v>
      </x:c>
      <x:c r="E19" s="146" t="str">
        <x:v>no</x:v>
      </x:c>
      <x:c r="F19" s="146" t="str">
        <x:v>high</x:v>
      </x:c>
      <x:c r="G19" s="146"/>
      <x:c r="H19" s="38" t="str">
        <x:v>PRD-0021-P0025-U01</x:v>
      </x:c>
      <x:c r="I19" s="38"/>
      <x:c r="J19" s="142" t="b">
        <x:v>0</x:v>
      </x:c>
    </x:row>
    <x:row r="20">
      <x:c r="A20" s="38" t="str">
        <x:v>DE-0019</x:v>
      </x:c>
      <x:c r="B20" s="38" t="str">
        <x:v>Norges Bank (Norwegian CBDC work)</x:v>
      </x:c>
      <x:c r="C20" s="38" t="str">
        <x:v>Retain Norges Bank CBDC positions and requirements; exclude generic or cited research.</x:v>
      </x:c>
      <x:c r="D20" s="38" t="str">
        <x:v>66 
NORGES BANK MEMO 
NR 1 | 2021 
DIGITALE 
SENTRALBANKPENGER 
3. RAPPORT FRA 
ARBEIDSGRUPPEN 
- Prototype  
- Pilot  
- Sandkasse/testnettverk  
- Simulering/modellering  
Proof-of-Concept (PoC) innebærer å teste ut om ulike løsninger konseptuelt 
kan oppfylle spesifikasjoner/egenskaper. Dette kan gjøres på mer abstrakt 
nivå, slik som det valideringsarbeidet som allerede er gjennomført, og kan 
suppleres med teknisk testing. Teknisk testing vil gi ytterligere innsikt i om 
tekniske løsninger kan oppfylle egenskapene.  
En prototype er en avgrenset teknisk løsning som kan brukes til å teste 
enkelte egenskaper eller enkelte moduler av et system. I motsetning til ved 
PoC, som gir informasjon om en egenskap kan oppfylles for en teknisk 
løsning, vil en prototype gi mer informasjon om hvordan egenskapen 
oppfylles. En kunne for eksempel tenke seg at en lagde prototyper for 
kjerneinfrastruktur for å teste sikkerhets- og kapasitetsegenskaper, uten at det 
samtidig ble testet konkrete brukerløsninger basert på disse infrastrukturene. 
På samme måte kan en lage en avgrenset løsning for brukergrensesnitt uten 
bakenforliggende infrastruktur, for å teste brukervennligheten til disse 
løsningene. Dette kan gi informasjon, men en vil ikke nødvendigvis teste om 
egenskapene oppfylles i en fullverdig løsning med samvirke mellom moduler. 
Det er derfor viktig å gjøre vurderinger av for hvilke egenskaper og moduler 
det er nødvendig å teste samvirke.   
I en pilot vil man typisk bygge en mer fullverdig løsning der alle eller de fleste 
egenskaper kan testes samtidig for den samme løsningen. Blant andre 
Riksbanken og den kinesiske sentralbanken utvikler piloter for DSP.  
Ofte benyttes sandkasser/testnettverk for å involvere et mangfold av aktører 
som tester ut nye innovative løsninger.  
For teknisk testing av DSP vil dette typisk innebære at sentralbanken setter 
noen grunnleggende forutsetninger for deltakelse. Dette kan være relevante 
test-caser som gir innsikt i løsninger som kan oppfylle egenskapene DSP må 
ha, og visse forutsetninger om teknologien som skal brukes, for eksempel at 
de skal baseres på åpen kildekode. I motsetning til en regulatorisk sandkasse, 
vil en slik sandkasse være en rent teknisk sandkasse som bare gjennomføres 
i et testmiljø. Det vil derfor ikke være «ekte DSP» som testes. For å gi 
insentiver til slik deltakelse kan det tilbys finansiering etter forhåndssatte 
kriterier og det kan arrangeres «hackatons», konkurranser eller liknende 
potensielt med pengepremier.  
Enkelte egenskaper vil være vanskelige å teste gjennom en prototype/pilot 
eller sandkasse, fordi de er knyttet til begivenheter som er vanskelige å 
gjenskape i et testmiljø, slik som hvordan friksjonene virker ved finansiell 
ustabilitet eller ved andre stressituasjoner. I slike situasjoner kan modellering 
og simulering supplere andre testmetoder. Matematiske representasjoner av 
de tekniske løsningene kan brukes til å analysere blant annet sikkerhet. Ved 
agentbasert simulering kan man knytte atferdsmodeller til de tekniske 
løsningene. Virtuell virkelighet eller augmentert virkelighet kan også tjene 
visse funksjoner. For eksempel kan man lage «spill» der brukere kan teste ut 
løsninger i et virtuelt miljø. Modellering og simulering vil antakeligvis være et 
supplement til andre metoder for teknisk testing.</x:v>
      </x:c>
      <x:c r="E20" s="146"/>
      <x:c r="F20" s="146" t="str">
        <x:v>high</x:v>
      </x:c>
      <x:c r="G20" s="146" t="str">
        <x:v>NOT ASSESSABLE – NO TRANSLATION</x:v>
      </x:c>
      <x:c r="H20" s="38" t="str">
        <x:v>PRD-0054-P0066-U01</x:v>
      </x:c>
      <x:c r="I20" s="38"/>
      <x:c r="J20" s="142" t="b">
        <x:v>1</x:v>
      </x:c>
    </x:row>
    <x:row r="21">
      <x:c r="A21" s="38" t="str">
        <x:v>DE-0020</x:v>
      </x:c>
      <x:c r="B21" s="38" t="str">
        <x:v>People's Bank of China (e-CNY)</x:v>
      </x:c>
      <x:c r="C21" s="38" t="str">
        <x:v>This is a BIS research source, not automatically a PBOC position. Retain only concrete e-CNY features or decisions explicitly attributed to the PBOC; exclude modelling, literature, and foreign CBDCs.</x:v>
      </x:c>
      <x:c r="D21" s="38" t="str">
        <x:v>112 BIS Papers No 123 
For a CBDC to effectively respond to the threat of big tech, it should be designed 
and operated as an open public currency infrastructure. For this, participation of a 
broad range of stakeholders and interoperability will be important and an effective 
division of roles between the central bank and the private sector is requir ed. In this 
sense, a direct CBDC model may not be a good choice since the central bank will end 
up being solely responsible for CBDC operation. With the hybrid  or intermediated 
model, participating institutions, such as banks and fintechs, will have more r oom to 
creatively combine CBDC with their customer platforms and financial products to 
provide innovative services. 
The proliferation of global stablecoins 
Despite the growing global popularity of cryptocurrency trading ,10 stablecoins are 
not widely used in Korea . While the transaction volume of major cryptoasset 
exchanges in Korea has increased rapidly, 11 unlike in other countries , cryptoasset 
trades on Korean exchanges are settled by bank deposits rather than by stablecoins. 
However, considering the heigh tened interest in digital innovation s such as non -
fungible tokens (NFTs), decentralised finance (DeFi), and the metaverse, the demand 
for digital asset-related payment may further expand beyond cryptoasset trading in 
the future.12 In particular, if big tech firms issue a global stablecoin in the near future, 
it is highly likely to spread rapidly into financial sector and the real economy. 
In line with global discussions led by international organis ations such as the G7, 
Financial Stability Board (FSB ) and Committee on Payments and Market 
Infrastructures (CPMI), and among major countries including EU members, the United 
States and the United Kingdom, 13 discussions about a regulatory framework for 
stablecoins are beginning to take place in Korea as well. However, if stablecoins 
spread widely amid the current absence of a regulatory framework, they could not 
only cause problems in terms of consumer protection and financial stability but also, 
with deepening global economic integration , raise the risk of currency substitution 
similar to dollarisation in some emerging market economies. Nevertheless, in the case 
of Korea, it seems unlikely that global stablec oins or CBDCs issued by large foreign 
countries would cause currency substitution.14 
Other issues 
Some argue that a DLT -based CBDC may be more efficient at supporting  new 
payment and settlement demands such as DeFi, the proliferation of NFTs, and the 
internet of things (IoT). On the other hand, some take the view that it will be possible 
10  More than $150 billion of stablecoins such as Tether (USDT) and USD Coin (USDC) have been issued 
worldwide and used as payment instruments for cryptoasset trading and DeFi (IMF, 2021). 
11  Daily cryptoasset transaction volume at major domestic exchanges (Upbit, Bithumb, Korbit, Coinone, 
and Gopax) increased two-fold from KRW 2.7 trillion in January 2021 to KRW 5.4 trillion in October 
2021. 
12  Though in the early stages, Korea is seeing increased interest and investment in digital innovation, 
such as IoT supported  by the high penetration of 5G, NFTs, and DeFi utilising distributed ledger 
technology (DLT), and augmented reality. 
13  See, e.g., FSB (2020), G7 (2019), CPIM-IOSCO (2021), PWG (2021). 
14  Currency substitution usually occurs in a situation where high inflation continues thanks to large fiscal 
deficits, impaired central bank independence, and a lack of public trust in monetary and fiscal policy.</x:v>
      </x:c>
      <x:c r="E21" s="146" t="str">
        <x:v>no</x:v>
      </x:c>
      <x:c r="F21" s="146" t="str">
        <x:v>high</x:v>
      </x:c>
      <x:c r="G21" s="146"/>
      <x:c r="H21" s="38" t="str">
        <x:v>PRD-0018-P0116-U01</x:v>
      </x:c>
      <x:c r="I21" s="38"/>
      <x:c r="J21" s="142" t="b">
        <x:v>0</x:v>
      </x:c>
    </x:row>
    <x:row r="22">
      <x:c r="A22" s="38" t="str">
        <x:v>DE-0021</x:v>
      </x:c>
      <x:c r="B22" s="38" t="str">
        <x:v>Banco Central de Reserva del Peru</x:v>
      </x:c>
      <x:c r="C22" s="38" t="str">
        <x:v>Retain the named authority's own CBDC decisions, explicit proposals, requirements, features, and executed findings. Exclude generic context, literature, foreign projects, and stakeholder views not explicitly adopted by the authority.</x:v>
      </x:c>
      <x:c r="D22" s="38" t="str">
        <x:v>16 CBDC: Promoting digital payments in Peru 
BOX 1 
SUMMARY OF “RETAIL PAYMENTS IN LATIN AMERICA AND THE CARIBBEAN: PRESENT 
AND FUTURE” (Alfonso et al., 2020) 
Retail payment services in LAC countries are characterized by high costs and insufficient access 
for large swathes of the population. To overcome these limitations, some of the major  LAC central 
banks have taken the lead in introducing fast retail payments and developing an open banking 
ecosystem. Several others have launched central bank digital currency pilots. This  shift towards  
digital payments is likely to receive further momentum from the Covid-19 pandemic. 
Relative to other regions, retail payment services in LAC continue to involve high costs for end-
users and be of subpar efficiency, partly reflecting low competition among financial institutions and 
limited compatibility among payment solutions. Along with low-income levels, high informality, and 
reduced financial literacy, high costs contribute to limiting access to electronic and digital payments 
for large swathes of the region’s population. 
However, central banks and other public authorities have recently launched important initiatives to 
improve national payment systems, which complement developments in the private sector. In 
recent years, the region has seen a sharp rise in the number of F intech firms offering more 
convenient ways to pay ; and Big Tech firms have begun to integrate payment services into their e-
commerce or social media platforms. However, private sector incentives are not always aligned 
with the need of expand payment services among all the segments of the population. 
Central banks are the ultimate source of trust in money and payments, and therefore play a key role 
in maintaining the safety and integrity of payment systems , as well as ensuring that private sector 
innovation is channeled towards improving competition, securing consumer protection, enhancing 
financial inclusion, and preserving financial stability.</x:v>
      </x:c>
      <x:c r="E22" s="146" t="str">
        <x:v>no</x:v>
      </x:c>
      <x:c r="F22" s="146" t="str">
        <x:v>high</x:v>
      </x:c>
      <x:c r="G22" s="146"/>
      <x:c r="H22" s="38" t="str">
        <x:v>PRD-0059-P0016-U01</x:v>
      </x:c>
      <x:c r="I22" s="38"/>
      <x:c r="J22" s="142" t="b">
        <x:v>0</x:v>
      </x:c>
    </x:row>
    <x:row r="23">
      <x:c r="A23" s="38" t="str">
        <x:v>DE-0022</x:v>
      </x:c>
      <x:c r="B23" s="38" t="str">
        <x:v>Norges Bank</x:v>
      </x:c>
      <x:c r="C23" s="38" t="str">
        <x:v>Retain the named authority's own CBDC decisions, explicit proposals, requirements, features, and executed findings. Exclude generic context, literature, foreign projects, and stakeholder views not explicitly adopted by the authority.</x:v>
      </x:c>
      <x:c r="D23" s="38" t="str">
        <x:v>32 
NORGES BANK MEMO 
NR 1 | 2018 
DIGITALE 
SENTRALBANKPENGER 
DSP til verdioppbevaringsformål 
Dersom det viktigste formålet med å etterspørre DSP er verdioppbevaring, vil det 
være et annet sett med momenter som er sentrale for mengden som vil bli etterspurt: 
- Om det er begrensninger i mengden av midler det er mulig å plassere. 
- Relativ avkastning på plasseringene.  
- Sikkerheten ved plasseringen – kredittrisiko (hvor innskuddssikring spiller 
inn) og operasjonell risiko/tyverifare. 
- Hvor enkelt og billig det er å flytte midler til og fra bankinnskudd. 
- Hvilke aktører som gis tilgang.  
- Hvilke andre offentlig utstedte verdipapirer/aktiva som finnes, som er likvide 
og enkelt kan benyttes til verdioppbevaring.</x:v>
      </x:c>
      <x:c r="E23" s="146"/>
      <x:c r="F23" s="146" t="str">
        <x:v>high</x:v>
      </x:c>
      <x:c r="G23" s="146" t="str">
        <x:v>NOT ASSESSABLE – NO TRANSLATION</x:v>
      </x:c>
      <x:c r="H23" s="38" t="str">
        <x:v>PRD-0053-P0032-U01</x:v>
      </x:c>
      <x:c r="I23" s="38"/>
      <x:c r="J23" s="142" t="b">
        <x:v>1</x:v>
      </x:c>
    </x:row>
    <x:row r="24">
      <x:c r="A24" s="38" t="str">
        <x:v>DE-0023</x:v>
      </x:c>
      <x:c r="B24" s="38" t="str">
        <x:v>State Bank of Pakistan</x:v>
      </x:c>
      <x:c r="C24" s="38" t="str">
        <x:v>This BIS-hosted source is not automatically an issuer decision. Retain only concrete CBDC positions or plans explicitly attributed to the State Bank of Pakistan.</x:v>
      </x:c>
      <x:c r="D24" s="38" t="str">
        <x:v>Page 10 of 13 
This brings me to the third theme of my speech, the topic of central bank digital 
currencies or CBDCs as they are popularly known.   
In simpler terms, and as Bank of International Settlements (BIS) aptly described 
in one of its papers, CBDCs are simply digital banknotes. They are central bank 
liabilities in digital form issued either directly to the general public or via 
intermediaries.  
As we all are aware that these CBDCs can be c lassified into two categories, 
wholesale and retail. In wholesale, a number of experiments have been 
conducted in the form of pilot projects primarily to understand the efficiencies 
that wholesale CBDCs will bring over conventional RTGS based digital money . 
Experiments of project Jasper by Bank of Canada and Project Stella by Bank of 
England have demonstrated that wholesale CBDC may not have substantial 
benefits over conventional RTGS (except reconciliations). There is also a 
challenge of complying with int ernational principles like Principles of Financial 
Market Infrastructure especially with regards to settlement finality. Another 
challenge is the integration of block chain -based systems with core banking 
systems of other participating banks and a number o f experiments are being 
conducted to determine the issues. Project Helvetia of Bank of International 
Settlement (BIS) innovations hub and Swiss National Bank is aimed at finding 
answers to these questions.  
On the retail side, a lot of work is being done a nd a number of countries have 
initiated pilot projects. The primary objective of these experiments and pilots 
seem to be aimed at more of understanding the role of CBDCs and their benefits 
at retail level especially digitization and financial inclusion.</x:v>
      </x:c>
      <x:c r="E24" s="146" t="str">
        <x:v>no</x:v>
      </x:c>
      <x:c r="F24" s="146" t="str">
        <x:v>high</x:v>
      </x:c>
      <x:c r="G24" s="146"/>
      <x:c r="H24" s="38" t="str">
        <x:v>PRD-0009-P0010-U01</x:v>
      </x:c>
      <x:c r="I24" s="38"/>
      <x:c r="J24" s="142" t="b">
        <x:v>0</x:v>
      </x:c>
    </x:row>
    <x:row r="25">
      <x:c r="A25" s="38" t="str">
        <x:v>DE-0024</x:v>
      </x:c>
      <x:c r="B25" s="38" t="str">
        <x:v>People's Bank of China (e-CNY)</x:v>
      </x:c>
      <x:c r="C25" s="38" t="str">
        <x:v>This is a BIS research source, not automatically a PBOC position. Retain only concrete e-CNY features or decisions explicitly attributed to the PBOC; exclude modelling, literature, and foreign CBDCs.</x:v>
      </x:c>
      <x:c r="D25" s="38" t="str">
        <x:v>BIS Papers No 123 175 
support a competitive and innovative payments landscape with digitalisation and a 
future-proof payments channel. 
Wholesale payments 
A wholesale CBDC can facilitat e access for multiple financial institutions to a large -
value payment system and support settlement for a digital financial market 
infrastructure. The potential benefits of this type of CBDC could include, but are not 
limited to: broader access to risk -free central bank money for large -value payments; 
supporting delivery-versus-payment and payment-versus-payment transactions; and 
enabling digitalisation of financial markets. 
Cross-border payments 
A cross-border CBDC could facilitate direct cross-border monetary relationships with 
other CBDC networks to be established under the supervision of central banks. The 
cross-border payments would aim to reduce risks and delays in cross -border 
transactions, disintermediate correspondent banking models, reduce costs an d 
enhance financial market integration. 
Motivations behind issuing CBDC 
There are many general driving factors that motivate central banks to issue a CBDC, 
including the following: 
Financial innovation: 
A CBDC is about financial innovation, with the introd uction of a new medium that 
serves as an enabler for a digital financial market. CBDC can be compared to the 
introduction of banknotes during the second half of the 19th century, aiming to bring 
new convenience to payments and responding to an evolving payments landscape to 
ensure central bank money will remain future-proof.
Access to central bank money:  
In some jurisdictions, a significant decrease in the use of cash can be observed amid 
an increasing digitalisation of payments, reducing households’ and businesses’ access 
to risk-free central bank money. By issuing a CBDC, the central bank is offering a 
medium, with direct claim on the central bank, that can be used in digital transactions, 
thereby enlarging the scope of a digital currency’s use. Additionally, a CBDC could be 
seen as a potential mechanism to provide an alternative and safe payment solution 
compared to the private money issued by non-bank issuers. 
Payment diversity:  
The diversification in payment methods implied by the adoption of a new me dium 
would enhance choice and competition in the payments sector. A ccess to CBDC for</x:v>
      </x:c>
      <x:c r="E25" s="146" t="str">
        <x:v>no</x:v>
      </x:c>
      <x:c r="F25" s="146" t="str">
        <x:v>high</x:v>
      </x:c>
      <x:c r="G25" s="146"/>
      <x:c r="H25" s="38" t="str">
        <x:v>PRD-0018-P0179-U01</x:v>
      </x:c>
      <x:c r="I25" s="38"/>
      <x:c r="J25" s="142" t="b">
        <x:v>0</x:v>
      </x:c>
    </x:row>
    <x:row r="26">
      <x:c r="A26" s="38" t="str">
        <x:v>DE-0025</x:v>
      </x:c>
      <x:c r="B26" s="38" t="str">
        <x:v>Bank of England and HM Treasury (digital pound)</x:v>
      </x:c>
      <x:c r="C26" s="38" t="str">
        <x:v>Retain the named authority's own CBDC decisions, explicit proposals, requirements, features, and executed findings. Exclude generic context, literature, foreign projects, and stakeholder views not explicitly adopted by the authority.</x:v>
      </x:c>
      <x:c r="D26" s="38" t="str">
        <x:v>Page 19 
3: Technology design considerations 
Figure 5: Overview of the TWP – Technology design considerations for a UK CBDC 
Technology design considerations are a useful way to organise and guide our work. 
In this section, we explore six technology design considerations which can help organise and 
guide our technology work. They will likely have significant impact on eventual CBDC design 
choices. While there are other technology considerations to be taken into account, the Bank 
considers that these six considerations are priorities and will provide a basis for testing 
architectures and solutions, and evaluating design trade-offs. These design considerations 
are: 
• Privacy 
• Security 
• Resilience 
• Performance 
• Extensibility  
• Energy usage</x:v>
      </x:c>
      <x:c r="E26" s="146" t="str">
        <x:v>no</x:v>
      </x:c>
      <x:c r="F26" s="146" t="str">
        <x:v>high</x:v>
      </x:c>
      <x:c r="G26" s="146"/>
      <x:c r="H26" s="38" t="str">
        <x:v>PRD-0076-P0020-U01</x:v>
      </x:c>
      <x:c r="I26" s="38"/>
      <x:c r="J26" s="142" t="b">
        <x:v>0</x:v>
      </x:c>
    </x:row>
    <x:row r="27">
      <x:c r="A27" s="38" t="str">
        <x:v>DE-0026</x:v>
      </x:c>
      <x:c r="B27" s="38" t="str">
        <x:v>People's Bank of China (e-CNY)</x:v>
      </x:c>
      <x:c r="C27" s="38" t="str">
        <x:v>This is a BIS research source, not automatically a PBOC position. Retain only concrete e-CNY features or decisions explicitly attributed to the PBOC; exclude modelling, literature, and foreign CBDCs.</x:v>
      </x:c>
      <x:c r="D27" s="38" t="str">
        <x:v>98 BIS Papers No 123 
The third objective is to encourage inclusion, innovation, and efficiency on 
an end -to-end basis. Considering the rapid growth of financial and payment 
instruments in Indonesia, CBDC must deliver added value to  businesses and 
consumers with new innovative ways to pay, which contribute to the development of 
faster, cheaper, more inclusive, convenient, and efficient payment solutions in support 
of dynamic trends and innovations. CBDC ecosystems should avoid reinforcing 
barriers to financial access for those excluded from or underserved by the existing 
financial system while  at the same time harnessing innovation to deliver a resilient 
and efficient payment landscape.  
Design choices for CBDC in Indonesia 
To achieve the objectives mentioned above, Indonesia’s CBDC should support 
both retail and large -value and financial marke t transactions . Therefore, B ank 
Indonesia will develop wCBDC to support large -value and financial market 
transactions, including monetary operation s and government transaction s, and 
rCBDC to support retail transactions in the digital era. 
A proper CBDC des ign is fundamental to ensure its objective s are met. 
Currently, Bank Indonesia is still researching and assessing the potential design of a 
CBDC which will be able to support Indonesia’s economy while minimising risks. CBDC 
should provide more convenience in digital transaction s without further disrupting 
the current payment system , such as fiat money, money held in accounts, digital 
banking, electronic money , and electronic wallet s. This consideration will affect the 
technology and architecture used in Indonesian CBDC. 
In 2022, Bank Indonesia will continue its exploration on CBDC by publishing 
a conceptual design for the digital rupiah to support the digital payment system 
and accelerate international cooperation on CBDC in the G20 forum . The CBDC 
issuance plan is designed to be integrated with existing infrastructure developments 
based on Indonesia’s  payment and financial system blueprint, including the 
foundation of end-to-end integration that has been built between  the financial and 
payment infrastructures. This will add complexity to the design and require stronger 
governance to ensure all of the objectives are met.</x:v>
      </x:c>
      <x:c r="E27" s="146" t="str">
        <x:v>no</x:v>
      </x:c>
      <x:c r="F27" s="146" t="str">
        <x:v>high</x:v>
      </x:c>
      <x:c r="G27" s="146"/>
      <x:c r="H27" s="38" t="str">
        <x:v>PRD-0018-P0102-U01</x:v>
      </x:c>
      <x:c r="I27" s="38"/>
      <x:c r="J27" s="142" t="b">
        <x:v>0</x:v>
      </x:c>
    </x:row>
    <x:row r="28">
      <x:c r="A28" s="38" t="str">
        <x:v>DE-0027</x:v>
      </x:c>
      <x:c r="B28" s="38" t="str">
        <x:v>Maldives Monetary Authority / Maldives CBDC policy study</x:v>
      </x:c>
      <x:c r="C28" s="38" t="str">
        <x:v>UN ESCAP study: retain only concrete recommendations, findings, or positions explicitly tied to the Maldives Monetary Authority or Maldives CBDC project. Exclude literature and foreign examples.</x:v>
      </x:c>
      <x:c r="D28" s="38" t="str">
        <x:v>66 
• ECB (covering France, Germany and Italy as well as smaller members) 
conducting a 24-month project on retail CBDC, which has issued various 
working papers looking at privacy as a significant issue. The overall view is 
that citizens are not enthusiastic, and risks seem to outweigh benefits so a 
potential launch would not happen in the short term. 
• France - Banque de France has its own experimental project on wholesale 
CBDC for domestic and cross-border, focussed on interbank transactions and 
has experimented with MAS and with the Swiss National Bank in 2021; ready 
to launch by 2023 but no plan to do so. 
• Germany and Italy do not have current major projects separate from ECB 
initiatives 
• UK – Bank of England conducted major studies and distributed consultation 
documents but there is little enthusiasm among politicians or the public; 
there are concerns about financial stability and the risk of BoE getting 
involved in controversies regarding anonymity and privacy; risks seem 
currently to outweigh benefits, so any potential launch would not happen in 
the short term.  
• Japan – cancelled its CBDC project citing lack of interest from the public – 
digital payment is already widely used in Japan and a new method did not 
elicit enthusiasm in consultations. 
• Canada - Project Jasper – conclusion is that privacy, security and universal 
access are significant issues and the possibility of launching a CBDC would 
require significant political will and public enthusiasm, which is currently 
lacking. 
• The flavour is that the major developed economies are looking at CBDCs only 
as a contingency measure, should the public and the world economy demand 
it in due course. Bank of Canada sums it up: “We are building the capability 
so we can be ready should the need arise” – much like MAS. 
China and India – the giants 
• China has been running a Pilot program for the digital Yuan or eCNY for 
several years in selected cities and claims that more than 140 million people 
(around 10% of the population) have opened digital wallets 
• Experimental use at the winter Olympics in Beijing was deemed a great 
success.  
• The wallets seem to work much like AliPay or WeChat Pay wallets and are 
thus readily useable by the public who are used to those systems - hence the 
retail eCNY is not a blockchain system. 
• The Chinese government is further ahead in digital currency research than 
any other major economy, but sees economic and political challenges to 
conducting a national roll-out - hence, after nearly a decade of development</x:v>
      </x:c>
      <x:c r="E28" s="146" t="str">
        <x:v>no</x:v>
      </x:c>
      <x:c r="F28" s="146" t="str">
        <x:v>high</x:v>
      </x:c>
      <x:c r="G28" s="146"/>
      <x:c r="H28" s="38" t="str">
        <x:v>PRD-0079-P0066-U01</x:v>
      </x:c>
      <x:c r="I28" s="38"/>
      <x:c r="J28" s="142" t="b">
        <x:v>0</x:v>
      </x:c>
    </x:row>
    <x:row r="29">
      <x:c r="A29" s="38" t="str">
        <x:v>DE-0028</x:v>
      </x:c>
      <x:c r="B29" s="38" t="str">
        <x:v>Bank of Canada</x:v>
      </x:c>
      <x:c r="C29" s="38" t="str">
        <x:v>Research or joint-project source: retain only executed own-project findings or concrete CBDC conclusions explicitly attributed to the named authority. Exclude author assumptions, literature, external examples, and unadopted proposals.</x:v>
      </x:c>
      <x:c r="D29" s="38" t="str">
        <x:v>15 
of helicopter money might be reduced if a significant fraction of CBDC were held by non-
residents. (The benchmark CBDC is anonymous and thus the central bank cannot target such 
actions toward residents only.) 
4.3  The banking system and financial stability 
It follows from the preceding discussion of the demand for CBDC that some displacement of 
bank deposits and other conventional savings instruments would be expected. However, since the 
benchmark CBDC does not pay interest, a significant shift to CBDC from conventional financial 
instruments seems unlikely. Also, like cash, the benchmark CBDC is subject to risk of theft and 
loss, which would also discourage significant holdings of CBDC, other things being equal.  
At the same time, if there were a material impact on deposits, for example, banks would respond 
by increasing interest rates on their liabilities or bundling superior services on such accounts 
relative to CBDC to maintain their funding. As a result, the steady-state impact of the benchmark 
CBDC on bank deposits and other claims would likely be small, but balances could shift (more 
readily) toward CBDC in stress periods, with attendant volatility and potentially significant 
disruptions of the financial system. This endogenous aspect is probably more important for 
interest-bearing CBDC, which is considered in section 5.4.  
4.4  Contestability and efficiency in payments 
Retail payments  
Fung and Halaburda (2016) argue that digital currency would benefit retail payment efficiency in 
two ways, which would also apply to the benchmark CBDC. First, CBDC would have lower user 
costs than cash, which could prompt substitution from cash to CBDC for retail and person-to-
person payments. However, relatively low-cost electronic person-to-person payment methods, 
such as Interac e-Transfer in Canada, already exist and consumers are increasingly making use of 
such payment methods.19  
Second, CBDC would facilitate transactions that are currently foregone because of frictions that 
inhibit some types of transactions. For example, some consumers avoid online purchases because 
of security and privacy concerns when providing their credit card information. The benchmark 
CBDC would facilitate such online transactions because it is anonymous, and because potential 
losses from fraud to the consumer would be limited to only the amount of the single, specific 
transaction. Also, smaller merchants often avoid selling online because of card fees, especially 
for small-value transactions; CBDC would facilitate small-value online transactions given a 
relatively low (or no) associated fees. (As noted in Table 1, the central bank charges no fees for 
CBDC.)   
As a result of these considerations, the benchmark CBDC would provide for some increased 
contestability with other electronic payment methods, possibly in terms of reduced costs, and, in 
particular, in terms of enhanced privacy. However, Fung and Halaburda (2016) also conclude 
19 Interac e-Transfer is a person-to-person payment scheme in Canada that allows a sender to initiate a funds transfer 
from the sender’s bank account to the receiver’s bank account by sending an email to the receiver. It is typically free 
to receive and increasingly becoming free to send. The use of e-Transfer has grown significantly in recent years: 
according to Interac, Canadians made 158 million e-Transfers worth $63 billion in 2016, an increase of over 40 per 
cent from 2015.</x:v>
      </x:c>
      <x:c r="E29" s="146" t="str">
        <x:v>no</x:v>
      </x:c>
      <x:c r="F29" s="146" t="str">
        <x:v>high</x:v>
      </x:c>
      <x:c r="G29" s="146"/>
      <x:c r="H29" s="38" t="str">
        <x:v>PRD-0013-P0019-U01</x:v>
      </x:c>
      <x:c r="I29" s="38"/>
      <x:c r="J29" s="142" t="b">
        <x:v>0</x:v>
      </x:c>
    </x:row>
    <x:row r="30">
      <x:c r="A30" s="38" t="str">
        <x:v>DE-0029</x:v>
      </x:c>
      <x:c r="B30" s="38" t="str">
        <x:v>Sveriges Riksbank</x:v>
      </x:c>
      <x:c r="C30" s="38" t="str">
        <x:v>Retain the named authority's own CBDC decisions, explicit proposals, requirements, features, and executed findings. Exclude generic context, literature, foreign projects, and stakeholder views not explicitly adopted by the authority.</x:v>
      </x:c>
      <x:c r="D30" s="38" t="str">
        <x:v>Safety, efficiency and accessibility 
39 
Many firms have difficulty estimating the cost of receiving payments 
Understanding the cost of payments is important for firms so that they can use their 
resources efficiently, boost profitability and increase competitiveness, which ulti-
mately benefits society as a whole. The Riksbank's survey shows that companies' per-
ceptions of the costs for receiving payments vary, but in particular many find it diffi-
cult to make an approximate assessment of the cost. Almost one in three firms could 
not estimate the approximate cost of receiving payments as a proportion of annual 
turnover. The fact that so many were unable to answer this question indicates that 
greater clarity is needed regarding the pricing of payment services to enable competi-
tion. More on the Riksbank's view of payment pricing can be found in Chapter 3.3.  
More competition among in-store payment methods is a good thing 
In Sweden, cards (debit and credit cards) have long been the most common means of 
payment among consumers. The card networks Visa and Mastercard have a dominant 
position in physical trade due to strong two-sided network effects which limit compe-
tition. The networks’ large user base among both buyers and sellers, and the fact that 
the cards are accepted worldwide, make it convenient for consumers and firms. At 
the same time, it will be difficult for smaller actors to enter the market. In recent 
years, however, new payment methods have started to challenge the dominance of 
the card networks. 
Swish has grown rapidly and in recent years has also established itself in physical com-
merce as a competitor to traditional card networks. Swish has been integrated into 
many POS systems and the company behind the service, GetSwish, has also started of-
fering a self-scanning service using the Swish app and QR codes. This is to simplify the 
payment process and reduce queuing times for users.  
In addition to Swish, open banking solutions can also play an important role in in-
creasing competition in the payments market. By allowing direct access to bank ac-
counts, open banking can reduce the number of intermediaries, which can lead to 
lower transaction costs and increased efficiency. Open banking payments with linked 
bank accounts are mainly used in e-commerce and for digital services, but there is po-
tential for these solutions to move into physical stores as well. Such developments 
can foster a more diverse and innovative payments market with greater competition, 
where both consumers and merchants have more choice, more convenient payment 
solutions and better conditions.</x:v>
      </x:c>
      <x:c r="E30" s="146" t="str">
        <x:v>no</x:v>
      </x:c>
      <x:c r="F30" s="146" t="str">
        <x:v>high</x:v>
      </x:c>
      <x:c r="G30" s="146"/>
      <x:c r="H30" s="38" t="str">
        <x:v>PRD-0102-P0039-U01</x:v>
      </x:c>
      <x:c r="I30" s="38"/>
      <x:c r="J30" s="142" t="b">
        <x:v>0</x:v>
      </x:c>
    </x:row>
    <x:row r="31">
      <x:c r="A31" s="38" t="str">
        <x:v>DE-0030</x:v>
      </x:c>
      <x:c r="B31" s="38" t="str">
        <x:v>Bank of Japan (CBDC pilot)</x:v>
      </x:c>
      <x:c r="C31" s="38" t="str">
        <x:v>Japanese source. Retain Bank of Japan own-pilot decisions and executed results; exclude workgroup purposes without results.</x:v>
      </x:c>
      <x:c r="D31" s="38" t="str">
        <x:v>25 
4 おわりに 
パイロット実験では、「実験用システムの構築と検証」と「 CBDC フォーラム」を
両輪とした多角的な検証と議論を行っている。 
今後は、CBDC フォーラムでの議論等を踏まえながら、実験用システムの構築に向
けた作業をさらに進めていく。また、CBDC フォーラムでは、電子マネー等との交換
等について検討するWG（仮称：他の決済手段との水平的共存WG）、基本的な機能の
事務フローや現金との交換について検討する WG（仮称：基本機能の事務フローWG）
の設置を想定している（前掲図表 ６参照）。基本的な機能の事務フローWG について
は、WG１における検討との連続性を意識しながら設置・運営する予定である。 
わが国で CBDC を導入するかどうかは、現時点では決定しておらず、今後の国民的
議論のなかで決まっていくものだが、日本銀行としては、議論の前提となるように、
CBDC に関する検討を引き続きしっかりと進めてまいりたい。 
以   上</x:v>
      </x:c>
      <x:c r="E31" s="146"/>
      <x:c r="F31" s="146" t="str">
        <x:v>high</x:v>
      </x:c>
      <x:c r="G31" s="146" t="str">
        <x:v>NOT ASSESSABLE – NO TRANSLATION</x:v>
      </x:c>
      <x:c r="H31" s="38" t="str">
        <x:v>PRD-0045-P0026-U01</x:v>
      </x:c>
      <x:c r="I31" s="38"/>
      <x:c r="J31" s="142" t="b">
        <x:v>1</x:v>
      </x:c>
    </x:row>
    <x:row r="32">
      <x:c r="A32" s="38" t="str">
        <x:v>DE-0031</x:v>
      </x:c>
      <x:c r="B32" s="38" t="str">
        <x:v>Banco Central de Bolivia (Boliviano Digital)</x:v>
      </x:c>
      <x:c r="C32" s="38" t="str">
        <x:v>Retain BCB project decisions, proposals, requirements, and findings; exclude headings and generic background.</x:v>
      </x:c>
      <x:c r="D32" s="38" t="str">
        <x:v>45
PRIMER INFORME DEL BOLIVIANO DIGITAL
De igual manera se prevé la difusión de los resultados obtenidos en el segundo informe, 
lo que permitirá compartir los principales hallazgos y recomendaciones del proceso 
de evaluación del Boliviano Digital. Con este propósito, se llevará a cabo una amplia 
socialización en universidades, escuelas, actores del sistema financiero y entidades del 
sector público, fomentando así el debate académico y técnico en torno al boliviano 
digital.
Superada esa etapa, se iniciará una fase exploratoria de desarrollo de prototipos 
funcionales en entornos controlados de prueba, que simulen operaciones de emisión, 
liquidación y compensación de activos digitales entre actores regulados. Esta etapa 
buscará evaluar la viabilidad técnica, la compatibilidad con infraestructuras existentes, 
la robustez del diseño, y la seguridad de las operaciones bajo condiciones específicas. 
No implicará circulación real de dinero, sino validación tecnológica y procedimental 
para identificar cuellos de botella o riesgos sistémicos.
Ruta Crítica de desarrollo investigativo del Boliviano Digital
•C on la información obtenida en las reuniones con 
los actores del sistema financiero y publico en 
general y los resultados de la encuesta se realizará 
un segundo documento de evaluación de una 
posible emisión del Boliviano Digital.
(Tercer trimestre 2026)
2. Reunión con actores 
relevantes para la 
implementación de una CBDC
•L anzamiento de la encuesta para los 
participantes de la CBDC.
•E sta encuesta permitirá ajustar el 
diseño del Boliviano Digital y mejorar 
los canales de educación financiera a 
implementar.
(Segundo trimestre 2026)
3. Realización de la encuesta 
nacional de percepción 
ciudadana a un grupo focal
5. Publicación y socialización 
del segundo documento del 
Boliviano Digital
•D ifusión de los resultados obtenidos en 
el segundo informe y socialización en: 
Universidades, Escuelas, Actores del 
Sistema Financiero y del sector público
(Cuarto trimestre 2026)
•R eunión con actores del sistema 
financiero y público en general, 
para identificar las necesidades 
que pueden ser satisfechas con 
el Boliviano Digital
(Primer trimestre 2026)
•S ocialización de la Moneda 
Digital de Banca Central: 
Universidades, Escuelas, 
Actores del Sistema Financiero 
y del sector público (Cuarto 
trimestre 2025)
1. Publicación y socialización 
del primer documento del 
Boliviano Digital
4. Elaboración del segundo 
documento y posible prueba 
piloto en base a resultados
2025
2026
Elaboración: BCB.</x:v>
      </x:c>
      <x:c r="E32" s="146"/>
      <x:c r="F32" s="146" t="str">
        <x:v>high</x:v>
      </x:c>
      <x:c r="G32" s="146" t="str">
        <x:v>NOT ASSESSABLE – NO TRANSLATION</x:v>
      </x:c>
      <x:c r="H32" s="38" t="str">
        <x:v>PRD-0010-P0057-U01</x:v>
      </x:c>
      <x:c r="I32" s="38"/>
      <x:c r="J32" s="142" t="b">
        <x:v>1</x:v>
      </x:c>
    </x:row>
    <x:row r="33">
      <x:c r="A33" s="38" t="str">
        <x:v>DE-0032</x:v>
      </x:c>
      <x:c r="B33" s="38" t="str">
        <x:v>Hong Kong Monetary Authority (e-HKD)</x:v>
      </x:c>
      <x:c r="C33" s="38" t="str">
        <x:v>Retain HKMA policy/design positions for e-HKD; exclude generic literature and open questions.</x:v>
      </x:c>
      <x:c r="D33" s="38" t="str">
        <x:v>6
e-HKD: A Policy and Design Perspective
2. Introduction
In 2017, the HKMA began researching CBDC (see Box 1 for details) under Project 
LionRock. Since then, it has been actively collaborating with the Bank of Thailand, the 
Digital Currency Institute of the People ’s Bank of China (PBoC), the Central Bank of 
the United Arab Emirates and the BIS Innovation Hub Hong Kong Centre to study the 
potential of wholesale CBDC for cross-border payments under Project Multiple CBDC 
Bridge (mBridge). The HKMA commenced Project e-HKD in June 2021 to study the 
feasibility of an rCBDC in Hong Kong, i.e. e-HKD (Figure 1). Subject to its functionalities 
and design features, e-HKD can pose both opportunities and challenges to the HKMA ’s 
main functions of maintaining currency stability, financial stability, and Hong Kong as an 
international financial centre (including the development of financial infrastructure). This 
paper discusses the abovementioned issues, noting that the HKMA has not yet made a 
decision on whether and when to introduce e-HKD.
2017
Project
LionRock
Project Aurum*
Project e-HKD
Aurum 
prototype*
&amp; initial policy 
stance
e-HKD 
technical 
whitepaper
Feedback 
received on 
technical 
whitepaper
e-HKD policy 
discussion 
paper
mid-2021 Oct 2021 Dec 2021
Apr 2022
later in 2022
Continuous wholesale CBDC efforts 
including Project Inthanon-LionRock 
and mBridge from 2017 to now *Together with BIS Innovation Hub Hong 
Kong Centre, the HKMA will share results with 
central banking community
Figure 1: The CBDC journey of the HKMA</x:v>
      </x:c>
      <x:c r="E33" s="146" t="str">
        <x:v>no</x:v>
      </x:c>
      <x:c r="F33" s="146" t="str">
        <x:v>high</x:v>
      </x:c>
      <x:c r="G33" s="146"/>
      <x:c r="H33" s="38" t="str">
        <x:v>PRD-0090-P0007-U01</x:v>
      </x:c>
      <x:c r="I33" s="38"/>
      <x:c r="J33" s="142" t="b">
        <x:v>0</x:v>
      </x:c>
    </x:row>
    <x:row r="34">
      <x:c r="A34" s="38" t="str">
        <x:v>DE-0033</x:v>
      </x:c>
      <x:c r="B34" s="38" t="str">
        <x:v>Bank of England and HM Treasury (digital pound)</x:v>
      </x:c>
      <x:c r="C34" s="38" t="str">
        <x:v>Retain the named authority's own CBDC decisions, explicit proposals, requirements, features, and executed findings. Exclude generic context, literature, foreign projects, and stakeholder views not explicitly adopted by the authority.</x:v>
      </x:c>
      <x:c r="D34" s="38" t="str">
        <x:v>Page 38 
Next steps  
During the design phase, the Bank will assess and then seek feedback on 
comprehensive resilience requirements for Bank-managed infrastructure. That will 
include analysis of the design prioritisation between system integrity and availability.  
The Bank plans to analyse the feasibility of, and the potential challenges in, attaining the 
potential resilience metrics for Bank-managed infrastructure. That will involve 
examination of ledger designs that support these resilience outcomes, as well as the 
optimisation of system availability in response to future user needs.  
Definition of resilience requirements for PIPs and ESIPs, and an evaluation of the 
associated impact on ecosystem business models is also likely to be required as part of 
the evaluations undertaken during the design phase. 
Considerations for how the Bank, PIPs, ESIPs and critical third parties in the CBDC 
ecosystem could minimise the likelihood of disruption, mitigate its impact and recover 
from a disruptive event will also be evaluated. This might include using a risk 
assessment framework to identify operational risks and disruption impacts, and the 
mitigants to protect against these.</x:v>
      </x:c>
      <x:c r="E34" s="146" t="str">
        <x:v>no</x:v>
      </x:c>
      <x:c r="F34" s="146" t="str">
        <x:v>high</x:v>
      </x:c>
      <x:c r="G34" s="146"/>
      <x:c r="H34" s="38" t="str">
        <x:v>PRD-0076-P0039-U01</x:v>
      </x:c>
      <x:c r="I34" s="38"/>
      <x:c r="J34" s="142" t="b">
        <x:v>0</x:v>
      </x:c>
    </x:row>
    <x:row r="35">
      <x:c r="A35" s="38" t="str">
        <x:v>DE-0034</x:v>
      </x:c>
      <x:c r="B35" s="38" t="str">
        <x:v>United States federal interagency CBDC technical evaluation</x:v>
      </x:c>
      <x:c r="C35" s="38" t="str">
        <x:v>This is a technical evaluation, not an issuance decision. Retain explicit US design objectives, requirements, or conclusions; exclude option inventories without an institutional position.</x:v>
      </x:c>
      <x:c r="D35" s="38" t="str">
        <x:v>       
TECHNICAL  EVALUATION  FOR  A  U.S.  CBDC  SYSTEM  43 
The sets of design choices defined below provide examples of varying levels of complexity. 
They are meant to represent the potential challenges that delivering a CBDC MVP with a 
particular set of expectations could present.  
Example Set #1: Minimally Complex 
One set of design choices for a CBDC MVP is minimally complex, which should provide for a 
faster development speed. This set of design choices could provide early access for retail 
consumers and involves low interoperability with other payment systems. This approach de-
prioritizes concepts like offline payments and privacy-enhancing features. These choices also 
lend themselves to simplicity of development, administration, and delivery. 
The minimum set of participants in this set of design choices could be retail consumers and 
intermediaries facilitating CBDC accounts. Under this approach, there could exist intermediaries, 
public or private, for the online intermediation of all retail CBDC customers.  
If the set of intermediaries were limited to those in the United States, existing Know Your 
Customer (KYC) infrastructure might be applied in a similar manner to the current system,
56 
which would likely reduce the technical challenges that need to be addressed and make it easier 
to achieve higher adoption in less time. 
Access to the system could be controlled by well-known identity-based and role-based access 
controls. It would be permissioned, and there would be little or no access tiering. Remediation 
could be done very simply because there would be a centralized settlement and transaction layer. 
There would be no offline transactions. Adjustments or fees could be administered in a 
straightforward fashion by system administrators. Privacy and oversight controls would be 
governed by whomever is appointed to administrate the system. 
Developing and launching a CBDC MVP with requirements that look like this set of design 
choices has relatively low complexity, compared to other sets of design choices. The tools and 
systems that would underpin a secure and functional system of this nature are more well-known 
and pose less complexity than those in the other example sets of design choices. A CBDC MVP 
with these design choices could be tested in a bounded context within a relatively short time 
frame and with relatively few resources.  
Estimating specific build timelines, especially with limited information about the product and 
team, is largely a futile exercise, both for this example set and the two that follow below. In 
support of a relatively fast timeline is that a small set of skills and expertise should be required 
under these requirements as all of the components are well known. Much would depend on 
clearing various non-technical hurdles in a timely manner. As examples: intermediaries would 
effectiveness of a CBDC system toward achieving the policy priorities. Without a specific use case, it would be 
harder to demonstrate the potential benefits and risks of adopting any novel financial instrument relative to existing 
or planned payment rails. Additionally, along with use cases and primary objectives, a CBDC MVP should 
incorporate a well-defined scope so that it may be evaluated safely. Assessing the effectiveness of a CBDC MVP 
while bounding the risk amongst a well-defined set of participants will provide a baseline for distinguishing a CBDC 
MVP from existing forms of currency. An appropriate boundary could be either geographically, socially, or 
technologically defined.  
56 There are other factors that could make this more or less challenging; for example, the ease of implementing a 
KYC infrastructure would depend, in part, on the intermediary or intermediaries chosen and the legal and regulatory 
constraints.</x:v>
      </x:c>
      <x:c r="E35" s="146" t="str">
        <x:v>no</x:v>
      </x:c>
      <x:c r="F35" s="146" t="str">
        <x:v>high</x:v>
      </x:c>
      <x:c r="G35" s="146"/>
      <x:c r="H35" s="38" t="str">
        <x:v>PRD-0082-P0043-U01</x:v>
      </x:c>
      <x:c r="I35" s="38"/>
      <x:c r="J35" s="142" t="b">
        <x:v>0</x:v>
      </x:c>
    </x:row>
    <x:row r="36">
      <x:c r="A36" s="38" t="str">
        <x:v>DE-0035</x:v>
      </x:c>
      <x:c r="B36" s="38" t="str">
        <x:v>State Bank of Pakistan</x:v>
      </x:c>
      <x:c r="C36" s="38" t="str">
        <x:v>This BIS-hosted source is not automatically an issuer decision. Retain only concrete CBDC positions or plans explicitly attributed to the State Bank of Pakistan.</x:v>
      </x:c>
      <x:c r="D36" s="38" t="str">
        <x:v>Page 2 of 13 
special relationship are as follows: one of the first governors of the S audi 
Monetary Authority was Mr. Anwar Ali a Pakistani; the road that I take to work 
every day in Karachi is called Shahrah -e-Faisal. The largest mosque in Pakistan 
is the Faisal Mosque. And the list goes on. So today as a Pakistani I also bring to 
you the good wishes and prayers of the people of Pakistan.  
In my remarks I’ll cover three points:  
 First, I would like to dwell upon the rapid transformation we are witnessing 
today from cash to digital. The history of money is one where innovation 
has occurred in sudden bursts. We are in one such burst today. I will speak 
about how this transformation from cash to digital is manifesting itself in 
Pakistan. The State Bank of Pakistan in recent history has not witnessed the 
pace of work on digital payments in decad es as we are experiencing now.  
 My second main point will be that while promoting digital payments is a key 
goal of the State Bank this is not the same as promoting crypto currencies. 
Over the past months we have carefully looked at the private digital 
currencies and we have come to the view that, based on what is on offer 
now, such virtual currencies have more risks than benefits when evaluated 
against our objectives as a central bank and regulator of the payment and 
financial system. I will share how we have reached this stage in our thinking. 
 Finally, my third point will be that the work underway in many countries and 
international institutions on Central Bank Digital Currencies (CBDCs) is 
welcome. This work should not be driven just by the desire to offe r an 
alternative to private digital currencies or out of the fear of them. Instead, 
this work should be evaluated from the perspective of how CBDCs can 
contribute to each regulator’s agenda—in our case, it is to preserve stability</x:v>
      </x:c>
      <x:c r="E36" s="146" t="str">
        <x:v>no</x:v>
      </x:c>
      <x:c r="F36" s="146" t="str">
        <x:v>high</x:v>
      </x:c>
      <x:c r="G36" s="146"/>
      <x:c r="H36" s="38" t="str">
        <x:v>PRD-0009-P0002-U01</x:v>
      </x:c>
      <x:c r="I36" s="38"/>
      <x:c r="J36" s="142" t="b">
        <x:v>0</x:v>
      </x:c>
    </x:row>
    <x:row r="37">
      <x:c r="A37" s="39" t="str">
        <x:v>DE-0036</x:v>
      </x:c>
      <x:c r="B37" s="39" t="str">
        <x:v>Board of Governors of the Federal Reserve System (potential US CBDC)</x:v>
      </x:c>
      <x:c r="C37" s="39" t="str">
        <x:v>Discussion paper, not an issuance decision. Retain explicit Federal Reserve positions, prerequisites, design preferences, or stated risks for a potential US CBDC. Exclude questions, option inventories, literature, and stakeholder views.</x:v>
      </x:c>
      <x:c r="D37" s="39" t="str">
        <x:v>hold. As of December 2021, there was around $16.41 trillion in bank credit outstanding, reflectingloans and other credit provided to households, businesses, and governments.40Today, the safety of commercial bank money is supported by federal deposit insurance (subject tocertain limits), a system of prudential regulation and supervision, and access to liquidity from theFederal Reserve.41Under this regime, commercial bank money is sufficiently safe that the generalpublic can transact in commercial bank money with confidence that a dollar of bank deposits iseasily exchangeable for a dollar of physical currency or a dollar of deposits at another bank. Thishas not always been the case. In the early nineteenth century, the principal form of commercialbank money was the banknote—paper money issued by a particular bank rather than thegovernment—rather than deposit balances, and banknotes were often treated very differentlydepending on the issuing bank.42Nonbank MoneySome nonbank financial service providers also issue liabilities that can be considered money.43These providers often hold balances on behalf of consumers or businesses and effect transfers ofthose balances on their own books for users that have signed up for their services.44Money market mutual fund (MMF) shares can be viewed as another form of nonbank money.45MMF shares are issued by nonbanks, and some MMFs, particularly those offered to businessesand institutions, offer immediate liquidity through the sale of shares, fostering their use as money.MMF shares can also serve as a store of value, and frequently are designed to offer investors astable share price.46
40Seasonally adjusted amounts. This figure does not include credit unions or other thrifts. Board of Governors of the Fed-eral Reserve System, Assets and Liabilities of Commercial Banks in the United States—H.8,January 14, 2022, https://www.federalreserve.gov/releases/h8/current/.41The Federal Reserve shares supervisory and regulatory responsibility for domestic banks with the Office of the Comp-troller of the Currency and the Federal Deposit Insurance Corporation at the federal level, and with individual statebanking departments at the state level. Additionally, the National Credit Union Administration oversees federal creditunions, which provide similar if more limited services as banks. The FDIC insures deposits in federally insured banks upto $250,000 per depositor, per insured bank, for each account ownership category for every FDIC-insured bank.42See Gary Gorton, “Reputation Formation in Early Bank Note Markets,” Journal of Political Economy104.2: 346–97, 1996and Gary Gorton, “Pricing Free Bank Notes,” Journal of Monetary Economics44.1: 33–64, 1999.43Nonbank financial service providers are broadly defined as institutions other than banks that offer financial services.See Bank for International Settlements, Committee on Payments and Market Infrastructures, Non-Banks in Retail Pay-ments(Basel: BIS, September 2014), https://www.bis.org/cpmi/publ/d118.pdf for more information on nonbanks.44A variety of mechanisms are used by nonbanks to offer payment services, many of which do not involve issuing liabili-ties. Some nonbank service providers provide user interfaces as an overlay for the customer’s deposit relationship withthe bank. These types of arrangements would be considered “commercial bank money.” Such balances may vary interms, conditions, and protections.45An MMF is a kind of mutual fund that invests in highly liquid, near-term instruments. It is intended to offer investors highliquidity with low risk.46MMFs are registered with and regulated by the Securities and Exchange Commission under the Investment Company Actof 1940. For discussion of recent MMF market events and regulatory reforms, see President’s Working Group on Finan-cial Markets, “Overview of Recent Events and Potential Reform Options for Money Market Funds,” December 2020,https://home.treasury.gov/system/files/136/PWG-MMF-report-final-Dec-2020.pdf.
26Money and Payments: The U.S. Dollar in the Age of Digital Transformation</x:v>
      </x:c>
      <x:c r="E37" s="148" t="str">
        <x:v>no</x:v>
      </x:c>
      <x:c r="F37" s="148" t="str">
        <x:v>high</x:v>
      </x:c>
      <x:c r="G37" s="148"/>
      <x:c r="H37" s="39" t="str">
        <x:v>PRD-0080-P0030-U01</x:v>
      </x:c>
      <x:c r="I37" s="39"/>
      <x:c r="J37" s="143" t="b">
        <x:v>0</x:v>
      </x:c>
    </x:row>
  </x:sheetData>
  <x:pageMargins left="0.7" right="0.7" top="0.75" bottom="0.75" header="0.3" footer="0.3"/>
  <x:tableParts count="1">
    <x:tablePart xmlns:r="http://schemas.openxmlformats.org/officeDocument/2006/relationships" r:id="R4c43f9ef685c436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5" hidden="0" customWidth="1"/>
    <x:col min="4" max="4" width="55" hidden="0" customWidth="1"/>
    <x:col min="5" max="5" width="55"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s>
  <x:sheetData>
    <x:row r="1">
      <x:c r="A1" s="29" t="str">
        <x:v>Empty case</x:v>
      </x:c>
      <x:c r="B1" s="29" t="str">
        <x:v>Unit ID</x:v>
      </x:c>
      <x:c r="C1" s="29" t="str">
        <x:v>Slot</x:v>
      </x:c>
      <x:c r="D1" s="29" t="str">
        <x:v>Exact span</x:v>
      </x:c>
      <x:c r="E1" s="29" t="str">
        <x:v>English quote</x:v>
      </x:c>
      <x:c r="F1" s="29" t="str">
        <x:v>Final code</x:v>
      </x:c>
      <x:c r="G1" s="29" t="str">
        <x:v>ODR</x:v>
      </x:c>
      <x:c r="H1" s="29" t="str">
        <x:v>Privacy direction</x:v>
      </x:c>
      <x:c r="I1" s="29" t="str">
        <x:v>Privacy relation</x:v>
      </x:c>
      <x:c r="J1" s="29" t="str">
        <x:v>Strength</x:v>
      </x:c>
      <x:c r="K1" s="29" t="str">
        <x:v>Notes</x:v>
      </x:c>
      <x:c r="L1" s="29" t="str">
        <x:v>Reviewer initials</x:v>
      </x:c>
      <x:c r="M1" s="29" t="str">
        <x:v>QC status</x:v>
      </x:c>
    </x:row>
    <x:row r="2">
      <x:c r="A2" s="37" t="str">
        <x:v>DE-0009</x:v>
      </x:c>
      <x:c r="B2" s="37" t="str">
        <x:v>PRD-0013-P0022-U01</x:v>
      </x:c>
      <x:c r="C2" s="37" t="n">
        <x:v>1</x:v>
      </x:c>
      <x:c r="D2" s="37" t="str">
        <x:v>5.2  I-CBDC and central bank seigniorage  
Paying interest on I-CBDC would directly reduce seigniorage in proportion to the level of 
interest rates. At the same time, paying interest would increase the demand for CBDC, especially 
relative to bank notes, while the erosion of anonymity (discussed above) would tend to reduce 
demand for I-CBDC relative to bank notes. Whether a sustained shift from commercial bank 
deposits and other conventional claims to I-CBDC would occur—and so benefit seign iorage—
depends largely on how financial institutions respond to the existence of I-CBDC, which is 
considered in section 5.4.25  </x:v>
      </x:c>
      <x:c r="E2" s="37"/>
      <x:c r="F2" s="37" t="str">
        <x:v>PROG.remuneration_considered</x:v>
      </x:c>
      <x:c r="G2" s="37" t="str">
        <x:v>finding</x:v>
      </x:c>
      <x:c r="H2" s="37" t="str">
        <x:v>neutral</x:v>
      </x:c>
      <x:c r="I2" s="37" t="str">
        <x:v>not_applicable</x:v>
      </x:c>
      <x:c r="J2" s="37" t="n">
        <x:v>3</x:v>
      </x:c>
      <x:c r="K2" s="37"/>
      <x:c r="L2" s="37"/>
      <x:c r="M2" s="37" t="str">
        <x:v>SET_INITIALS</x:v>
      </x:c>
    </x:row>
    <x:row r="3">
      <x:c r="A3" s="39" t="str">
        <x:v>DE-0009</x:v>
      </x:c>
      <x:c r="B3" s="39" t="str">
        <x:v>PRD-0013-P0022-U01</x:v>
      </x:c>
      <x:c r="C3" s="39" t="n">
        <x:v>2</x:v>
      </x:c>
      <x:c r="D3" s="39" t="str">
        <x:v>Canada) would be required to provide information about the identity of the recipient of interest 
income to tax authorities. The central bank would also be required to withhold tax on interest 
income credited to non-resident holders of I-CBDC.22 As a result, anonymity— one of the main 
attractions of bank notes—would not be fully possible with I -CBDC.23 </x:v>
      </x:c>
      <x:c r="E3" s="39"/>
      <x:c r="F3" s="39" t="str">
        <x:v>PRIV.CB.visibility.transparent</x:v>
      </x:c>
      <x:c r="G3" s="39" t="str">
        <x:v>finding</x:v>
      </x:c>
      <x:c r="H3" s="39" t="str">
        <x:v>decreases</x:v>
      </x:c>
      <x:c r="I3" s="39" t="str">
        <x:v>from_state</x:v>
      </x:c>
      <x:c r="J3" s="39" t="n">
        <x:v>2</x:v>
      </x:c>
      <x:c r="K3" s="39"/>
      <x:c r="L3" s="39"/>
      <x:c r="M3" s="39" t="str">
        <x:v>SET_INITIALS</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48" hidden="0" customWidth="1"/>
    <x:col min="3" max="3" width="48" hidden="0" customWidth="1"/>
    <x:col min="4" max="4" width="18" hidden="0" customWidth="1"/>
  </x:cols>
  <x:sheetData>
    <x:row r="1" ht="26" customHeight="1">
      <x:c r="A1" s="4" t="str">
        <x:v>Audit rules and interpretation boundary</x:v>
      </x:c>
      <x:c r="B1" s="4" t="str">
        <x:v>Audit rules and interpretation boundary</x:v>
      </x:c>
      <x:c r="C1" s="4" t="str">
        <x:v>Audit rules and interpretation boundary</x:v>
      </x:c>
      <x:c r="D1" s="4" t="str">
        <x:v>Audit rules and interpretation boundary</x:v>
      </x:c>
    </x:row>
    <x:row r="3">
      <x:c r="A3" s="29" t="str">
        <x:v>Rule</x:v>
      </x:c>
      <x:c r="B3" s="29" t="str">
        <x:v>Implementation</x:v>
      </x:c>
      <x:c r="C3" s="29" t="str">
        <x:v>Reason</x:v>
      </x:c>
      <x:c r="D3" s="29" t="str">
        <x:v>Status</x:v>
      </x:c>
    </x:row>
    <x:row r="4">
      <x:c r="A4" s="37" t="str">
        <x:v>Confidence</x:v>
      </x:c>
      <x:c r="B4" s="37" t="str">
        <x:v>high for every candidate and dual-empty judgment</x:v>
      </x:c>
      <x:c r="C4" s="37" t="str">
        <x:v>Explicit author instruction</x:v>
      </x:c>
      <x:c r="D4" s="37" t="str">
        <x:v>Applied</x:v>
      </x:c>
    </x:row>
    <x:row r="5">
      <x:c r="A5" s="38" t="str">
        <x:v>Exclusion reason</x:v>
      </x:c>
      <x:c r="B5" s="38" t="str">
        <x:v>Not analyzed; blank values retained</x:v>
      </x:c>
      <x:c r="C5" s="38" t="str">
        <x:v>Explicit author instruction</x:v>
      </x:c>
      <x:c r="D5" s="38" t="str">
        <x:v>Applied</x:v>
      </x:c>
    </x:row>
    <x:row r="6">
      <x:c r="A6" s="38" t="str">
        <x:v>Foreign language</x:v>
      </x:c>
      <x:c r="B6" s="38" t="str">
        <x:v>SV-0250 and five dual-empty units excluded</x:v>
      </x:c>
      <x:c r="C6" s="38" t="str">
        <x:v>No reliable translation</x:v>
      </x:c>
      <x:c r="D6" s="38" t="str">
        <x:v>Applied</x:v>
      </x:c>
    </x:row>
    <x:row r="7">
      <x:c r="A7" s="38" t="str">
        <x:v>Candidate estimand</x:v>
      </x:c>
      <x:c r="B7" s="38" t="str">
        <x:v>Inverse-probability-weighted keep rate</x:v>
      </x:c>
      <x:c r="C7" s="38" t="str">
        <x:v>Frozen probability sample</x:v>
      </x:c>
      <x:c r="D7" s="38" t="str">
        <x:v>Computed by reviewer</x:v>
      </x:c>
    </x:row>
    <x:row r="8">
      <x:c r="A8" s="38" t="str">
        <x:v>Midpoint</x:v>
      </x:c>
      <x:c r="B8" s="38" t="str">
        <x:v>Mean of two binary ratings</x:v>
      </x:c>
      <x:c r="C8" s="38" t="str">
        <x:v>Descriptive only; not consensus</x:v>
      </x:c>
      <x:c r="D8" s="38" t="str">
        <x:v>Computed</x:v>
      </x:c>
    </x:row>
    <x:row r="9">
      <x:c r="A9" s="38" t="str">
        <x:v>Bounds</x:v>
      </x:c>
      <x:c r="B9" s="38" t="str">
        <x:v>All disagreements exclude / all disagreements keep</x:v>
      </x:c>
      <x:c r="C9" s="38" t="str">
        <x:v>Shows unresolved adjudication range</x:v>
      </x:c>
      <x:c r="D9" s="38" t="str">
        <x:v>Computed</x:v>
      </x:c>
    </x:row>
    <x:row r="10">
      <x:c r="A10" s="38" t="str">
        <x:v>Intercoder</x:v>
      </x:c>
      <x:c r="B10" s="38" t="str">
        <x:v>Raw/IPW agreement, Krippendorff alpha, Gwet AC1</x:v>
      </x:c>
      <x:c r="C10" s="38" t="str">
        <x:v>Frozen protocol</x:v>
      </x:c>
      <x:c r="D10" s="38" t="str">
        <x:v>Computed</x:v>
      </x:c>
    </x:row>
    <x:row r="11">
      <x:c r="A11" s="38" t="str">
        <x:v>Dual-empty</x:v>
      </x:c>
      <x:c r="B11" s="38" t="str">
        <x:v>Joint audit, 31 analyzable of 36</x:v>
      </x:c>
      <x:c r="C11" s="38" t="str">
        <x:v>Five untranslated units excluded</x:v>
      </x:c>
      <x:c r="D11" s="38" t="str">
        <x:v>Computed</x:v>
      </x:c>
    </x:row>
    <x:row r="12">
      <x:c r="A12" s="38" t="str">
        <x:v>AI tiebreak</x:v>
      </x:c>
      <x:c r="B12" s="38" t="str">
        <x:v>Prohibited</x:v>
      </x:c>
      <x:c r="C12" s="38" t="str">
        <x:v>Would contaminate human validation</x:v>
      </x:c>
      <x:c r="D12" s="38" t="str">
        <x:v>Not used</x:v>
      </x:c>
    </x:row>
    <x:row r="13">
      <x:c r="A13" s="39" t="str">
        <x:v>Publication status</x:v>
      </x:c>
      <x:c r="B13" s="39" t="str">
        <x:v>Independent blind coding complete; consensus adjudication remains open</x:v>
      </x:c>
      <x:c r="C13" s="39" t="str">
        <x:v>136 inclusion disagreements and 319 queued cases</x:v>
      </x:c>
      <x:c r="D13" s="39" t="str">
        <x:v>Pre-adjudication release</x:v>
      </x:c>
    </x:row>
  </x:sheetData>
  <x:mergeCells>
    <x:mergeCell ref="A1:D1"/>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6" hidden="0" customWidth="1"/>
    <x:col min="2" max="2" width="26" hidden="0" customWidth="1"/>
    <x:col min="3" max="3" width="26" hidden="0" customWidth="1"/>
    <x:col min="4" max="4" width="26" hidden="0" customWidth="1"/>
    <x:col min="5" max="5" width="26" hidden="0" customWidth="1"/>
    <x:col min="6" max="6" width="26" hidden="0" customWidth="1"/>
  </x:cols>
  <x:sheetData>
    <x:row r="1">
      <x:c r="A1" s="29" t="str">
        <x:v>Decision</x:v>
      </x:c>
      <x:c r="B1" s="29" t="str">
        <x:v>Code</x:v>
      </x:c>
      <x:c r="C1" s="29" t="str">
        <x:v>ODR</x:v>
      </x:c>
      <x:c r="D1" s="29" t="str">
        <x:v>Privacy direction</x:v>
      </x:c>
      <x:c r="E1" s="29" t="str">
        <x:v>Privacy relation</x:v>
      </x:c>
      <x:c r="F1" s="29" t="str">
        <x:v>Strength</x:v>
      </x:c>
    </x:row>
    <x:row r="2">
      <x:c r="A2" s="45" t="str">
        <x:v>keep</x:v>
      </x:c>
      <x:c r="B2" s="45" t="str">
        <x:v>ACCESS.universal</x:v>
      </x:c>
      <x:c r="C2" s="45" t="str">
        <x:v>decision</x:v>
      </x:c>
      <x:c r="D2" s="45" t="str">
        <x:v>increases</x:v>
      </x:c>
      <x:c r="E2" s="45" t="str">
        <x:v>from_state</x:v>
      </x:c>
      <x:c r="F2" s="45" t="n">
        <x:v>1</x:v>
      </x:c>
    </x:row>
    <x:row r="3">
      <x:c r="A3" s="46" t="str">
        <x:v>exclude</x:v>
      </x:c>
      <x:c r="B3" s="46" t="str">
        <x:v>ADOPT.experience</x:v>
      </x:c>
      <x:c r="C3" s="46" t="str">
        <x:v>proposal</x:v>
      </x:c>
      <x:c r="D3" s="46" t="str">
        <x:v>decreases</x:v>
      </x:c>
      <x:c r="E3" s="46" t="str">
        <x:v>from_intermediary</x:v>
      </x:c>
      <x:c r="F3" s="46" t="n">
        <x:v>2</x:v>
      </x:c>
    </x:row>
    <x:row r="4">
      <x:c r="A4" s="46"/>
      <x:c r="B4" s="46" t="str">
        <x:v>AML.FATF</x:v>
      </x:c>
      <x:c r="C4" s="46" t="str">
        <x:v>finding</x:v>
      </x:c>
      <x:c r="D4" s="46" t="str">
        <x:v>conditional</x:v>
      </x:c>
      <x:c r="E4" s="46" t="str">
        <x:v>from_counterparty</x:v>
      </x:c>
      <x:c r="F4" s="46" t="n">
        <x:v>3</x:v>
      </x:c>
    </x:row>
    <x:row r="5">
      <x:c r="A5" s="46"/>
      <x:c r="B5" s="46" t="str">
        <x:v>AML.LIMIT</x:v>
      </x:c>
      <x:c r="C5" s="46"/>
      <x:c r="D5" s="46" t="str">
        <x:v>neutral</x:v>
      </x:c>
      <x:c r="E5" s="46" t="str">
        <x:v>not_applicable</x:v>
      </x:c>
      <x:c r="F5" s="46"/>
    </x:row>
    <x:row r="6">
      <x:c r="A6" s="46"/>
      <x:c r="B6" s="46" t="str">
        <x:v>AML.MON</x:v>
      </x:c>
      <x:c r="C6" s="46"/>
      <x:c r="D6" s="46"/>
      <x:c r="E6" s="46"/>
      <x:c r="F6" s="46"/>
    </x:row>
    <x:row r="7">
      <x:c r="A7" s="46"/>
      <x:c r="B7" s="46" t="str">
        <x:v>CASH.relation</x:v>
      </x:c>
      <x:c r="C7" s="46"/>
      <x:c r="D7" s="46"/>
      <x:c r="E7" s="46"/>
      <x:c r="F7" s="46"/>
    </x:row>
    <x:row r="8">
      <x:c r="A8" s="46"/>
      <x:c r="B8" s="46" t="str">
        <x:v>INST.mandate</x:v>
      </x:c>
      <x:c r="C8" s="46"/>
      <x:c r="D8" s="46"/>
      <x:c r="E8" s="46"/>
      <x:c r="F8" s="46"/>
    </x:row>
    <x:row r="9">
      <x:c r="A9" s="46"/>
      <x:c r="B9" s="46" t="str">
        <x:v>INTEROP.crossborder</x:v>
      </x:c>
      <x:c r="C9" s="46"/>
      <x:c r="D9" s="46"/>
      <x:c r="E9" s="46"/>
      <x:c r="F9" s="46"/>
    </x:row>
    <x:row r="10">
      <x:c r="A10" s="46"/>
      <x:c r="B10" s="46" t="str">
        <x:v>INTEROP.domestic</x:v>
      </x:c>
      <x:c r="C10" s="46"/>
      <x:c r="D10" s="46"/>
      <x:c r="E10" s="46"/>
      <x:c r="F10" s="46"/>
    </x:row>
    <x:row r="11">
      <x:c r="A11" s="46"/>
      <x:c r="B11" s="46" t="str">
        <x:v>KYC.IDV</x:v>
      </x:c>
      <x:c r="C11" s="46"/>
      <x:c r="D11" s="46"/>
      <x:c r="E11" s="46"/>
      <x:c r="F11" s="46"/>
    </x:row>
    <x:row r="12">
      <x:c r="A12" s="46"/>
      <x:c r="B12" s="46" t="str">
        <x:v>KYC.INTERMED</x:v>
      </x:c>
      <x:c r="C12" s="46"/>
      <x:c r="D12" s="46"/>
      <x:c r="E12" s="46"/>
      <x:c r="F12" s="46"/>
    </x:row>
    <x:row r="13">
      <x:c r="A13" s="46"/>
      <x:c r="B13" s="46" t="str">
        <x:v>KYC.TIER</x:v>
      </x:c>
      <x:c r="C13" s="46"/>
      <x:c r="D13" s="46"/>
      <x:c r="E13" s="46"/>
      <x:c r="F13" s="46"/>
    </x:row>
    <x:row r="14">
      <x:c r="A14" s="46"/>
      <x:c r="B14" s="46" t="str">
        <x:v>LEGAL.basis</x:v>
      </x:c>
      <x:c r="C14" s="46"/>
      <x:c r="D14" s="46"/>
      <x:c r="E14" s="46"/>
      <x:c r="F14" s="46"/>
    </x:row>
    <x:row r="15">
      <x:c r="A15" s="46"/>
      <x:c r="B15" s="46" t="str">
        <x:v>OPS.resilience</x:v>
      </x:c>
      <x:c r="C15" s="46"/>
      <x:c r="D15" s="46"/>
      <x:c r="E15" s="46"/>
      <x:c r="F15" s="46"/>
    </x:row>
    <x:row r="16">
      <x:c r="A16" s="46"/>
      <x:c r="B16" s="46" t="str">
        <x:v>OTHER.keep</x:v>
      </x:c>
      <x:c r="C16" s="46"/>
      <x:c r="D16" s="46"/>
      <x:c r="E16" s="46"/>
      <x:c r="F16" s="46"/>
    </x:row>
    <x:row r="17">
      <x:c r="A17" s="46"/>
      <x:c r="B17" s="46" t="str">
        <x:v>PRIV.ANON</x:v>
      </x:c>
      <x:c r="C17" s="46"/>
      <x:c r="D17" s="46"/>
      <x:c r="E17" s="46"/>
      <x:c r="F17" s="46"/>
    </x:row>
    <x:row r="18">
      <x:c r="A18" s="46"/>
      <x:c r="B18" s="46" t="str">
        <x:v>PRIV.BAL</x:v>
      </x:c>
      <x:c r="C18" s="46"/>
      <x:c r="D18" s="46"/>
      <x:c r="E18" s="46"/>
      <x:c r="F18" s="46"/>
    </x:row>
    <x:row r="19">
      <x:c r="A19" s="46"/>
      <x:c r="B19" s="46" t="str">
        <x:v>PRIV.CB.visibility.opaque</x:v>
      </x:c>
      <x:c r="C19" s="46"/>
      <x:c r="D19" s="46"/>
      <x:c r="E19" s="46"/>
      <x:c r="F19" s="46"/>
    </x:row>
    <x:row r="20">
      <x:c r="A20" s="46"/>
      <x:c r="B20" s="46" t="str">
        <x:v>PRIV.CB.visibility.transparent</x:v>
      </x:c>
      <x:c r="C20" s="46"/>
      <x:c r="D20" s="46"/>
      <x:c r="E20" s="46"/>
      <x:c r="F20" s="46"/>
    </x:row>
    <x:row r="21">
      <x:c r="A21" s="46"/>
      <x:c r="B21" s="46" t="str">
        <x:v>PRIV.MIN</x:v>
      </x:c>
      <x:c r="C21" s="46"/>
      <x:c r="D21" s="46"/>
      <x:c r="E21" s="46"/>
      <x:c r="F21" s="46"/>
    </x:row>
    <x:row r="22">
      <x:c r="A22" s="46"/>
      <x:c r="B22" s="46" t="str">
        <x:v>PRIV.PET</x:v>
      </x:c>
      <x:c r="C22" s="46"/>
      <x:c r="D22" s="46"/>
      <x:c r="E22" s="46"/>
      <x:c r="F22" s="46"/>
    </x:row>
    <x:row r="23">
      <x:c r="A23" s="46"/>
      <x:c r="B23" s="46" t="str">
        <x:v>PROC.pilot_learning</x:v>
      </x:c>
      <x:c r="C23" s="46"/>
      <x:c r="D23" s="46"/>
      <x:c r="E23" s="46"/>
      <x:c r="F23" s="46"/>
    </x:row>
    <x:row r="24">
      <x:c r="A24" s="46"/>
      <x:c r="B24" s="46" t="str">
        <x:v>PROG.generic</x:v>
      </x:c>
      <x:c r="C24" s="46"/>
      <x:c r="D24" s="46"/>
      <x:c r="E24" s="46"/>
      <x:c r="F24" s="46"/>
    </x:row>
    <x:row r="25">
      <x:c r="A25" s="46"/>
      <x:c r="B25" s="46" t="str">
        <x:v>PROG.remuneration_considered</x:v>
      </x:c>
      <x:c r="C25" s="46"/>
      <x:c r="D25" s="46"/>
      <x:c r="E25" s="46"/>
      <x:c r="F25" s="46"/>
    </x:row>
    <x:row r="26">
      <x:c r="A26" s="46"/>
      <x:c r="B26" s="46" t="str">
        <x:v>PROG.remuneration_no</x:v>
      </x:c>
      <x:c r="C26" s="46"/>
      <x:c r="D26" s="46"/>
      <x:c r="E26" s="46"/>
      <x:c r="F26" s="46"/>
    </x:row>
    <x:row r="27">
      <x:c r="A27" s="46"/>
      <x:c r="B27" s="46" t="str">
        <x:v>PROG.restriction</x:v>
      </x:c>
      <x:c r="C27" s="46"/>
      <x:c r="D27" s="46"/>
      <x:c r="E27" s="46"/>
      <x:c r="F27" s="46"/>
    </x:row>
    <x:row r="28">
      <x:c r="A28" s="46"/>
      <x:c r="B28" s="46" t="str">
        <x:v>STAB.disintermediation</x:v>
      </x:c>
      <x:c r="C28" s="46"/>
      <x:c r="D28" s="46"/>
      <x:c r="E28" s="46"/>
      <x:c r="F28" s="46"/>
    </x:row>
    <x:row r="29">
      <x:c r="A29" s="46"/>
      <x:c r="B29" s="46" t="str">
        <x:v>SYS.design</x:v>
      </x:c>
      <x:c r="C29" s="46"/>
      <x:c r="D29" s="46"/>
      <x:c r="E29" s="46"/>
      <x:c r="F29" s="46"/>
    </x:row>
    <x:row r="30">
      <x:c r="A30" s="46"/>
      <x:c r="B30" s="46" t="str">
        <x:v>TECH.DLT</x:v>
      </x:c>
      <x:c r="C30" s="46"/>
      <x:c r="D30" s="46"/>
      <x:c r="E30" s="46"/>
      <x:c r="F30" s="46"/>
    </x:row>
    <x:row r="31">
      <x:c r="A31" s="46"/>
      <x:c r="B31" s="46" t="str">
        <x:v>TECH.TOKEN.considered</x:v>
      </x:c>
      <x:c r="C31" s="46"/>
      <x:c r="D31" s="46"/>
      <x:c r="E31" s="46"/>
      <x:c r="F31" s="46"/>
    </x:row>
    <x:row r="32">
      <x:c r="A32" s="46"/>
      <x:c r="B32" s="46" t="str">
        <x:v>TECH.TOKEN.decided_no</x:v>
      </x:c>
      <x:c r="C32" s="46"/>
      <x:c r="D32" s="46"/>
      <x:c r="E32" s="46"/>
      <x:c r="F32" s="46"/>
    </x:row>
    <x:row r="33">
      <x:c r="A33" s="47"/>
      <x:c r="B33" s="47" t="str">
        <x:v>TECH.TOKEN.decided_yes</x:v>
      </x:c>
      <x:c r="C33" s="47"/>
      <x:c r="D33" s="47"/>
      <x:c r="E33" s="47"/>
      <x:c r="F33" s="47"/>
    </x:row>
  </x:sheetData>
  <x:pageMargins left="0.7" right="0.7" top="0.75" bottom="0.75" header="0.3" footer="0.3"/>
</x:worksheet>
</file>