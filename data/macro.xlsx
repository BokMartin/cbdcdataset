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README" sheetId="1" state="visible" r:id="rId3"/>
    <sheet name="1_Master" sheetId="2" state="visible" r:id="rId4"/>
    <sheet name="2_Coverage" sheetId="3" state="visible" r:id="rId5"/>
    <sheet name="3_VDem_v15" sheetId="4" state="visible" r:id="rId6"/>
    <sheet name="4_WGI_2025" sheetId="5" state="visible" r:id="rId7"/>
    <sheet name="5_Romelli_CBIE" sheetId="6" state="visible" r:id="rId8"/>
    <sheet name="6_Informal_WB" sheetId="7" state="visible" r:id="rId9"/>
    <sheet name="7_Basel_AML_2024" sheetId="8" state="visible" r:id="rId10"/>
    <sheet name="8_Chainalysis_2024" sheetId="9" state="visible" r:id="rId11"/>
    <sheet name="9_Findex_2025" sheetId="10" state="visible" r:id="rId12"/>
    <sheet name="10_GSMA_MMRI_2024" sheetId="11" state="visible" r:id="rId13"/>
    <sheet name="11_UNCTAD_DPLaw" sheetId="12" state="visible" r:id="rId14"/>
    <sheet name="12_Citations" sheetId="13" state="visible" r:id="rId15"/>
    <sheet name="13_Hypotheses" sheetId="14" state="visible" r:id="rId16"/>
    <sheet name="14_Probit" sheetId="15" state="visible" r:id="rId17"/>
  </sheets>
  <definedNames>
    <definedName function="false" hidden="true" localSheetId="1" name="_xlnm._FilterDatabase" vbProcedure="false">1_Master!$B$2:$U$90</definedName>
    <definedName function="false" hidden="true" localSheetId="10" name="_xlnm._FilterDatabase" vbProcedure="false">10_GSMA_MMRI_2024!$B$3:$F$91</definedName>
    <definedName function="false" hidden="true" localSheetId="11" name="_xlnm._FilterDatabase" vbProcedure="false">11_UNCTAD_DPLaw!$B$3:$D$91</definedName>
    <definedName function="false" hidden="true" localSheetId="2" name="_xlnm._FilterDatabase" vbProcedure="false">2_Coverage!$B$2:$N$90</definedName>
    <definedName function="false" hidden="true" localSheetId="3" name="_xlnm._FilterDatabase" vbProcedure="false">3_VDem_v15!$B$3:$G$91</definedName>
    <definedName function="false" hidden="true" localSheetId="4" name="_xlnm._FilterDatabase" vbProcedure="false">4_WGI_2025!$B$3:$J$91</definedName>
    <definedName function="false" hidden="true" localSheetId="5" name="_xlnm._FilterDatabase" vbProcedure="false">5_Romelli_CBIE!$B$3:$E$91</definedName>
    <definedName function="false" hidden="true" localSheetId="6" name="_xlnm._FilterDatabase" vbProcedure="false">6_Informal_WB!$B$3:$H$91</definedName>
    <definedName function="false" hidden="true" localSheetId="7" name="_xlnm._FilterDatabase" vbProcedure="false">7_Basel_AML_2024!$B$3:$F$91</definedName>
    <definedName function="false" hidden="true" localSheetId="8" name="_xlnm._FilterDatabase" vbProcedure="false">8_Chainalysis_2024!$B$3:$E$91</definedName>
    <definedName function="false" hidden="true" localSheetId="9" name="_xlnm._FilterDatabase" vbProcedure="false">9_Findex_2025!$B$3:$F$91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<sst xmlns="http://schemas.openxmlformats.org/spreadsheetml/2006/main" count="3438" uniqueCount="549">
  <si>
    <t xml:space="preserve">CBDC_macro_data.xlsx</t>
  </si>
  <si>
    <t xml:space="preserve">Master tabulka makro-indikátorů pro 88 jurisdikcí · QCA podklad</t>
  </si>
  <si>
    <t xml:space="preserve">Účel</t>
  </si>
  <si>
    <t xml:space="preserve">Sjednocený dataset 9 makro-databází použitý pro fuzzy-set QCA analýzu CBDC implementací. Každý indikátor je propojen na ISO-3 kód země a obsahuje verzi/rok zdroje.</t>
  </si>
  <si>
    <t xml:space="preserve">Klíč</t>
  </si>
  <si>
    <t xml:space="preserve">ISO-3166 alpha-3. Pro supranacionální celky (EMU = Eurozóna, ECCU = východokaribská měnová unie) jsou použita ad-hoc kódy.</t>
  </si>
  <si>
    <t xml:space="preserve">Listy</t>
  </si>
  <si>
    <t xml:space="preserve">0_README</t>
  </si>
  <si>
    <t xml:space="preserve">Tento přehled.</t>
  </si>
  <si>
    <t xml:space="preserve">1_Master</t>
  </si>
  <si>
    <t xml:space="preserve">Hlavní tabulka — 88 jurisdikcí × 13 indikátorových sloupců + ISO/region/země.</t>
  </si>
  <si>
    <t xml:space="preserve">2_Coverage</t>
  </si>
  <si>
    <t xml:space="preserve">Matice pokrytí (1/0) + per-country % completeness.</t>
  </si>
  <si>
    <t xml:space="preserve">3_VDem_v15</t>
  </si>
  <si>
    <t xml:space="preserve">V-Dem v15: Polyarchy + Liberal Democracy, rok 2024.</t>
  </si>
  <si>
    <t xml:space="preserve">4_WGI_2025</t>
  </si>
  <si>
    <t xml:space="preserve">WGI 2025 Revision: 6 dimenzí (VA, PV, GE, RQ, RL, CC), rok 2024.</t>
  </si>
  <si>
    <t xml:space="preserve">5_Romelli_CBIE</t>
  </si>
  <si>
    <t xml:space="preserve">Romelli CBI 2025: CBIE index (rok 2023, latest available).</t>
  </si>
  <si>
    <t xml:space="preserve">6_Informal_WB</t>
  </si>
  <si>
    <t xml:space="preserve">World Bank Informal Economy Database (Elgin et al. 2021, update 2023): DGE + MIMIC odhady informálního outputu %GDP, latest 2020.</t>
  </si>
  <si>
    <t xml:space="preserve">7_Basel_AML_2024</t>
  </si>
  <si>
    <t xml:space="preserve">Basel AML Index 2024: rank + skóre 0–10 (vyšší = vyšší ML/TF riziko).</t>
  </si>
  <si>
    <t xml:space="preserve">8_Chainalysis_2024</t>
  </si>
  <si>
    <t xml:space="preserve">Chainalysis Global Crypto Adoption 2024 — pouze publikovaný Top-20.</t>
  </si>
  <si>
    <t xml:space="preserve">9_Findex_2025</t>
  </si>
  <si>
    <t xml:space="preserve">Findex 2025: account % a mobile money account %.</t>
  </si>
  <si>
    <t xml:space="preserve">10_GSMA_MMRI_2024</t>
  </si>
  <si>
    <t xml:space="preserve">GSMA Mobile Money Regulatory Index 2024 (0–100). Pokrývá rozvojové ekonomiky.</t>
  </si>
  <si>
    <t xml:space="preserve">11_UNCTAD_DPLaw</t>
  </si>
  <si>
    <t xml:space="preserve">UNCTAD Data Protection &amp; Privacy Legislation tracker.</t>
  </si>
  <si>
    <t xml:space="preserve">12_Citations</t>
  </si>
  <si>
    <t xml:space="preserve">Plné citace zdrojů s URL.</t>
  </si>
  <si>
    <t xml:space="preserve">Pokrytí (88 cílových)</t>
  </si>
  <si>
    <t xml:space="preserve">V-Dem v15</t>
  </si>
  <si>
    <t xml:space="preserve">80/88 — chybí agregáty + microstáty (ABW, BHS, CUW, ECCU, EMU, KNA, MAC, PLW)</t>
  </si>
  <si>
    <t xml:space="preserve">WGI 2025</t>
  </si>
  <si>
    <t xml:space="preserve">85/88 — chybí CUW, ECCU, EMU</t>
  </si>
  <si>
    <t xml:space="preserve">Romelli CBIE 2025</t>
  </si>
  <si>
    <t xml:space="preserve">74/88 — chybí 14 (ARM, BTN, FJI, HKG, ISR, MDG aj.)</t>
  </si>
  <si>
    <t xml:space="preserve">WB Informal Economy</t>
  </si>
  <si>
    <t xml:space="preserve">77/88 — DGE + MIMIC pokrytí (data do 2020). Chybí: ['ABW', 'CUW', 'ECCU', 'EMU', 'HKG', 'IRQ', 'KNA', 'MAC', 'MNE', 'PLW', 'TWN']</t>
  </si>
  <si>
    <t xml:space="preserve">Basel AML 2024</t>
  </si>
  <si>
    <t xml:space="preserve">76/88 — chybí 12</t>
  </si>
  <si>
    <t xml:space="preserve">Chainalysis 2024</t>
  </si>
  <si>
    <t xml:space="preserve">20/88 — pouze publikovaný Top-20 (placený report pro zbytek)</t>
  </si>
  <si>
    <t xml:space="preserve">Findex 2025</t>
  </si>
  <si>
    <t xml:space="preserve">77/88 — chybí agregáty + Pacific microstáty</t>
  </si>
  <si>
    <t xml:space="preserve">GSMA MMRI 2024</t>
  </si>
  <si>
    <t xml:space="preserve">41/88 — pouze rozvojové ekonomiky (designem)</t>
  </si>
  <si>
    <t xml:space="preserve">UNCTAD DP-Law</t>
  </si>
  <si>
    <t xml:space="preserve">88/88 — 12 'No data' kategorie</t>
  </si>
  <si>
    <t xml:space="preserve">Konvence</t>
  </si>
  <si>
    <t xml:space="preserve">Prázdná buňka</t>
  </si>
  <si>
    <t xml:space="preserve">Hodnota není dostupná pro tuto jurisdikci v daném zdroji.</t>
  </si>
  <si>
    <t xml:space="preserve">Číselné formáty</t>
  </si>
  <si>
    <t xml:space="preserve">Indexy 0–1: 3 desetinná místa; %: 1 desetinné místo; skóre 0–10: 2 desetinná místa; 0–100: 1 desetinné místo.</t>
  </si>
  <si>
    <t xml:space="preserve">Verzování</t>
  </si>
  <si>
    <t xml:space="preserve">Sdíleno pod jménem CBDC_macro_data; pro update použít stejné jméno.</t>
  </si>
  <si>
    <t xml:space="preserve">Build</t>
  </si>
  <si>
    <t xml:space="preserve">26. dubna 2026 · 88 jurisdikcí · 9 zdrojů · Hybrid QCA podklad</t>
  </si>
  <si>
    <t xml:space="preserve">ISO-3</t>
  </si>
  <si>
    <t xml:space="preserve">Země</t>
  </si>
  <si>
    <t xml:space="preserve">Region</t>
  </si>
  <si>
    <t xml:space="preserve">V-Dem Polyarchy</t>
  </si>
  <si>
    <t xml:space="preserve">V-Dem LibDem</t>
  </si>
  <si>
    <t xml:space="preserve">WGI VA</t>
  </si>
  <si>
    <t xml:space="preserve">WGI PV</t>
  </si>
  <si>
    <t xml:space="preserve">WGI GE</t>
  </si>
  <si>
    <t xml:space="preserve">WGI RQ</t>
  </si>
  <si>
    <t xml:space="preserve">WGI RL</t>
  </si>
  <si>
    <t xml:space="preserve">WGI CC</t>
  </si>
  <si>
    <t xml:space="preserve">Romelli CBIE</t>
  </si>
  <si>
    <t xml:space="preserve">Informal DGE %GDP</t>
  </si>
  <si>
    <t xml:space="preserve">Basel rank</t>
  </si>
  <si>
    <t xml:space="preserve">Basel score</t>
  </si>
  <si>
    <t xml:space="preserve">Chainalysis rank</t>
  </si>
  <si>
    <t xml:space="preserve">Findex acc. %</t>
  </si>
  <si>
    <t xml:space="preserve">Findex mmoney %</t>
  </si>
  <si>
    <t xml:space="preserve">GSMA MMRI</t>
  </si>
  <si>
    <t xml:space="preserve">ABW</t>
  </si>
  <si>
    <t xml:space="preserve">Aruba</t>
  </si>
  <si>
    <t xml:space="preserve">LAC</t>
  </si>
  <si>
    <t xml:space="preserve">No data</t>
  </si>
  <si>
    <t xml:space="preserve">ARE</t>
  </si>
  <si>
    <t xml:space="preserve">United Arab Emirates</t>
  </si>
  <si>
    <t xml:space="preserve">MENA</t>
  </si>
  <si>
    <t xml:space="preserve">Legislation</t>
  </si>
  <si>
    <t xml:space="preserve">ARG</t>
  </si>
  <si>
    <t xml:space="preserve">Argentina</t>
  </si>
  <si>
    <t xml:space="preserve">ARM</t>
  </si>
  <si>
    <t xml:space="preserve">Armenia</t>
  </si>
  <si>
    <t xml:space="preserve">AUS</t>
  </si>
  <si>
    <t xml:space="preserve">Australia</t>
  </si>
  <si>
    <t xml:space="preserve">OCE</t>
  </si>
  <si>
    <t xml:space="preserve">AUT</t>
  </si>
  <si>
    <t xml:space="preserve">Austria</t>
  </si>
  <si>
    <t xml:space="preserve">EU</t>
  </si>
  <si>
    <t xml:space="preserve">AZE</t>
  </si>
  <si>
    <t xml:space="preserve">Azerbaijan</t>
  </si>
  <si>
    <t xml:space="preserve">BGD</t>
  </si>
  <si>
    <t xml:space="preserve">Bangladesh</t>
  </si>
  <si>
    <t xml:space="preserve">SAS</t>
  </si>
  <si>
    <t xml:space="preserve">Draft legislation</t>
  </si>
  <si>
    <t xml:space="preserve">BHR</t>
  </si>
  <si>
    <t xml:space="preserve">Bahrain</t>
  </si>
  <si>
    <t xml:space="preserve">BHS</t>
  </si>
  <si>
    <t xml:space="preserve">Bahamas</t>
  </si>
  <si>
    <t xml:space="preserve">BLR</t>
  </si>
  <si>
    <t xml:space="preserve">Belarus</t>
  </si>
  <si>
    <t xml:space="preserve">ECA</t>
  </si>
  <si>
    <t xml:space="preserve">BOL</t>
  </si>
  <si>
    <t xml:space="preserve">Bolivia</t>
  </si>
  <si>
    <t xml:space="preserve">BRA</t>
  </si>
  <si>
    <t xml:space="preserve">Brazil</t>
  </si>
  <si>
    <t xml:space="preserve">BTN</t>
  </si>
  <si>
    <t xml:space="preserve">Bhutan</t>
  </si>
  <si>
    <t xml:space="preserve">BWA</t>
  </si>
  <si>
    <t xml:space="preserve">Botswana</t>
  </si>
  <si>
    <t xml:space="preserve">CAN</t>
  </si>
  <si>
    <t xml:space="preserve">Canada</t>
  </si>
  <si>
    <t xml:space="preserve">NA</t>
  </si>
  <si>
    <t xml:space="preserve">CHE</t>
  </si>
  <si>
    <t xml:space="preserve">Switzerland</t>
  </si>
  <si>
    <t xml:space="preserve">CHL</t>
  </si>
  <si>
    <t xml:space="preserve">Chile</t>
  </si>
  <si>
    <t xml:space="preserve">CHN</t>
  </si>
  <si>
    <t xml:space="preserve">China</t>
  </si>
  <si>
    <t xml:space="preserve">EAP</t>
  </si>
  <si>
    <t xml:space="preserve">COL</t>
  </si>
  <si>
    <t xml:space="preserve">Colombia</t>
  </si>
  <si>
    <t xml:space="preserve">CUW</t>
  </si>
  <si>
    <t xml:space="preserve">Curaçao and Sint Maarten</t>
  </si>
  <si>
    <t xml:space="preserve">CZE</t>
  </si>
  <si>
    <t xml:space="preserve">Czech Republic</t>
  </si>
  <si>
    <t xml:space="preserve">DEU</t>
  </si>
  <si>
    <t xml:space="preserve">Germany</t>
  </si>
  <si>
    <t xml:space="preserve">DNK</t>
  </si>
  <si>
    <t xml:space="preserve">Denmark</t>
  </si>
  <si>
    <t xml:space="preserve">DOM</t>
  </si>
  <si>
    <t xml:space="preserve">Dominican Republic</t>
  </si>
  <si>
    <t xml:space="preserve">ECCU</t>
  </si>
  <si>
    <t xml:space="preserve">Eastern Caribbean (OECS / ECCU)</t>
  </si>
  <si>
    <t xml:space="preserve">EGY</t>
  </si>
  <si>
    <t xml:space="preserve">Egypt</t>
  </si>
  <si>
    <t xml:space="preserve">EMU</t>
  </si>
  <si>
    <t xml:space="preserve">Euro Area</t>
  </si>
  <si>
    <t xml:space="preserve">ESP</t>
  </si>
  <si>
    <t xml:space="preserve">Spain</t>
  </si>
  <si>
    <t xml:space="preserve">ETH</t>
  </si>
  <si>
    <t xml:space="preserve">Ethiopia</t>
  </si>
  <si>
    <t xml:space="preserve">SSA</t>
  </si>
  <si>
    <t xml:space="preserve">FJI</t>
  </si>
  <si>
    <t xml:space="preserve">Fiji</t>
  </si>
  <si>
    <t xml:space="preserve">GBR</t>
  </si>
  <si>
    <t xml:space="preserve">United Kingdom</t>
  </si>
  <si>
    <t xml:space="preserve">GEO</t>
  </si>
  <si>
    <t xml:space="preserve">Georgia</t>
  </si>
  <si>
    <t xml:space="preserve">GHA</t>
  </si>
  <si>
    <t xml:space="preserve">Ghana</t>
  </si>
  <si>
    <t xml:space="preserve">HKG</t>
  </si>
  <si>
    <t xml:space="preserve">Hong Kong</t>
  </si>
  <si>
    <t xml:space="preserve">HUN</t>
  </si>
  <si>
    <t xml:space="preserve">Hungary</t>
  </si>
  <si>
    <t xml:space="preserve">IDN</t>
  </si>
  <si>
    <t xml:space="preserve">Indonesia</t>
  </si>
  <si>
    <t xml:space="preserve">IND</t>
  </si>
  <si>
    <t xml:space="preserve">India</t>
  </si>
  <si>
    <t xml:space="preserve">IRN</t>
  </si>
  <si>
    <t xml:space="preserve">Iran</t>
  </si>
  <si>
    <t xml:space="preserve">IRQ</t>
  </si>
  <si>
    <t xml:space="preserve">Iraq</t>
  </si>
  <si>
    <t xml:space="preserve">ISL</t>
  </si>
  <si>
    <t xml:space="preserve">Iceland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</si>
  <si>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</si>
  <si>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</si>
  <si>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</si>
  <si>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</si>
  <si>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</si>
  <si>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</si>
  <si>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JPN</t>
  </si>
  <si>
    <t xml:space="preserve">Japan</t>
  </si>
  <si>
    <t xml:space="preserve">KAZ</t>
  </si>
  <si>
    <t xml:space="preserve">Kazakhstan</t>
  </si>
  <si>
    <t xml:space="preserve">KGZ</t>
  </si>
  <si>
    <t xml:space="preserve">Kyrgyzstan</t>
  </si>
  <si>
    <t xml:space="preserve">KNA</t>
  </si>
  <si>
    <t xml:space="preserve">St. Kitts and Nevis</t>
  </si>
  <si>
    <t xml:space="preserve">KOR</t>
  </si>
  <si>
    <t xml:space="preserve">South Korea</t>
  </si>
  <si>
    <t xml:space="preserve">KWT</t>
  </si>
  <si>
    <t xml:space="preserve">Kuwait</t>
  </si>
  <si>
    <t xml:space="preserve">LAO</t>
  </si>
  <si>
    <t xml:space="preserve">Laos</t>
  </si>
  <si>
    <t xml:space="preserve">LBN</t>
  </si>
  <si>
    <t xml:space="preserve">Lebanon</t>
  </si>
  <si>
    <t xml:space="preserve">LKA</t>
  </si>
  <si>
    <t xml:space="preserve">Sri Lanka</t>
  </si>
  <si>
    <t xml:space="preserve">MAC</t>
  </si>
  <si>
    <t xml:space="preserve">Macau</t>
  </si>
  <si>
    <t xml:space="preserve">MDG</t>
  </si>
  <si>
    <t xml:space="preserve">Madagascar</t>
  </si>
  <si>
    <t xml:space="preserve">MDV</t>
  </si>
  <si>
    <t xml:space="preserve">Maldives</t>
  </si>
  <si>
    <t xml:space="preserve">MMR</t>
  </si>
  <si>
    <t xml:space="preserve">Myanmar</t>
  </si>
  <si>
    <t xml:space="preserve">MNE</t>
  </si>
  <si>
    <t xml:space="preserve">Montenegro</t>
  </si>
  <si>
    <t xml:space="preserve">MRT</t>
  </si>
  <si>
    <t xml:space="preserve">Mauritania</t>
  </si>
  <si>
    <t xml:space="preserve">MWI</t>
  </si>
  <si>
    <t xml:space="preserve">Malawi</t>
  </si>
  <si>
    <t xml:space="preserve">MYS</t>
  </si>
  <si>
    <t xml:space="preserve">Malaysia</t>
  </si>
  <si>
    <t xml:space="preserve">NAM</t>
  </si>
  <si>
    <t xml:space="preserve">Namibia</t>
  </si>
  <si>
    <t xml:space="preserve">NGA</t>
  </si>
  <si>
    <t xml:space="preserve">Nigeria</t>
  </si>
  <si>
    <t xml:space="preserve">NOR</t>
  </si>
  <si>
    <t xml:space="preserve">Norway</t>
  </si>
  <si>
    <t xml:space="preserve">NZL</t>
  </si>
  <si>
    <t xml:space="preserve">New Zealand</t>
  </si>
  <si>
    <t xml:space="preserve">PAK</t>
  </si>
  <si>
    <t xml:space="preserve">Pakistan</t>
  </si>
  <si>
    <t xml:space="preserve">PER</t>
  </si>
  <si>
    <t xml:space="preserve">Peru</t>
  </si>
  <si>
    <t xml:space="preserve">PHL</t>
  </si>
  <si>
    <t xml:space="preserve">Philippines</t>
  </si>
  <si>
    <t xml:space="preserve">PLW</t>
  </si>
  <si>
    <t xml:space="preserve">Republic of Palau</t>
  </si>
  <si>
    <t xml:space="preserve">PNG</t>
  </si>
  <si>
    <t xml:space="preserve">Papua New Guinea</t>
  </si>
  <si>
    <t xml:space="preserve">QAT</t>
  </si>
  <si>
    <t xml:space="preserve">Qatar</t>
  </si>
  <si>
    <t xml:space="preserve">RUS</t>
  </si>
  <si>
    <t xml:space="preserve">Russian Federation</t>
  </si>
  <si>
    <t xml:space="preserve">RWA</t>
  </si>
  <si>
    <t xml:space="preserve">Rwanda</t>
  </si>
  <si>
    <t xml:space="preserve">SAU</t>
  </si>
  <si>
    <t xml:space="preserve">Saudi Arabia</t>
  </si>
  <si>
    <t xml:space="preserve">SGP</t>
  </si>
  <si>
    <t xml:space="preserve">Singapore</t>
  </si>
  <si>
    <t xml:space="preserve">SLB</t>
  </si>
  <si>
    <t xml:space="preserve">Solomon Islands</t>
  </si>
  <si>
    <t xml:space="preserve">SWE</t>
  </si>
  <si>
    <t xml:space="preserve">Sweden</t>
  </si>
  <si>
    <t xml:space="preserve">SWZ</t>
  </si>
  <si>
    <t xml:space="preserve">Eswatini</t>
  </si>
  <si>
    <t xml:space="preserve">THA</t>
  </si>
  <si>
    <t xml:space="preserve">Thailand</t>
  </si>
  <si>
    <t xml:space="preserve">TTO</t>
  </si>
  <si>
    <t xml:space="preserve">Trinidad and Tobago</t>
  </si>
  <si>
    <t xml:space="preserve">TUR</t>
  </si>
  <si>
    <t xml:space="preserve">Turkey</t>
  </si>
  <si>
    <t xml:space="preserve">TWN</t>
  </si>
  <si>
    <t xml:space="preserve">Taiwan</t>
  </si>
  <si>
    <t xml:space="preserve">UKR</t>
  </si>
  <si>
    <t xml:space="preserve">Ukraine</t>
  </si>
  <si>
    <t xml:space="preserve">URY</t>
  </si>
  <si>
    <t xml:space="preserve">Uruguay</t>
  </si>
  <si>
    <t xml:space="preserve">USA</t>
  </si>
  <si>
    <t xml:space="preserve">United States</t>
  </si>
  <si>
    <t xml:space="preserve">ZAF</t>
  </si>
  <si>
    <t xml:space="preserve">South Africa</t>
  </si>
  <si>
    <t xml:space="preserve">ZMB</t>
  </si>
  <si>
    <t xml:space="preserve">Zambia</t>
  </si>
  <si>
    <t xml:space="preserve">ZWE</t>
  </si>
  <si>
    <t xml:space="preserve">Zimbabwe</t>
  </si>
  <si>
    <t xml:space="preserve">V-Dem</t>
  </si>
  <si>
    <t xml:space="preserve">WGI</t>
  </si>
  <si>
    <t xml:space="preserve">Romelli</t>
  </si>
  <si>
    <t xml:space="preserve">Informal</t>
  </si>
  <si>
    <t xml:space="preserve">Basel</t>
  </si>
  <si>
    <t xml:space="preserve">Chainalysis</t>
  </si>
  <si>
    <t xml:space="preserve">Findex</t>
  </si>
  <si>
    <t xml:space="preserve">UNCTAD</t>
  </si>
  <si>
    <t xml:space="preserve">Pokrytí %</t>
  </si>
  <si>
    <t xml:space="preserve">Pokrytí n/9</t>
  </si>
  <si>
    <t xml:space="preserve">CELKEM (n/88)</t>
  </si>
  <si>
    <t xml:space="preserve">V-Dem v15 · pozorování pro rok 2024 · škála 0–1 (vyšší = více demokratické)</t>
  </si>
  <si>
    <t xml:space="preserve">Rok</t>
  </si>
  <si>
    <t xml:space="preserve">Polyarchy (v2x_polyarchy)</t>
  </si>
  <si>
    <t xml:space="preserve">Liberal Democracy (v2x_libdem)</t>
  </si>
  <si>
    <t xml:space="preserve">V-Dem country name</t>
  </si>
  <si>
    <t xml:space="preserve">Czechia</t>
  </si>
  <si>
    <t xml:space="preserve">Burma/Myanmar</t>
  </si>
  <si>
    <t xml:space="preserve">Russia</t>
  </si>
  <si>
    <t xml:space="preserve">Türkiye</t>
  </si>
  <si>
    <t xml:space="preserve">United States of America</t>
  </si>
  <si>
    <t xml:space="preserve">WGI 2025 Revision · rok 2024 · škála −2,5 až +2,5 (vyšší = lepší governance)</t>
  </si>
  <si>
    <t xml:space="preserve">Voice &amp; Accountability (VA)</t>
  </si>
  <si>
    <t xml:space="preserve">Political Stability (PV)</t>
  </si>
  <si>
    <t xml:space="preserve">Government Effectiveness (GE)</t>
  </si>
  <si>
    <t xml:space="preserve">Regulatory Quality (RQ)</t>
  </si>
  <si>
    <t xml:space="preserve">Rule of Law (RL)</t>
  </si>
  <si>
    <t xml:space="preserve">Control of Corruption (CC)</t>
  </si>
  <si>
    <t xml:space="preserve">Romelli CBI dataset 2025 · CBIE = Central Bank Independence Extended index · škála 0–1</t>
  </si>
  <si>
    <t xml:space="preserve">Rok (latest)</t>
  </si>
  <si>
    <t xml:space="preserve">CBIE index</t>
  </si>
  <si>
    <t xml:space="preserve">World Bank Informal Economy Database · Elgin, Kose, Ohnsorge, Yu 2021 (update 2023) · pozorování 1990–2020 · DGE = Dynamic General Equilibrium, MIMIC = Multiple Indicators Multiple Causes; vyšší hodnota = větší informální sektor</t>
  </si>
  <si>
    <t xml:space="preserve">DGE %GDP (informal output)</t>
  </si>
  <si>
    <t xml:space="preserve">MIMIC %GDP (informal output)</t>
  </si>
  <si>
    <t xml:space="preserve">Self-employment %</t>
  </si>
  <si>
    <t xml:space="preserve">Zdroj</t>
  </si>
  <si>
    <t xml:space="preserve">World Bank Informal Economy Database (Elgin et al. 2021, updated 2023)</t>
  </si>
  <si>
    <t xml:space="preserve">Basel AML Index 2024 · 164 jurisdikcí · score 0–10 (vyšší = větší ML/TF riziko)</t>
  </si>
  <si>
    <t xml:space="preserve">Rank (1 = nejvyšší riziko)</t>
  </si>
  <si>
    <t xml:space="preserve">Score 0–10</t>
  </si>
  <si>
    <t xml:space="preserve">Basel country name</t>
  </si>
  <si>
    <t xml:space="preserve">Hong Kong SAR, China</t>
  </si>
  <si>
    <t xml:space="preserve">Saint Kitts and Nevis</t>
  </si>
  <si>
    <t xml:space="preserve">Korea, South</t>
  </si>
  <si>
    <t xml:space="preserve">Lao PDR</t>
  </si>
  <si>
    <t xml:space="preserve">Taiwan (Chinese Taipei)</t>
  </si>
  <si>
    <t xml:space="preserve">Chainalysis Global Crypto Adoption Index 2024 · pouze Top-20 publikováno · vyšší rank = horší pozice</t>
  </si>
  <si>
    <t xml:space="preserve">Rank Top-20</t>
  </si>
  <si>
    <t xml:space="preserve">Status</t>
  </si>
  <si>
    <t xml:space="preserve">Mimo Top-20 (placený report)</t>
  </si>
  <si>
    <t xml:space="preserve">Top-20 (publikováno)</t>
  </si>
  <si>
    <t xml:space="preserve">World Bank Global Findex 2025 · podíl dospělých 15+ · vyšší = vyšší inkluze</t>
  </si>
  <si>
    <t xml:space="preserve">Account ownership %</t>
  </si>
  <si>
    <t xml:space="preserve">Mobile money account %</t>
  </si>
  <si>
    <t xml:space="preserve">GSMA Mobile Money Regulatory Index 2024 · škála 0–100 (vyšší = více enabling regulace) · pokrývá rozvojové ekonomiky</t>
  </si>
  <si>
    <t xml:space="preserve">MMRI 0–100</t>
  </si>
  <si>
    <t xml:space="preserve">GSMA country name</t>
  </si>
  <si>
    <t xml:space="preserve">UNCTAD Data Protection &amp; Privacy Legislation Worldwide · 2024 stav</t>
  </si>
  <si>
    <t xml:space="preserve">Status (Legislation / Draft / No data)</t>
  </si>
  <si>
    <t xml:space="preserve">Zdroje a citace</t>
  </si>
  <si>
    <t xml:space="preserve">Plné odkazy na primární zdroje použité v této master tabulce</t>
  </si>
  <si>
    <t xml:space="preserve">Plný název</t>
  </si>
  <si>
    <t xml:space="preserve">Verze / rok</t>
  </si>
  <si>
    <t xml:space="preserve">URL</t>
  </si>
  <si>
    <t xml:space="preserve">Coppedge, M. et al. — Varieties of Democracy (V-Dem) Country-Year Dataset</t>
  </si>
  <si>
    <t xml:space="preserve">v15 (2025), pozorování 2024</t>
  </si>
  <si>
    <t xml:space="preserve">https://v-dem.net/data/the-v-dem-dataset/</t>
  </si>
  <si>
    <t xml:space="preserve">Kaufmann, D. &amp; Kraay, A. — Worldwide Governance Indicators</t>
  </si>
  <si>
    <t xml:space="preserve">2025 Revision (1996–2024)</t>
  </si>
  <si>
    <t xml:space="preserve">https://www.worldbank.org/en/publication/worldwide-governance-indicators</t>
  </si>
  <si>
    <t xml:space="preserve">Romelli, D. — The Political Economy of Reforms in Central Bank Design (CBI dataset)</t>
  </si>
  <si>
    <t xml:space="preserve">2025 update, pozorování 2023</t>
  </si>
  <si>
    <t xml:space="preserve">https://cbidata.org/</t>
  </si>
  <si>
    <t xml:space="preserve">WB Informal Economy DB</t>
  </si>
  <si>
    <t xml:space="preserve">Elgin, C., Kose, M.A., Ohnsorge, F., &amp; Yu, S. — Understanding Informality (CEPR DP 16497); World Bank Informal Economy Database</t>
  </si>
  <si>
    <t xml:space="preserve">2021 paper · DB update 2023, data 1990–2020</t>
  </si>
  <si>
    <t xml:space="preserve">https://www.worldbank.org/en/research/brief/informal-economy-database</t>
  </si>
  <si>
    <t xml:space="preserve">Basel Institute on Governance — Basel AML Index 2024 Public Edition</t>
  </si>
  <si>
    <t xml:space="preserve">13. ročník, listopad 2024</t>
  </si>
  <si>
    <t xml:space="preserve">https://baselgovernance.org/sites/default/files/2024-11/2024%20Basel%20AML%20Index%20report.pdf</t>
  </si>
  <si>
    <t xml:space="preserve">Basel AML ranking</t>
  </si>
  <si>
    <t xml:space="preserve">Basel AML Index — interaktivní žebříček</t>
  </si>
  <si>
    <t xml:space="preserve">2024</t>
  </si>
  <si>
    <t xml:space="preserve">https://index.baselgovernance.org/ranking</t>
  </si>
  <si>
    <t xml:space="preserve">Chainalysis — Global Crypto Adoption Index 2024 (Top-20 publikováno)</t>
  </si>
  <si>
    <t xml:space="preserve">2024 ročník</t>
  </si>
  <si>
    <t xml:space="preserve">https://www.chainalysis.com/blog/2024-global-crypto-adoption-index/</t>
  </si>
  <si>
    <t xml:space="preserve">World Bank — Global Findex Database 2025</t>
  </si>
  <si>
    <t xml:space="preserve">vlna 2024</t>
  </si>
  <si>
    <t xml:space="preserve">https://thedocs.worldbank.org/en/doc/be6615202d1f08a25855c8ac2d615122-0050012025/related/GlobalFindexDatabase2025.xlsx</t>
  </si>
  <si>
    <t xml:space="preserve">GSMA — Mobile Money Regulatory Index 2024</t>
  </si>
  <si>
    <t xml:space="preserve">2024 update</t>
  </si>
  <si>
    <t xml:space="preserve">https://www.gsma.com/wp-content/uploads/2024/10/Mobile_Money_Regulatory_Index_Database_2024.xlsx</t>
  </si>
  <si>
    <t xml:space="preserve">UNCTAD — Data Protection and Privacy Legislation Worldwide</t>
  </si>
  <si>
    <t xml:space="preserve">průběžně aktualizováno</t>
  </si>
  <si>
    <t xml:space="preserve">https://unctad.org/page/data-protection-and-privacy-legislation-worldwide</t>
  </si>
  <si>
    <t xml:space="preserve">ISO 3166</t>
  </si>
  <si>
    <t xml:space="preserve">ISO 3166-1 alpha-3 country codes</t>
  </si>
  <si>
    <t xml:space="preserve">stabilní standard</t>
  </si>
  <si>
    <t xml:space="preserve">https://www.iso.org/iso-3166-country-codes.html</t>
  </si>
  <si>
    <t xml:space="preserve">Hypotézový rámec — 9 makro-prediktorů × 3 závislé proměnné</t>
  </si>
  <si>
    <t xml:space="preserve">Pro logický probit (baseline + interakce) i fsQCA (sufficient/necessary configurations). Barvy: zelená = pozitivní směr, růžová = negativní, žlutá = ambivalentní/nesig.</t>
  </si>
  <si>
    <t xml:space="preserve">Závislé proměnné (DV)</t>
  </si>
  <si>
    <t xml:space="preserve">Kód</t>
  </si>
  <si>
    <t xml:space="preserve">Definice</t>
  </si>
  <si>
    <t xml:space="preserve">Operacionalizace</t>
  </si>
  <si>
    <t xml:space="preserve">PRIV_ROBUST</t>
  </si>
  <si>
    <t xml:space="preserve">CBDC implementuje silnou privacy ochranu by design</t>
  </si>
  <si>
    <t xml:space="preserve">binární: dual-layer architecture + offline anonymous payments + ZK / blind signatures + zákonný limit přístupu CB k transakčním datům</t>
  </si>
  <si>
    <t xml:space="preserve">PRIV_LIMITED</t>
  </si>
  <si>
    <t xml:space="preserve">Pouze 'managed privacy' / tiered KYC</t>
  </si>
  <si>
    <t xml:space="preserve">binární: jen KYC tier system, plné transakční sledování CB</t>
  </si>
  <si>
    <t xml:space="preserve">PRIV_ABSENT</t>
  </si>
  <si>
    <t xml:space="preserve">Plná surveillance, programmability bez opt-out</t>
  </si>
  <si>
    <t xml:space="preserve">binární: úplná identifikace, real-time monitoring, blacklisting</t>
  </si>
  <si>
    <t xml:space="preserve">AML_STRICT</t>
  </si>
  <si>
    <t xml:space="preserve">Robustní AML/CFT integrace</t>
  </si>
  <si>
    <t xml:space="preserve">binární: FATF-compliant + travel rule + sanctions screening</t>
  </si>
  <si>
    <t xml:space="preserve">CBDC_LIVE</t>
  </si>
  <si>
    <t xml:space="preserve">Pokročilá fáze (live/pilot, ne research)</t>
  </si>
  <si>
    <t xml:space="preserve">binární — kontrolní DV</t>
  </si>
  <si>
    <t xml:space="preserve">9 hypotéz po datasetu</t>
  </si>
  <si>
    <t xml:space="preserve">#</t>
  </si>
  <si>
    <t xml:space="preserve">Dataset / IV</t>
  </si>
  <si>
    <t xml:space="preserve">Konstrukt</t>
  </si>
  <si>
    <t xml:space="preserve">H1a (primární)</t>
  </si>
  <si>
    <t xml:space="preserve">H1b (counter)</t>
  </si>
  <si>
    <t xml:space="preserve">Směr → PRIV_ROBUST</t>
  </si>
  <si>
    <t xml:space="preserve">Směr → PRIV_ABSENT</t>
  </si>
  <si>
    <t xml:space="preserve">Směr → AML_STRICT</t>
  </si>
  <si>
    <t xml:space="preserve">Klíčová interakce</t>
  </si>
  <si>
    <t xml:space="preserve">Hlavní reference</t>
  </si>
  <si>
    <t xml:space="preserve">Demokracie (Polyarchy + Liberal Democracy)</t>
  </si>
  <si>
    <t xml:space="preserve">Vyšší demokracie → PRIV_ROBUST. Liberální demokracie internalizují ústavní právo na soukromí (čl. 8 EÚLP, GDPR); nezávislé soudy a parlamentní kontrola omezují CB v zavedení surveillance architektury; civil society aktivně lobbuje za privacy by design.</t>
  </si>
  <si>
    <t xml:space="preserve">Vysoká demokracie znamená i silnější regulátory (FIU, daňová správa) tlačící na traceability proti praní špinavých peněz a daňovým únikům. Skandinávský model: vysoká transparence &gt; robustní privacy.</t>
  </si>
  <si>
    <t xml:space="preserve">+</t>
  </si>
  <si>
    <t xml:space="preserve">−</t>
  </si>
  <si>
    <t xml:space="preserve">0</t>
  </si>
  <si>
    <t xml:space="preserve">DEMO × INFORMAL</t>
  </si>
  <si>
    <t xml:space="preserve">BIS WP 1052 (2022); Auer &amp; Böhme (2020); ECB digital euro privacy assessment (2023); Garratt &amp; Lee (2022)</t>
  </si>
  <si>
    <t xml:space="preserve">WGI Rule of Law (RL) + Government Effectiveness (GE)</t>
  </si>
  <si>
    <t xml:space="preserve">Kvalita governance — právní stát + state capacity</t>
  </si>
  <si>
    <t xml:space="preserve">Vyšší RL → právně zakotvená privacy ochrana v CBDC zákoně. Procedurální záruky (soudní příkaz, datová minimalizace, omezení účelu) brání bezbřehé surveillance.</t>
  </si>
  <si>
    <t xml:space="preserve">Vyšší GE → robustní KYC infrastruktura + e-government → CBDC integruje stávající surveillance vrstvu (e-Estonia syndrom, MAS Project Orchid).</t>
  </si>
  <si>
    <t xml:space="preserve">+ (RL) / − (GE)</t>
  </si>
  <si>
    <t xml:space="preserve">− (RL) / + (GE)</t>
  </si>
  <si>
    <t xml:space="preserve">—</t>
  </si>
  <si>
    <t xml:space="preserve">BIS Annual Report (2023); Bossu et al. IMF WP/20/254; Skingsley (2018)</t>
  </si>
  <si>
    <t xml:space="preserve">Independence centrální banky</t>
  </si>
  <si>
    <t xml:space="preserve">Vyšší CBI → PRIV_ROBUST. Nezávislá CB má reputační stake na ochraně občanských práv; oddělení monetary policy od exekutivy brání politickému zneužití CBDC k blacklistingu.</t>
  </si>
  <si>
    <t xml:space="preserve">Vyšší CBI → CBDC jako rozšíření monetary toolbox (programmable money, negative rates, helicopter); plná traceability je featura, ne bug.</t>
  </si>
  <si>
    <t xml:space="preserve">BIS WP 948 (2021); Carstens (2021); Bordo &amp; Levin (2017); Niepelt (2020)</t>
  </si>
  <si>
    <t xml:space="preserve">WB Informal Economy (DGE/MIMIC)</t>
  </si>
  <si>
    <t xml:space="preserve">Velikost informální ekonomiky</t>
  </si>
  <si>
    <t xml:space="preserve">Velký informální sektor → PRIV_ROBUST. Politicky citlivá voličská základna; bez privacy hrozí útěk do hotovosti/krypta. Privacy je kompromis pro mass adoption (BR, IN, NG).</t>
  </si>
  <si>
    <t xml:space="preserve">Velký informální sektor → CBDC jako AML/tax-compliance nástroj. Hlavním motivem zavedení je formalizace ekonomiky a rozšíření daňové základny (eNaira anti-cash narrative; Drex).</t>
  </si>
  <si>
    <t xml:space="preserve">AMB</t>
  </si>
  <si>
    <t xml:space="preserve">INFORMAL × DEMO</t>
  </si>
  <si>
    <t xml:space="preserve">Auer et al. (2020); Khiaonarong &amp; Humphrey IMF (2022); Mancini-Griffoli IMF SDN/18/08; Ozili (2023)</t>
  </si>
  <si>
    <t xml:space="preserve">Basel AML Index 2024</t>
  </si>
  <si>
    <t xml:space="preserve">ML/TF riziko jurisdikce</t>
  </si>
  <si>
    <t xml:space="preserve">Vysoký AML risk → minimální privacy, maximální AML kontroly. Tlak FATF (graylist/blacklist) → CBDC jako 'FATF-by-design' infrastruktura. Privacy obětována na oltáři compliance.</t>
  </si>
  <si>
    <t xml:space="preserve">Vysoký AML risk → obavy z kapitálového odlivu → privacy features pro retenci občanů v domácí měně místo USD/krypta (Lebanon/AR/VE paradox).</t>
  </si>
  <si>
    <t xml:space="preserve">FATF (2020) Guidance on digital ID; Basel AML Index 2024 methodology; Brunnermeier et al. (2019); Eichengreen (2022)</t>
  </si>
  <si>
    <t xml:space="preserve">Chainalysis Crypto Adoption 2024</t>
  </si>
  <si>
    <t xml:space="preserve">Penetrace kryptoaktiv (Top-20 dummy)</t>
  </si>
  <si>
    <t xml:space="preserve">Vysoká crypto adoption → CBDC s privacy features jako konkurenceschopná odpověď. CBDC musí soutěžit s Monero/Zcash/mixers; bez cash-like privacy neuspěje (race-to-privacy).</t>
  </si>
  <si>
    <t xml:space="preserve">Vysoká crypto adoption → CBDC jako kontrolní nástroj proti shadow crypto economy → maximální surveillance (e-CNY, digital ruble framing).</t>
  </si>
  <si>
    <t xml:space="preserve">CRYPTO × DEMO</t>
  </si>
  <si>
    <t xml:space="preserve">Chiu &amp; Davoodalhosseini BoC SDP (2023); BIS WP 941 Auer-Cornelli-Frost; PBoC e-CNY White Paper (2021); IMF (2024)</t>
  </si>
  <si>
    <t xml:space="preserve">Findex 2025 (account % + mobile money %)</t>
  </si>
  <si>
    <t xml:space="preserve">Finanční inkluze</t>
  </si>
  <si>
    <t xml:space="preserve">Nízká inkluze → tiered KYC s anonymous low-value wallets. Aby CBDC dosáhla mass adoption u unbanked, musí umožnit account opening bez plného KYC (BIS Project Polaris tier-0).</t>
  </si>
  <si>
    <t xml:space="preserve">Vysoká inkluze (vyspělý fintech) → silnější očekávání privacy ze sofistikovaných uživatelů → privacy-robust design (Skandinávie, EU; digital euro consultation 2021).</t>
  </si>
  <si>
    <t xml:space="preserve">AMB (− v EMDE / + v AE)</t>
  </si>
  <si>
    <t xml:space="preserve">FININCL × DEMO</t>
  </si>
  <si>
    <t xml:space="preserve">BIS Project Aurum, Project Sela; World Bank CBDC Primer (2022); ECB digital euro public consultation (2021); Riksbank e-krona reports</t>
  </si>
  <si>
    <t xml:space="preserve">Vyspělost regulace mobile money</t>
  </si>
  <si>
    <t xml:space="preserve">Vysoký MMRI → CBDC interoperabilní s privátními wallety; privacy delegována na PSP, ne by design (KE, TZ, PH model).</t>
  </si>
  <si>
    <t xml:space="preserve">Vysoký MMRI → regulační kapacita pro sofistikované privacy by design (threshold privacy, PETs).</t>
  </si>
  <si>
    <t xml:space="preserve">− / AMB</t>
  </si>
  <si>
    <t xml:space="preserve">+ / 0</t>
  </si>
  <si>
    <t xml:space="preserve">GSMA State of Industry Mobile Money (2024); Adrian &amp; Mancini-Griffoli IMF (2019); BIS Project Mandala; FSB Cross-border CBDC reports (2023)</t>
  </si>
  <si>
    <t xml:space="preserve">UNCTAD Data Protection Legislation</t>
  </si>
  <si>
    <t xml:space="preserve">Existence comprehensive DP zákona</t>
  </si>
  <si>
    <t xml:space="preserve">Existence DP zákona → PRIV_ROBUST. DPIA je legal requirement (čl. 25 GDPR); CBDC bez privacy by porušila platnou legislativu.</t>
  </si>
  <si>
    <t xml:space="preserve">DP zákon je nutná, ne dostatečná podmínka — lex specialis CBDC zákona může DP zákon přebít (Čína PIPL × e-CNY; Indie DPDPA × digital rupee).</t>
  </si>
  <si>
    <t xml:space="preserve">+ (silně)</t>
  </si>
  <si>
    <t xml:space="preserve">EDPB Opinion 28/2024 on digital euro; ECB privacy assessment digital euro (2023); Greenacre &amp; Akram (2023); Goyal &amp; Sharma (2024)</t>
  </si>
  <si>
    <t xml:space="preserve">Logický probit — souhrnná specifikace</t>
  </si>
  <si>
    <t xml:space="preserve">Baseline: Pr(PRIV_ROBUST=1) = Φ(β0 + β1·DEMO + β2·RL + β3·GE + β4·CBI + β5·INFORMAL + β6·AMLRISK + β7·CRYPTO + β8·FININCL + β9·MMRI + β10·DPLAW + ε)</t>
  </si>
  <si>
    <t xml:space="preserve">S interakcemi: + β11·(DEMO×INFORMAL) + β12·(DEMO×CRYPTO) + β13·(DEMO×FININCL)</t>
  </si>
  <si>
    <t xml:space="preserve">Counter-DV: stejná specifikace pro Pr(PRIV_ABSENT=1), očekávané obrácené znaménka (kontrola konzistence).</t>
  </si>
  <si>
    <t xml:space="preserve">fsQCA sufficient paths pro PRIV_ROBUST (očekávané):</t>
  </si>
  <si>
    <t xml:space="preserve">    DEMO * RULE_LAW * DPLAW * ~AMLRISK   →   PRIV_ROBUST (EU pattern)</t>
  </si>
  <si>
    <t xml:space="preserve">    DEMO * INFORMAL * CBI                →   PRIV_ROBUST (BR / ZA pattern)</t>
  </si>
  <si>
    <t xml:space="preserve">    CRYPTO * DEMO * DPLAW                →   PRIV_ROBUST (CH / SG pattern)</t>
  </si>
  <si>
    <t xml:space="preserve">fsQCA sufficient paths pro ~PRIV_ROBUST (= PRIV_ABSENT):</t>
  </si>
  <si>
    <t xml:space="preserve">    ~DEMO * AMLRISK                      →   PRIV_ABSENT (autoritářský)</t>
  </si>
  <si>
    <t xml:space="preserve">    ~DEMO * INFORMAL * ~DPLAW            →   PRIV_ABSENT (e-CNY / e-Naira)</t>
  </si>
  <si>
    <t xml:space="preserve">Necessary single-condition kandidáti: DPLAW, DEMO.</t>
  </si>
  <si>
    <t xml:space="preserve">Robustness: (a) DGE↔MIMIC v INFORMAL; (b) WGI RL↔V-Dem polyarchy; (c) jiné prahy pro Chainalysis a Basel.</t>
  </si>
  <si>
    <t xml:space="preserve">Theory-Weighted Susceptibility Index (TWSI) — predikce P(PRIV_ROBUST=1)</t>
  </si>
  <si>
    <t xml:space="preserve">VERZE 3 (revize): Toto NENÍ pravý probit (žádné MLE, žádné std. errors, žádné p-hodnoty). Je to deterministický theory-weighted index. β jsou subjektivně odvozeny z H1a–H9a. n=7 nedostačuje pro inferenci. Imputované prediktory (n_imp ≥ 3) značeny ‚nízká jistota'.</t>
  </si>
  <si>
    <t xml:space="preserve">Koeficienty β (theory-driven)</t>
  </si>
  <si>
    <t xml:space="preserve">Prediktor</t>
  </si>
  <si>
    <t xml:space="preserve">β</t>
  </si>
  <si>
    <t xml:space="preserve">Hypotéza</t>
  </si>
  <si>
    <t xml:space="preserve">Znaménko z H1a</t>
  </si>
  <si>
    <t xml:space="preserve">intercept</t>
  </si>
  <si>
    <t xml:space="preserve">baseline</t>
  </si>
  <si>
    <t xml:space="preserve">DEMO</t>
  </si>
  <si>
    <t xml:space="preserve">H1a</t>
  </si>
  <si>
    <t xml:space="preserve">+ silně</t>
  </si>
  <si>
    <t xml:space="preserve">RL</t>
  </si>
  <si>
    <t xml:space="preserve">H2a</t>
  </si>
  <si>
    <t xml:space="preserve">GE</t>
  </si>
  <si>
    <t xml:space="preserve">H2b</t>
  </si>
  <si>
    <t xml:space="preserve">− (counter)</t>
  </si>
  <si>
    <t xml:space="preserve">CBI</t>
  </si>
  <si>
    <t xml:space="preserve">H3a</t>
  </si>
  <si>
    <t xml:space="preserve">INF</t>
  </si>
  <si>
    <t xml:space="preserve">H4</t>
  </si>
  <si>
    <t xml:space="preserve">+ slabě / ambiv.</t>
  </si>
  <si>
    <t xml:space="preserve">AML</t>
  </si>
  <si>
    <t xml:space="preserve">H5a</t>
  </si>
  <si>
    <t xml:space="preserve">− silně</t>
  </si>
  <si>
    <t xml:space="preserve">CRYPTO</t>
  </si>
  <si>
    <t xml:space="preserve">H6</t>
  </si>
  <si>
    <t xml:space="preserve">+ ambiv.</t>
  </si>
  <si>
    <t xml:space="preserve">FIN</t>
  </si>
  <si>
    <t xml:space="preserve">H7b</t>
  </si>
  <si>
    <t xml:space="preserve">+ counter</t>
  </si>
  <si>
    <t xml:space="preserve">MMRI</t>
  </si>
  <si>
    <t xml:space="preserve">H8a</t>
  </si>
  <si>
    <t xml:space="preserve">DPLAW</t>
  </si>
  <si>
    <t xml:space="preserve">H9a</t>
  </si>
  <si>
    <t xml:space="preserve">DEMO_x_INF</t>
  </si>
  <si>
    <t xml:space="preserve">H4 inter.</t>
  </si>
  <si>
    <t xml:space="preserve">+ raw škály (varianta B)</t>
  </si>
  <si>
    <t xml:space="preserve">DEMO_x_CRYPTO</t>
  </si>
  <si>
    <t xml:space="preserve">H6 inter.</t>
  </si>
  <si>
    <t xml:space="preserve">+ raw × dummy (varianta B)</t>
  </si>
  <si>
    <t xml:space="preserve">DEMO_x_FIN</t>
  </si>
  <si>
    <t xml:space="preserve">H7 inter.</t>
  </si>
  <si>
    <t xml:space="preserve">+ raw × raw (varianta B)</t>
  </si>
  <si>
    <t xml:space="preserve">⚠ ERRATUM v3: (1) Přejmenováno z 'probit' na TWSI (terminologická transparentnost — toto není inferenční model). (2) Přidán n_imputed tracking + flag 'low_confidence'. (3) Sensitivity ±20% potvrzuje, že klasifikace všech 6 testovaných zemí je robustní vůči 20% odchylkám v klíčových β. (4) Brier/r reportovány na 2 desetinná místa (přiměřeno SE při n=7).</t>
  </si>
  <si>
    <t xml:space="preserve">Test run — empirické DV z kvalitativní analýzy (n=7)</t>
  </si>
  <si>
    <t xml:space="preserve">ISO</t>
  </si>
  <si>
    <t xml:space="preserve">TWSI</t>
  </si>
  <si>
    <t xml:space="preserve">η</t>
  </si>
  <si>
    <t xml:space="preserve">PRIV_obs (DV)</t>
  </si>
  <si>
    <t xml:space="preserve">PRIV total</t>
  </si>
  <si>
    <t xml:space="preserve">STRONG</t>
  </si>
  <si>
    <t xml:space="preserve">Match</t>
  </si>
  <si>
    <t xml:space="preserve">n_imp</t>
  </si>
  <si>
    <t xml:space="preserve">Čína</t>
  </si>
  <si>
    <t xml:space="preserve">✓</t>
  </si>
  <si>
    <t xml:space="preserve">Eurozóna</t>
  </si>
  <si>
    <t xml:space="preserve">✗</t>
  </si>
  <si>
    <t xml:space="preserve">Izrael</t>
  </si>
  <si>
    <t xml:space="preserve">Indie</t>
  </si>
  <si>
    <t xml:space="preserve">Švédsko</t>
  </si>
  <si>
    <t xml:space="preserve">UK</t>
  </si>
  <si>
    <t xml:space="preserve">Predikce pro 88 jurisdikcí (sestupně podle P(PRIV_ROBUST))</t>
  </si>
  <si>
    <t xml:space="preserve">Rank</t>
  </si>
  <si>
    <t xml:space="preserve">Klasifikace</t>
  </si>
  <si>
    <t xml:space="preserve">Jistota</t>
  </si>
  <si>
    <t xml:space="preserve">ROBUST</t>
  </si>
  <si>
    <t xml:space="preserve">OK</t>
  </si>
  <si>
    <t xml:space="preserve">nízká</t>
  </si>
  <si>
    <t xml:space="preserve">NOT ROBUST</t>
  </si>
  <si>
    <t xml:space="preserve">Sensitivity analýza ±20 % na klíčových β (DEMO, RL, AML, DPLAW, DEMO×INF)</t>
  </si>
  <si>
    <t xml:space="preserve">Pro každou testovací zemi: TWSI při bázových β, TWSI při ±20 % současné perturbaci klíčových β, a Δmax. Klasifikace 'ROBUSTNÍ' = TWSI nepřekročí 0,5 v žádném směru.</t>
  </si>
  <si>
    <t xml:space="preserve">DV</t>
  </si>
  <si>
    <t xml:space="preserve">TWSI base</t>
  </si>
  <si>
    <t xml:space="preserve">TWSI worst-low</t>
  </si>
  <si>
    <t xml:space="preserve">TWSI worst-high</t>
  </si>
  <si>
    <t xml:space="preserve">Δmax</t>
  </si>
  <si>
    <t xml:space="preserve">ROBUSTNÍ</t>
  </si>
  <si>
    <t xml:space="preserve">✓ Závěr: Klasifikace všech 6 testovaných zemí (CHN, USA, GBR, ISR, SWE, IND) zůstává stabilní při ±20 % perturbaci klíčových β. Maximální Δmax = 0,10 (ISR). Predikce TWSI je vůči volbě β robustní.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</si>
</sst>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.0"/>
    <numFmt numFmtId="168" formatCode="0.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1696F"/>
      <name val="Calibri"/>
      <family val="0"/>
      <charset val="1"/>
    </font>
    <font>
      <i val="true"/>
      <sz val="10"/>
      <color rgb="FF7A7974"/>
      <name val="Calibri"/>
      <family val="0"/>
      <charset val="1"/>
    </font>
    <font>
      <b val="true"/>
      <sz val="11"/>
      <color rgb="FF28251D"/>
      <name val="Calibri"/>
      <family val="0"/>
      <charset val="1"/>
    </font>
    <font>
      <sz val="11"/>
      <color rgb="FF28251D"/>
      <name val="Calibri"/>
      <family val="0"/>
      <charset val="1"/>
    </font>
    <font>
      <b val="true"/>
      <sz val="12"/>
      <color rgb="FF28251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28251D"/>
      <name val="Consolas"/>
      <family val="0"/>
      <charset val="1"/>
    </font>
    <font>
      <u val="single"/>
      <sz val="10"/>
      <color rgb="FF01696F"/>
      <name val="Calibri"/>
      <family val="0"/>
      <charset val="1"/>
    </font>
    <font>
      <sz val="10"/>
      <color rgb="FF28251D"/>
      <name val="Calibri"/>
      <family val="0"/>
      <charset val="1"/>
    </font>
    <font>
      <b val="true"/>
      <sz val="16"/>
      <color rgb="FF01696F"/>
      <name val="Calibri"/>
      <family val="0"/>
      <charset val="1"/>
    </font>
    <font>
      <b val="true"/>
      <sz val="12"/>
      <color rgb="FF01696F"/>
      <name val="Calibri"/>
      <family val="0"/>
      <charset val="1"/>
    </font>
    <font>
      <sz val="11"/>
      <color rgb="FFA12C7B"/>
      <name val="Calibri"/>
      <family val="0"/>
      <charset val="1"/>
    </font>
    <font>
      <b val="true"/>
      <sz val="11"/>
      <color rgb="FFA12C7B"/>
      <name val="Calibri"/>
      <family val="0"/>
      <charset val="1"/>
    </font>
    <font>
      <sz val="11"/>
      <color rgb="FF437A22"/>
      <name val="Calibri"/>
      <family val="0"/>
      <charset val="1"/>
    </font>
    <font>
      <b val="true"/>
      <sz val="11"/>
      <color rgb="FF437A22"/>
      <name val="Calibri"/>
      <family val="0"/>
      <charset val="1"/>
    </font>
    <font>
      <i val="true"/>
      <sz val="9"/>
      <color rgb="FF7A7974"/>
      <name val="Inter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964219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437A22"/>
      <name val="Cambria"/>
      <family val="0"/>
      <charset val="1"/>
    </font>
    <font>
      <i val="true"/>
      <sz val="11"/>
      <color rgb="FF437A22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CE2E7"/>
        <bgColor rgb="FFD4D1CA"/>
      </patternFill>
    </fill>
    <fill>
      <patternFill patternType="solid">
        <fgColor rgb="FF01696F"/>
        <bgColor rgb="FF008080"/>
      </patternFill>
    </fill>
    <fill>
      <patternFill patternType="solid">
        <fgColor rgb="FFDDF0E0"/>
        <bgColor rgb="FFDFEDD3"/>
      </patternFill>
    </fill>
    <fill>
      <patternFill patternType="solid">
        <fgColor rgb="FFFBE2EC"/>
        <bgColor rgb="FFF6E8C7"/>
      </patternFill>
    </fill>
    <fill>
      <patternFill patternType="solid">
        <fgColor rgb="FFF4E5C2"/>
        <bgColor rgb="FFF6E8C7"/>
      </patternFill>
    </fill>
    <fill>
      <patternFill patternType="solid">
        <fgColor rgb="FFF9F8F5"/>
        <bgColor rgb="FFFFFFFF"/>
      </patternFill>
    </fill>
    <fill>
      <patternFill patternType="solid">
        <fgColor rgb="FFF6E8C7"/>
        <bgColor rgb="FFF4E5C2"/>
      </patternFill>
    </fill>
    <fill>
      <patternFill patternType="solid">
        <fgColor rgb="FFDFEDD3"/>
        <bgColor rgb="FFDDF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9">
    <dxf>
      <fill>
        <patternFill patternType="solid">
          <fgColor rgb="FF01696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8251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F0E0"/>
          <bgColor rgb="FF000000"/>
        </patternFill>
      </fill>
    </dxf>
    <dxf>
      <fill>
        <patternFill patternType="solid">
          <fgColor rgb="FFDFEFDD"/>
          <bgColor rgb="FF000000"/>
        </patternFill>
      </fill>
    </dxf>
    <dxf>
      <fill>
        <patternFill patternType="solid">
          <fgColor rgb="FFDFEFDE"/>
          <bgColor rgb="FF000000"/>
        </patternFill>
      </fill>
    </dxf>
    <dxf>
      <fill>
        <patternFill patternType="solid">
          <fgColor rgb="FFE0EEDC"/>
          <bgColor rgb="FF000000"/>
        </patternFill>
      </fill>
    </dxf>
    <dxf>
      <fill>
        <patternFill patternType="solid">
          <fgColor rgb="FFE0EEDD"/>
          <bgColor rgb="FF000000"/>
        </patternFill>
      </fill>
    </dxf>
    <dxf>
      <fill>
        <patternFill patternType="solid">
          <fgColor rgb="FFE1EEDB"/>
          <bgColor rgb="FF000000"/>
        </patternFill>
      </fill>
    </dxf>
    <dxf>
      <fill>
        <patternFill patternType="solid">
          <fgColor rgb="FFE2EDD9"/>
          <bgColor rgb="FF000000"/>
        </patternFill>
      </fill>
    </dxf>
    <dxf>
      <fill>
        <patternFill patternType="solid">
          <fgColor rgb="FFE2EDDA"/>
          <bgColor rgb="FF000000"/>
        </patternFill>
      </fill>
    </dxf>
    <dxf>
      <fill>
        <patternFill patternType="solid">
          <fgColor rgb="FFE2EEDA"/>
          <bgColor rgb="FF000000"/>
        </patternFill>
      </fill>
    </dxf>
    <dxf>
      <fill>
        <patternFill patternType="solid">
          <fgColor rgb="FFE3EDD8"/>
          <bgColor rgb="FF000000"/>
        </patternFill>
      </fill>
    </dxf>
    <dxf>
      <fill>
        <patternFill patternType="solid">
          <fgColor rgb="FFE3EDD9"/>
          <bgColor rgb="FF000000"/>
        </patternFill>
      </fill>
    </dxf>
    <dxf>
      <fill>
        <patternFill patternType="solid">
          <fgColor rgb="FFE4ECD7"/>
          <bgColor rgb="FF000000"/>
        </patternFill>
      </fill>
    </dxf>
    <dxf>
      <fill>
        <patternFill patternType="solid">
          <fgColor rgb="FFE5ECD6"/>
          <bgColor rgb="FF000000"/>
        </patternFill>
      </fill>
    </dxf>
    <dxf>
      <fill>
        <patternFill patternType="solid">
          <fgColor rgb="FFE7EBD3"/>
          <bgColor rgb="FF000000"/>
        </patternFill>
      </fill>
    </dxf>
    <dxf>
      <fill>
        <patternFill patternType="solid">
          <fgColor rgb="FFE9EAD1"/>
          <bgColor rgb="FF000000"/>
        </patternFill>
      </fill>
    </dxf>
    <dxf>
      <fill>
        <patternFill patternType="solid">
          <fgColor rgb="FFEAE9CF"/>
          <bgColor rgb="FF000000"/>
        </patternFill>
      </fill>
    </dxf>
    <dxf>
      <fill>
        <patternFill patternType="solid">
          <fgColor rgb="FFEAEACF"/>
          <bgColor rgb="FF000000"/>
        </patternFill>
      </fill>
    </dxf>
    <dxf>
      <fill>
        <patternFill patternType="solid">
          <fgColor rgb="FFEAEAD0"/>
          <bgColor rgb="FF000000"/>
        </patternFill>
      </fill>
    </dxf>
    <dxf>
      <fill>
        <patternFill patternType="solid">
          <fgColor rgb="FFEBE9CE"/>
          <bgColor rgb="FF000000"/>
        </patternFill>
      </fill>
    </dxf>
    <dxf>
      <fill>
        <patternFill patternType="solid">
          <fgColor rgb="FFEDE8CB"/>
          <bgColor rgb="FF000000"/>
        </patternFill>
      </fill>
    </dxf>
    <dxf>
      <fill>
        <patternFill patternType="solid">
          <fgColor rgb="FFEDE8CC"/>
          <bgColor rgb="FF000000"/>
        </patternFill>
      </fill>
    </dxf>
    <dxf>
      <fill>
        <patternFill patternType="solid">
          <fgColor rgb="FFEFE7C8"/>
          <bgColor rgb="FF000000"/>
        </patternFill>
      </fill>
    </dxf>
    <dxf>
      <fill>
        <patternFill patternType="solid">
          <fgColor rgb="FFEFE7C9"/>
          <bgColor rgb="FF000000"/>
        </patternFill>
      </fill>
    </dxf>
    <dxf>
      <fill>
        <patternFill patternType="solid">
          <fgColor rgb="FFF0E7C8"/>
          <bgColor rgb="FF000000"/>
        </patternFill>
      </fill>
    </dxf>
    <dxf>
      <fill>
        <patternFill patternType="solid">
          <fgColor rgb="FFF1E6C6"/>
          <bgColor rgb="FF000000"/>
        </patternFill>
      </fill>
    </dxf>
    <dxf>
      <fill>
        <patternFill patternType="solid">
          <fgColor rgb="FFF2E6C4"/>
          <bgColor rgb="FF000000"/>
        </patternFill>
      </fill>
    </dxf>
    <dxf>
      <fill>
        <patternFill patternType="solid">
          <fgColor rgb="FFF2E6C5"/>
          <bgColor rgb="FF000000"/>
        </patternFill>
      </fill>
    </dxf>
    <dxf>
      <fill>
        <patternFill patternType="solid">
          <fgColor rgb="FFF3E5C3"/>
          <bgColor rgb="FF000000"/>
        </patternFill>
      </fill>
    </dxf>
    <dxf>
      <fill>
        <patternFill patternType="solid">
          <fgColor rgb="FFF5E4C4"/>
          <bgColor rgb="FF000000"/>
        </patternFill>
      </fill>
    </dxf>
    <dxf>
      <fill>
        <patternFill patternType="solid">
          <fgColor rgb="FFF5E4C5"/>
          <bgColor rgb="FF000000"/>
        </patternFill>
      </fill>
    </dxf>
    <dxf>
      <fill>
        <patternFill patternType="solid">
          <fgColor rgb="FFF5E4C7"/>
          <bgColor rgb="FF000000"/>
        </patternFill>
      </fill>
    </dxf>
    <dxf>
      <fill>
        <patternFill patternType="solid">
          <fgColor rgb="FFF6E4C9"/>
          <bgColor rgb="FF000000"/>
        </patternFill>
      </fill>
    </dxf>
    <dxf>
      <fill>
        <patternFill patternType="solid">
          <fgColor rgb="FFF6E4CB"/>
          <bgColor rgb="FF000000"/>
        </patternFill>
      </fill>
    </dxf>
    <dxf>
      <fill>
        <patternFill patternType="solid">
          <fgColor rgb="FFF6E4CC"/>
          <bgColor rgb="FF000000"/>
        </patternFill>
      </fill>
    </dxf>
    <dxf>
      <fill>
        <patternFill patternType="solid">
          <fgColor rgb="FFF6E4CD"/>
          <bgColor rgb="FF000000"/>
        </patternFill>
      </fill>
    </dxf>
    <dxf>
      <fill>
        <patternFill patternType="solid">
          <fgColor rgb="FFF6E4CE"/>
          <bgColor rgb="FF000000"/>
        </patternFill>
      </fill>
    </dxf>
    <dxf>
      <fill>
        <patternFill patternType="solid">
          <fgColor rgb="FFF7E3D2"/>
          <bgColor rgb="FF000000"/>
        </patternFill>
      </fill>
    </dxf>
    <dxf>
      <fill>
        <patternFill patternType="solid">
          <fgColor rgb="FFF7E3D3"/>
          <bgColor rgb="FF000000"/>
        </patternFill>
      </fill>
    </dxf>
    <dxf>
      <fill>
        <patternFill patternType="solid">
          <fgColor rgb="FFF7E4CF"/>
          <bgColor rgb="FF000000"/>
        </patternFill>
      </fill>
    </dxf>
    <dxf>
      <fill>
        <patternFill patternType="solid">
          <fgColor rgb="FFF8E3D5"/>
          <bgColor rgb="FF000000"/>
        </patternFill>
      </fill>
    </dxf>
    <dxf>
      <fill>
        <patternFill patternType="solid">
          <fgColor rgb="FFF8E3D6"/>
          <bgColor rgb="FF000000"/>
        </patternFill>
      </fill>
    </dxf>
    <dxf>
      <fill>
        <patternFill patternType="solid">
          <fgColor rgb="FFF8E3D7"/>
          <bgColor rgb="FF000000"/>
        </patternFill>
      </fill>
    </dxf>
    <dxf>
      <fill>
        <patternFill patternType="solid">
          <fgColor rgb="FFF8E3D8"/>
          <bgColor rgb="FF000000"/>
        </patternFill>
      </fill>
    </dxf>
    <dxf>
      <fill>
        <patternFill patternType="solid">
          <fgColor rgb="FFF8E3D9"/>
          <bgColor rgb="FF000000"/>
        </patternFill>
      </fill>
    </dxf>
    <dxf>
      <fill>
        <patternFill patternType="solid">
          <fgColor rgb="FFF9E2DF"/>
          <bgColor rgb="FF000000"/>
        </patternFill>
      </fill>
    </dxf>
    <dxf>
      <fill>
        <patternFill patternType="solid">
          <fgColor rgb="FFF9E2E0"/>
          <bgColor rgb="FF000000"/>
        </patternFill>
      </fill>
    </dxf>
    <dxf>
      <fill>
        <patternFill patternType="solid">
          <fgColor rgb="FFF9E3DE"/>
          <bgColor rgb="FF000000"/>
        </patternFill>
      </fill>
    </dxf>
    <dxf>
      <fill>
        <patternFill patternType="solid">
          <fgColor rgb="FFFAE2E1"/>
          <bgColor rgb="FF000000"/>
        </patternFill>
      </fill>
    </dxf>
    <dxf>
      <fill>
        <patternFill patternType="solid">
          <fgColor rgb="FFFAE2E3"/>
          <bgColor rgb="FF000000"/>
        </patternFill>
      </fill>
    </dxf>
    <dxf>
      <fill>
        <patternFill patternType="solid">
          <fgColor rgb="FFFAE2E4"/>
          <bgColor rgb="FF000000"/>
        </patternFill>
      </fill>
    </dxf>
    <dxf>
      <fill>
        <patternFill patternType="solid">
          <fgColor rgb="FFFAE2E5"/>
          <bgColor rgb="FF000000"/>
        </patternFill>
      </fill>
    </dxf>
    <dxf>
      <fill>
        <patternFill patternType="solid">
          <fgColor rgb="FFFBE2E7"/>
          <bgColor rgb="FF000000"/>
        </patternFill>
      </fill>
    </dxf>
    <dxf>
      <fill>
        <patternFill patternType="solid">
          <fgColor rgb="FFFBE2E8"/>
          <bgColor rgb="FF000000"/>
        </patternFill>
      </fill>
    </dxf>
    <dxf>
      <fill>
        <patternFill patternType="solid">
          <fgColor rgb="FFFBE2EC"/>
          <bgColor rgb="FF000000"/>
        </patternFill>
      </fill>
    </dxf>
    <dxf>
      <fill>
        <patternFill patternType="solid">
          <fgColor rgb="FFE6EBD4"/>
          <bgColor rgb="FF000000"/>
        </patternFill>
      </fill>
    </dxf>
    <dxf>
      <fill>
        <patternFill patternType="solid">
          <fgColor rgb="FFE6ECD5"/>
          <bgColor rgb="FF000000"/>
        </patternFill>
      </fill>
    </dxf>
    <dxf>
      <fill>
        <patternFill patternType="solid">
          <fgColor rgb="FFF0E7C7"/>
          <bgColor rgb="FF000000"/>
        </patternFill>
      </fill>
    </dxf>
    <dxf>
      <fill>
        <patternFill patternType="solid">
          <fgColor rgb="FFF1E6C7"/>
          <bgColor rgb="FF000000"/>
        </patternFill>
      </fill>
    </dxf>
    <dxf>
      <fill>
        <patternFill patternType="solid">
          <fgColor rgb="FFF4E5C2"/>
          <bgColor rgb="FF000000"/>
        </patternFill>
      </fill>
    </dxf>
    <dxf>
      <fill>
        <patternFill patternType="solid">
          <fgColor rgb="FFF4E5C3"/>
          <bgColor rgb="FF000000"/>
        </patternFill>
      </fill>
    </dxf>
    <dxf>
      <fill>
        <patternFill patternType="solid">
          <fgColor rgb="FFF7E3D1"/>
          <bgColor rgb="FF000000"/>
        </patternFill>
      </fill>
    </dxf>
    <dxf>
      <fill>
        <patternFill patternType="solid">
          <fgColor rgb="FFF8E3DA"/>
          <bgColor rgb="FF000000"/>
        </patternFill>
      </fill>
    </dxf>
    <dxf>
      <fill>
        <patternFill patternType="solid">
          <fgColor rgb="FFF9E3DD"/>
          <bgColor rgb="FF000000"/>
        </patternFill>
      </fill>
    </dxf>
    <dxf>
      <fill>
        <patternFill patternType="solid">
          <fgColor rgb="FFFAE2E2"/>
          <bgColor rgb="FF000000"/>
        </patternFill>
      </fill>
    </dxf>
    <dxf>
      <fill>
        <patternFill patternType="solid">
          <fgColor rgb="FFFAE2E6"/>
          <bgColor rgb="FF000000"/>
        </patternFill>
      </fill>
    </dxf>
    <dxf>
      <fill>
        <patternFill patternType="solid">
          <fgColor rgb="FFFBE2E9"/>
          <bgColor rgb="FF000000"/>
        </patternFill>
      </fill>
    </dxf>
    <dxf>
      <fill>
        <patternFill patternType="solid">
          <fgColor rgb="FFFBE2EA"/>
          <bgColor rgb="FF000000"/>
        </patternFill>
      </fill>
    </dxf>
    <dxf>
      <fill>
        <patternFill patternType="solid">
          <fgColor rgb="FFDEEFDF"/>
          <bgColor rgb="FF000000"/>
        </patternFill>
      </fill>
    </dxf>
    <dxf>
      <fill>
        <patternFill patternType="solid">
          <fgColor rgb="FFE4EDD8"/>
          <bgColor rgb="FF000000"/>
        </patternFill>
      </fill>
    </dxf>
    <dxf>
      <fill>
        <patternFill patternType="solid">
          <fgColor rgb="FFE8EAD1"/>
          <bgColor rgb="FF000000"/>
        </patternFill>
      </fill>
    </dxf>
    <dxf>
      <fill>
        <patternFill patternType="solid">
          <fgColor rgb="FFE8EAD2"/>
          <bgColor rgb="FF000000"/>
        </patternFill>
      </fill>
    </dxf>
    <dxf>
      <fill>
        <patternFill patternType="solid">
          <fgColor rgb="FFE9EAD0"/>
          <bgColor rgb="FF000000"/>
        </patternFill>
      </fill>
    </dxf>
    <dxf>
      <fill>
        <patternFill patternType="solid">
          <fgColor rgb="FFEEE8CA"/>
          <bgColor rgb="FF000000"/>
        </patternFill>
      </fill>
    </dxf>
    <dxf>
      <fill>
        <patternFill patternType="solid">
          <fgColor rgb="FFEEE8CB"/>
          <bgColor rgb="FF000000"/>
        </patternFill>
      </fill>
    </dxf>
    <dxf>
      <fill>
        <patternFill patternType="solid">
          <fgColor rgb="FFF2E5C4"/>
          <bgColor rgb="FF000000"/>
        </patternFill>
      </fill>
    </dxf>
    <dxf>
      <fill>
        <patternFill patternType="solid">
          <fgColor rgb="FFF5E4C6"/>
          <bgColor rgb="FF000000"/>
        </patternFill>
      </fill>
    </dxf>
    <dxf>
      <fill>
        <patternFill patternType="solid">
          <fgColor rgb="FFF5E4C8"/>
          <bgColor rgb="FF000000"/>
        </patternFill>
      </fill>
    </dxf>
    <dxf>
      <fill>
        <patternFill patternType="solid">
          <fgColor rgb="FFF6E4CA"/>
          <bgColor rgb="FF000000"/>
        </patternFill>
      </fill>
    </dxf>
    <dxf>
      <fill>
        <patternFill patternType="solid">
          <fgColor rgb="FFF7E3D4"/>
          <bgColor rgb="FF000000"/>
        </patternFill>
      </fill>
    </dxf>
    <dxf>
      <fill>
        <patternFill patternType="solid">
          <fgColor rgb="FFF9E3DB"/>
          <bgColor rgb="FF000000"/>
        </patternFill>
      </fill>
    </dxf>
    <dxf>
      <fill>
        <patternFill patternType="solid">
          <fgColor rgb="FFF9E3DC"/>
          <bgColor rgb="FF000000"/>
        </patternFill>
      </fill>
    </dxf>
    <dxf>
      <fill>
        <patternFill patternType="solid">
          <fgColor rgb="FFE0EFDD"/>
          <bgColor rgb="FF000000"/>
        </patternFill>
      </fill>
    </dxf>
    <dxf>
      <fill>
        <patternFill patternType="solid">
          <fgColor rgb="FFE4EDD7"/>
          <bgColor rgb="FF000000"/>
        </patternFill>
      </fill>
    </dxf>
    <dxf>
      <fill>
        <patternFill patternType="solid">
          <fgColor rgb="FFECE9CD"/>
          <bgColor rgb="FF000000"/>
        </patternFill>
      </fill>
    </dxf>
    <dxf>
      <fill>
        <patternFill patternType="solid">
          <fgColor rgb="FFEEE7CA"/>
          <bgColor rgb="FF000000"/>
        </patternFill>
      </fill>
    </dxf>
    <dxf>
      <fill>
        <patternFill patternType="solid">
          <fgColor rgb="FFF5E4C3"/>
          <bgColor rgb="FF000000"/>
        </patternFill>
      </fill>
    </dxf>
    <dxf>
      <fill>
        <patternFill patternType="solid">
          <fgColor rgb="FFF7E4D0"/>
          <bgColor rgb="FF000000"/>
        </patternFill>
      </fill>
    </dxf>
    <dxf>
      <fill>
        <patternFill patternType="solid">
          <fgColor rgb="FFFBE2EB"/>
          <bgColor rgb="FF000000"/>
        </patternFill>
      </fill>
    </dxf>
    <dxf>
      <fill>
        <patternFill patternType="solid">
          <fgColor rgb="FFE7EBD4"/>
          <bgColor rgb="FF000000"/>
        </patternFill>
      </fill>
    </dxf>
    <dxf>
      <fill>
        <patternFill patternType="solid">
          <fgColor rgb="FFE8EBD2"/>
          <bgColor rgb="FF000000"/>
        </patternFill>
      </fill>
    </dxf>
    <dxf>
      <fill>
        <patternFill patternType="solid">
          <fgColor rgb="FFEBE9CF"/>
          <bgColor rgb="FF000000"/>
        </patternFill>
      </fill>
    </dxf>
    <dxf>
      <fill>
        <patternFill patternType="solid">
          <fgColor rgb="FFECE8CC"/>
          <bgColor rgb="FF000000"/>
        </patternFill>
      </fill>
    </dxf>
    <dxf>
      <fill>
        <patternFill patternType="solid">
          <fgColor rgb="FFEEE7C9"/>
          <bgColor rgb="FF000000"/>
        </patternFill>
      </fill>
    </dxf>
    <dxf>
      <fill>
        <patternFill patternType="solid">
          <fgColor rgb="FFF0E6C7"/>
          <bgColor rgb="FF000000"/>
        </patternFill>
      </fill>
    </dxf>
    <dxf>
      <fill>
        <patternFill patternType="solid">
          <fgColor rgb="FFF3E5C4"/>
          <bgColor rgb="FF000000"/>
        </patternFill>
      </fill>
    </dxf>
    <dxf>
      <fill>
        <patternFill patternType="solid">
          <fgColor rgb="FFE1EEDA"/>
          <bgColor rgb="FF000000"/>
        </patternFill>
      </fill>
    </dxf>
    <dxf>
      <fill>
        <patternFill patternType="solid">
          <fgColor rgb="FFE4ECD6"/>
          <bgColor rgb="FF000000"/>
        </patternFill>
      </fill>
    </dxf>
    <dxf>
      <fill>
        <patternFill patternType="solid">
          <fgColor rgb="FFEBE9CD"/>
          <bgColor rgb="FF000000"/>
        </patternFill>
      </fill>
    </dxf>
    <dxf>
      <fill>
        <patternFill patternType="solid">
          <fgColor rgb="FFE5ECD5"/>
          <bgColor rgb="FF000000"/>
        </patternFill>
      </fill>
    </dxf>
    <dxf>
      <fill>
        <patternFill patternType="solid">
          <fgColor rgb="FFF1E6C5"/>
          <bgColor rgb="FF000000"/>
        </patternFill>
      </fill>
    </dxf>
    <dxf>
      <fill>
        <patternFill patternType="solid">
          <fgColor rgb="FFDEF0DE"/>
          <bgColor rgb="FF000000"/>
        </patternFill>
      </fill>
    </dxf>
    <dxf>
      <fill>
        <patternFill patternType="solid">
          <fgColor rgb="FFE0EFDC"/>
          <bgColor rgb="FF000000"/>
        </patternFill>
      </fill>
    </dxf>
    <dxf>
      <fill>
        <patternFill patternType="solid">
          <fgColor rgb="FFE1EFDB"/>
          <bgColor rgb="FF000000"/>
        </patternFill>
      </fill>
    </dxf>
    <dxf>
      <fill>
        <patternFill patternType="solid">
          <fgColor rgb="FFE5EDD6"/>
          <bgColor rgb="FF000000"/>
        </patternFill>
      </fill>
    </dxf>
    <dxf>
      <fill>
        <patternFill patternType="solid">
          <fgColor rgb="FFE6ECD4"/>
          <bgColor rgb="FF000000"/>
        </patternFill>
      </fill>
    </dxf>
    <dxf>
      <fill>
        <patternFill patternType="solid">
          <fgColor rgb="FFE8EBD1"/>
          <bgColor rgb="FF000000"/>
        </patternFill>
      </fill>
    </dxf>
    <dxf>
      <fill>
        <patternFill patternType="solid">
          <fgColor rgb="FFE9EBD0"/>
          <bgColor rgb="FF000000"/>
        </patternFill>
      </fill>
    </dxf>
    <dxf>
      <fill>
        <patternFill patternType="solid">
          <fgColor rgb="FFE9EBD1"/>
          <bgColor rgb="FF000000"/>
        </patternFill>
      </fill>
    </dxf>
    <dxf>
      <fill>
        <patternFill patternType="solid">
          <fgColor rgb="FFECE9CC"/>
          <bgColor rgb="FF000000"/>
        </patternFill>
      </fill>
    </dxf>
    <dxf>
      <fill>
        <patternFill patternType="solid">
          <fgColor rgb="FFEEE8C9"/>
          <bgColor rgb="FF000000"/>
        </patternFill>
      </fill>
    </dxf>
    <dxf>
      <fill>
        <patternFill patternType="solid">
          <fgColor rgb="FFEFE8C8"/>
          <bgColor rgb="FF000000"/>
        </patternFill>
      </fill>
    </dxf>
    <dxf>
      <fill>
        <patternFill patternType="solid">
          <fgColor rgb="FFF1E7C6"/>
          <bgColor rgb="FF000000"/>
        </patternFill>
      </fill>
    </dxf>
    <dxf>
      <fill>
        <patternFill patternType="solid">
          <fgColor rgb="FFF3E6C3"/>
          <bgColor rgb="FF000000"/>
        </patternFill>
      </fill>
    </dxf>
    <dxf>
      <fill>
        <patternFill patternType="solid">
          <fgColor rgb="FFF4E5C4"/>
          <bgColor rgb="FF000000"/>
        </patternFill>
      </fill>
    </dxf>
    <dxf>
      <fill>
        <patternFill patternType="solid">
          <fgColor rgb="FFF4E5C5"/>
          <bgColor rgb="FF000000"/>
        </patternFill>
      </fill>
    </dxf>
    <dxf>
      <fill>
        <patternFill patternType="solid">
          <fgColor rgb="FFF4E5C7"/>
          <bgColor rgb="FF000000"/>
        </patternFill>
      </fill>
    </dxf>
    <dxf>
      <fill>
        <patternFill patternType="solid">
          <fgColor rgb="FFF5E5C8"/>
          <bgColor rgb="FF000000"/>
        </patternFill>
      </fill>
    </dxf>
    <dxf>
      <fill>
        <patternFill patternType="solid">
          <fgColor rgb="FFF5E5C9"/>
          <bgColor rgb="FF000000"/>
        </patternFill>
      </fill>
    </dxf>
    <dxf>
      <fill>
        <patternFill patternType="solid">
          <fgColor rgb="FFF5E5CA"/>
          <bgColor rgb="FF000000"/>
        </patternFill>
      </fill>
    </dxf>
    <dxf>
      <fill>
        <patternFill patternType="solid">
          <fgColor rgb="FFF5E5CB"/>
          <bgColor rgb="FF000000"/>
        </patternFill>
      </fill>
    </dxf>
    <dxf>
      <fill>
        <patternFill patternType="solid">
          <fgColor rgb="FFF5E5CC"/>
          <bgColor rgb="FF000000"/>
        </patternFill>
      </fill>
    </dxf>
    <dxf>
      <fill>
        <patternFill patternType="solid">
          <fgColor rgb="FFF5E5CD"/>
          <bgColor rgb="FF000000"/>
        </patternFill>
      </fill>
    </dxf>
    <dxf>
      <fill>
        <patternFill patternType="solid">
          <fgColor rgb="FFF6E4D0"/>
          <bgColor rgb="FF000000"/>
        </patternFill>
      </fill>
    </dxf>
    <dxf>
      <fill>
        <patternFill patternType="solid">
          <fgColor rgb="FFF6E4D3"/>
          <bgColor rgb="FF000000"/>
        </patternFill>
      </fill>
    </dxf>
    <dxf>
      <fill>
        <patternFill patternType="solid">
          <fgColor rgb="FFF6E5CF"/>
          <bgColor rgb="FF000000"/>
        </patternFill>
      </fill>
    </dxf>
    <dxf>
      <fill>
        <patternFill patternType="solid">
          <fgColor rgb="FFF7E4D5"/>
          <bgColor rgb="FF000000"/>
        </patternFill>
      </fill>
    </dxf>
    <dxf>
      <fill>
        <patternFill patternType="solid">
          <fgColor rgb="FFF7E4D7"/>
          <bgColor rgb="FF000000"/>
        </patternFill>
      </fill>
    </dxf>
    <dxf>
      <fill>
        <patternFill patternType="solid">
          <fgColor rgb="FFF8E4DA"/>
          <bgColor rgb="FF000000"/>
        </patternFill>
      </fill>
    </dxf>
    <dxf>
      <fill>
        <patternFill patternType="solid">
          <fgColor rgb="FFF8E4DB"/>
          <bgColor rgb="FF000000"/>
        </patternFill>
      </fill>
    </dxf>
    <dxf>
      <fill>
        <patternFill patternType="solid">
          <fgColor rgb="FFF9E3E5"/>
          <bgColor rgb="FF000000"/>
        </patternFill>
      </fill>
    </dxf>
    <dxf>
      <fill>
        <patternFill patternType="solid">
          <fgColor rgb="FFFAE3E9"/>
          <bgColor rgb="FF000000"/>
        </patternFill>
      </fill>
    </dxf>
    <dxf>
      <fill>
        <patternFill patternType="solid">
          <fgColor rgb="FFE3EDD7"/>
          <bgColor rgb="FF000000"/>
        </patternFill>
      </fill>
    </dxf>
    <dxf>
      <fill>
        <patternFill patternType="solid">
          <fgColor rgb="FFE4EDD6"/>
          <bgColor rgb="FF000000"/>
        </patternFill>
      </fill>
    </dxf>
    <dxf>
      <fill>
        <patternFill patternType="solid">
          <fgColor rgb="FFE6ECD3"/>
          <bgColor rgb="FF000000"/>
        </patternFill>
      </fill>
    </dxf>
    <dxf>
      <fill>
        <patternFill patternType="solid">
          <fgColor rgb="FFE7EBD2"/>
          <bgColor rgb="FF000000"/>
        </patternFill>
      </fill>
    </dxf>
    <dxf>
      <fill>
        <patternFill patternType="solid">
          <fgColor rgb="FFEAEACE"/>
          <bgColor rgb="FF000000"/>
        </patternFill>
      </fill>
    </dxf>
    <dxf>
      <fill>
        <patternFill patternType="solid">
          <fgColor rgb="FFEBEACD"/>
          <bgColor rgb="FF000000"/>
        </patternFill>
      </fill>
    </dxf>
    <dxf>
      <fill>
        <patternFill patternType="solid">
          <fgColor rgb="FFEDE8CA"/>
          <bgColor rgb="FF000000"/>
        </patternFill>
      </fill>
    </dxf>
    <dxf>
      <fill>
        <patternFill patternType="solid">
          <fgColor rgb="FFEFE8C9"/>
          <bgColor rgb="FF000000"/>
        </patternFill>
      </fill>
    </dxf>
    <dxf>
      <fill>
        <patternFill patternType="solid">
          <fgColor rgb="FFF4E5C6"/>
          <bgColor rgb="FF000000"/>
        </patternFill>
      </fill>
    </dxf>
    <dxf>
      <fill>
        <patternFill patternType="solid">
          <fgColor rgb="FFF6E4D1"/>
          <bgColor rgb="FF000000"/>
        </patternFill>
      </fill>
    </dxf>
    <dxf>
      <fill>
        <patternFill patternType="solid">
          <fgColor rgb="FFF7E4D6"/>
          <bgColor rgb="FF000000"/>
        </patternFill>
      </fill>
    </dxf>
    <dxf>
      <fill>
        <patternFill patternType="solid">
          <fgColor rgb="FFF7E4D9"/>
          <bgColor rgb="FF000000"/>
        </patternFill>
      </fill>
    </dxf>
    <dxf>
      <fill>
        <patternFill patternType="solid">
          <fgColor rgb="FFF8E3DF"/>
          <bgColor rgb="FF000000"/>
        </patternFill>
      </fill>
    </dxf>
    <dxf>
      <fill>
        <patternFill patternType="solid">
          <fgColor rgb="FFF9E3E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DDF0E0"/>
        </patternFill>
      </fill>
    </dxf>
    <dxf>
      <fill>
        <patternFill>
          <bgColor rgb="FFFBE2EC"/>
        </patternFill>
      </fill>
    </dxf>
    <dxf>
      <fill>
        <patternFill patternType="solid">
          <fgColor rgb="FFE6EBD5"/>
          <bgColor rgb="FF000000"/>
        </patternFill>
      </fill>
    </dxf>
    <dxf>
      <fill>
        <patternFill patternType="solid">
          <fgColor rgb="FFE2EED9"/>
          <bgColor rgb="FF000000"/>
        </patternFill>
      </fill>
    </dxf>
    <dxf>
      <fill>
        <patternFill patternType="solid">
          <fgColor rgb="FFEDE9CB"/>
          <bgColor rgb="FF000000"/>
        </patternFill>
      </fill>
    </dxf>
    <dxf>
      <fill>
        <patternFill patternType="solid">
          <fgColor rgb="FFF1E7C5"/>
          <bgColor rgb="FF000000"/>
        </patternFill>
      </fill>
    </dxf>
    <dxf>
      <fill>
        <patternFill patternType="solid">
          <fgColor rgb="FFF6E5CE"/>
          <bgColor rgb="FF000000"/>
        </patternFill>
      </fill>
    </dxf>
    <dxf>
      <fill>
        <patternFill patternType="solid">
          <fgColor rgb="FFF7E4D4"/>
          <bgColor rgb="FF000000"/>
        </patternFill>
      </fill>
    </dxf>
    <dxf>
      <fill>
        <patternFill patternType="solid">
          <fgColor rgb="FFF7E4D8"/>
          <bgColor rgb="FF000000"/>
        </patternFill>
      </fill>
    </dxf>
    <dxf>
      <fill>
        <patternFill patternType="solid">
          <fgColor rgb="FFF8E4DD"/>
          <bgColor rgb="FF000000"/>
        </patternFill>
      </fill>
    </dxf>
    <dxf>
      <fill>
        <patternFill patternType="solid">
          <fgColor rgb="FFFAE3E7"/>
          <bgColor rgb="FF000000"/>
        </patternFill>
      </fill>
    </dxf>
    <dxf>
      <fill>
        <patternFill patternType="solid">
          <fgColor rgb="FFE0EFDB"/>
          <bgColor rgb="FF000000"/>
        </patternFill>
      </fill>
    </dxf>
    <dxf>
      <fill>
        <patternFill patternType="solid">
          <fgColor rgb="FFEBEACE"/>
          <bgColor rgb="FF000000"/>
        </patternFill>
      </fill>
    </dxf>
    <dxf>
      <fill>
        <patternFill patternType="solid">
          <fgColor rgb="FFF0E7C6"/>
          <bgColor rgb="FF000000"/>
        </patternFill>
      </fill>
    </dxf>
    <dxf>
      <fill>
        <patternFill patternType="solid">
          <fgColor rgb="FFF6E4D2"/>
          <bgColor rgb="FF000000"/>
        </patternFill>
      </fill>
    </dxf>
    <dxf>
      <fill>
        <patternFill patternType="solid">
          <fgColor rgb="FFF9E3E0"/>
          <bgColor rgb="FF000000"/>
        </patternFill>
      </fill>
    </dxf>
    <dxf>
      <fill>
        <patternFill patternType="solid">
          <fgColor rgb="FFFAE3E8"/>
          <bgColor rgb="FF000000"/>
        </patternFill>
      </fill>
    </dxf>
    <dxf>
      <fill>
        <patternFill patternType="solid">
          <fgColor rgb="FFE7ECD3"/>
          <bgColor rgb="FF000000"/>
        </patternFill>
      </fill>
    </dxf>
    <dxf>
      <fill>
        <patternFill>
          <bgColor rgb="FFF4E5C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7A7974"/>
      <rgbColor rgb="FF9999FF"/>
      <rgbColor rgb="FFA12C7B"/>
      <rgbColor rgb="FFF9F8F5"/>
      <rgbColor rgb="FFDFEDD3"/>
      <rgbColor rgb="FF660066"/>
      <rgbColor rgb="FFFF8080"/>
      <rgbColor rgb="FF0066CC"/>
      <rgbColor rgb="FFBCE2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2EC"/>
      <rgbColor rgb="FFDDF0E0"/>
      <rgbColor rgb="FFF6E8C7"/>
      <rgbColor rgb="FF99CCFF"/>
      <rgbColor rgb="FFFF99CC"/>
      <rgbColor rgb="FFCC99FF"/>
      <rgbColor rgb="FFF4E5C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37A22"/>
      <rgbColor rgb="FF003300"/>
      <rgbColor rgb="FF333300"/>
      <rgbColor rgb="FF964219"/>
      <rgbColor rgb="FF993366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v-dem.net/data/the-v-dem-dataset/" TargetMode="External"/><Relationship Id="rId2" Type="http://schemas.openxmlformats.org/officeDocument/2006/relationships/hyperlink" Target="https://www.worldbank.org/en/publication/worldwide-governance-indicators" TargetMode="External"/><Relationship Id="rId3" Type="http://schemas.openxmlformats.org/officeDocument/2006/relationships/hyperlink" Target="https://cbidata.org/" TargetMode="External"/><Relationship Id="rId4" Type="http://schemas.openxmlformats.org/officeDocument/2006/relationships/hyperlink" Target="https://www.worldbank.org/en/research/brief/informal-economy-database" TargetMode="External"/><Relationship Id="rId5" Type="http://schemas.openxmlformats.org/officeDocument/2006/relationships/hyperlink" Target="https://baselgovernance.org/sites/default/files/2024-11/2024%20Basel%20AML%20Index%20report.pdf" TargetMode="External"/><Relationship Id="rId6" Type="http://schemas.openxmlformats.org/officeDocument/2006/relationships/hyperlink" Target="https://index.baselgovernance.org/ranking" TargetMode="External"/><Relationship Id="rId7" Type="http://schemas.openxmlformats.org/officeDocument/2006/relationships/hyperlink" Target="https://www.chainalysis.com/blog/2024-global-crypto-adoption-index/" TargetMode="External"/><Relationship Id="rId8" Type="http://schemas.openxmlformats.org/officeDocument/2006/relationships/hyperlink" Target="https://thedocs.worldbank.org/en/doc/be6615202d1f08a25855c8ac2d615122-0050012025/related/GlobalFindexDatabase2025.xlsx" TargetMode="External"/><Relationship Id="rId9" Type="http://schemas.openxmlformats.org/officeDocument/2006/relationships/hyperlink" Target="https://www.gsma.com/wp-content/uploads/2024/10/Mobile_Money_Regulatory_Index_Database_2024.xlsx" TargetMode="External"/><Relationship Id="rId10" Type="http://schemas.openxmlformats.org/officeDocument/2006/relationships/hyperlink" Target="https://unctad.org/page/data-protection-and-privacy-legislation-worldwide" TargetMode="External"/><Relationship Id="rId11" Type="http://schemas.openxmlformats.org/officeDocument/2006/relationships/hyperlink" Target="https://www.iso.org/iso-3166-country-codes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90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27.75" hidden="false" customHeight="true" outlineLevel="0" collapsed="false">
      <c r="B5" s="4" t="s">
        <v>2</v>
      </c>
      <c r="C5" s="5" t="s">
        <v>3</v>
      </c>
    </row>
    <row r="6" customFormat="false" ht="27.75" hidden="false" customHeight="true" outlineLevel="0" collapsed="false">
      <c r="B6" s="4" t="s">
        <v>4</v>
      </c>
      <c r="C6" s="5" t="s">
        <v>5</v>
      </c>
    </row>
    <row r="8" customFormat="false" ht="15" hidden="false" customHeight="true" outlineLevel="0" collapsed="false">
      <c r="B8" s="6" t="s">
        <v>6</v>
      </c>
      <c r="C8" s="7"/>
    </row>
    <row r="9" customFormat="false" ht="15" hidden="false" customHeight="true" outlineLevel="0" collapsed="false">
      <c r="B9" s="4" t="s">
        <v>7</v>
      </c>
      <c r="C9" s="5" t="s">
        <v>8</v>
      </c>
    </row>
    <row r="10" customFormat="false" ht="15" hidden="false" customHeight="true" outlineLevel="0" collapsed="false">
      <c r="B10" s="4" t="s">
        <v>9</v>
      </c>
      <c r="C10" s="5" t="s">
        <v>10</v>
      </c>
    </row>
    <row r="11" customFormat="false" ht="15" hidden="false" customHeight="true" outlineLevel="0" collapsed="false">
      <c r="B11" s="4" t="s">
        <v>11</v>
      </c>
      <c r="C11" s="5" t="s">
        <v>12</v>
      </c>
    </row>
    <row r="12" customFormat="false" ht="15" hidden="false" customHeight="true" outlineLevel="0" collapsed="false">
      <c r="B12" s="4" t="s">
        <v>13</v>
      </c>
      <c r="C12" s="5" t="s">
        <v>14</v>
      </c>
    </row>
    <row r="13" customFormat="false" ht="15" hidden="false" customHeight="true" outlineLevel="0" collapsed="false">
      <c r="B13" s="4" t="s">
        <v>15</v>
      </c>
      <c r="C13" s="5" t="s">
        <v>16</v>
      </c>
    </row>
    <row r="14" customFormat="false" ht="15" hidden="false" customHeight="true" outlineLevel="0" collapsed="false">
      <c r="B14" s="4" t="s">
        <v>17</v>
      </c>
      <c r="C14" s="5" t="s">
        <v>18</v>
      </c>
    </row>
    <row r="15" customFormat="false" ht="15" hidden="false" customHeight="true" outlineLevel="0" collapsed="false">
      <c r="B15" s="4" t="s">
        <v>19</v>
      </c>
      <c r="C15" s="5" t="s">
        <v>20</v>
      </c>
    </row>
    <row r="16" customFormat="false" ht="15" hidden="false" customHeight="true" outlineLevel="0" collapsed="false">
      <c r="B16" s="4" t="s">
        <v>21</v>
      </c>
      <c r="C16" s="5" t="s">
        <v>22</v>
      </c>
    </row>
    <row r="17" customFormat="false" ht="15" hidden="false" customHeight="true" outlineLevel="0" collapsed="false">
      <c r="B17" s="4" t="s">
        <v>23</v>
      </c>
      <c r="C17" s="5" t="s">
        <v>24</v>
      </c>
    </row>
    <row r="18" customFormat="false" ht="15" hidden="false" customHeight="true" outlineLevel="0" collapsed="false">
      <c r="B18" s="4" t="s">
        <v>25</v>
      </c>
      <c r="C18" s="5" t="s">
        <v>26</v>
      </c>
    </row>
    <row r="19" customFormat="false" ht="15" hidden="false" customHeight="true" outlineLevel="0" collapsed="false">
      <c r="B19" s="4" t="s">
        <v>27</v>
      </c>
      <c r="C19" s="5" t="s">
        <v>28</v>
      </c>
    </row>
    <row r="20" customFormat="false" ht="15" hidden="false" customHeight="true" outlineLevel="0" collapsed="false">
      <c r="B20" s="4" t="s">
        <v>29</v>
      </c>
      <c r="C20" s="5" t="s">
        <v>30</v>
      </c>
    </row>
    <row r="21" customFormat="false" ht="15" hidden="false" customHeight="true" outlineLevel="0" collapsed="false">
      <c r="B21" s="4" t="s">
        <v>31</v>
      </c>
      <c r="C21" s="5" t="s">
        <v>32</v>
      </c>
    </row>
    <row r="23" customFormat="false" ht="15" hidden="false" customHeight="true" outlineLevel="0" collapsed="false">
      <c r="B23" s="6" t="s">
        <v>33</v>
      </c>
      <c r="C23" s="7"/>
    </row>
    <row r="24" customFormat="false" ht="15" hidden="false" customHeight="true" outlineLevel="0" collapsed="false">
      <c r="B24" s="4" t="s">
        <v>34</v>
      </c>
      <c r="C24" s="5" t="s">
        <v>35</v>
      </c>
    </row>
    <row r="25" customFormat="false" ht="15" hidden="false" customHeight="true" outlineLevel="0" collapsed="false">
      <c r="B25" s="4" t="s">
        <v>36</v>
      </c>
      <c r="C25" s="5" t="s">
        <v>37</v>
      </c>
    </row>
    <row r="26" customFormat="false" ht="15" hidden="false" customHeight="true" outlineLevel="0" collapsed="false">
      <c r="B26" s="4" t="s">
        <v>38</v>
      </c>
      <c r="C26" s="5" t="s">
        <v>39</v>
      </c>
    </row>
    <row r="27" customFormat="false" ht="15" hidden="false" customHeight="true" outlineLevel="0" collapsed="false">
      <c r="B27" s="4" t="s">
        <v>40</v>
      </c>
      <c r="C27" s="5" t="s">
        <v>41</v>
      </c>
    </row>
    <row r="28" customFormat="false" ht="15" hidden="false" customHeight="true" outlineLevel="0" collapsed="false">
      <c r="B28" s="4" t="s">
        <v>42</v>
      </c>
      <c r="C28" s="5" t="s">
        <v>43</v>
      </c>
    </row>
    <row r="29" customFormat="false" ht="15" hidden="false" customHeight="true" outlineLevel="0" collapsed="false">
      <c r="B29" s="4" t="s">
        <v>44</v>
      </c>
      <c r="C29" s="5" t="s">
        <v>45</v>
      </c>
    </row>
    <row r="30" customFormat="false" ht="15" hidden="false" customHeight="true" outlineLevel="0" collapsed="false">
      <c r="B30" s="4" t="s">
        <v>46</v>
      </c>
      <c r="C30" s="5" t="s">
        <v>47</v>
      </c>
    </row>
    <row r="31" customFormat="false" ht="15" hidden="false" customHeight="true" outlineLevel="0" collapsed="false">
      <c r="B31" s="4" t="s">
        <v>48</v>
      </c>
      <c r="C31" s="5" t="s">
        <v>49</v>
      </c>
    </row>
    <row r="32" customFormat="false" ht="15" hidden="false" customHeight="true" outlineLevel="0" collapsed="false">
      <c r="B32" s="4" t="s">
        <v>50</v>
      </c>
      <c r="C32" s="5" t="s">
        <v>51</v>
      </c>
    </row>
    <row r="34" customFormat="false" ht="15" hidden="false" customHeight="true" outlineLevel="0" collapsed="false">
      <c r="B34" s="6" t="s">
        <v>52</v>
      </c>
      <c r="C34" s="7"/>
    </row>
    <row r="35" customFormat="false" ht="15" hidden="false" customHeight="true" outlineLevel="0" collapsed="false">
      <c r="B35" s="4" t="s">
        <v>53</v>
      </c>
      <c r="C35" s="5" t="s">
        <v>54</v>
      </c>
    </row>
    <row r="36" customFormat="false" ht="27.75" hidden="false" customHeight="true" outlineLevel="0" collapsed="false">
      <c r="B36" s="4" t="s">
        <v>55</v>
      </c>
      <c r="C36" s="5" t="s">
        <v>56</v>
      </c>
    </row>
    <row r="37" customFormat="false" ht="15" hidden="false" customHeight="true" outlineLevel="0" collapsed="false">
      <c r="B37" s="4" t="s">
        <v>57</v>
      </c>
      <c r="C37" s="5" t="s">
        <v>58</v>
      </c>
    </row>
    <row r="39" customFormat="false" ht="15" hidden="false" customHeight="true" outlineLevel="0" collapsed="false">
      <c r="B39" s="4" t="s">
        <v>59</v>
      </c>
      <c r="C39" s="5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U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4" min="4" style="1" width="8"/>
    <col collapsed="false" customWidth="true" hidden="false" outlineLevel="0" max="6" min="5" style="1" width="12"/>
    <col collapsed="false" customWidth="true" hidden="false" outlineLevel="0" max="12" min="7" style="1" width="9"/>
    <col collapsed="false" customWidth="true" hidden="false" outlineLevel="0" max="14" min="13" style="1" width="12"/>
    <col collapsed="false" customWidth="true" hidden="false" outlineLevel="0" max="16" min="15" style="1" width="11"/>
    <col collapsed="false" customWidth="true" hidden="false" outlineLevel="0" max="17" min="17" style="1" width="14"/>
    <col collapsed="false" customWidth="true" hidden="false" outlineLevel="0" max="18" min="18" style="1" width="12"/>
    <col collapsed="false" customWidth="true" hidden="false" outlineLevel="0" max="19" min="19" style="1" width="14"/>
    <col collapsed="false" customWidth="true" hidden="false" outlineLevel="0" max="20" min="20" style="1" width="11"/>
    <col collapsed="false" customWidth="true" hidden="false" outlineLevel="0" max="21" min="21" style="1" width="16"/>
  </cols>
  <sheetData>
    <row r="2" customFormat="false" ht="37.5" hidden="false" customHeight="true" outlineLevel="0" collapsed="false">
      <c r="B2" s="8" t="s">
        <v>61</v>
      </c>
      <c r="C2" s="8" t="s">
        <v>62</v>
      </c>
      <c r="D2" s="8" t="s">
        <v>63</v>
      </c>
      <c r="E2" s="8" t="s">
        <v>64</v>
      </c>
      <c r="F2" s="8" t="s">
        <v>65</v>
      </c>
      <c r="G2" s="8" t="s">
        <v>66</v>
      </c>
      <c r="H2" s="8" t="s">
        <v>67</v>
      </c>
      <c r="I2" s="8" t="s">
        <v>68</v>
      </c>
      <c r="J2" s="8" t="s">
        <v>69</v>
      </c>
      <c r="K2" s="8" t="s">
        <v>70</v>
      </c>
      <c r="L2" s="8" t="s">
        <v>71</v>
      </c>
      <c r="M2" s="8" t="s">
        <v>72</v>
      </c>
      <c r="N2" s="8" t="s">
        <v>73</v>
      </c>
      <c r="O2" s="8" t="s">
        <v>74</v>
      </c>
      <c r="P2" s="8" t="s">
        <v>75</v>
      </c>
      <c r="Q2" s="8" t="s">
        <v>76</v>
      </c>
      <c r="R2" s="8" t="s">
        <v>77</v>
      </c>
      <c r="S2" s="8" t="s">
        <v>78</v>
      </c>
      <c r="T2" s="8" t="s">
        <v>79</v>
      </c>
      <c r="U2" s="8" t="s">
        <v>50</v>
      </c>
    </row>
    <row r="3" customFormat="false" ht="15" hidden="false" customHeight="true" outlineLevel="0" collapsed="false">
      <c r="B3" s="9" t="s">
        <v>80</v>
      </c>
      <c r="C3" s="10" t="s">
        <v>81</v>
      </c>
      <c r="D3" s="11" t="s">
        <v>82</v>
      </c>
      <c r="E3" s="12"/>
      <c r="F3" s="12"/>
      <c r="G3" s="13" t="n">
        <v>0.9576687</v>
      </c>
      <c r="H3" s="13" t="n">
        <v>1.3302095</v>
      </c>
      <c r="I3" s="13" t="n">
        <v>0.6567856</v>
      </c>
      <c r="J3" s="13" t="n">
        <v>0.9808972</v>
      </c>
      <c r="K3" s="13" t="n">
        <v>1.22006</v>
      </c>
      <c r="L3" s="13" t="n">
        <v>0.8687982</v>
      </c>
      <c r="M3" s="12"/>
      <c r="N3" s="12"/>
      <c r="O3" s="12"/>
      <c r="P3" s="12"/>
      <c r="Q3" s="12"/>
      <c r="R3" s="12"/>
      <c r="S3" s="12"/>
      <c r="T3" s="12"/>
      <c r="U3" s="11" t="s">
        <v>83</v>
      </c>
    </row>
    <row r="4" customFormat="false" ht="15" hidden="false" customHeight="true" outlineLevel="0" collapsed="false">
      <c r="B4" s="9" t="s">
        <v>84</v>
      </c>
      <c r="C4" s="10" t="s">
        <v>85</v>
      </c>
      <c r="D4" s="11" t="s">
        <v>86</v>
      </c>
      <c r="E4" s="14" t="n">
        <v>0.103</v>
      </c>
      <c r="F4" s="14" t="n">
        <v>0.078</v>
      </c>
      <c r="G4" s="13" t="n">
        <v>-0.8537487</v>
      </c>
      <c r="H4" s="13" t="n">
        <v>0.7886704</v>
      </c>
      <c r="I4" s="13" t="n">
        <v>1.2599659</v>
      </c>
      <c r="J4" s="13" t="n">
        <v>1.1257177</v>
      </c>
      <c r="K4" s="13" t="n">
        <v>0.4968448</v>
      </c>
      <c r="L4" s="13" t="n">
        <v>1.1702182</v>
      </c>
      <c r="M4" s="14" t="n">
        <v>0.685000002384186</v>
      </c>
      <c r="N4" s="15" t="n">
        <v>22.13</v>
      </c>
      <c r="O4" s="12" t="n">
        <v>38</v>
      </c>
      <c r="P4" s="13" t="n">
        <v>6.18</v>
      </c>
      <c r="Q4" s="12"/>
      <c r="R4" s="16" t="n">
        <v>0.857421930087712</v>
      </c>
      <c r="S4" s="16" t="n">
        <v>0.132578891939491</v>
      </c>
      <c r="T4" s="12"/>
      <c r="U4" s="11" t="s">
        <v>87</v>
      </c>
    </row>
    <row r="5" customFormat="false" ht="15" hidden="false" customHeight="true" outlineLevel="0" collapsed="false">
      <c r="B5" s="9" t="s">
        <v>88</v>
      </c>
      <c r="C5" s="10" t="s">
        <v>89</v>
      </c>
      <c r="D5" s="11" t="s">
        <v>82</v>
      </c>
      <c r="E5" s="14" t="n">
        <v>0.712</v>
      </c>
      <c r="F5" s="14" t="n">
        <v>0.553</v>
      </c>
      <c r="G5" s="13" t="n">
        <v>0.385552</v>
      </c>
      <c r="H5" s="13" t="n">
        <v>-0.169746</v>
      </c>
      <c r="I5" s="13" t="n">
        <v>0.1837479</v>
      </c>
      <c r="J5" s="13" t="n">
        <v>-0.235026</v>
      </c>
      <c r="K5" s="13" t="n">
        <v>-0.2513801</v>
      </c>
      <c r="L5" s="13" t="n">
        <v>-0.3257079</v>
      </c>
      <c r="M5" s="14" t="n">
        <v>0.556999981403351</v>
      </c>
      <c r="N5" s="15" t="n">
        <v>21.15</v>
      </c>
      <c r="O5" s="12"/>
      <c r="P5" s="12"/>
      <c r="Q5" s="12" t="n">
        <v>15</v>
      </c>
      <c r="R5" s="16" t="n">
        <v>0.817442446865007</v>
      </c>
      <c r="S5" s="16" t="n">
        <v>0.567395436775823</v>
      </c>
      <c r="T5" s="15" t="n">
        <v>90.1325</v>
      </c>
      <c r="U5" s="11" t="s">
        <v>87</v>
      </c>
    </row>
    <row r="6" customFormat="false" ht="15" hidden="false" customHeight="true" outlineLevel="0" collapsed="false">
      <c r="B6" s="9" t="s">
        <v>90</v>
      </c>
      <c r="C6" s="10" t="s">
        <v>91</v>
      </c>
      <c r="D6" s="11"/>
      <c r="E6" s="14" t="n">
        <v>0.623</v>
      </c>
      <c r="F6" s="14" t="n">
        <v>0.414</v>
      </c>
      <c r="G6" s="13" t="n">
        <v>0.1201848</v>
      </c>
      <c r="H6" s="13" t="n">
        <v>-0.7232973</v>
      </c>
      <c r="I6" s="13" t="n">
        <v>-0.3640294</v>
      </c>
      <c r="J6" s="13" t="n">
        <v>0.137992</v>
      </c>
      <c r="K6" s="13" t="n">
        <v>-0.1423943</v>
      </c>
      <c r="L6" s="13" t="n">
        <v>0.1446809</v>
      </c>
      <c r="M6" s="12"/>
      <c r="N6" s="15" t="n">
        <v>33.97</v>
      </c>
      <c r="O6" s="12" t="n">
        <v>129</v>
      </c>
      <c r="P6" s="13" t="n">
        <v>4.35</v>
      </c>
      <c r="Q6" s="12"/>
      <c r="R6" s="16" t="n">
        <v>0.713734734683257</v>
      </c>
      <c r="S6" s="16" t="n">
        <v>0.173602692204797</v>
      </c>
      <c r="T6" s="15" t="n">
        <v>55.2625</v>
      </c>
      <c r="U6" s="11" t="s">
        <v>87</v>
      </c>
    </row>
    <row r="7" customFormat="false" ht="15" hidden="false" customHeight="true" outlineLevel="0" collapsed="false">
      <c r="B7" s="9" t="s">
        <v>92</v>
      </c>
      <c r="C7" s="10" t="s">
        <v>93</v>
      </c>
      <c r="D7" s="11" t="s">
        <v>94</v>
      </c>
      <c r="E7" s="14" t="n">
        <v>0.857</v>
      </c>
      <c r="F7" s="14" t="n">
        <v>0.808</v>
      </c>
      <c r="G7" s="13" t="n">
        <v>1.5123302</v>
      </c>
      <c r="H7" s="13" t="n">
        <v>0.7932693</v>
      </c>
      <c r="I7" s="13" t="n">
        <v>1.8090452</v>
      </c>
      <c r="J7" s="13" t="n">
        <v>1.7223205</v>
      </c>
      <c r="K7" s="13" t="n">
        <v>1.4704014</v>
      </c>
      <c r="L7" s="13" t="n">
        <v>1.8520196</v>
      </c>
      <c r="M7" s="14" t="n">
        <v>0.42399999499321</v>
      </c>
      <c r="N7" s="15" t="n">
        <v>12.58</v>
      </c>
      <c r="O7" s="12" t="n">
        <v>148</v>
      </c>
      <c r="P7" s="13" t="n">
        <v>4.04</v>
      </c>
      <c r="Q7" s="12"/>
      <c r="R7" s="16" t="n">
        <v>0.980103778290099</v>
      </c>
      <c r="S7" s="12"/>
      <c r="T7" s="12"/>
      <c r="U7" s="11" t="s">
        <v>87</v>
      </c>
    </row>
    <row r="8" customFormat="false" ht="15" hidden="false" customHeight="true" outlineLevel="0" collapsed="false">
      <c r="B8" s="9" t="s">
        <v>95</v>
      </c>
      <c r="C8" s="10" t="s">
        <v>96</v>
      </c>
      <c r="D8" s="11" t="s">
        <v>97</v>
      </c>
      <c r="E8" s="14" t="n">
        <v>0.839</v>
      </c>
      <c r="F8" s="14" t="n">
        <v>0.762</v>
      </c>
      <c r="G8" s="13" t="n">
        <v>1.4054571</v>
      </c>
      <c r="H8" s="13" t="n">
        <v>0.4915979</v>
      </c>
      <c r="I8" s="13" t="n">
        <v>1.5145106</v>
      </c>
      <c r="J8" s="13" t="n">
        <v>1.3510615</v>
      </c>
      <c r="K8" s="13" t="n">
        <v>1.6777399</v>
      </c>
      <c r="L8" s="13" t="n">
        <v>1.2944469</v>
      </c>
      <c r="M8" s="14" t="n">
        <v>0.912000000476837</v>
      </c>
      <c r="N8" s="15" t="n">
        <v>9.15</v>
      </c>
      <c r="O8" s="12" t="n">
        <v>130</v>
      </c>
      <c r="P8" s="13" t="n">
        <v>4.35</v>
      </c>
      <c r="Q8" s="12"/>
      <c r="R8" s="16" t="n">
        <v>0.995084974640411</v>
      </c>
      <c r="S8" s="12"/>
      <c r="T8" s="12"/>
      <c r="U8" s="11" t="s">
        <v>87</v>
      </c>
    </row>
    <row r="9" customFormat="false" ht="15" hidden="false" customHeight="true" outlineLevel="0" collapsed="false">
      <c r="B9" s="9" t="s">
        <v>98</v>
      </c>
      <c r="C9" s="10" t="s">
        <v>99</v>
      </c>
      <c r="D9" s="11"/>
      <c r="E9" s="14" t="n">
        <v>0.175</v>
      </c>
      <c r="F9" s="14" t="n">
        <v>0.054</v>
      </c>
      <c r="G9" s="13" t="n">
        <v>-1.5042391</v>
      </c>
      <c r="H9" s="13" t="n">
        <v>-0.1404058</v>
      </c>
      <c r="I9" s="13" t="n">
        <v>0.1661183</v>
      </c>
      <c r="J9" s="13" t="n">
        <v>0.1348932</v>
      </c>
      <c r="K9" s="13" t="n">
        <v>-0.4853711</v>
      </c>
      <c r="L9" s="13" t="n">
        <v>-0.7750778</v>
      </c>
      <c r="M9" s="14" t="n">
        <v>0.731500029563904</v>
      </c>
      <c r="N9" s="15" t="n">
        <v>39.05</v>
      </c>
      <c r="O9" s="12" t="n">
        <v>74</v>
      </c>
      <c r="P9" s="13" t="n">
        <v>5.4</v>
      </c>
      <c r="Q9" s="12"/>
      <c r="R9" s="16" t="n">
        <v>0.563046655573957</v>
      </c>
      <c r="S9" s="12"/>
      <c r="T9" s="12"/>
      <c r="U9" s="11" t="s">
        <v>87</v>
      </c>
    </row>
    <row r="10" customFormat="false" ht="15" hidden="false" customHeight="true" outlineLevel="0" collapsed="false">
      <c r="B10" s="9" t="s">
        <v>100</v>
      </c>
      <c r="C10" s="10" t="s">
        <v>101</v>
      </c>
      <c r="D10" s="11" t="s">
        <v>102</v>
      </c>
      <c r="E10" s="14" t="n">
        <v>0.201</v>
      </c>
      <c r="F10" s="14" t="n">
        <v>0.068</v>
      </c>
      <c r="G10" s="13" t="n">
        <v>-1.1608036</v>
      </c>
      <c r="H10" s="13" t="n">
        <v>-1.4629509</v>
      </c>
      <c r="I10" s="13" t="n">
        <v>-0.6189746</v>
      </c>
      <c r="J10" s="13" t="n">
        <v>-0.9500708</v>
      </c>
      <c r="K10" s="13" t="n">
        <v>-0.9600594</v>
      </c>
      <c r="L10" s="13" t="n">
        <v>-1.1021569</v>
      </c>
      <c r="M10" s="14" t="n">
        <v>0.538999974727631</v>
      </c>
      <c r="N10" s="15" t="n">
        <v>25.73</v>
      </c>
      <c r="O10" s="12" t="n">
        <v>59</v>
      </c>
      <c r="P10" s="13" t="n">
        <v>5.62</v>
      </c>
      <c r="Q10" s="12"/>
      <c r="R10" s="16" t="n">
        <v>0.432839733431322</v>
      </c>
      <c r="S10" s="16" t="n">
        <v>0.20768372550151</v>
      </c>
      <c r="T10" s="15" t="n">
        <v>80.5825</v>
      </c>
      <c r="U10" s="11" t="s">
        <v>103</v>
      </c>
    </row>
    <row r="11" customFormat="false" ht="15" hidden="false" customHeight="true" outlineLevel="0" collapsed="false">
      <c r="B11" s="9" t="s">
        <v>104</v>
      </c>
      <c r="C11" s="10" t="s">
        <v>105</v>
      </c>
      <c r="D11" s="11" t="s">
        <v>86</v>
      </c>
      <c r="E11" s="14" t="n">
        <v>0.124</v>
      </c>
      <c r="F11" s="14" t="n">
        <v>0.052</v>
      </c>
      <c r="G11" s="13" t="n">
        <v>-1.3214713</v>
      </c>
      <c r="H11" s="13" t="n">
        <v>-0.2758672</v>
      </c>
      <c r="I11" s="13" t="n">
        <v>0.6002525</v>
      </c>
      <c r="J11" s="13" t="n">
        <v>0.9502434</v>
      </c>
      <c r="K11" s="13" t="n">
        <v>0.1679373</v>
      </c>
      <c r="L11" s="13" t="n">
        <v>0.2540662</v>
      </c>
      <c r="M11" s="14" t="n">
        <v>0.514500021934509</v>
      </c>
      <c r="N11" s="15" t="n">
        <v>14.5</v>
      </c>
      <c r="O11" s="12" t="n">
        <v>85</v>
      </c>
      <c r="P11" s="13" t="n">
        <v>5.17</v>
      </c>
      <c r="Q11" s="12"/>
      <c r="R11" s="16" t="n">
        <v>0.823220521049445</v>
      </c>
      <c r="S11" s="12"/>
      <c r="T11" s="12"/>
      <c r="U11" s="11" t="s">
        <v>87</v>
      </c>
    </row>
    <row r="12" customFormat="false" ht="15" hidden="false" customHeight="true" outlineLevel="0" collapsed="false">
      <c r="B12" s="9" t="s">
        <v>106</v>
      </c>
      <c r="C12" s="10" t="s">
        <v>107</v>
      </c>
      <c r="D12" s="11" t="s">
        <v>82</v>
      </c>
      <c r="E12" s="12"/>
      <c r="F12" s="12"/>
      <c r="G12" s="13" t="n">
        <v>0.5530661</v>
      </c>
      <c r="H12" s="13" t="n">
        <v>1.0493095</v>
      </c>
      <c r="I12" s="13" t="n">
        <v>0.7092986</v>
      </c>
      <c r="J12" s="13" t="n">
        <v>-0.1072579</v>
      </c>
      <c r="K12" s="13" t="n">
        <v>0.2509955</v>
      </c>
      <c r="L12" s="13" t="n">
        <v>1.2320893</v>
      </c>
      <c r="M12" s="14" t="n">
        <v>0.718500018119812</v>
      </c>
      <c r="N12" s="15" t="n">
        <v>23.76</v>
      </c>
      <c r="O12" s="12" t="n">
        <v>83</v>
      </c>
      <c r="P12" s="13" t="n">
        <v>5.21</v>
      </c>
      <c r="Q12" s="12"/>
      <c r="R12" s="12"/>
      <c r="S12" s="12"/>
      <c r="T12" s="12"/>
      <c r="U12" s="11" t="s">
        <v>87</v>
      </c>
    </row>
    <row r="13" customFormat="false" ht="15" hidden="false" customHeight="true" outlineLevel="0" collapsed="false">
      <c r="B13" s="9" t="s">
        <v>108</v>
      </c>
      <c r="C13" s="10" t="s">
        <v>109</v>
      </c>
      <c r="D13" s="11" t="s">
        <v>110</v>
      </c>
      <c r="E13" s="14" t="n">
        <v>0.161</v>
      </c>
      <c r="F13" s="14" t="n">
        <v>0.036</v>
      </c>
      <c r="G13" s="13" t="n">
        <v>-1.6904177</v>
      </c>
      <c r="H13" s="13" t="n">
        <v>-0.3773003</v>
      </c>
      <c r="I13" s="13" t="n">
        <v>-0.7015463</v>
      </c>
      <c r="J13" s="13" t="n">
        <v>-1.232269</v>
      </c>
      <c r="K13" s="13" t="n">
        <v>-1.2305997</v>
      </c>
      <c r="L13" s="13" t="n">
        <v>-0.5781294</v>
      </c>
      <c r="M13" s="14" t="n">
        <v>0.619000017642975</v>
      </c>
      <c r="N13" s="15" t="n">
        <v>36.77</v>
      </c>
      <c r="O13" s="12" t="n">
        <v>53</v>
      </c>
      <c r="P13" s="13" t="n">
        <v>5.67</v>
      </c>
      <c r="Q13" s="12"/>
      <c r="R13" s="16" t="n">
        <v>0.811558850462713</v>
      </c>
      <c r="S13" s="12"/>
      <c r="T13" s="12"/>
      <c r="U13" s="11" t="s">
        <v>87</v>
      </c>
    </row>
    <row r="14" customFormat="false" ht="15" hidden="false" customHeight="true" outlineLevel="0" collapsed="false">
      <c r="B14" s="9" t="s">
        <v>111</v>
      </c>
      <c r="C14" s="10" t="s">
        <v>112</v>
      </c>
      <c r="D14" s="11"/>
      <c r="E14" s="14" t="n">
        <v>0.576</v>
      </c>
      <c r="F14" s="14" t="n">
        <v>0.314</v>
      </c>
      <c r="G14" s="13" t="n">
        <v>-0.4397641</v>
      </c>
      <c r="H14" s="13" t="n">
        <v>-0.5460357</v>
      </c>
      <c r="I14" s="13" t="n">
        <v>-0.6104172</v>
      </c>
      <c r="J14" s="13" t="n">
        <v>-1.2544304</v>
      </c>
      <c r="K14" s="13" t="n">
        <v>-1.267722</v>
      </c>
      <c r="L14" s="13" t="n">
        <v>-0.9975827</v>
      </c>
      <c r="M14" s="14" t="n">
        <v>0.837000012397766</v>
      </c>
      <c r="N14" s="15" t="n">
        <v>54.87</v>
      </c>
      <c r="O14" s="12" t="n">
        <v>72</v>
      </c>
      <c r="P14" s="13" t="n">
        <v>5.44</v>
      </c>
      <c r="Q14" s="12"/>
      <c r="R14" s="16" t="n">
        <v>0.56849052664469</v>
      </c>
      <c r="S14" s="16" t="n">
        <v>0.199779285324343</v>
      </c>
      <c r="T14" s="15" t="n">
        <v>75.7175</v>
      </c>
      <c r="U14" s="11" t="s">
        <v>103</v>
      </c>
    </row>
    <row r="15" customFormat="false" ht="15" hidden="false" customHeight="true" outlineLevel="0" collapsed="false">
      <c r="B15" s="9" t="s">
        <v>113</v>
      </c>
      <c r="C15" s="10" t="s">
        <v>114</v>
      </c>
      <c r="D15" s="11" t="s">
        <v>82</v>
      </c>
      <c r="E15" s="14" t="n">
        <v>0.801</v>
      </c>
      <c r="F15" s="14" t="n">
        <v>0.712</v>
      </c>
      <c r="G15" s="13" t="n">
        <v>0.3164771</v>
      </c>
      <c r="H15" s="13" t="n">
        <v>-0.5205702</v>
      </c>
      <c r="I15" s="13" t="n">
        <v>-0.224003</v>
      </c>
      <c r="J15" s="13" t="n">
        <v>-0.2945386</v>
      </c>
      <c r="K15" s="13" t="n">
        <v>-0.446218</v>
      </c>
      <c r="L15" s="13" t="n">
        <v>-0.4088904</v>
      </c>
      <c r="M15" s="14" t="n">
        <v>0.749000012874603</v>
      </c>
      <c r="N15" s="15" t="n">
        <v>33.38</v>
      </c>
      <c r="O15" s="12" t="n">
        <v>75</v>
      </c>
      <c r="P15" s="13" t="n">
        <v>5.36</v>
      </c>
      <c r="Q15" s="12" t="n">
        <v>10</v>
      </c>
      <c r="R15" s="16" t="n">
        <v>0.863811782311541</v>
      </c>
      <c r="S15" s="16" t="n">
        <v>0.581666157171296</v>
      </c>
      <c r="T15" s="15" t="n">
        <v>91.12625</v>
      </c>
      <c r="U15" s="11" t="s">
        <v>87</v>
      </c>
    </row>
    <row r="16" customFormat="false" ht="15" hidden="false" customHeight="true" outlineLevel="0" collapsed="false">
      <c r="B16" s="9" t="s">
        <v>115</v>
      </c>
      <c r="C16" s="10" t="s">
        <v>116</v>
      </c>
      <c r="D16" s="11" t="s">
        <v>102</v>
      </c>
      <c r="E16" s="14" t="n">
        <v>0.561</v>
      </c>
      <c r="F16" s="14" t="n">
        <v>0.454</v>
      </c>
      <c r="G16" s="13" t="n">
        <v>0.4010656</v>
      </c>
      <c r="H16" s="13" t="n">
        <v>1.3541153</v>
      </c>
      <c r="I16" s="13" t="n">
        <v>0.5808357</v>
      </c>
      <c r="J16" s="13" t="n">
        <v>-0.0912943</v>
      </c>
      <c r="K16" s="13" t="n">
        <v>0.7902665</v>
      </c>
      <c r="L16" s="13" t="n">
        <v>1.4722389</v>
      </c>
      <c r="M16" s="12"/>
      <c r="N16" s="15" t="n">
        <v>22.83</v>
      </c>
      <c r="O16" s="12" t="n">
        <v>64</v>
      </c>
      <c r="P16" s="13" t="n">
        <v>5.51</v>
      </c>
      <c r="Q16" s="12"/>
      <c r="R16" s="16" t="n">
        <v>0.336659130127617</v>
      </c>
      <c r="S16" s="12"/>
      <c r="T16" s="12"/>
      <c r="U16" s="11" t="s">
        <v>87</v>
      </c>
    </row>
    <row r="17" customFormat="false" ht="15" hidden="false" customHeight="true" outlineLevel="0" collapsed="false">
      <c r="B17" s="9" t="s">
        <v>117</v>
      </c>
      <c r="C17" s="10" t="s">
        <v>118</v>
      </c>
      <c r="D17" s="11"/>
      <c r="E17" s="14" t="n">
        <v>0.594</v>
      </c>
      <c r="F17" s="14" t="n">
        <v>0.478</v>
      </c>
      <c r="G17" s="13" t="n">
        <v>0.295265</v>
      </c>
      <c r="H17" s="13" t="n">
        <v>1.0322942</v>
      </c>
      <c r="I17" s="13" t="n">
        <v>0.4168893</v>
      </c>
      <c r="J17" s="13" t="n">
        <v>0.4019336</v>
      </c>
      <c r="K17" s="13" t="n">
        <v>0.3120842</v>
      </c>
      <c r="L17" s="13" t="n">
        <v>0.6311414</v>
      </c>
      <c r="M17" s="14" t="n">
        <v>0.578999996185303</v>
      </c>
      <c r="N17" s="15" t="n">
        <v>25.67</v>
      </c>
      <c r="O17" s="12" t="n">
        <v>127</v>
      </c>
      <c r="P17" s="13" t="n">
        <v>4.36</v>
      </c>
      <c r="Q17" s="12"/>
      <c r="R17" s="16" t="n">
        <v>0.614384690565565</v>
      </c>
      <c r="S17" s="16" t="n">
        <v>0.51617815726863</v>
      </c>
      <c r="T17" s="15" t="n">
        <v>73.2425</v>
      </c>
      <c r="U17" s="11" t="s">
        <v>103</v>
      </c>
    </row>
    <row r="18" customFormat="false" ht="15" hidden="false" customHeight="true" outlineLevel="0" collapsed="false">
      <c r="B18" s="9" t="s">
        <v>119</v>
      </c>
      <c r="C18" s="10" t="s">
        <v>120</v>
      </c>
      <c r="D18" s="11" t="s">
        <v>121</v>
      </c>
      <c r="E18" s="14" t="n">
        <v>0.842</v>
      </c>
      <c r="F18" s="14" t="n">
        <v>0.744</v>
      </c>
      <c r="G18" s="13" t="n">
        <v>1.5036042</v>
      </c>
      <c r="H18" s="13" t="n">
        <v>0.5984769</v>
      </c>
      <c r="I18" s="13" t="n">
        <v>1.7591249</v>
      </c>
      <c r="J18" s="13" t="n">
        <v>1.3622118</v>
      </c>
      <c r="K18" s="13" t="n">
        <v>1.4608299</v>
      </c>
      <c r="L18" s="13" t="n">
        <v>1.6319089</v>
      </c>
      <c r="M18" s="14" t="n">
        <v>0.603999972343445</v>
      </c>
      <c r="N18" s="15" t="n">
        <v>13.89</v>
      </c>
      <c r="O18" s="12" t="n">
        <v>122</v>
      </c>
      <c r="P18" s="13" t="n">
        <v>4.47</v>
      </c>
      <c r="Q18" s="12" t="n">
        <v>18</v>
      </c>
      <c r="R18" s="16" t="n">
        <v>0.984047126063262</v>
      </c>
      <c r="S18" s="12"/>
      <c r="T18" s="12"/>
      <c r="U18" s="11" t="s">
        <v>103</v>
      </c>
    </row>
    <row r="19" customFormat="false" ht="15" hidden="false" customHeight="true" outlineLevel="0" collapsed="false">
      <c r="B19" s="9" t="s">
        <v>122</v>
      </c>
      <c r="C19" s="10" t="s">
        <v>123</v>
      </c>
      <c r="D19" s="11" t="s">
        <v>97</v>
      </c>
      <c r="E19" s="14" t="n">
        <v>0.894</v>
      </c>
      <c r="F19" s="14" t="n">
        <v>0.847</v>
      </c>
      <c r="G19" s="13" t="n">
        <v>1.6422377</v>
      </c>
      <c r="H19" s="13" t="n">
        <v>0.9806678</v>
      </c>
      <c r="I19" s="13" t="n">
        <v>1.8402935</v>
      </c>
      <c r="J19" s="13" t="n">
        <v>1.7710562</v>
      </c>
      <c r="K19" s="13" t="n">
        <v>1.7636516</v>
      </c>
      <c r="L19" s="13" t="n">
        <v>2.0072184</v>
      </c>
      <c r="M19" s="14" t="n">
        <v>0.833500027656555</v>
      </c>
      <c r="N19" s="15" t="n">
        <v>7.91</v>
      </c>
      <c r="O19" s="12" t="n">
        <v>124</v>
      </c>
      <c r="P19" s="13" t="n">
        <v>4.46</v>
      </c>
      <c r="Q19" s="12"/>
      <c r="R19" s="16" t="n">
        <v>0.98412309687795</v>
      </c>
      <c r="S19" s="12"/>
      <c r="T19" s="12"/>
      <c r="U19" s="11" t="s">
        <v>87</v>
      </c>
    </row>
    <row r="20" customFormat="false" ht="15" hidden="false" customHeight="true" outlineLevel="0" collapsed="false">
      <c r="B20" s="9" t="s">
        <v>124</v>
      </c>
      <c r="C20" s="10" t="s">
        <v>125</v>
      </c>
      <c r="D20" s="11" t="s">
        <v>82</v>
      </c>
      <c r="E20" s="14" t="n">
        <v>0.844</v>
      </c>
      <c r="F20" s="14" t="n">
        <v>0.787</v>
      </c>
      <c r="G20" s="13" t="n">
        <v>0.994188</v>
      </c>
      <c r="H20" s="13" t="n">
        <v>0.1213566</v>
      </c>
      <c r="I20" s="13" t="n">
        <v>0.964461</v>
      </c>
      <c r="J20" s="13" t="n">
        <v>0.7807061</v>
      </c>
      <c r="K20" s="13" t="n">
        <v>0.6910553</v>
      </c>
      <c r="L20" s="13" t="n">
        <v>1.1057968</v>
      </c>
      <c r="M20" s="14" t="n">
        <v>0.745999991893768</v>
      </c>
      <c r="N20" s="15" t="n">
        <v>15.38</v>
      </c>
      <c r="O20" s="12" t="n">
        <v>144</v>
      </c>
      <c r="P20" s="13" t="n">
        <v>4.08</v>
      </c>
      <c r="Q20" s="12"/>
      <c r="R20" s="16" t="n">
        <v>0.850691778196127</v>
      </c>
      <c r="S20" s="12"/>
      <c r="T20" s="12"/>
      <c r="U20" s="11" t="s">
        <v>103</v>
      </c>
    </row>
    <row r="21" customFormat="false" ht="15" hidden="false" customHeight="true" outlineLevel="0" collapsed="false">
      <c r="B21" s="9" t="s">
        <v>126</v>
      </c>
      <c r="C21" s="10" t="s">
        <v>127</v>
      </c>
      <c r="D21" s="11" t="s">
        <v>128</v>
      </c>
      <c r="E21" s="14" t="n">
        <v>0.073</v>
      </c>
      <c r="F21" s="14" t="n">
        <v>0.036</v>
      </c>
      <c r="G21" s="13" t="n">
        <v>-1.6531931</v>
      </c>
      <c r="H21" s="13" t="n">
        <v>-0.1533364</v>
      </c>
      <c r="I21" s="13" t="n">
        <v>0.8957842</v>
      </c>
      <c r="J21" s="13" t="n">
        <v>-0.0712903</v>
      </c>
      <c r="K21" s="13" t="n">
        <v>-0.5793198</v>
      </c>
      <c r="L21" s="13" t="n">
        <v>0.0886811</v>
      </c>
      <c r="M21" s="14" t="n">
        <v>0.658999979496002</v>
      </c>
      <c r="N21" s="15" t="n">
        <v>8.02</v>
      </c>
      <c r="O21" s="12" t="n">
        <v>11</v>
      </c>
      <c r="P21" s="13" t="n">
        <v>7.27</v>
      </c>
      <c r="Q21" s="12" t="n">
        <v>20</v>
      </c>
      <c r="R21" s="16" t="n">
        <v>0.893830319754266</v>
      </c>
      <c r="S21" s="12"/>
      <c r="T21" s="12"/>
      <c r="U21" s="11" t="s">
        <v>87</v>
      </c>
    </row>
    <row r="22" customFormat="false" ht="15" hidden="false" customHeight="true" outlineLevel="0" collapsed="false">
      <c r="B22" s="9" t="s">
        <v>129</v>
      </c>
      <c r="C22" s="10" t="s">
        <v>130</v>
      </c>
      <c r="D22" s="11" t="s">
        <v>82</v>
      </c>
      <c r="E22" s="14" t="n">
        <v>0.701</v>
      </c>
      <c r="F22" s="14" t="n">
        <v>0.557</v>
      </c>
      <c r="G22" s="13" t="n">
        <v>0.034564</v>
      </c>
      <c r="H22" s="13" t="n">
        <v>-0.9708732</v>
      </c>
      <c r="I22" s="13" t="n">
        <v>-0.1110991</v>
      </c>
      <c r="J22" s="13" t="n">
        <v>0.0133922</v>
      </c>
      <c r="K22" s="13" t="n">
        <v>-0.5597434</v>
      </c>
      <c r="L22" s="13" t="n">
        <v>-0.2937197</v>
      </c>
      <c r="M22" s="14" t="n">
        <v>0.757000029087067</v>
      </c>
      <c r="N22" s="15" t="n">
        <v>28.66</v>
      </c>
      <c r="O22" s="12" t="n">
        <v>96</v>
      </c>
      <c r="P22" s="13" t="n">
        <v>4.92</v>
      </c>
      <c r="Q22" s="12"/>
      <c r="R22" s="16" t="n">
        <v>0.570594856281374</v>
      </c>
      <c r="S22" s="16" t="n">
        <v>0.391465592561995</v>
      </c>
      <c r="T22" s="15" t="n">
        <v>90.5625</v>
      </c>
      <c r="U22" s="11" t="s">
        <v>87</v>
      </c>
    </row>
    <row r="23" customFormat="false" ht="15" hidden="false" customHeight="true" outlineLevel="0" collapsed="false">
      <c r="B23" s="9" t="s">
        <v>131</v>
      </c>
      <c r="C23" s="10" t="s">
        <v>132</v>
      </c>
      <c r="D23" s="11" t="s">
        <v>82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1" t="s">
        <v>83</v>
      </c>
    </row>
    <row r="24" customFormat="false" ht="15" hidden="false" customHeight="true" outlineLevel="0" collapsed="false">
      <c r="B24" s="9" t="s">
        <v>133</v>
      </c>
      <c r="C24" s="10" t="s">
        <v>134</v>
      </c>
      <c r="D24" s="11" t="s">
        <v>97</v>
      </c>
      <c r="E24" s="14" t="n">
        <v>0.87</v>
      </c>
      <c r="F24" s="14" t="n">
        <v>0.817</v>
      </c>
      <c r="G24" s="13" t="n">
        <v>1.2546961</v>
      </c>
      <c r="H24" s="13" t="n">
        <v>0.9719006</v>
      </c>
      <c r="I24" s="13" t="n">
        <v>1.1773279</v>
      </c>
      <c r="J24" s="13" t="n">
        <v>1.2319075</v>
      </c>
      <c r="K24" s="13" t="n">
        <v>1.1881307</v>
      </c>
      <c r="L24" s="13" t="n">
        <v>0.9310659</v>
      </c>
      <c r="M24" s="14" t="n">
        <v>0.795000016689301</v>
      </c>
      <c r="N24" s="15" t="n">
        <v>16.66</v>
      </c>
      <c r="O24" s="12" t="n">
        <v>152</v>
      </c>
      <c r="P24" s="13" t="n">
        <v>3.85</v>
      </c>
      <c r="Q24" s="12"/>
      <c r="R24" s="16" t="n">
        <v>0.922832885462025</v>
      </c>
      <c r="S24" s="12"/>
      <c r="T24" s="12"/>
      <c r="U24" s="11" t="s">
        <v>87</v>
      </c>
    </row>
    <row r="25" customFormat="false" ht="15" hidden="false" customHeight="true" outlineLevel="0" collapsed="false">
      <c r="B25" s="9" t="s">
        <v>135</v>
      </c>
      <c r="C25" s="10" t="s">
        <v>136</v>
      </c>
      <c r="D25" s="11" t="s">
        <v>97</v>
      </c>
      <c r="E25" s="14" t="n">
        <v>0.839</v>
      </c>
      <c r="F25" s="14" t="n">
        <v>0.792</v>
      </c>
      <c r="G25" s="13" t="n">
        <v>1.5981515</v>
      </c>
      <c r="H25" s="13" t="n">
        <v>0.1242671</v>
      </c>
      <c r="I25" s="13" t="n">
        <v>1.5462994</v>
      </c>
      <c r="J25" s="13" t="n">
        <v>1.4980615</v>
      </c>
      <c r="K25" s="13" t="n">
        <v>1.6257844</v>
      </c>
      <c r="L25" s="13" t="n">
        <v>1.7734211</v>
      </c>
      <c r="M25" s="14" t="n">
        <v>0.912000000476837</v>
      </c>
      <c r="N25" s="15" t="n">
        <v>14.82</v>
      </c>
      <c r="O25" s="12" t="n">
        <v>114</v>
      </c>
      <c r="P25" s="13" t="n">
        <v>4.63</v>
      </c>
      <c r="Q25" s="12"/>
      <c r="R25" s="16" t="n">
        <v>0.982983235670699</v>
      </c>
      <c r="S25" s="12"/>
      <c r="T25" s="12"/>
      <c r="U25" s="11" t="s">
        <v>87</v>
      </c>
    </row>
    <row r="26" customFormat="false" ht="15" hidden="false" customHeight="true" outlineLevel="0" collapsed="false">
      <c r="B26" s="9" t="s">
        <v>137</v>
      </c>
      <c r="C26" s="10" t="s">
        <v>138</v>
      </c>
      <c r="D26" s="11" t="s">
        <v>97</v>
      </c>
      <c r="E26" s="14" t="n">
        <v>0.916</v>
      </c>
      <c r="F26" s="14" t="n">
        <v>0.883</v>
      </c>
      <c r="G26" s="13" t="n">
        <v>1.8949405</v>
      </c>
      <c r="H26" s="13" t="n">
        <v>0.7688761</v>
      </c>
      <c r="I26" s="13" t="n">
        <v>1.9128986</v>
      </c>
      <c r="J26" s="13" t="n">
        <v>1.9307059</v>
      </c>
      <c r="K26" s="13" t="n">
        <v>2.0043149</v>
      </c>
      <c r="L26" s="13" t="n">
        <v>2.2874751</v>
      </c>
      <c r="M26" s="14" t="n">
        <v>0.606000006198883</v>
      </c>
      <c r="N26" s="15" t="n">
        <v>16.09</v>
      </c>
      <c r="O26" s="12" t="n">
        <v>158</v>
      </c>
      <c r="P26" s="13" t="n">
        <v>3.5</v>
      </c>
      <c r="Q26" s="12"/>
      <c r="R26" s="16" t="n">
        <v>0.986505141065248</v>
      </c>
      <c r="S26" s="12"/>
      <c r="T26" s="12"/>
      <c r="U26" s="11" t="s">
        <v>87</v>
      </c>
    </row>
    <row r="27" customFormat="false" ht="15" hidden="false" customHeight="true" outlineLevel="0" collapsed="false">
      <c r="B27" s="9" t="s">
        <v>139</v>
      </c>
      <c r="C27" s="10" t="s">
        <v>140</v>
      </c>
      <c r="D27" s="11" t="s">
        <v>82</v>
      </c>
      <c r="E27" s="14" t="n">
        <v>0.705</v>
      </c>
      <c r="F27" s="14" t="n">
        <v>0.45</v>
      </c>
      <c r="G27" s="13" t="n">
        <v>0.2011502</v>
      </c>
      <c r="H27" s="13" t="n">
        <v>0.5893402</v>
      </c>
      <c r="I27" s="13" t="n">
        <v>0.0746487</v>
      </c>
      <c r="J27" s="13" t="n">
        <v>0.207328</v>
      </c>
      <c r="K27" s="13" t="n">
        <v>-0.1822626</v>
      </c>
      <c r="L27" s="13" t="n">
        <v>-0.2654917</v>
      </c>
      <c r="M27" s="14" t="n">
        <v>0.834999978542328</v>
      </c>
      <c r="N27" s="15" t="n">
        <v>26.01</v>
      </c>
      <c r="O27" s="12" t="n">
        <v>94</v>
      </c>
      <c r="P27" s="13" t="n">
        <v>4.96</v>
      </c>
      <c r="Q27" s="12"/>
      <c r="R27" s="16" t="n">
        <v>0.64777963876998</v>
      </c>
      <c r="S27" s="16" t="n">
        <v>0.180158284310334</v>
      </c>
      <c r="T27" s="15" t="n">
        <v>88.1375</v>
      </c>
      <c r="U27" s="11" t="s">
        <v>87</v>
      </c>
    </row>
    <row r="28" customFormat="false" ht="27.75" hidden="false" customHeight="true" outlineLevel="0" collapsed="false">
      <c r="B28" s="9" t="s">
        <v>141</v>
      </c>
      <c r="C28" s="10" t="s">
        <v>142</v>
      </c>
      <c r="D28" s="11" t="s">
        <v>82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1" t="s">
        <v>83</v>
      </c>
    </row>
    <row r="29" customFormat="false" ht="15" hidden="false" customHeight="true" outlineLevel="0" collapsed="false">
      <c r="B29" s="9" t="s">
        <v>143</v>
      </c>
      <c r="C29" s="10" t="s">
        <v>144</v>
      </c>
      <c r="D29" s="11" t="s">
        <v>86</v>
      </c>
      <c r="E29" s="14" t="n">
        <v>0.186</v>
      </c>
      <c r="F29" s="14" t="n">
        <v>0.129</v>
      </c>
      <c r="G29" s="13" t="n">
        <v>-1.6006344</v>
      </c>
      <c r="H29" s="13" t="n">
        <v>-0.9779235</v>
      </c>
      <c r="I29" s="13" t="n">
        <v>-0.0970579</v>
      </c>
      <c r="J29" s="13" t="n">
        <v>-0.4994694</v>
      </c>
      <c r="K29" s="13" t="n">
        <v>-0.7515399</v>
      </c>
      <c r="L29" s="13" t="n">
        <v>-0.8269898</v>
      </c>
      <c r="M29" s="14" t="n">
        <v>0.639999985694885</v>
      </c>
      <c r="N29" s="15" t="n">
        <v>29.33</v>
      </c>
      <c r="O29" s="12" t="n">
        <v>86</v>
      </c>
      <c r="P29" s="13" t="n">
        <v>5.08</v>
      </c>
      <c r="Q29" s="12"/>
      <c r="R29" s="16" t="n">
        <v>0.431134368034247</v>
      </c>
      <c r="S29" s="16" t="n">
        <v>0.156072041150034</v>
      </c>
      <c r="T29" s="15" t="n">
        <v>80.0125</v>
      </c>
      <c r="U29" s="11" t="s">
        <v>87</v>
      </c>
    </row>
    <row r="30" customFormat="false" ht="15" hidden="false" customHeight="true" outlineLevel="0" collapsed="false">
      <c r="B30" s="9" t="s">
        <v>145</v>
      </c>
      <c r="C30" s="10" t="s">
        <v>146</v>
      </c>
      <c r="D30" s="11" t="s">
        <v>97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1" t="s">
        <v>83</v>
      </c>
    </row>
    <row r="31" customFormat="false" ht="15" hidden="false" customHeight="true" outlineLevel="0" collapsed="false">
      <c r="B31" s="9" t="s">
        <v>147</v>
      </c>
      <c r="C31" s="10" t="s">
        <v>148</v>
      </c>
      <c r="D31" s="11" t="s">
        <v>97</v>
      </c>
      <c r="E31" s="14" t="n">
        <v>0.829</v>
      </c>
      <c r="F31" s="14" t="n">
        <v>0.745</v>
      </c>
      <c r="G31" s="13" t="n">
        <v>1.1484423</v>
      </c>
      <c r="H31" s="13" t="n">
        <v>-0.002992</v>
      </c>
      <c r="I31" s="13" t="n">
        <v>1.110811</v>
      </c>
      <c r="J31" s="13" t="n">
        <v>0.6208379</v>
      </c>
      <c r="K31" s="13" t="n">
        <v>0.9317736</v>
      </c>
      <c r="L31" s="13" t="n">
        <v>0.7145938</v>
      </c>
      <c r="M31" s="14" t="n">
        <v>0.895500004291534</v>
      </c>
      <c r="N31" s="15" t="n">
        <v>20.58</v>
      </c>
      <c r="O31" s="12" t="n">
        <v>133</v>
      </c>
      <c r="P31" s="13" t="n">
        <v>4.29</v>
      </c>
      <c r="Q31" s="12"/>
      <c r="R31" s="16" t="n">
        <v>0.983807416463989</v>
      </c>
      <c r="S31" s="12"/>
      <c r="T31" s="12"/>
      <c r="U31" s="11" t="s">
        <v>87</v>
      </c>
    </row>
    <row r="32" customFormat="false" ht="15" hidden="false" customHeight="true" outlineLevel="0" collapsed="false">
      <c r="B32" s="9" t="s">
        <v>149</v>
      </c>
      <c r="C32" s="10" t="s">
        <v>150</v>
      </c>
      <c r="D32" s="11" t="s">
        <v>151</v>
      </c>
      <c r="E32" s="14" t="n">
        <v>0.263</v>
      </c>
      <c r="F32" s="14" t="n">
        <v>0.098</v>
      </c>
      <c r="G32" s="13" t="n">
        <v>-1.2423966</v>
      </c>
      <c r="H32" s="13" t="n">
        <v>-1.8849739</v>
      </c>
      <c r="I32" s="13" t="n">
        <v>-0.645991</v>
      </c>
      <c r="J32" s="13" t="n">
        <v>-0.8332379</v>
      </c>
      <c r="K32" s="13" t="n">
        <v>-1.0489242</v>
      </c>
      <c r="L32" s="13" t="n">
        <v>-0.4378633</v>
      </c>
      <c r="M32" s="14" t="n">
        <v>0.494500011205673</v>
      </c>
      <c r="N32" s="15" t="n">
        <v>22.75</v>
      </c>
      <c r="O32" s="12" t="n">
        <v>54</v>
      </c>
      <c r="P32" s="13" t="n">
        <v>5.66</v>
      </c>
      <c r="Q32" s="12"/>
      <c r="R32" s="16" t="n">
        <v>0.488302767819942</v>
      </c>
      <c r="S32" s="16" t="n">
        <v>0.0945488963590303</v>
      </c>
      <c r="T32" s="15" t="n">
        <v>86.5625</v>
      </c>
      <c r="U32" s="11" t="s">
        <v>87</v>
      </c>
    </row>
    <row r="33" customFormat="false" ht="15" hidden="false" customHeight="true" outlineLevel="0" collapsed="false">
      <c r="B33" s="9" t="s">
        <v>152</v>
      </c>
      <c r="C33" s="10" t="s">
        <v>153</v>
      </c>
      <c r="D33" s="11" t="s">
        <v>94</v>
      </c>
      <c r="E33" s="14" t="n">
        <v>0.516</v>
      </c>
      <c r="F33" s="14" t="n">
        <v>0.414</v>
      </c>
      <c r="G33" s="13" t="n">
        <v>0.33163</v>
      </c>
      <c r="H33" s="13" t="n">
        <v>0.6984398</v>
      </c>
      <c r="I33" s="13" t="n">
        <v>0.6089609</v>
      </c>
      <c r="J33" s="13" t="n">
        <v>0.0650822</v>
      </c>
      <c r="K33" s="13" t="n">
        <v>0.3057786</v>
      </c>
      <c r="L33" s="13" t="n">
        <v>0.5626875</v>
      </c>
      <c r="M33" s="12"/>
      <c r="N33" s="15" t="n">
        <v>29.78</v>
      </c>
      <c r="O33" s="12" t="n">
        <v>109</v>
      </c>
      <c r="P33" s="13" t="n">
        <v>4.71</v>
      </c>
      <c r="Q33" s="12"/>
      <c r="R33" s="12"/>
      <c r="S33" s="12"/>
      <c r="T33" s="15" t="n">
        <v>70.305</v>
      </c>
      <c r="U33" s="11" t="s">
        <v>83</v>
      </c>
    </row>
    <row r="34" customFormat="false" ht="15" hidden="false" customHeight="true" outlineLevel="0" collapsed="false">
      <c r="B34" s="9" t="s">
        <v>154</v>
      </c>
      <c r="C34" s="10" t="s">
        <v>155</v>
      </c>
      <c r="D34" s="11" t="s">
        <v>97</v>
      </c>
      <c r="E34" s="14" t="n">
        <v>0.833</v>
      </c>
      <c r="F34" s="14" t="n">
        <v>0.752</v>
      </c>
      <c r="G34" s="13" t="n">
        <v>1.3006116</v>
      </c>
      <c r="H34" s="13" t="n">
        <v>0.2577085</v>
      </c>
      <c r="I34" s="13" t="n">
        <v>1.1849099</v>
      </c>
      <c r="J34" s="13" t="n">
        <v>1.5112377</v>
      </c>
      <c r="K34" s="13" t="n">
        <v>1.269914</v>
      </c>
      <c r="L34" s="13" t="n">
        <v>1.5097548</v>
      </c>
      <c r="M34" s="14" t="n">
        <v>0.441000014543533</v>
      </c>
      <c r="N34" s="15" t="n">
        <v>11.69</v>
      </c>
      <c r="O34" s="12" t="n">
        <v>140</v>
      </c>
      <c r="P34" s="13" t="n">
        <v>4.14</v>
      </c>
      <c r="Q34" s="12" t="n">
        <v>12</v>
      </c>
      <c r="R34" s="16" t="n">
        <v>0.992843092777584</v>
      </c>
      <c r="S34" s="12"/>
      <c r="T34" s="12"/>
      <c r="U34" s="11" t="s">
        <v>87</v>
      </c>
    </row>
    <row r="35" customFormat="false" ht="15" hidden="false" customHeight="true" outlineLevel="0" collapsed="false">
      <c r="B35" s="9" t="s">
        <v>156</v>
      </c>
      <c r="C35" s="10" t="s">
        <v>157</v>
      </c>
      <c r="D35" s="11"/>
      <c r="E35" s="14" t="n">
        <v>0.48</v>
      </c>
      <c r="F35" s="14" t="n">
        <v>0.328</v>
      </c>
      <c r="G35" s="13" t="n">
        <v>-0.253538</v>
      </c>
      <c r="H35" s="13" t="n">
        <v>-0.6127592</v>
      </c>
      <c r="I35" s="13" t="n">
        <v>0.4562672</v>
      </c>
      <c r="J35" s="13" t="n">
        <v>0.6500428</v>
      </c>
      <c r="K35" s="13" t="n">
        <v>0.1489667</v>
      </c>
      <c r="L35" s="13" t="n">
        <v>0.3810861</v>
      </c>
      <c r="M35" s="14" t="n">
        <v>0.847000002861023</v>
      </c>
      <c r="N35" s="15" t="n">
        <v>58.19</v>
      </c>
      <c r="O35" s="12" t="n">
        <v>113</v>
      </c>
      <c r="P35" s="13" t="n">
        <v>4.64</v>
      </c>
      <c r="Q35" s="12"/>
      <c r="R35" s="16" t="n">
        <v>0.788236410959339</v>
      </c>
      <c r="S35" s="12"/>
      <c r="T35" s="15" t="n">
        <v>79.575</v>
      </c>
      <c r="U35" s="11" t="s">
        <v>87</v>
      </c>
    </row>
    <row r="36" customFormat="false" ht="15" hidden="false" customHeight="true" outlineLevel="0" collapsed="false">
      <c r="B36" s="9" t="s">
        <v>158</v>
      </c>
      <c r="C36" s="10" t="s">
        <v>159</v>
      </c>
      <c r="D36" s="11" t="s">
        <v>151</v>
      </c>
      <c r="E36" s="14" t="n">
        <v>0.669</v>
      </c>
      <c r="F36" s="14" t="n">
        <v>0.567</v>
      </c>
      <c r="G36" s="13" t="n">
        <v>0.2043162</v>
      </c>
      <c r="H36" s="13" t="n">
        <v>0.0114605</v>
      </c>
      <c r="I36" s="13" t="n">
        <v>0.0595796</v>
      </c>
      <c r="J36" s="13" t="n">
        <v>-0.0898549</v>
      </c>
      <c r="K36" s="13" t="n">
        <v>0.0539695</v>
      </c>
      <c r="L36" s="13" t="n">
        <v>-0.1934794</v>
      </c>
      <c r="M36" s="14" t="n">
        <v>0.693499982357025</v>
      </c>
      <c r="N36" s="15" t="n">
        <v>35.55</v>
      </c>
      <c r="O36" s="12" t="n">
        <v>79</v>
      </c>
      <c r="P36" s="13" t="n">
        <v>5.28</v>
      </c>
      <c r="Q36" s="12"/>
      <c r="R36" s="16" t="n">
        <v>0.812430252454858</v>
      </c>
      <c r="S36" s="16" t="n">
        <v>0.782813635015091</v>
      </c>
      <c r="T36" s="15" t="n">
        <v>95.0625</v>
      </c>
      <c r="U36" s="11" t="s">
        <v>87</v>
      </c>
    </row>
    <row r="37" customFormat="false" ht="15" hidden="false" customHeight="true" outlineLevel="0" collapsed="false">
      <c r="B37" s="9" t="s">
        <v>160</v>
      </c>
      <c r="C37" s="10" t="s">
        <v>161</v>
      </c>
      <c r="D37" s="11" t="s">
        <v>128</v>
      </c>
      <c r="E37" s="14" t="n">
        <v>0.169</v>
      </c>
      <c r="F37" s="14" t="n">
        <v>0.133</v>
      </c>
      <c r="G37" s="13" t="n">
        <v>-0.3206346</v>
      </c>
      <c r="H37" s="13" t="n">
        <v>0.6310985</v>
      </c>
      <c r="I37" s="13" t="n">
        <v>1.6374532</v>
      </c>
      <c r="J37" s="13" t="n">
        <v>1.7399242</v>
      </c>
      <c r="K37" s="13" t="n">
        <v>0.9209804</v>
      </c>
      <c r="L37" s="13" t="n">
        <v>1.5721573</v>
      </c>
      <c r="M37" s="12"/>
      <c r="N37" s="15"/>
      <c r="O37" s="12" t="n">
        <v>76</v>
      </c>
      <c r="P37" s="13" t="n">
        <v>5.34</v>
      </c>
      <c r="Q37" s="12"/>
      <c r="R37" s="16" t="n">
        <v>0.973080247282368</v>
      </c>
      <c r="S37" s="12"/>
      <c r="T37" s="12"/>
      <c r="U37" s="11" t="s">
        <v>83</v>
      </c>
    </row>
    <row r="38" customFormat="false" ht="15" hidden="false" customHeight="true" outlineLevel="0" collapsed="false">
      <c r="B38" s="9" t="s">
        <v>162</v>
      </c>
      <c r="C38" s="10" t="s">
        <v>163</v>
      </c>
      <c r="D38" s="11" t="s">
        <v>97</v>
      </c>
      <c r="E38" s="14" t="n">
        <v>0.436</v>
      </c>
      <c r="F38" s="14" t="n">
        <v>0.318</v>
      </c>
      <c r="G38" s="13" t="n">
        <v>-0.027728</v>
      </c>
      <c r="H38" s="13" t="n">
        <v>0.4363288</v>
      </c>
      <c r="I38" s="13" t="n">
        <v>0.501908</v>
      </c>
      <c r="J38" s="13" t="n">
        <v>0.3350444</v>
      </c>
      <c r="K38" s="13" t="n">
        <v>0.1923364</v>
      </c>
      <c r="L38" s="13" t="n">
        <v>0.0394373</v>
      </c>
      <c r="M38" s="14" t="n">
        <v>0.875500023365021</v>
      </c>
      <c r="N38" s="15" t="n">
        <v>22.46</v>
      </c>
      <c r="O38" s="12" t="n">
        <v>88</v>
      </c>
      <c r="P38" s="13" t="n">
        <v>5.06</v>
      </c>
      <c r="Q38" s="12"/>
      <c r="R38" s="16" t="n">
        <v>0.869605630769545</v>
      </c>
      <c r="S38" s="12"/>
      <c r="T38" s="12"/>
      <c r="U38" s="11" t="s">
        <v>87</v>
      </c>
    </row>
    <row r="39" customFormat="false" ht="15" hidden="false" customHeight="true" outlineLevel="0" collapsed="false">
      <c r="B39" s="9" t="s">
        <v>164</v>
      </c>
      <c r="C39" s="10" t="s">
        <v>165</v>
      </c>
      <c r="D39" s="11" t="s">
        <v>128</v>
      </c>
      <c r="E39" s="14" t="n">
        <v>0.483</v>
      </c>
      <c r="F39" s="14" t="n">
        <v>0.326</v>
      </c>
      <c r="G39" s="13" t="n">
        <v>-0.1754316</v>
      </c>
      <c r="H39" s="13" t="n">
        <v>-0.6091275</v>
      </c>
      <c r="I39" s="13" t="n">
        <v>0.179804</v>
      </c>
      <c r="J39" s="13" t="n">
        <v>0.1247202</v>
      </c>
      <c r="K39" s="13" t="n">
        <v>-0.2065981</v>
      </c>
      <c r="L39" s="13" t="n">
        <v>-0.5446152</v>
      </c>
      <c r="M39" s="14" t="n">
        <v>0.758499979972839</v>
      </c>
      <c r="N39" s="15" t="n">
        <v>14.88</v>
      </c>
      <c r="O39" s="12" t="n">
        <v>78</v>
      </c>
      <c r="P39" s="13" t="n">
        <v>5.33</v>
      </c>
      <c r="Q39" s="12" t="n">
        <v>3</v>
      </c>
      <c r="R39" s="16" t="n">
        <v>0.563278493718021</v>
      </c>
      <c r="S39" s="16" t="n">
        <v>0.220129024040787</v>
      </c>
      <c r="T39" s="15" t="n">
        <v>78.91375</v>
      </c>
      <c r="U39" s="11" t="s">
        <v>87</v>
      </c>
    </row>
    <row r="40" customFormat="false" ht="15" hidden="false" customHeight="true" outlineLevel="0" collapsed="false">
      <c r="B40" s="9" t="s">
        <v>166</v>
      </c>
      <c r="C40" s="10" t="s">
        <v>167</v>
      </c>
      <c r="D40" s="11" t="s">
        <v>102</v>
      </c>
      <c r="E40" s="14" t="n">
        <v>0.398</v>
      </c>
      <c r="F40" s="14" t="n">
        <v>0.291</v>
      </c>
      <c r="G40" s="13" t="n">
        <v>-0.0789293</v>
      </c>
      <c r="H40" s="13" t="n">
        <v>-0.7857625</v>
      </c>
      <c r="I40" s="13" t="n">
        <v>0.4046051</v>
      </c>
      <c r="J40" s="13" t="n">
        <v>-0.0960696</v>
      </c>
      <c r="K40" s="13" t="n">
        <v>-0.0392287</v>
      </c>
      <c r="L40" s="13" t="n">
        <v>-0.2953362</v>
      </c>
      <c r="M40" s="14" t="n">
        <v>0.594500005245209</v>
      </c>
      <c r="N40" s="15" t="n">
        <v>15.94</v>
      </c>
      <c r="O40" s="12" t="n">
        <v>68</v>
      </c>
      <c r="P40" s="13" t="n">
        <v>5.49</v>
      </c>
      <c r="Q40" s="12" t="n">
        <v>1</v>
      </c>
      <c r="R40" s="16" t="n">
        <v>0.890248224502547</v>
      </c>
      <c r="S40" s="16" t="n">
        <v>0.231007553610962</v>
      </c>
      <c r="T40" s="15" t="n">
        <v>85.0925</v>
      </c>
      <c r="U40" s="11" t="s">
        <v>103</v>
      </c>
    </row>
    <row r="41" customFormat="false" ht="15" hidden="false" customHeight="true" outlineLevel="0" collapsed="false">
      <c r="B41" s="9" t="s">
        <v>168</v>
      </c>
      <c r="C41" s="10" t="s">
        <v>169</v>
      </c>
      <c r="D41" s="11" t="s">
        <v>86</v>
      </c>
      <c r="E41" s="14" t="n">
        <v>0.167</v>
      </c>
      <c r="F41" s="14" t="n">
        <v>0.092</v>
      </c>
      <c r="G41" s="13" t="n">
        <v>-1.5484136</v>
      </c>
      <c r="H41" s="13" t="n">
        <v>-1.5811884</v>
      </c>
      <c r="I41" s="13" t="n">
        <v>-0.7061233</v>
      </c>
      <c r="J41" s="13" t="n">
        <v>-1.5113535</v>
      </c>
      <c r="K41" s="13" t="n">
        <v>-1.2348012</v>
      </c>
      <c r="L41" s="13" t="n">
        <v>-1.1472382</v>
      </c>
      <c r="M41" s="14" t="n">
        <v>0.448000013828278</v>
      </c>
      <c r="N41" s="15" t="n">
        <v>16.18</v>
      </c>
      <c r="O41" s="12"/>
      <c r="P41" s="12"/>
      <c r="Q41" s="12"/>
      <c r="R41" s="16" t="n">
        <v>0.910610044635676</v>
      </c>
      <c r="S41" s="16" t="n">
        <v>0.131040104950472</v>
      </c>
      <c r="T41" s="12"/>
      <c r="U41" s="11" t="s">
        <v>103</v>
      </c>
    </row>
    <row r="42" customFormat="false" ht="15" hidden="false" customHeight="true" outlineLevel="0" collapsed="false">
      <c r="B42" s="9" t="s">
        <v>170</v>
      </c>
      <c r="C42" s="10" t="s">
        <v>171</v>
      </c>
      <c r="D42" s="11" t="s">
        <v>86</v>
      </c>
      <c r="E42" s="14" t="n">
        <v>0.351</v>
      </c>
      <c r="F42" s="14" t="n">
        <v>0.228</v>
      </c>
      <c r="G42" s="13" t="n">
        <v>-1.0216043</v>
      </c>
      <c r="H42" s="13" t="n">
        <v>-2.0642762</v>
      </c>
      <c r="I42" s="13" t="n">
        <v>-1.1018847</v>
      </c>
      <c r="J42" s="13" t="n">
        <v>-1.030546</v>
      </c>
      <c r="K42" s="13" t="n">
        <v>-1.3581614</v>
      </c>
      <c r="L42" s="13" t="n">
        <v>-1.2050155</v>
      </c>
      <c r="M42" s="14" t="n">
        <v>0.732999980449677</v>
      </c>
      <c r="N42" s="15"/>
      <c r="O42" s="12"/>
      <c r="P42" s="12"/>
      <c r="Q42" s="12"/>
      <c r="R42" s="16" t="n">
        <v>0.301610517779513</v>
      </c>
      <c r="S42" s="16" t="n">
        <v>0.118649862957934</v>
      </c>
      <c r="T42" s="15" t="n">
        <v>91.3875</v>
      </c>
      <c r="U42" s="11" t="s">
        <v>83</v>
      </c>
    </row>
    <row r="43" customFormat="false" ht="15" hidden="false" customHeight="true" outlineLevel="0" collapsed="false">
      <c r="B43" s="9" t="s">
        <v>172</v>
      </c>
      <c r="C43" s="10" t="s">
        <v>173</v>
      </c>
      <c r="D43" s="11" t="s">
        <v>97</v>
      </c>
      <c r="E43" s="14" t="n">
        <v>0.844</v>
      </c>
      <c r="F43" s="14" t="n">
        <v>0.759</v>
      </c>
      <c r="G43" s="13" t="n">
        <v>1.4247807</v>
      </c>
      <c r="H43" s="13" t="n">
        <v>1.2056034</v>
      </c>
      <c r="I43" s="13" t="n">
        <v>1.645973</v>
      </c>
      <c r="J43" s="13" t="n">
        <v>1.3302839</v>
      </c>
      <c r="K43" s="13" t="n">
        <v>1.6278886</v>
      </c>
      <c r="L43" s="13" t="n">
        <v>1.828818</v>
      </c>
      <c r="M43" s="14" t="n">
        <v>0.695500016212463</v>
      </c>
      <c r="N43" s="15" t="n">
        <v>14.66</v>
      </c>
      <c r="O43" s="12" t="n">
        <v>163</v>
      </c>
      <c r="P43" s="13" t="n">
        <v>3</v>
      </c>
      <c r="Q43" s="12"/>
      <c r="R43" s="16" t="n">
        <v>0.998548358099717</v>
      </c>
      <c r="S43" s="12"/>
      <c r="T43" s="12"/>
      <c r="U43" s="11" t="s">
        <v>87</v>
      </c>
    </row>
    <row r="44" customFormat="false" ht="15" hidden="false" customHeight="true" outlineLevel="0" collapsed="false">
      <c r="B44" s="9" t="s">
        <v>174</v>
      </c>
      <c r="C44" s="10" t="s">
        <v>175</v>
      </c>
      <c r="D44" s="11" t="s">
        <v>86</v>
      </c>
      <c r="E44" s="14" t="n">
        <v>0.715</v>
      </c>
      <c r="F44" s="14" t="n">
        <v>0.617</v>
      </c>
      <c r="G44" s="13" t="n">
        <v>0.2951561</v>
      </c>
      <c r="H44" s="13" t="n">
        <v>-1.0375015</v>
      </c>
      <c r="I44" s="13" t="n">
        <v>1.1726244</v>
      </c>
      <c r="J44" s="13" t="n">
        <v>1.1138772</v>
      </c>
      <c r="K44" s="13" t="n">
        <v>0.5997177</v>
      </c>
      <c r="L44" s="13" t="n">
        <v>0.853319</v>
      </c>
      <c r="M44" s="12"/>
      <c r="N44" s="15" t="n">
        <v>19.2</v>
      </c>
      <c r="O44" s="12" t="n">
        <v>150</v>
      </c>
      <c r="P44" s="13" t="n">
        <v>3.97</v>
      </c>
      <c r="Q44" s="12"/>
      <c r="R44" s="16" t="n">
        <v>0.892691974119826</v>
      </c>
      <c r="S44" s="12"/>
      <c r="T44" s="12"/>
      <c r="U44" s="11" t="s">
        <v>103</v>
      </c>
    </row>
    <row r="45" customFormat="false" ht="15" hidden="false" customHeight="true" outlineLevel="0" collapsed="false">
      <c r="B45" s="9" t="s">
        <v>176</v>
      </c>
      <c r="C45" s="10" t="s">
        <v>177</v>
      </c>
      <c r="D45" s="11" t="s">
        <v>97</v>
      </c>
      <c r="E45" s="14" t="n">
        <v>0.803</v>
      </c>
      <c r="F45" s="14" t="n">
        <v>0.705</v>
      </c>
      <c r="G45" s="13" t="n">
        <v>1.0673476</v>
      </c>
      <c r="H45" s="13" t="n">
        <v>0.3087035</v>
      </c>
      <c r="I45" s="13" t="n">
        <v>0.7922891</v>
      </c>
      <c r="J45" s="13" t="n">
        <v>0.6401491</v>
      </c>
      <c r="K45" s="13" t="n">
        <v>0.6192043</v>
      </c>
      <c r="L45" s="13" t="n">
        <v>0.5531621</v>
      </c>
      <c r="M45" s="14" t="n">
        <v>0.895500004291534</v>
      </c>
      <c r="N45" s="15" t="n">
        <v>26.13</v>
      </c>
      <c r="O45" s="12" t="n">
        <v>102</v>
      </c>
      <c r="P45" s="13" t="n">
        <v>4.8</v>
      </c>
      <c r="Q45" s="12"/>
      <c r="R45" s="16" t="n">
        <v>0.860191093278992</v>
      </c>
      <c r="S45" s="12"/>
      <c r="T45" s="12"/>
      <c r="U45" s="11" t="s">
        <v>87</v>
      </c>
    </row>
    <row r="46" customFormat="false" ht="15" hidden="false" customHeight="true" outlineLevel="0" collapsed="false">
      <c r="B46" s="9" t="s">
        <v>178</v>
      </c>
      <c r="C46" s="10" t="s">
        <v>179</v>
      </c>
      <c r="D46" s="11" t="s">
        <v>82</v>
      </c>
      <c r="E46" s="14" t="n">
        <v>0.803</v>
      </c>
      <c r="F46" s="14" t="n">
        <v>0.684</v>
      </c>
      <c r="G46" s="13" t="n">
        <v>0.485209</v>
      </c>
      <c r="H46" s="13" t="n">
        <v>0.476823</v>
      </c>
      <c r="I46" s="13" t="n">
        <v>0.1712622</v>
      </c>
      <c r="J46" s="13" t="n">
        <v>0.0908785</v>
      </c>
      <c r="K46" s="13" t="n">
        <v>-0.0776697</v>
      </c>
      <c r="L46" s="13" t="n">
        <v>-0.0962723</v>
      </c>
      <c r="M46" s="14" t="n">
        <v>0.661499977111816</v>
      </c>
      <c r="N46" s="15" t="n">
        <v>32.36</v>
      </c>
      <c r="O46" s="12" t="n">
        <v>103</v>
      </c>
      <c r="P46" s="13" t="n">
        <v>4.79</v>
      </c>
      <c r="Q46" s="12"/>
      <c r="R46" s="16" t="n">
        <v>0.733003615105011</v>
      </c>
      <c r="S46" s="16" t="n">
        <v>0.126601306162648</v>
      </c>
      <c r="T46" s="15" t="n">
        <v>53.58125</v>
      </c>
      <c r="U46" s="11" t="s">
        <v>87</v>
      </c>
    </row>
    <row r="47" customFormat="false" ht="15" hidden="false" customHeight="true" outlineLevel="0" collapsed="false">
      <c r="B47" s="9" t="s">
        <v>180</v>
      </c>
      <c r="C47" s="10" t="s">
        <v>181</v>
      </c>
      <c r="D47" s="11" t="s">
        <v>128</v>
      </c>
      <c r="E47" s="14" t="n">
        <v>0.82</v>
      </c>
      <c r="F47" s="14" t="n">
        <v>0.734</v>
      </c>
      <c r="G47" s="13" t="n">
        <v>1.1161265</v>
      </c>
      <c r="H47" s="13" t="n">
        <v>1.1343228</v>
      </c>
      <c r="I47" s="13" t="n">
        <v>2.0879101</v>
      </c>
      <c r="J47" s="13" t="n">
        <v>1.3296352</v>
      </c>
      <c r="K47" s="13" t="n">
        <v>1.5115753</v>
      </c>
      <c r="L47" s="13" t="n">
        <v>1.3570132</v>
      </c>
      <c r="M47" s="14" t="n">
        <v>0.366499990224838</v>
      </c>
      <c r="N47" s="15" t="n">
        <v>10.21</v>
      </c>
      <c r="O47" s="12" t="n">
        <v>104</v>
      </c>
      <c r="P47" s="13" t="n">
        <v>4.77</v>
      </c>
      <c r="Q47" s="12"/>
      <c r="R47" s="16" t="n">
        <v>0.985235592091779</v>
      </c>
      <c r="S47" s="12"/>
      <c r="T47" s="12"/>
      <c r="U47" s="11" t="s">
        <v>87</v>
      </c>
    </row>
    <row r="48" customFormat="false" ht="15" hidden="false" customHeight="true" outlineLevel="0" collapsed="false">
      <c r="B48" s="9" t="s">
        <v>182</v>
      </c>
      <c r="C48" s="10" t="s">
        <v>183</v>
      </c>
      <c r="D48" s="11" t="s">
        <v>110</v>
      </c>
      <c r="E48" s="14" t="n">
        <v>0.272</v>
      </c>
      <c r="F48" s="14" t="n">
        <v>0.134</v>
      </c>
      <c r="G48" s="13" t="n">
        <v>-0.8157128</v>
      </c>
      <c r="H48" s="13" t="n">
        <v>-0.2827558</v>
      </c>
      <c r="I48" s="13" t="n">
        <v>0.1467641</v>
      </c>
      <c r="J48" s="13" t="n">
        <v>0.0470549</v>
      </c>
      <c r="K48" s="13" t="n">
        <v>-0.3815477</v>
      </c>
      <c r="L48" s="13" t="n">
        <v>-0.0670903</v>
      </c>
      <c r="M48" s="14" t="n">
        <v>0.716499984264374</v>
      </c>
      <c r="N48" s="15" t="n">
        <v>35.47</v>
      </c>
      <c r="O48" s="12" t="n">
        <v>111</v>
      </c>
      <c r="P48" s="13" t="n">
        <v>4.65</v>
      </c>
      <c r="Q48" s="12"/>
      <c r="R48" s="16" t="n">
        <v>0.870486447464415</v>
      </c>
      <c r="S48" s="16" t="n">
        <v>0.488575255414164</v>
      </c>
      <c r="T48" s="12"/>
      <c r="U48" s="11" t="s">
        <v>87</v>
      </c>
    </row>
    <row r="49" customFormat="false" ht="15" hidden="false" customHeight="true" outlineLevel="0" collapsed="false">
      <c r="B49" s="9" t="s">
        <v>184</v>
      </c>
      <c r="C49" s="10" t="s">
        <v>185</v>
      </c>
      <c r="D49" s="11" t="s">
        <v>110</v>
      </c>
      <c r="E49" s="14" t="n">
        <v>0.333</v>
      </c>
      <c r="F49" s="14" t="n">
        <v>0.183</v>
      </c>
      <c r="G49" s="13" t="n">
        <v>-0.8013292</v>
      </c>
      <c r="H49" s="13" t="n">
        <v>-0.5045251</v>
      </c>
      <c r="I49" s="13" t="n">
        <v>-0.8885033</v>
      </c>
      <c r="J49" s="13" t="n">
        <v>-0.5167464</v>
      </c>
      <c r="K49" s="13" t="n">
        <v>-0.9360937</v>
      </c>
      <c r="L49" s="13" t="n">
        <v>-1.1364649</v>
      </c>
      <c r="M49" s="14" t="n">
        <v>0.736000001430512</v>
      </c>
      <c r="N49" s="15" t="n">
        <v>33.18</v>
      </c>
      <c r="O49" s="12" t="n">
        <v>45</v>
      </c>
      <c r="P49" s="13" t="n">
        <v>5.95</v>
      </c>
      <c r="Q49" s="12"/>
      <c r="R49" s="16" t="n">
        <v>0.722642375946654</v>
      </c>
      <c r="S49" s="16" t="n">
        <v>0.310351086424767</v>
      </c>
      <c r="T49" s="15" t="n">
        <v>81.8875</v>
      </c>
      <c r="U49" s="11" t="s">
        <v>83</v>
      </c>
    </row>
    <row r="50" customFormat="false" ht="15" hidden="false" customHeight="true" outlineLevel="0" collapsed="false">
      <c r="B50" s="9" t="s">
        <v>186</v>
      </c>
      <c r="C50" s="10" t="s">
        <v>187</v>
      </c>
      <c r="D50" s="11" t="s">
        <v>82</v>
      </c>
      <c r="E50" s="12"/>
      <c r="F50" s="12"/>
      <c r="G50" s="13" t="n">
        <v>0.4598773</v>
      </c>
      <c r="H50" s="13" t="n">
        <v>0.9121334</v>
      </c>
      <c r="I50" s="13" t="n">
        <v>0.6913852</v>
      </c>
      <c r="J50" s="13" t="n">
        <v>0.4799757</v>
      </c>
      <c r="K50" s="13" t="n">
        <v>0.5904494</v>
      </c>
      <c r="L50" s="13" t="n">
        <v>0.3480989</v>
      </c>
      <c r="M50" s="14" t="n">
        <v>0.549499988555908</v>
      </c>
      <c r="N50" s="12"/>
      <c r="O50" s="12" t="n">
        <v>57</v>
      </c>
      <c r="P50" s="13" t="n">
        <v>5.64</v>
      </c>
      <c r="Q50" s="12"/>
      <c r="R50" s="12"/>
      <c r="S50" s="12"/>
      <c r="T50" s="12"/>
      <c r="U50" s="11" t="s">
        <v>87</v>
      </c>
    </row>
    <row r="51" customFormat="false" ht="15" hidden="false" customHeight="true" outlineLevel="0" collapsed="false">
      <c r="B51" s="9" t="s">
        <v>188</v>
      </c>
      <c r="C51" s="10" t="s">
        <v>189</v>
      </c>
      <c r="D51" s="11" t="s">
        <v>128</v>
      </c>
      <c r="E51" s="14" t="n">
        <v>0.729</v>
      </c>
      <c r="F51" s="14" t="n">
        <v>0.631</v>
      </c>
      <c r="G51" s="13" t="n">
        <v>0.8078028</v>
      </c>
      <c r="H51" s="13" t="n">
        <v>0.6393495</v>
      </c>
      <c r="I51" s="13" t="n">
        <v>1.4867237</v>
      </c>
      <c r="J51" s="13" t="n">
        <v>1.013674</v>
      </c>
      <c r="K51" s="13" t="n">
        <v>1.1174546</v>
      </c>
      <c r="L51" s="13" t="n">
        <v>0.8495586</v>
      </c>
      <c r="M51" s="14" t="n">
        <v>0.679499983787537</v>
      </c>
      <c r="N51" s="15" t="n">
        <v>22.52</v>
      </c>
      <c r="O51" s="12" t="n">
        <v>125</v>
      </c>
      <c r="P51" s="13" t="n">
        <v>4.42</v>
      </c>
      <c r="Q51" s="12" t="n">
        <v>19</v>
      </c>
      <c r="R51" s="16" t="n">
        <v>0.968949448884961</v>
      </c>
      <c r="S51" s="16" t="n">
        <v>0.601022032736356</v>
      </c>
      <c r="T51" s="12"/>
      <c r="U51" s="11" t="s">
        <v>87</v>
      </c>
    </row>
    <row r="52" customFormat="false" ht="15" hidden="false" customHeight="true" outlineLevel="0" collapsed="false">
      <c r="B52" s="9" t="s">
        <v>190</v>
      </c>
      <c r="C52" s="10" t="s">
        <v>191</v>
      </c>
      <c r="D52" s="11"/>
      <c r="E52" s="14" t="n">
        <v>0.292</v>
      </c>
      <c r="F52" s="14" t="n">
        <v>0.266</v>
      </c>
      <c r="G52" s="13" t="n">
        <v>-0.7183422</v>
      </c>
      <c r="H52" s="13" t="n">
        <v>0.2939367</v>
      </c>
      <c r="I52" s="13" t="n">
        <v>0.3278963</v>
      </c>
      <c r="J52" s="13" t="n">
        <v>0.4035133</v>
      </c>
      <c r="K52" s="13" t="n">
        <v>0.2308269</v>
      </c>
      <c r="L52" s="13" t="n">
        <v>0.2183455</v>
      </c>
      <c r="M52" s="14" t="n">
        <v>0.564000010490418</v>
      </c>
      <c r="N52" s="15" t="n">
        <v>14.39</v>
      </c>
      <c r="O52" s="12" t="n">
        <v>37</v>
      </c>
      <c r="P52" s="13" t="n">
        <v>6.27</v>
      </c>
      <c r="Q52" s="12"/>
      <c r="R52" s="16" t="n">
        <v>0.744578561430281</v>
      </c>
      <c r="S52" s="12"/>
      <c r="T52" s="12"/>
      <c r="U52" s="11" t="s">
        <v>87</v>
      </c>
    </row>
    <row r="53" customFormat="false" ht="15" hidden="false" customHeight="true" outlineLevel="0" collapsed="false">
      <c r="B53" s="9" t="s">
        <v>192</v>
      </c>
      <c r="C53" s="10" t="s">
        <v>193</v>
      </c>
      <c r="D53" s="11" t="s">
        <v>128</v>
      </c>
      <c r="E53" s="14" t="n">
        <v>0.134</v>
      </c>
      <c r="F53" s="14" t="n">
        <v>0.102</v>
      </c>
      <c r="G53" s="13" t="n">
        <v>-1.4711829</v>
      </c>
      <c r="H53" s="13" t="n">
        <v>0.5576599</v>
      </c>
      <c r="I53" s="13" t="n">
        <v>-0.5819014</v>
      </c>
      <c r="J53" s="13" t="n">
        <v>-0.6360282</v>
      </c>
      <c r="K53" s="13" t="n">
        <v>-0.7424167</v>
      </c>
      <c r="L53" s="13" t="n">
        <v>-0.9798961</v>
      </c>
      <c r="M53" s="14" t="n">
        <v>0.519999980926514</v>
      </c>
      <c r="N53" s="15" t="n">
        <v>20</v>
      </c>
      <c r="O53" s="12" t="n">
        <v>6</v>
      </c>
      <c r="P53" s="13" t="n">
        <v>7.53</v>
      </c>
      <c r="Q53" s="12"/>
      <c r="R53" s="16" t="n">
        <v>0.376501969468659</v>
      </c>
      <c r="S53" s="16" t="n">
        <v>0.118384276782264</v>
      </c>
      <c r="T53" s="12"/>
      <c r="U53" s="11" t="s">
        <v>87</v>
      </c>
    </row>
    <row r="54" customFormat="false" ht="15" hidden="false" customHeight="true" outlineLevel="0" collapsed="false">
      <c r="B54" s="9" t="s">
        <v>194</v>
      </c>
      <c r="C54" s="10" t="s">
        <v>195</v>
      </c>
      <c r="D54" s="11" t="s">
        <v>86</v>
      </c>
      <c r="E54" s="14" t="n">
        <v>0.348</v>
      </c>
      <c r="F54" s="14" t="n">
        <v>0.207</v>
      </c>
      <c r="G54" s="13" t="n">
        <v>-0.7732541</v>
      </c>
      <c r="H54" s="13" t="n">
        <v>-1.3896806</v>
      </c>
      <c r="I54" s="13" t="n">
        <v>-1.1301199</v>
      </c>
      <c r="J54" s="13" t="n">
        <v>-0.9588794</v>
      </c>
      <c r="K54" s="13" t="n">
        <v>-1.0853525</v>
      </c>
      <c r="L54" s="13" t="n">
        <v>-1.3041344</v>
      </c>
      <c r="M54" s="14" t="n">
        <v>0.437000006437302</v>
      </c>
      <c r="N54" s="15" t="n">
        <v>29.37</v>
      </c>
      <c r="O54" s="12" t="n">
        <v>50</v>
      </c>
      <c r="P54" s="13" t="n">
        <v>5.81</v>
      </c>
      <c r="Q54" s="12"/>
      <c r="R54" s="16" t="n">
        <v>0.230438575680739</v>
      </c>
      <c r="S54" s="16" t="n">
        <v>0.0271589794245283</v>
      </c>
      <c r="T54" s="12"/>
      <c r="U54" s="11" t="s">
        <v>87</v>
      </c>
    </row>
    <row r="55" customFormat="false" ht="15" hidden="false" customHeight="true" outlineLevel="0" collapsed="false">
      <c r="B55" s="9" t="s">
        <v>196</v>
      </c>
      <c r="C55" s="10" t="s">
        <v>197</v>
      </c>
      <c r="D55" s="11" t="s">
        <v>102</v>
      </c>
      <c r="E55" s="14" t="n">
        <v>0.664</v>
      </c>
      <c r="F55" s="14" t="n">
        <v>0.486</v>
      </c>
      <c r="G55" s="13" t="n">
        <v>-0.1260255</v>
      </c>
      <c r="H55" s="13" t="n">
        <v>-0.3503024</v>
      </c>
      <c r="I55" s="13" t="n">
        <v>-0.2745215</v>
      </c>
      <c r="J55" s="13" t="n">
        <v>-0.2992135</v>
      </c>
      <c r="K55" s="13" t="n">
        <v>-0.2577461</v>
      </c>
      <c r="L55" s="13" t="n">
        <v>-0.3847709</v>
      </c>
      <c r="M55" s="14" t="n">
        <v>0.75</v>
      </c>
      <c r="N55" s="15" t="n">
        <v>32.88</v>
      </c>
      <c r="O55" s="12" t="n">
        <v>80</v>
      </c>
      <c r="P55" s="13" t="n">
        <v>5.28</v>
      </c>
      <c r="Q55" s="12"/>
      <c r="R55" s="16" t="n">
        <v>0.816921293527248</v>
      </c>
      <c r="S55" s="16" t="n">
        <v>0.0299616477602989</v>
      </c>
      <c r="T55" s="15" t="n">
        <v>76.4</v>
      </c>
      <c r="U55" s="11" t="s">
        <v>103</v>
      </c>
    </row>
    <row r="56" customFormat="false" ht="15" hidden="false" customHeight="true" outlineLevel="0" collapsed="false">
      <c r="B56" s="9" t="s">
        <v>198</v>
      </c>
      <c r="C56" s="10" t="s">
        <v>199</v>
      </c>
      <c r="D56" s="11" t="s">
        <v>128</v>
      </c>
      <c r="E56" s="12"/>
      <c r="F56" s="12"/>
      <c r="G56" s="13" t="n">
        <v>0.0636166</v>
      </c>
      <c r="H56" s="13" t="n">
        <v>1.053872</v>
      </c>
      <c r="I56" s="13" t="n">
        <v>1.1159269</v>
      </c>
      <c r="J56" s="13" t="n">
        <v>1.3713907</v>
      </c>
      <c r="K56" s="13" t="n">
        <v>0.8520978</v>
      </c>
      <c r="L56" s="13" t="n">
        <v>0.5733844</v>
      </c>
      <c r="M56" s="14" t="n">
        <v>0.270999997854233</v>
      </c>
      <c r="N56" s="15"/>
      <c r="O56" s="12"/>
      <c r="P56" s="12"/>
      <c r="Q56" s="12"/>
      <c r="R56" s="12"/>
      <c r="S56" s="12"/>
      <c r="T56" s="12"/>
      <c r="U56" s="11" t="s">
        <v>83</v>
      </c>
    </row>
    <row r="57" customFormat="false" ht="15" hidden="false" customHeight="true" outlineLevel="0" collapsed="false">
      <c r="B57" s="9" t="s">
        <v>200</v>
      </c>
      <c r="C57" s="10" t="s">
        <v>201</v>
      </c>
      <c r="D57" s="11" t="s">
        <v>151</v>
      </c>
      <c r="E57" s="14" t="n">
        <v>0.417</v>
      </c>
      <c r="F57" s="14" t="n">
        <v>0.221</v>
      </c>
      <c r="G57" s="13" t="n">
        <v>-0.7253684</v>
      </c>
      <c r="H57" s="13" t="n">
        <v>-0.4805584</v>
      </c>
      <c r="I57" s="13" t="n">
        <v>-0.8631928</v>
      </c>
      <c r="J57" s="13" t="n">
        <v>-0.7485886</v>
      </c>
      <c r="K57" s="13" t="n">
        <v>-0.8827065</v>
      </c>
      <c r="L57" s="13" t="n">
        <v>-1.0099165</v>
      </c>
      <c r="M57" s="12"/>
      <c r="N57" s="15" t="n">
        <v>35.74</v>
      </c>
      <c r="O57" s="12" t="n">
        <v>20</v>
      </c>
      <c r="P57" s="13" t="n">
        <v>6.76</v>
      </c>
      <c r="Q57" s="12"/>
      <c r="R57" s="16" t="n">
        <v>0.244501397197571</v>
      </c>
      <c r="S57" s="16" t="n">
        <v>0.193550167093779</v>
      </c>
      <c r="T57" s="15" t="n">
        <v>86.29375</v>
      </c>
      <c r="U57" s="11" t="s">
        <v>87</v>
      </c>
    </row>
    <row r="58" customFormat="false" ht="15" hidden="false" customHeight="true" outlineLevel="0" collapsed="false">
      <c r="B58" s="9" t="s">
        <v>202</v>
      </c>
      <c r="C58" s="10" t="s">
        <v>203</v>
      </c>
      <c r="D58" s="11" t="s">
        <v>102</v>
      </c>
      <c r="E58" s="14" t="n">
        <v>0.564</v>
      </c>
      <c r="F58" s="14" t="n">
        <v>0.423</v>
      </c>
      <c r="G58" s="13" t="n">
        <v>-0.4118749</v>
      </c>
      <c r="H58" s="13" t="n">
        <v>-0.0544563</v>
      </c>
      <c r="I58" s="13" t="n">
        <v>-0.221287</v>
      </c>
      <c r="J58" s="13" t="n">
        <v>-0.2353508</v>
      </c>
      <c r="K58" s="13" t="n">
        <v>0.0443492</v>
      </c>
      <c r="L58" s="13" t="n">
        <v>-0.3359538</v>
      </c>
      <c r="M58" s="14" t="n">
        <v>0.50900000333786</v>
      </c>
      <c r="N58" s="15" t="n">
        <v>22.73</v>
      </c>
      <c r="O58" s="12"/>
      <c r="P58" s="12"/>
      <c r="Q58" s="12"/>
      <c r="R58" s="16" t="n">
        <v>0.79546409464789</v>
      </c>
      <c r="S58" s="16" t="n">
        <v>0.233007872254875</v>
      </c>
      <c r="T58" s="15" t="n">
        <v>74.9425</v>
      </c>
      <c r="U58" s="11" t="s">
        <v>103</v>
      </c>
    </row>
    <row r="59" customFormat="false" ht="15" hidden="false" customHeight="true" outlineLevel="0" collapsed="false">
      <c r="B59" s="9" t="s">
        <v>204</v>
      </c>
      <c r="C59" s="10" t="s">
        <v>205</v>
      </c>
      <c r="D59" s="11" t="s">
        <v>128</v>
      </c>
      <c r="E59" s="14" t="n">
        <v>0.083</v>
      </c>
      <c r="F59" s="14" t="n">
        <v>0.016</v>
      </c>
      <c r="G59" s="13" t="n">
        <v>-2.12458</v>
      </c>
      <c r="H59" s="13" t="n">
        <v>-2.0903985</v>
      </c>
      <c r="I59" s="13" t="n">
        <v>-1.5583075</v>
      </c>
      <c r="J59" s="13" t="n">
        <v>-1.4197208</v>
      </c>
      <c r="K59" s="13" t="n">
        <v>-1.811602</v>
      </c>
      <c r="L59" s="13" t="n">
        <v>-1.2527062</v>
      </c>
      <c r="M59" s="14" t="n">
        <v>0.764999985694885</v>
      </c>
      <c r="N59" s="15" t="n">
        <v>22.09</v>
      </c>
      <c r="O59" s="12" t="n">
        <v>1</v>
      </c>
      <c r="P59" s="13" t="n">
        <v>8.17</v>
      </c>
      <c r="Q59" s="12"/>
      <c r="R59" s="16" t="n">
        <v>0.477910290706127</v>
      </c>
      <c r="S59" s="16" t="n">
        <v>0.290307042450086</v>
      </c>
      <c r="T59" s="15" t="n">
        <v>72.805</v>
      </c>
      <c r="U59" s="11" t="s">
        <v>83</v>
      </c>
    </row>
    <row r="60" customFormat="false" ht="15" hidden="false" customHeight="true" outlineLevel="0" collapsed="false">
      <c r="B60" s="9" t="s">
        <v>206</v>
      </c>
      <c r="C60" s="10" t="s">
        <v>207</v>
      </c>
      <c r="D60" s="11"/>
      <c r="E60" s="14" t="n">
        <v>0.615</v>
      </c>
      <c r="F60" s="14" t="n">
        <v>0.478</v>
      </c>
      <c r="G60" s="13" t="n">
        <v>0.3909571</v>
      </c>
      <c r="H60" s="13" t="n">
        <v>0.3318563</v>
      </c>
      <c r="I60" s="13" t="n">
        <v>0.3664948</v>
      </c>
      <c r="J60" s="13" t="n">
        <v>0.1273183</v>
      </c>
      <c r="K60" s="13" t="n">
        <v>0.1813833</v>
      </c>
      <c r="L60" s="13" t="n">
        <v>-0.0594344</v>
      </c>
      <c r="M60" s="14" t="n">
        <v>0.790499985218048</v>
      </c>
      <c r="N60" s="15"/>
      <c r="O60" s="12" t="n">
        <v>136</v>
      </c>
      <c r="P60" s="13" t="n">
        <v>4.23</v>
      </c>
      <c r="Q60" s="12"/>
      <c r="R60" s="16" t="n">
        <v>0.754116297013886</v>
      </c>
      <c r="S60" s="12"/>
      <c r="T60" s="12"/>
      <c r="U60" s="11" t="s">
        <v>87</v>
      </c>
    </row>
    <row r="61" customFormat="false" ht="15" hidden="false" customHeight="true" outlineLevel="0" collapsed="false">
      <c r="B61" s="9" t="s">
        <v>208</v>
      </c>
      <c r="C61" s="10" t="s">
        <v>209</v>
      </c>
      <c r="D61" s="11"/>
      <c r="E61" s="14" t="n">
        <v>0.333</v>
      </c>
      <c r="F61" s="14" t="n">
        <v>0.135</v>
      </c>
      <c r="G61" s="13" t="n">
        <v>-0.925315</v>
      </c>
      <c r="H61" s="13" t="n">
        <v>-0.5595872</v>
      </c>
      <c r="I61" s="13" t="n">
        <v>-0.7412473</v>
      </c>
      <c r="J61" s="13" t="n">
        <v>-0.7781512</v>
      </c>
      <c r="K61" s="13" t="n">
        <v>-0.8635099</v>
      </c>
      <c r="L61" s="13" t="n">
        <v>-0.933745</v>
      </c>
      <c r="M61" s="14" t="n">
        <v>0.644500017166138</v>
      </c>
      <c r="N61" s="15" t="n">
        <v>30.52</v>
      </c>
      <c r="O61" s="12" t="n">
        <v>36</v>
      </c>
      <c r="P61" s="13" t="n">
        <v>6.28</v>
      </c>
      <c r="Q61" s="12"/>
      <c r="R61" s="16" t="n">
        <v>0.273142609920985</v>
      </c>
      <c r="S61" s="12"/>
      <c r="T61" s="15" t="n">
        <v>80.79375</v>
      </c>
      <c r="U61" s="11" t="s">
        <v>87</v>
      </c>
    </row>
    <row r="62" customFormat="false" ht="15" hidden="false" customHeight="true" outlineLevel="0" collapsed="false">
      <c r="B62" s="9" t="s">
        <v>210</v>
      </c>
      <c r="C62" s="10" t="s">
        <v>211</v>
      </c>
      <c r="D62" s="11"/>
      <c r="E62" s="14" t="n">
        <v>0.58</v>
      </c>
      <c r="F62" s="14" t="n">
        <v>0.482</v>
      </c>
      <c r="G62" s="13" t="n">
        <v>-0.109434</v>
      </c>
      <c r="H62" s="13" t="n">
        <v>-0.3802084</v>
      </c>
      <c r="I62" s="13" t="n">
        <v>-0.7257604</v>
      </c>
      <c r="J62" s="13" t="n">
        <v>-0.5849557</v>
      </c>
      <c r="K62" s="13" t="n">
        <v>-0.1463001</v>
      </c>
      <c r="L62" s="13" t="n">
        <v>-0.6486607</v>
      </c>
      <c r="M62" s="14" t="n">
        <v>0.741500020027161</v>
      </c>
      <c r="N62" s="15" t="n">
        <v>39.51</v>
      </c>
      <c r="O62" s="12" t="n">
        <v>71</v>
      </c>
      <c r="P62" s="13" t="n">
        <v>5.45</v>
      </c>
      <c r="Q62" s="12"/>
      <c r="R62" s="16" t="n">
        <v>0.503696725002439</v>
      </c>
      <c r="S62" s="16" t="n">
        <v>0.473991978362086</v>
      </c>
      <c r="T62" s="15" t="n">
        <v>93.88</v>
      </c>
      <c r="U62" s="11" t="s">
        <v>87</v>
      </c>
    </row>
    <row r="63" customFormat="false" ht="15" hidden="false" customHeight="true" outlineLevel="0" collapsed="false">
      <c r="B63" s="9" t="s">
        <v>212</v>
      </c>
      <c r="C63" s="10" t="s">
        <v>213</v>
      </c>
      <c r="D63" s="11" t="s">
        <v>128</v>
      </c>
      <c r="E63" s="14" t="n">
        <v>0.517</v>
      </c>
      <c r="F63" s="14" t="n">
        <v>0.362</v>
      </c>
      <c r="G63" s="13" t="n">
        <v>-0.1267195</v>
      </c>
      <c r="H63" s="13" t="n">
        <v>0.3847799</v>
      </c>
      <c r="I63" s="13" t="n">
        <v>0.9147725</v>
      </c>
      <c r="J63" s="13" t="n">
        <v>0.6804759</v>
      </c>
      <c r="K63" s="13" t="n">
        <v>0.3451357</v>
      </c>
      <c r="L63" s="13" t="n">
        <v>0.4983973</v>
      </c>
      <c r="M63" s="14" t="n">
        <v>0.563000023365021</v>
      </c>
      <c r="N63" s="15" t="n">
        <v>26.79</v>
      </c>
      <c r="O63" s="12" t="n">
        <v>67</v>
      </c>
      <c r="P63" s="13" t="n">
        <v>5.5</v>
      </c>
      <c r="Q63" s="12"/>
      <c r="R63" s="16" t="n">
        <v>0.886918012421116</v>
      </c>
      <c r="S63" s="16" t="n">
        <v>0.445049316596793</v>
      </c>
      <c r="T63" s="15" t="n">
        <v>87.2675</v>
      </c>
      <c r="U63" s="11" t="s">
        <v>87</v>
      </c>
    </row>
    <row r="64" customFormat="false" ht="15" hidden="false" customHeight="true" outlineLevel="0" collapsed="false">
      <c r="B64" s="9" t="s">
        <v>214</v>
      </c>
      <c r="C64" s="10" t="s">
        <v>215</v>
      </c>
      <c r="D64" s="11" t="s">
        <v>151</v>
      </c>
      <c r="E64" s="14" t="n">
        <v>0.623</v>
      </c>
      <c r="F64" s="14" t="n">
        <v>0.515</v>
      </c>
      <c r="G64" s="13" t="n">
        <v>0.3365397</v>
      </c>
      <c r="H64" s="13" t="n">
        <v>0.5467327</v>
      </c>
      <c r="I64" s="13" t="n">
        <v>0.0993431</v>
      </c>
      <c r="J64" s="13" t="n">
        <v>0.1349052</v>
      </c>
      <c r="K64" s="13" t="n">
        <v>0.3278567</v>
      </c>
      <c r="L64" s="13" t="n">
        <v>0.1265202</v>
      </c>
      <c r="M64" s="14" t="n">
        <v>0.637000024318695</v>
      </c>
      <c r="N64" s="15" t="n">
        <v>24.66</v>
      </c>
      <c r="O64" s="12" t="n">
        <v>97</v>
      </c>
      <c r="P64" s="13" t="n">
        <v>4.89</v>
      </c>
      <c r="Q64" s="12"/>
      <c r="R64" s="16" t="n">
        <v>0.729187672893525</v>
      </c>
      <c r="S64" s="16" t="n">
        <v>0.484473580646797</v>
      </c>
      <c r="T64" s="15" t="n">
        <v>73.60625</v>
      </c>
      <c r="U64" s="11" t="s">
        <v>103</v>
      </c>
    </row>
    <row r="65" customFormat="false" ht="15" hidden="false" customHeight="true" outlineLevel="0" collapsed="false">
      <c r="B65" s="9" t="s">
        <v>216</v>
      </c>
      <c r="C65" s="10" t="s">
        <v>217</v>
      </c>
      <c r="D65" s="11" t="s">
        <v>151</v>
      </c>
      <c r="E65" s="14" t="n">
        <v>0.502</v>
      </c>
      <c r="F65" s="14" t="n">
        <v>0.315</v>
      </c>
      <c r="G65" s="13" t="n">
        <v>-0.7265447</v>
      </c>
      <c r="H65" s="13" t="n">
        <v>-2.0025617</v>
      </c>
      <c r="I65" s="13" t="n">
        <v>-1.0065889</v>
      </c>
      <c r="J65" s="13" t="n">
        <v>-0.6332954</v>
      </c>
      <c r="K65" s="13" t="n">
        <v>-1.0069453</v>
      </c>
      <c r="L65" s="13" t="n">
        <v>-1.1145909</v>
      </c>
      <c r="M65" s="14" t="n">
        <v>0.644500017166138</v>
      </c>
      <c r="N65" s="15" t="n">
        <v>54.88</v>
      </c>
      <c r="O65" s="12" t="n">
        <v>17</v>
      </c>
      <c r="P65" s="13" t="n">
        <v>6.85</v>
      </c>
      <c r="Q65" s="12" t="n">
        <v>2</v>
      </c>
      <c r="R65" s="16" t="n">
        <v>0.632613514491542</v>
      </c>
      <c r="S65" s="16" t="n">
        <v>0.327907521346508</v>
      </c>
      <c r="T65" s="15" t="n">
        <v>85.3375</v>
      </c>
      <c r="U65" s="11" t="s">
        <v>87</v>
      </c>
    </row>
    <row r="66" customFormat="false" ht="15" hidden="false" customHeight="true" outlineLevel="0" collapsed="false">
      <c r="B66" s="9" t="s">
        <v>218</v>
      </c>
      <c r="C66" s="10" t="s">
        <v>219</v>
      </c>
      <c r="D66" s="11" t="s">
        <v>97</v>
      </c>
      <c r="E66" s="14" t="n">
        <v>0.884</v>
      </c>
      <c r="F66" s="14" t="n">
        <v>0.839</v>
      </c>
      <c r="G66" s="13" t="n">
        <v>1.9294246</v>
      </c>
      <c r="H66" s="13" t="n">
        <v>0.9032646</v>
      </c>
      <c r="I66" s="13" t="n">
        <v>1.843057</v>
      </c>
      <c r="J66" s="13" t="n">
        <v>1.6704537</v>
      </c>
      <c r="K66" s="13" t="n">
        <v>1.9494549</v>
      </c>
      <c r="L66" s="13" t="n">
        <v>1.9610085</v>
      </c>
      <c r="M66" s="14" t="n">
        <v>0.724500000476837</v>
      </c>
      <c r="N66" s="15" t="n">
        <v>16.48</v>
      </c>
      <c r="O66" s="12" t="n">
        <v>153</v>
      </c>
      <c r="P66" s="13" t="n">
        <v>3.76</v>
      </c>
      <c r="Q66" s="12"/>
      <c r="R66" s="16" t="n">
        <v>0.985561571037813</v>
      </c>
      <c r="S66" s="12"/>
      <c r="T66" s="12"/>
      <c r="U66" s="11" t="s">
        <v>87</v>
      </c>
    </row>
    <row r="67" customFormat="false" ht="15" hidden="false" customHeight="true" outlineLevel="0" collapsed="false">
      <c r="B67" s="9" t="s">
        <v>220</v>
      </c>
      <c r="C67" s="10" t="s">
        <v>221</v>
      </c>
      <c r="D67" s="11" t="s">
        <v>94</v>
      </c>
      <c r="E67" s="14" t="n">
        <v>0.863</v>
      </c>
      <c r="F67" s="14" t="n">
        <v>0.809</v>
      </c>
      <c r="G67" s="13" t="n">
        <v>1.6892342</v>
      </c>
      <c r="H67" s="13" t="n">
        <v>1.1506563</v>
      </c>
      <c r="I67" s="13" t="n">
        <v>1.8491848</v>
      </c>
      <c r="J67" s="13" t="n">
        <v>1.8444942</v>
      </c>
      <c r="K67" s="13" t="n">
        <v>1.6674536</v>
      </c>
      <c r="L67" s="13" t="n">
        <v>1.9285412</v>
      </c>
      <c r="M67" s="14" t="n">
        <v>0.462500005960465</v>
      </c>
      <c r="N67" s="15" t="n">
        <v>11.22</v>
      </c>
      <c r="O67" s="12" t="n">
        <v>154</v>
      </c>
      <c r="P67" s="13" t="n">
        <v>3.68</v>
      </c>
      <c r="Q67" s="12"/>
      <c r="R67" s="16" t="n">
        <v>0.978647563722742</v>
      </c>
      <c r="S67" s="12"/>
      <c r="T67" s="12"/>
      <c r="U67" s="11" t="s">
        <v>87</v>
      </c>
    </row>
    <row r="68" customFormat="false" ht="15" hidden="false" customHeight="true" outlineLevel="0" collapsed="false">
      <c r="B68" s="9" t="s">
        <v>222</v>
      </c>
      <c r="C68" s="10" t="s">
        <v>223</v>
      </c>
      <c r="D68" s="11" t="s">
        <v>102</v>
      </c>
      <c r="E68" s="14" t="n">
        <v>0.313</v>
      </c>
      <c r="F68" s="14" t="n">
        <v>0.199</v>
      </c>
      <c r="G68" s="13" t="n">
        <v>-1.1663298</v>
      </c>
      <c r="H68" s="13" t="n">
        <v>-2.0634311</v>
      </c>
      <c r="I68" s="13" t="n">
        <v>-0.6003273</v>
      </c>
      <c r="J68" s="13" t="n">
        <v>-0.7928043</v>
      </c>
      <c r="K68" s="13" t="n">
        <v>-1.017096</v>
      </c>
      <c r="L68" s="13" t="n">
        <v>-1.0656237</v>
      </c>
      <c r="M68" s="14" t="n">
        <v>0.740000009536743</v>
      </c>
      <c r="N68" s="15" t="n">
        <v>31.63</v>
      </c>
      <c r="O68" s="12" t="n">
        <v>61</v>
      </c>
      <c r="P68" s="13" t="n">
        <v>5.56</v>
      </c>
      <c r="Q68" s="12" t="n">
        <v>9</v>
      </c>
      <c r="R68" s="16" t="n">
        <v>0.272960071761925</v>
      </c>
      <c r="S68" s="16" t="n">
        <v>0.183578643242878</v>
      </c>
      <c r="T68" s="15" t="n">
        <v>92.8125</v>
      </c>
      <c r="U68" s="11" t="s">
        <v>103</v>
      </c>
    </row>
    <row r="69" customFormat="false" ht="15" hidden="false" customHeight="true" outlineLevel="0" collapsed="false">
      <c r="B69" s="9" t="s">
        <v>224</v>
      </c>
      <c r="C69" s="10" t="s">
        <v>225</v>
      </c>
      <c r="D69" s="11" t="s">
        <v>82</v>
      </c>
      <c r="E69" s="14" t="n">
        <v>0.634</v>
      </c>
      <c r="F69" s="14" t="n">
        <v>0.493</v>
      </c>
      <c r="G69" s="13" t="n">
        <v>0.0455746</v>
      </c>
      <c r="H69" s="13" t="n">
        <v>-0.6544223</v>
      </c>
      <c r="I69" s="13" t="n">
        <v>-0.2004128</v>
      </c>
      <c r="J69" s="13" t="n">
        <v>0.0828146</v>
      </c>
      <c r="K69" s="13" t="n">
        <v>-0.5057749</v>
      </c>
      <c r="L69" s="13" t="n">
        <v>-0.7203896</v>
      </c>
      <c r="M69" s="14" t="n">
        <v>0.804499983787537</v>
      </c>
      <c r="N69" s="15" t="n">
        <v>42.61</v>
      </c>
      <c r="O69" s="12" t="n">
        <v>105</v>
      </c>
      <c r="P69" s="13" t="n">
        <v>4.77</v>
      </c>
      <c r="Q69" s="12"/>
      <c r="R69" s="16" t="n">
        <v>0.593098978248017</v>
      </c>
      <c r="S69" s="16" t="n">
        <v>0.424973370328842</v>
      </c>
      <c r="T69" s="15" t="n">
        <v>90.575</v>
      </c>
      <c r="U69" s="11" t="s">
        <v>87</v>
      </c>
    </row>
    <row r="70" customFormat="false" ht="15" hidden="false" customHeight="true" outlineLevel="0" collapsed="false">
      <c r="B70" s="9" t="s">
        <v>226</v>
      </c>
      <c r="C70" s="10" t="s">
        <v>227</v>
      </c>
      <c r="D70" s="11" t="s">
        <v>128</v>
      </c>
      <c r="E70" s="14" t="n">
        <v>0.435</v>
      </c>
      <c r="F70" s="14" t="n">
        <v>0.308</v>
      </c>
      <c r="G70" s="13" t="n">
        <v>-0.3554363</v>
      </c>
      <c r="H70" s="13" t="n">
        <v>-0.7741477</v>
      </c>
      <c r="I70" s="13" t="n">
        <v>0.1445214</v>
      </c>
      <c r="J70" s="13" t="n">
        <v>0.0792961</v>
      </c>
      <c r="K70" s="13" t="n">
        <v>-0.5739681</v>
      </c>
      <c r="L70" s="13" t="n">
        <v>-0.5766165</v>
      </c>
      <c r="M70" s="14" t="n">
        <v>0.638999998569489</v>
      </c>
      <c r="N70" s="15" t="n">
        <v>31.95</v>
      </c>
      <c r="O70" s="12" t="n">
        <v>49</v>
      </c>
      <c r="P70" s="13" t="n">
        <v>5.84</v>
      </c>
      <c r="Q70" s="12" t="n">
        <v>8</v>
      </c>
      <c r="R70" s="16" t="n">
        <v>0.501824221429254</v>
      </c>
      <c r="S70" s="16" t="n">
        <v>0.288000006326383</v>
      </c>
      <c r="T70" s="15" t="n">
        <v>75.575</v>
      </c>
      <c r="U70" s="11" t="s">
        <v>87</v>
      </c>
    </row>
    <row r="71" customFormat="false" ht="15" hidden="false" customHeight="true" outlineLevel="0" collapsed="false">
      <c r="B71" s="9" t="s">
        <v>228</v>
      </c>
      <c r="C71" s="10" t="s">
        <v>229</v>
      </c>
      <c r="D71" s="11" t="s">
        <v>94</v>
      </c>
      <c r="E71" s="12"/>
      <c r="F71" s="12"/>
      <c r="G71" s="13" t="n">
        <v>1.0369618</v>
      </c>
      <c r="H71" s="13" t="n">
        <v>1.2387076</v>
      </c>
      <c r="I71" s="13" t="n">
        <v>0.0100272</v>
      </c>
      <c r="J71" s="13" t="n">
        <v>0.4811763</v>
      </c>
      <c r="K71" s="13" t="n">
        <v>1.1710347</v>
      </c>
      <c r="L71" s="13" t="n">
        <v>0.5049337</v>
      </c>
      <c r="M71" s="12"/>
      <c r="N71" s="12"/>
      <c r="O71" s="12"/>
      <c r="P71" s="12"/>
      <c r="Q71" s="12"/>
      <c r="R71" s="12"/>
      <c r="S71" s="12"/>
      <c r="T71" s="12"/>
      <c r="U71" s="11" t="s">
        <v>83</v>
      </c>
    </row>
    <row r="72" customFormat="false" ht="15" hidden="false" customHeight="true" outlineLevel="0" collapsed="false">
      <c r="B72" s="9" t="s">
        <v>230</v>
      </c>
      <c r="C72" s="10" t="s">
        <v>231</v>
      </c>
      <c r="D72" s="11" t="s">
        <v>94</v>
      </c>
      <c r="E72" s="14" t="n">
        <v>0.461</v>
      </c>
      <c r="F72" s="14" t="n">
        <v>0.384</v>
      </c>
      <c r="G72" s="13" t="n">
        <v>-0.3264396</v>
      </c>
      <c r="H72" s="13" t="n">
        <v>-0.653875</v>
      </c>
      <c r="I72" s="13" t="n">
        <v>-0.9004467</v>
      </c>
      <c r="J72" s="13" t="n">
        <v>-0.6004013</v>
      </c>
      <c r="K72" s="13" t="n">
        <v>-0.5713329</v>
      </c>
      <c r="L72" s="13" t="n">
        <v>-0.7973513</v>
      </c>
      <c r="M72" s="12"/>
      <c r="N72" s="15"/>
      <c r="O72" s="12"/>
      <c r="P72" s="12"/>
      <c r="Q72" s="12"/>
      <c r="R72" s="12"/>
      <c r="S72" s="12"/>
      <c r="T72" s="15" t="n">
        <v>84.6875</v>
      </c>
      <c r="U72" s="11" t="s">
        <v>83</v>
      </c>
    </row>
    <row r="73" customFormat="false" ht="15" hidden="false" customHeight="true" outlineLevel="0" collapsed="false">
      <c r="B73" s="9" t="s">
        <v>232</v>
      </c>
      <c r="C73" s="10" t="s">
        <v>233</v>
      </c>
      <c r="D73" s="11" t="s">
        <v>86</v>
      </c>
      <c r="E73" s="14" t="n">
        <v>0.087</v>
      </c>
      <c r="F73" s="14" t="n">
        <v>0.08</v>
      </c>
      <c r="G73" s="13" t="n">
        <v>-0.9543765</v>
      </c>
      <c r="H73" s="13" t="n">
        <v>0.9511752</v>
      </c>
      <c r="I73" s="13" t="n">
        <v>1.1342702</v>
      </c>
      <c r="J73" s="13" t="n">
        <v>0.9663365</v>
      </c>
      <c r="K73" s="13" t="n">
        <v>0.589593</v>
      </c>
      <c r="L73" s="13" t="n">
        <v>0.7548293</v>
      </c>
      <c r="M73" s="14" t="n">
        <v>0.60699999332428</v>
      </c>
      <c r="N73" s="15" t="n">
        <v>13.78</v>
      </c>
      <c r="O73" s="12" t="n">
        <v>62</v>
      </c>
      <c r="P73" s="13" t="n">
        <v>5.55</v>
      </c>
      <c r="Q73" s="12"/>
      <c r="R73" s="16" t="n">
        <v>0.658753853266331</v>
      </c>
      <c r="S73" s="12"/>
      <c r="T73" s="15" t="n">
        <v>94.2125</v>
      </c>
      <c r="U73" s="11" t="s">
        <v>87</v>
      </c>
    </row>
    <row r="74" customFormat="false" ht="15" hidden="false" customHeight="true" outlineLevel="0" collapsed="false">
      <c r="B74" s="9" t="s">
        <v>234</v>
      </c>
      <c r="C74" s="10" t="s">
        <v>235</v>
      </c>
      <c r="D74" s="11" t="s">
        <v>110</v>
      </c>
      <c r="E74" s="14" t="n">
        <v>0.172</v>
      </c>
      <c r="F74" s="14" t="n">
        <v>0.056</v>
      </c>
      <c r="G74" s="13" t="n">
        <v>-1.4221754</v>
      </c>
      <c r="H74" s="13" t="n">
        <v>-0.9032847</v>
      </c>
      <c r="I74" s="13" t="n">
        <v>-0.3215539</v>
      </c>
      <c r="J74" s="13" t="n">
        <v>-1.0682839</v>
      </c>
      <c r="K74" s="13" t="n">
        <v>-1.1565186</v>
      </c>
      <c r="L74" s="13" t="n">
        <v>-0.8911386</v>
      </c>
      <c r="M74" s="14" t="n">
        <v>0.565500020980835</v>
      </c>
      <c r="N74" s="15" t="n">
        <v>39.09</v>
      </c>
      <c r="O74" s="12"/>
      <c r="P74" s="12"/>
      <c r="Q74" s="12" t="n">
        <v>7</v>
      </c>
      <c r="R74" s="16" t="n">
        <v>0.793421267068262</v>
      </c>
      <c r="S74" s="16" t="n">
        <v>0.0581761873044621</v>
      </c>
      <c r="T74" s="15" t="n">
        <v>64.5625</v>
      </c>
      <c r="U74" s="11" t="s">
        <v>87</v>
      </c>
    </row>
    <row r="75" customFormat="false" ht="15" hidden="false" customHeight="true" outlineLevel="0" collapsed="false">
      <c r="B75" s="9" t="s">
        <v>236</v>
      </c>
      <c r="C75" s="10" t="s">
        <v>237</v>
      </c>
      <c r="D75" s="11"/>
      <c r="E75" s="14" t="n">
        <v>0.202</v>
      </c>
      <c r="F75" s="14" t="n">
        <v>0.09</v>
      </c>
      <c r="G75" s="13" t="n">
        <v>-0.5889127</v>
      </c>
      <c r="H75" s="13" t="n">
        <v>-0.0436889</v>
      </c>
      <c r="I75" s="13" t="n">
        <v>0.3489076</v>
      </c>
      <c r="J75" s="13" t="n">
        <v>0.2696046</v>
      </c>
      <c r="K75" s="13" t="n">
        <v>0.1002757</v>
      </c>
      <c r="L75" s="13" t="n">
        <v>0.6254936</v>
      </c>
      <c r="M75" s="14" t="n">
        <v>0.59500002861023</v>
      </c>
      <c r="N75" s="15" t="n">
        <v>26.57</v>
      </c>
      <c r="O75" s="12" t="n">
        <v>46</v>
      </c>
      <c r="P75" s="13" t="n">
        <v>5.94</v>
      </c>
      <c r="Q75" s="12"/>
      <c r="R75" s="16" t="n">
        <v>0.50019793696102</v>
      </c>
      <c r="S75" s="16" t="n">
        <v>0.31114641541215</v>
      </c>
      <c r="T75" s="15" t="n">
        <v>95</v>
      </c>
      <c r="U75" s="11" t="s">
        <v>87</v>
      </c>
    </row>
    <row r="76" customFormat="false" ht="15" hidden="false" customHeight="true" outlineLevel="0" collapsed="false">
      <c r="B76" s="9" t="s">
        <v>238</v>
      </c>
      <c r="C76" s="10" t="s">
        <v>239</v>
      </c>
      <c r="D76" s="11" t="s">
        <v>86</v>
      </c>
      <c r="E76" s="14" t="n">
        <v>0.015</v>
      </c>
      <c r="F76" s="14" t="n">
        <v>0.047</v>
      </c>
      <c r="G76" s="13" t="n">
        <v>-1.5472609</v>
      </c>
      <c r="H76" s="13" t="n">
        <v>-0.048171</v>
      </c>
      <c r="I76" s="13" t="n">
        <v>0.7833016</v>
      </c>
      <c r="J76" s="13" t="n">
        <v>0.7102575</v>
      </c>
      <c r="K76" s="13" t="n">
        <v>0.2103549</v>
      </c>
      <c r="L76" s="13" t="n">
        <v>0.7528275</v>
      </c>
      <c r="M76" s="14" t="n">
        <v>0.500500023365021</v>
      </c>
      <c r="N76" s="15" t="n">
        <v>14.69</v>
      </c>
      <c r="O76" s="12" t="n">
        <v>48</v>
      </c>
      <c r="P76" s="13" t="n">
        <v>5.88</v>
      </c>
      <c r="Q76" s="12"/>
      <c r="R76" s="16" t="n">
        <v>0.788409517231945</v>
      </c>
      <c r="S76" s="16" t="n">
        <v>0.365012282127332</v>
      </c>
      <c r="T76" s="12"/>
      <c r="U76" s="11" t="s">
        <v>87</v>
      </c>
    </row>
    <row r="77" customFormat="false" ht="15" hidden="false" customHeight="true" outlineLevel="0" collapsed="false">
      <c r="B77" s="9" t="s">
        <v>240</v>
      </c>
      <c r="C77" s="10" t="s">
        <v>241</v>
      </c>
      <c r="D77" s="11" t="s">
        <v>128</v>
      </c>
      <c r="E77" s="14" t="n">
        <v>0.414</v>
      </c>
      <c r="F77" s="14" t="n">
        <v>0.343</v>
      </c>
      <c r="G77" s="13" t="n">
        <v>0.0382996</v>
      </c>
      <c r="H77" s="13" t="n">
        <v>1.2318778</v>
      </c>
      <c r="I77" s="13" t="n">
        <v>2.2796267</v>
      </c>
      <c r="J77" s="13" t="n">
        <v>2.1321197</v>
      </c>
      <c r="K77" s="13" t="n">
        <v>1.4311756</v>
      </c>
      <c r="L77" s="13" t="n">
        <v>1.9681221</v>
      </c>
      <c r="M77" s="14" t="n">
        <v>0.544000029563904</v>
      </c>
      <c r="N77" s="15" t="n">
        <v>10.77</v>
      </c>
      <c r="O77" s="12" t="n">
        <v>110</v>
      </c>
      <c r="P77" s="13" t="n">
        <v>4.7</v>
      </c>
      <c r="Q77" s="12"/>
      <c r="R77" s="16" t="n">
        <v>0.979718288419762</v>
      </c>
      <c r="S77" s="16" t="n">
        <v>0.564689658881854</v>
      </c>
      <c r="T77" s="15" t="n">
        <v>83.8125</v>
      </c>
      <c r="U77" s="11" t="s">
        <v>87</v>
      </c>
    </row>
    <row r="78" customFormat="false" ht="15" hidden="false" customHeight="true" outlineLevel="0" collapsed="false">
      <c r="B78" s="9" t="s">
        <v>242</v>
      </c>
      <c r="C78" s="10" t="s">
        <v>243</v>
      </c>
      <c r="D78" s="11"/>
      <c r="E78" s="14" t="n">
        <v>0.665</v>
      </c>
      <c r="F78" s="14" t="n">
        <v>0.519</v>
      </c>
      <c r="G78" s="13" t="n">
        <v>0.3267325</v>
      </c>
      <c r="H78" s="13" t="n">
        <v>0.7499116</v>
      </c>
      <c r="I78" s="13" t="n">
        <v>-0.8686192</v>
      </c>
      <c r="J78" s="13" t="n">
        <v>-0.888466</v>
      </c>
      <c r="K78" s="13" t="n">
        <v>0.1533565</v>
      </c>
      <c r="L78" s="13" t="n">
        <v>-0.1401036</v>
      </c>
      <c r="M78" s="12"/>
      <c r="N78" s="15"/>
      <c r="O78" s="12" t="n">
        <v>35</v>
      </c>
      <c r="P78" s="13" t="n">
        <v>6.32</v>
      </c>
      <c r="Q78" s="12"/>
      <c r="R78" s="12"/>
      <c r="S78" s="12"/>
      <c r="T78" s="15" t="n">
        <v>68.445</v>
      </c>
      <c r="U78" s="11" t="s">
        <v>83</v>
      </c>
    </row>
    <row r="79" customFormat="false" ht="15" hidden="false" customHeight="true" outlineLevel="0" collapsed="false">
      <c r="B79" s="9" t="s">
        <v>244</v>
      </c>
      <c r="C79" s="10" t="s">
        <v>245</v>
      </c>
      <c r="D79" s="11" t="s">
        <v>97</v>
      </c>
      <c r="E79" s="14" t="n">
        <v>0.881</v>
      </c>
      <c r="F79" s="14" t="n">
        <v>0.845</v>
      </c>
      <c r="G79" s="13" t="n">
        <v>1.7277944</v>
      </c>
      <c r="H79" s="13" t="n">
        <v>0.6035115</v>
      </c>
      <c r="I79" s="13" t="n">
        <v>1.7746948</v>
      </c>
      <c r="J79" s="13" t="n">
        <v>1.6717941</v>
      </c>
      <c r="K79" s="13" t="n">
        <v>1.7267013</v>
      </c>
      <c r="L79" s="13" t="n">
        <v>1.9676051</v>
      </c>
      <c r="M79" s="14" t="n">
        <v>0.854499995708466</v>
      </c>
      <c r="N79" s="15" t="n">
        <v>17.15</v>
      </c>
      <c r="O79" s="12" t="n">
        <v>159</v>
      </c>
      <c r="P79" s="13" t="n">
        <v>3.45</v>
      </c>
      <c r="Q79" s="12"/>
      <c r="R79" s="16" t="n">
        <v>0.985654945145745</v>
      </c>
      <c r="S79" s="12"/>
      <c r="T79" s="12"/>
      <c r="U79" s="11" t="s">
        <v>87</v>
      </c>
    </row>
    <row r="80" customFormat="false" ht="15" hidden="false" customHeight="true" outlineLevel="0" collapsed="false">
      <c r="B80" s="9" t="s">
        <v>246</v>
      </c>
      <c r="C80" s="10" t="s">
        <v>247</v>
      </c>
      <c r="D80" s="11"/>
      <c r="E80" s="14" t="n">
        <v>0.13</v>
      </c>
      <c r="F80" s="14" t="n">
        <v>0.097</v>
      </c>
      <c r="G80" s="13" t="n">
        <v>-1.3474097</v>
      </c>
      <c r="H80" s="13" t="n">
        <v>-0.7327829</v>
      </c>
      <c r="I80" s="13" t="n">
        <v>-0.7811414</v>
      </c>
      <c r="J80" s="13" t="n">
        <v>-0.6380015</v>
      </c>
      <c r="K80" s="13" t="n">
        <v>-0.8598771</v>
      </c>
      <c r="L80" s="13" t="n">
        <v>-0.7851599</v>
      </c>
      <c r="M80" s="12"/>
      <c r="N80" s="15" t="n">
        <v>39.66</v>
      </c>
      <c r="O80" s="12" t="n">
        <v>24</v>
      </c>
      <c r="P80" s="13" t="n">
        <v>6.69</v>
      </c>
      <c r="Q80" s="12"/>
      <c r="R80" s="16" t="n">
        <v>0.651160267166079</v>
      </c>
      <c r="S80" s="16" t="n">
        <v>0.504069175550071</v>
      </c>
      <c r="T80" s="15" t="n">
        <v>67.9175</v>
      </c>
      <c r="U80" s="11" t="s">
        <v>87</v>
      </c>
    </row>
    <row r="81" customFormat="false" ht="15" hidden="false" customHeight="true" outlineLevel="0" collapsed="false">
      <c r="B81" s="9" t="s">
        <v>248</v>
      </c>
      <c r="C81" s="10" t="s">
        <v>249</v>
      </c>
      <c r="D81" s="11" t="s">
        <v>128</v>
      </c>
      <c r="E81" s="14" t="n">
        <v>0.389</v>
      </c>
      <c r="F81" s="14" t="n">
        <v>0.289</v>
      </c>
      <c r="G81" s="13" t="n">
        <v>-0.5598404</v>
      </c>
      <c r="H81" s="13" t="n">
        <v>-0.6833311</v>
      </c>
      <c r="I81" s="13" t="n">
        <v>0.2536395</v>
      </c>
      <c r="J81" s="13" t="n">
        <v>0.106412</v>
      </c>
      <c r="K81" s="13" t="n">
        <v>-0.2155096</v>
      </c>
      <c r="L81" s="13" t="n">
        <v>-0.5273456</v>
      </c>
      <c r="M81" s="14" t="n">
        <v>0.435499995946884</v>
      </c>
      <c r="N81" s="15" t="n">
        <v>45.03</v>
      </c>
      <c r="O81" s="12" t="n">
        <v>39</v>
      </c>
      <c r="P81" s="13" t="n">
        <v>6.16</v>
      </c>
      <c r="Q81" s="12" t="n">
        <v>16</v>
      </c>
      <c r="R81" s="16" t="n">
        <v>0.918249814693343</v>
      </c>
      <c r="S81" s="16" t="n">
        <v>0.416773814169066</v>
      </c>
      <c r="T81" s="15" t="n">
        <v>70.225</v>
      </c>
      <c r="U81" s="11" t="s">
        <v>87</v>
      </c>
    </row>
    <row r="82" customFormat="false" ht="15" hidden="false" customHeight="true" outlineLevel="0" collapsed="false">
      <c r="B82" s="9" t="s">
        <v>250</v>
      </c>
      <c r="C82" s="10" t="s">
        <v>251</v>
      </c>
      <c r="D82" s="11" t="s">
        <v>82</v>
      </c>
      <c r="E82" s="14" t="n">
        <v>0.755</v>
      </c>
      <c r="F82" s="14" t="n">
        <v>0.627</v>
      </c>
      <c r="G82" s="13" t="n">
        <v>0.4063023</v>
      </c>
      <c r="H82" s="13" t="n">
        <v>0.3600136</v>
      </c>
      <c r="I82" s="13" t="n">
        <v>0.1112932</v>
      </c>
      <c r="J82" s="13" t="n">
        <v>-0.2065739</v>
      </c>
      <c r="K82" s="13" t="n">
        <v>-0.371533</v>
      </c>
      <c r="L82" s="13" t="n">
        <v>-0.339819</v>
      </c>
      <c r="M82" s="14" t="n">
        <v>0.53549998998642</v>
      </c>
      <c r="N82" s="15" t="n">
        <v>25.19</v>
      </c>
      <c r="O82" s="12" t="n">
        <v>138</v>
      </c>
      <c r="P82" s="13" t="n">
        <v>4.19</v>
      </c>
      <c r="Q82" s="12"/>
      <c r="R82" s="16" t="n">
        <v>0.745920641469519</v>
      </c>
      <c r="S82" s="12"/>
      <c r="T82" s="12"/>
      <c r="U82" s="11" t="s">
        <v>87</v>
      </c>
    </row>
    <row r="83" customFormat="false" ht="15" hidden="false" customHeight="true" outlineLevel="0" collapsed="false">
      <c r="B83" s="9" t="s">
        <v>252</v>
      </c>
      <c r="C83" s="10" t="s">
        <v>253</v>
      </c>
      <c r="D83" s="11" t="s">
        <v>110</v>
      </c>
      <c r="E83" s="14" t="n">
        <v>0.288</v>
      </c>
      <c r="F83" s="14" t="n">
        <v>0.117</v>
      </c>
      <c r="G83" s="13" t="n">
        <v>-1.09467</v>
      </c>
      <c r="H83" s="13" t="n">
        <v>-0.9707105</v>
      </c>
      <c r="I83" s="13" t="n">
        <v>-0.0707153</v>
      </c>
      <c r="J83" s="13" t="n">
        <v>-0.2112376</v>
      </c>
      <c r="K83" s="13" t="n">
        <v>-0.8434149</v>
      </c>
      <c r="L83" s="13" t="n">
        <v>-0.5632153</v>
      </c>
      <c r="M83" s="14" t="n">
        <v>0.800999999046326</v>
      </c>
      <c r="N83" s="15" t="n">
        <v>24.17</v>
      </c>
      <c r="O83" s="12" t="n">
        <v>58</v>
      </c>
      <c r="P83" s="13" t="n">
        <v>5.63</v>
      </c>
      <c r="Q83" s="12" t="n">
        <v>11</v>
      </c>
      <c r="R83" s="16" t="n">
        <v>0.815545478352063</v>
      </c>
      <c r="S83" s="16" t="n">
        <v>0.233225245914149</v>
      </c>
      <c r="T83" s="12"/>
      <c r="U83" s="11" t="s">
        <v>87</v>
      </c>
    </row>
    <row r="84" customFormat="false" ht="15" hidden="false" customHeight="true" outlineLevel="0" collapsed="false">
      <c r="B84" s="9" t="s">
        <v>254</v>
      </c>
      <c r="C84" s="10" t="s">
        <v>255</v>
      </c>
      <c r="D84" s="11" t="s">
        <v>128</v>
      </c>
      <c r="E84" s="14" t="n">
        <v>0.8</v>
      </c>
      <c r="F84" s="14" t="n">
        <v>0.7</v>
      </c>
      <c r="G84" s="13" t="n">
        <v>1.0228849</v>
      </c>
      <c r="H84" s="13" t="n">
        <v>0.9166715</v>
      </c>
      <c r="I84" s="13" t="n">
        <v>1.4952103</v>
      </c>
      <c r="J84" s="13" t="n">
        <v>1.2954707</v>
      </c>
      <c r="K84" s="13" t="n">
        <v>1.2880802</v>
      </c>
      <c r="L84" s="13" t="n">
        <v>1.1829546</v>
      </c>
      <c r="M84" s="14" t="n">
        <v>0.453999996185303</v>
      </c>
      <c r="N84" s="15"/>
      <c r="O84" s="12" t="n">
        <v>147</v>
      </c>
      <c r="P84" s="13" t="n">
        <v>4.05</v>
      </c>
      <c r="Q84" s="12"/>
      <c r="R84" s="16" t="n">
        <v>0.956207098673629</v>
      </c>
      <c r="S84" s="12"/>
      <c r="T84" s="12"/>
      <c r="U84" s="11" t="s">
        <v>83</v>
      </c>
    </row>
    <row r="85" customFormat="false" ht="15" hidden="false" customHeight="true" outlineLevel="0" collapsed="false">
      <c r="B85" s="9" t="s">
        <v>256</v>
      </c>
      <c r="C85" s="10" t="s">
        <v>257</v>
      </c>
      <c r="D85" s="11" t="s">
        <v>110</v>
      </c>
      <c r="E85" s="14" t="n">
        <v>0.389</v>
      </c>
      <c r="F85" s="14" t="n">
        <v>0.233</v>
      </c>
      <c r="G85" s="13" t="n">
        <v>-0.1110085</v>
      </c>
      <c r="H85" s="13" t="n">
        <v>-0.432315</v>
      </c>
      <c r="I85" s="13" t="n">
        <v>-0.5988431</v>
      </c>
      <c r="J85" s="13" t="n">
        <v>-0.3008524</v>
      </c>
      <c r="K85" s="13" t="n">
        <v>-0.720199</v>
      </c>
      <c r="L85" s="13" t="n">
        <v>-0.6723809</v>
      </c>
      <c r="M85" s="14" t="n">
        <v>0.893499970436096</v>
      </c>
      <c r="N85" s="15" t="n">
        <v>46.01</v>
      </c>
      <c r="O85" s="12" t="n">
        <v>82</v>
      </c>
      <c r="P85" s="13" t="n">
        <v>5.26</v>
      </c>
      <c r="Q85" s="12" t="n">
        <v>6</v>
      </c>
      <c r="R85" s="16" t="n">
        <v>0.87581225854266</v>
      </c>
      <c r="S85" s="12"/>
      <c r="T85" s="12"/>
      <c r="U85" s="11" t="s">
        <v>87</v>
      </c>
    </row>
    <row r="86" customFormat="false" ht="15" hidden="false" customHeight="true" outlineLevel="0" collapsed="false">
      <c r="B86" s="9" t="s">
        <v>258</v>
      </c>
      <c r="C86" s="10" t="s">
        <v>259</v>
      </c>
      <c r="D86" s="11" t="s">
        <v>82</v>
      </c>
      <c r="E86" s="14" t="n">
        <v>0.848</v>
      </c>
      <c r="F86" s="14" t="n">
        <v>0.769</v>
      </c>
      <c r="G86" s="13" t="n">
        <v>1.2278086</v>
      </c>
      <c r="H86" s="13" t="n">
        <v>1.2779376</v>
      </c>
      <c r="I86" s="13" t="n">
        <v>0.6904799</v>
      </c>
      <c r="J86" s="13" t="n">
        <v>0.6468484</v>
      </c>
      <c r="K86" s="13" t="n">
        <v>0.9505638</v>
      </c>
      <c r="L86" s="13" t="n">
        <v>1.5279256</v>
      </c>
      <c r="M86" s="14" t="n">
        <v>0.709500014781952</v>
      </c>
      <c r="N86" s="15" t="n">
        <v>40.64</v>
      </c>
      <c r="O86" s="12" t="n">
        <v>141</v>
      </c>
      <c r="P86" s="13" t="n">
        <v>4.11</v>
      </c>
      <c r="Q86" s="12"/>
      <c r="R86" s="16" t="n">
        <v>0.737451275567861</v>
      </c>
      <c r="S86" s="12"/>
      <c r="T86" s="12"/>
      <c r="U86" s="11" t="s">
        <v>87</v>
      </c>
    </row>
    <row r="87" customFormat="false" ht="15" hidden="false" customHeight="true" outlineLevel="0" collapsed="false">
      <c r="B87" s="9" t="s">
        <v>260</v>
      </c>
      <c r="C87" s="10" t="s">
        <v>261</v>
      </c>
      <c r="D87" s="11" t="s">
        <v>121</v>
      </c>
      <c r="E87" s="14" t="n">
        <v>0.84</v>
      </c>
      <c r="F87" s="14" t="n">
        <v>0.748</v>
      </c>
      <c r="G87" s="13" t="n">
        <v>0.8869557</v>
      </c>
      <c r="H87" s="13" t="n">
        <v>-0.0951125</v>
      </c>
      <c r="I87" s="13" t="n">
        <v>1.3599787</v>
      </c>
      <c r="J87" s="13" t="n">
        <v>1.3524886</v>
      </c>
      <c r="K87" s="13" t="n">
        <v>0.9617896</v>
      </c>
      <c r="L87" s="13" t="n">
        <v>1.0868914</v>
      </c>
      <c r="M87" s="14" t="n">
        <v>0.614000022411346</v>
      </c>
      <c r="N87" s="15" t="n">
        <v>7.95</v>
      </c>
      <c r="O87" s="12" t="n">
        <v>101</v>
      </c>
      <c r="P87" s="13" t="n">
        <v>4.81</v>
      </c>
      <c r="Q87" s="12" t="n">
        <v>4</v>
      </c>
      <c r="R87" s="16" t="n">
        <v>0.970230983290589</v>
      </c>
      <c r="S87" s="12"/>
      <c r="T87" s="12"/>
      <c r="U87" s="11" t="s">
        <v>87</v>
      </c>
    </row>
    <row r="88" customFormat="false" ht="15" hidden="false" customHeight="true" outlineLevel="0" collapsed="false">
      <c r="B88" s="9" t="s">
        <v>262</v>
      </c>
      <c r="C88" s="10" t="s">
        <v>263</v>
      </c>
      <c r="D88" s="11" t="s">
        <v>151</v>
      </c>
      <c r="E88" s="14" t="n">
        <v>0.734</v>
      </c>
      <c r="F88" s="14" t="n">
        <v>0.652</v>
      </c>
      <c r="G88" s="13" t="n">
        <v>0.6072796</v>
      </c>
      <c r="H88" s="13" t="n">
        <v>-0.6171348</v>
      </c>
      <c r="I88" s="13" t="n">
        <v>-0.2259135</v>
      </c>
      <c r="J88" s="13" t="n">
        <v>-0.0601163</v>
      </c>
      <c r="K88" s="13" t="n">
        <v>0.017703</v>
      </c>
      <c r="L88" s="13" t="n">
        <v>-0.1917928</v>
      </c>
      <c r="M88" s="14" t="n">
        <v>0.505999982357025</v>
      </c>
      <c r="N88" s="15" t="n">
        <v>22.75</v>
      </c>
      <c r="O88" s="12" t="n">
        <v>52</v>
      </c>
      <c r="P88" s="13" t="n">
        <v>5.7</v>
      </c>
      <c r="Q88" s="12"/>
      <c r="R88" s="16" t="n">
        <v>0.811259662052011</v>
      </c>
      <c r="S88" s="16" t="n">
        <v>0.31623201671299</v>
      </c>
      <c r="T88" s="15" t="n">
        <v>79.27375</v>
      </c>
      <c r="U88" s="11" t="s">
        <v>87</v>
      </c>
    </row>
    <row r="89" customFormat="false" ht="15" hidden="false" customHeight="true" outlineLevel="0" collapsed="false">
      <c r="B89" s="9" t="s">
        <v>264</v>
      </c>
      <c r="C89" s="10" t="s">
        <v>265</v>
      </c>
      <c r="D89" s="11" t="s">
        <v>151</v>
      </c>
      <c r="E89" s="14" t="n">
        <v>0.51</v>
      </c>
      <c r="F89" s="14" t="n">
        <v>0.392</v>
      </c>
      <c r="G89" s="13" t="n">
        <v>-0.4075689</v>
      </c>
      <c r="H89" s="13" t="n">
        <v>-0.1007849</v>
      </c>
      <c r="I89" s="13" t="n">
        <v>-0.5330555</v>
      </c>
      <c r="J89" s="13" t="n">
        <v>-0.4206612</v>
      </c>
      <c r="K89" s="13" t="n">
        <v>-0.5611771</v>
      </c>
      <c r="L89" s="13" t="n">
        <v>-0.4568294</v>
      </c>
      <c r="M89" s="14" t="n">
        <v>0.637000024318695</v>
      </c>
      <c r="N89" s="15" t="n">
        <v>39.64</v>
      </c>
      <c r="O89" s="12" t="n">
        <v>77</v>
      </c>
      <c r="P89" s="13" t="n">
        <v>5.34</v>
      </c>
      <c r="Q89" s="12"/>
      <c r="R89" s="16" t="n">
        <v>0.727024245599811</v>
      </c>
      <c r="S89" s="16" t="n">
        <v>0.693107512524696</v>
      </c>
      <c r="T89" s="15" t="n">
        <v>83.6375</v>
      </c>
      <c r="U89" s="11" t="s">
        <v>87</v>
      </c>
    </row>
    <row r="90" customFormat="false" ht="15" hidden="false" customHeight="true" outlineLevel="0" collapsed="false">
      <c r="B90" s="9" t="s">
        <v>266</v>
      </c>
      <c r="C90" s="10" t="s">
        <v>267</v>
      </c>
      <c r="D90" s="11" t="s">
        <v>151</v>
      </c>
      <c r="E90" s="14" t="n">
        <v>0.27</v>
      </c>
      <c r="F90" s="14" t="n">
        <v>0.156</v>
      </c>
      <c r="G90" s="13" t="n">
        <v>-1.2595646</v>
      </c>
      <c r="H90" s="13" t="n">
        <v>-1.0172382</v>
      </c>
      <c r="I90" s="13" t="n">
        <v>-0.9876299</v>
      </c>
      <c r="J90" s="13" t="n">
        <v>-1.1780738</v>
      </c>
      <c r="K90" s="13" t="n">
        <v>-1.2109412</v>
      </c>
      <c r="L90" s="13" t="n">
        <v>-1.2516542</v>
      </c>
      <c r="M90" s="14" t="n">
        <v>0.533999979496002</v>
      </c>
      <c r="N90" s="15" t="n">
        <v>60.43</v>
      </c>
      <c r="O90" s="12" t="n">
        <v>44</v>
      </c>
      <c r="P90" s="13" t="n">
        <v>5.98</v>
      </c>
      <c r="Q90" s="12"/>
      <c r="R90" s="16" t="n">
        <v>0.495216018025126</v>
      </c>
      <c r="S90" s="16" t="n">
        <v>0.433317368740992</v>
      </c>
      <c r="T90" s="15" t="n">
        <v>65.675</v>
      </c>
      <c r="U90" s="11" t="s">
        <v>87</v>
      </c>
    </row>
  </sheetData>
  <autoFilter ref="B2:U90"/>
  <conditionalFormatting sqref="E3:E90">
    <cfRule type="colorScale" priority="2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conditionalFormatting sqref="F3:F90">
    <cfRule type="colorScale" priority="3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conditionalFormatting sqref="G3:G90">
    <cfRule type="colorScale" priority="4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conditionalFormatting sqref="H3:H90">
    <cfRule type="colorScale" priority="5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conditionalFormatting sqref="I3:I90">
    <cfRule type="colorScale" priority="6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conditionalFormatting sqref="J3:J90">
    <cfRule type="colorScale" priority="7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conditionalFormatting sqref="K3:K90">
    <cfRule type="colorScale" priority="8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conditionalFormatting sqref="L3:L90">
    <cfRule type="colorScale" priority="9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conditionalFormatting sqref="M3:M90">
    <cfRule type="colorScale" priority="10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conditionalFormatting sqref="R3:R90">
    <cfRule type="colorScale" priority="11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conditionalFormatting sqref="S3:S90">
    <cfRule type="colorScale" priority="12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conditionalFormatting sqref="N3:N90">
    <cfRule type="colorScale" priority="13">
      <colorScale>
        <cfvo type="min" val="0"/>
        <cfvo type="percentile" val="50"/>
        <cfvo type="max" val="0"/>
        <color rgb="FFDDF0E0"/>
        <color rgb="FFF4E5C2"/>
        <color rgb="FFFBE2EC"/>
      </colorScale>
    </cfRule>
  </conditionalFormatting>
  <conditionalFormatting sqref="P3:P90">
    <cfRule type="colorScale" priority="14">
      <colorScale>
        <cfvo type="min" val="0"/>
        <cfvo type="percentile" val="50"/>
        <cfvo type="max" val="0"/>
        <color rgb="FFDDF0E0"/>
        <color rgb="FFF4E5C2"/>
        <color rgb="FFFBE2EC"/>
      </colorScale>
    </cfRule>
  </conditionalFormatting>
  <conditionalFormatting sqref="T3:T90">
    <cfRule type="colorScale" priority="15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5" min="4" style="1" width="8"/>
    <col collapsed="false" customWidth="true" hidden="false" outlineLevel="0" max="7" min="6" style="1" width="9"/>
    <col collapsed="false" customWidth="true" hidden="false" outlineLevel="0" max="8" min="8" style="1" width="8"/>
    <col collapsed="false" customWidth="true" hidden="false" outlineLevel="0" max="9" min="9" style="1" width="12"/>
    <col collapsed="false" customWidth="true" hidden="false" outlineLevel="0" max="10" min="10" style="1" width="8"/>
    <col collapsed="false" customWidth="true" hidden="false" outlineLevel="0" max="11" min="11" style="1" width="11"/>
    <col collapsed="false" customWidth="true" hidden="false" outlineLevel="0" max="12" min="12" style="1" width="9"/>
    <col collapsed="false" customWidth="true" hidden="false" outlineLevel="0" max="14" min="13" style="1" width="11"/>
  </cols>
  <sheetData>
    <row r="2" customFormat="false" ht="37.5" hidden="false" customHeight="true" outlineLevel="0" collapsed="false">
      <c r="B2" s="8" t="s">
        <v>61</v>
      </c>
      <c r="C2" s="8" t="s">
        <v>62</v>
      </c>
      <c r="D2" s="8" t="s">
        <v>268</v>
      </c>
      <c r="E2" s="8" t="s">
        <v>269</v>
      </c>
      <c r="F2" s="8" t="s">
        <v>270</v>
      </c>
      <c r="G2" s="8" t="s">
        <v>271</v>
      </c>
      <c r="H2" s="8" t="s">
        <v>272</v>
      </c>
      <c r="I2" s="8" t="s">
        <v>273</v>
      </c>
      <c r="J2" s="8" t="s">
        <v>274</v>
      </c>
      <c r="K2" s="8" t="s">
        <v>79</v>
      </c>
      <c r="L2" s="8" t="s">
        <v>275</v>
      </c>
      <c r="M2" s="8" t="s">
        <v>276</v>
      </c>
      <c r="N2" s="8" t="s">
        <v>277</v>
      </c>
    </row>
    <row r="3" customFormat="false" ht="15" hidden="false" customHeight="true" outlineLevel="0" collapsed="false">
      <c r="B3" s="9" t="s">
        <v>80</v>
      </c>
      <c r="C3" s="10" t="s">
        <v>81</v>
      </c>
      <c r="D3" s="11" t="n">
        <v>0</v>
      </c>
      <c r="E3" s="11" t="n">
        <v>1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7" t="n">
        <f aca="false">AVERAGE(D3:L3)</f>
        <v>0.111111111111111</v>
      </c>
      <c r="N3" s="18" t="n">
        <f aca="false">SUM(D3:L3)</f>
        <v>1</v>
      </c>
    </row>
    <row r="4" customFormat="false" ht="15" hidden="false" customHeight="true" outlineLevel="0" collapsed="false">
      <c r="B4" s="9" t="s">
        <v>84</v>
      </c>
      <c r="C4" s="10" t="s">
        <v>85</v>
      </c>
      <c r="D4" s="11" t="n">
        <v>1</v>
      </c>
      <c r="E4" s="11" t="n">
        <v>1</v>
      </c>
      <c r="F4" s="11" t="n">
        <v>1</v>
      </c>
      <c r="G4" s="11" t="n">
        <v>1</v>
      </c>
      <c r="H4" s="11" t="n">
        <v>1</v>
      </c>
      <c r="I4" s="11" t="n">
        <v>0</v>
      </c>
      <c r="J4" s="11" t="n">
        <v>1</v>
      </c>
      <c r="K4" s="11" t="n">
        <v>0</v>
      </c>
      <c r="L4" s="11" t="n">
        <v>1</v>
      </c>
      <c r="M4" s="17" t="n">
        <f aca="false">AVERAGE(D4:L4)</f>
        <v>0.777777777777778</v>
      </c>
      <c r="N4" s="18" t="n">
        <f aca="false">SUM(D4:L4)</f>
        <v>7</v>
      </c>
    </row>
    <row r="5" customFormat="false" ht="15" hidden="false" customHeight="true" outlineLevel="0" collapsed="false">
      <c r="B5" s="9" t="s">
        <v>88</v>
      </c>
      <c r="C5" s="10" t="s">
        <v>89</v>
      </c>
      <c r="D5" s="11" t="n">
        <v>1</v>
      </c>
      <c r="E5" s="11" t="n">
        <v>1</v>
      </c>
      <c r="F5" s="11" t="n">
        <v>1</v>
      </c>
      <c r="G5" s="11" t="n">
        <v>1</v>
      </c>
      <c r="H5" s="11" t="n">
        <v>0</v>
      </c>
      <c r="I5" s="11" t="n">
        <v>1</v>
      </c>
      <c r="J5" s="11" t="n">
        <v>1</v>
      </c>
      <c r="K5" s="11" t="n">
        <v>1</v>
      </c>
      <c r="L5" s="11" t="n">
        <v>1</v>
      </c>
      <c r="M5" s="17" t="n">
        <f aca="false">AVERAGE(D5:L5)</f>
        <v>0.888888888888889</v>
      </c>
      <c r="N5" s="18" t="n">
        <f aca="false">SUM(D5:L5)</f>
        <v>8</v>
      </c>
    </row>
    <row r="6" customFormat="false" ht="15" hidden="false" customHeight="true" outlineLevel="0" collapsed="false">
      <c r="B6" s="9" t="s">
        <v>90</v>
      </c>
      <c r="C6" s="10" t="s">
        <v>91</v>
      </c>
      <c r="D6" s="11" t="n">
        <v>1</v>
      </c>
      <c r="E6" s="11" t="n">
        <v>1</v>
      </c>
      <c r="F6" s="11" t="n">
        <v>0</v>
      </c>
      <c r="G6" s="11" t="n">
        <v>1</v>
      </c>
      <c r="H6" s="11" t="n">
        <v>1</v>
      </c>
      <c r="I6" s="11" t="n">
        <v>0</v>
      </c>
      <c r="J6" s="11" t="n">
        <v>1</v>
      </c>
      <c r="K6" s="11" t="n">
        <v>1</v>
      </c>
      <c r="L6" s="11" t="n">
        <v>1</v>
      </c>
      <c r="M6" s="17" t="n">
        <f aca="false">AVERAGE(D6:L6)</f>
        <v>0.777777777777778</v>
      </c>
      <c r="N6" s="18" t="n">
        <f aca="false">SUM(D6:L6)</f>
        <v>7</v>
      </c>
    </row>
    <row r="7" customFormat="false" ht="15" hidden="false" customHeight="true" outlineLevel="0" collapsed="false">
      <c r="B7" s="9" t="s">
        <v>92</v>
      </c>
      <c r="C7" s="10" t="s">
        <v>93</v>
      </c>
      <c r="D7" s="11" t="n">
        <v>1</v>
      </c>
      <c r="E7" s="11" t="n">
        <v>1</v>
      </c>
      <c r="F7" s="11" t="n">
        <v>1</v>
      </c>
      <c r="G7" s="11" t="n">
        <v>1</v>
      </c>
      <c r="H7" s="11" t="n">
        <v>1</v>
      </c>
      <c r="I7" s="11" t="n">
        <v>0</v>
      </c>
      <c r="J7" s="11" t="n">
        <v>1</v>
      </c>
      <c r="K7" s="11" t="n">
        <v>0</v>
      </c>
      <c r="L7" s="11" t="n">
        <v>1</v>
      </c>
      <c r="M7" s="17" t="n">
        <f aca="false">AVERAGE(D7:L7)</f>
        <v>0.777777777777778</v>
      </c>
      <c r="N7" s="18" t="n">
        <f aca="false">SUM(D7:L7)</f>
        <v>7</v>
      </c>
    </row>
    <row r="8" customFormat="false" ht="15" hidden="false" customHeight="true" outlineLevel="0" collapsed="false">
      <c r="B8" s="9" t="s">
        <v>95</v>
      </c>
      <c r="C8" s="10" t="s">
        <v>96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0</v>
      </c>
      <c r="J8" s="11" t="n">
        <v>1</v>
      </c>
      <c r="K8" s="11" t="n">
        <v>0</v>
      </c>
      <c r="L8" s="11" t="n">
        <v>1</v>
      </c>
      <c r="M8" s="17" t="n">
        <f aca="false">AVERAGE(D8:L8)</f>
        <v>0.777777777777778</v>
      </c>
      <c r="N8" s="18" t="n">
        <f aca="false">SUM(D8:L8)</f>
        <v>7</v>
      </c>
    </row>
    <row r="9" customFormat="false" ht="15" hidden="false" customHeight="true" outlineLevel="0" collapsed="false">
      <c r="B9" s="9" t="s">
        <v>98</v>
      </c>
      <c r="C9" s="10" t="s">
        <v>99</v>
      </c>
      <c r="D9" s="11" t="n">
        <v>1</v>
      </c>
      <c r="E9" s="11" t="n">
        <v>1</v>
      </c>
      <c r="F9" s="11" t="n">
        <v>1</v>
      </c>
      <c r="G9" s="11" t="n">
        <v>1</v>
      </c>
      <c r="H9" s="11" t="n">
        <v>1</v>
      </c>
      <c r="I9" s="11" t="n">
        <v>0</v>
      </c>
      <c r="J9" s="11" t="n">
        <v>1</v>
      </c>
      <c r="K9" s="11" t="n">
        <v>0</v>
      </c>
      <c r="L9" s="11" t="n">
        <v>1</v>
      </c>
      <c r="M9" s="17" t="n">
        <f aca="false">AVERAGE(D9:L9)</f>
        <v>0.777777777777778</v>
      </c>
      <c r="N9" s="18" t="n">
        <f aca="false">SUM(D9:L9)</f>
        <v>7</v>
      </c>
    </row>
    <row r="10" customFormat="false" ht="15" hidden="false" customHeight="true" outlineLevel="0" collapsed="false">
      <c r="B10" s="9" t="s">
        <v>100</v>
      </c>
      <c r="C10" s="10" t="s">
        <v>101</v>
      </c>
      <c r="D10" s="11" t="n">
        <v>1</v>
      </c>
      <c r="E10" s="11" t="n">
        <v>1</v>
      </c>
      <c r="F10" s="11" t="n">
        <v>1</v>
      </c>
      <c r="G10" s="11" t="n">
        <v>1</v>
      </c>
      <c r="H10" s="11" t="n">
        <v>1</v>
      </c>
      <c r="I10" s="11" t="n">
        <v>0</v>
      </c>
      <c r="J10" s="11" t="n">
        <v>1</v>
      </c>
      <c r="K10" s="11" t="n">
        <v>1</v>
      </c>
      <c r="L10" s="11" t="n">
        <v>1</v>
      </c>
      <c r="M10" s="17" t="n">
        <f aca="false">AVERAGE(D10:L10)</f>
        <v>0.888888888888889</v>
      </c>
      <c r="N10" s="18" t="n">
        <f aca="false">SUM(D10:L10)</f>
        <v>8</v>
      </c>
    </row>
    <row r="11" customFormat="false" ht="15" hidden="false" customHeight="true" outlineLevel="0" collapsed="false">
      <c r="B11" s="9" t="s">
        <v>104</v>
      </c>
      <c r="C11" s="10" t="s">
        <v>105</v>
      </c>
      <c r="D11" s="11" t="n">
        <v>1</v>
      </c>
      <c r="E11" s="11" t="n">
        <v>1</v>
      </c>
      <c r="F11" s="11" t="n">
        <v>1</v>
      </c>
      <c r="G11" s="11" t="n">
        <v>1</v>
      </c>
      <c r="H11" s="11" t="n">
        <v>1</v>
      </c>
      <c r="I11" s="11" t="n">
        <v>0</v>
      </c>
      <c r="J11" s="11" t="n">
        <v>1</v>
      </c>
      <c r="K11" s="11" t="n">
        <v>0</v>
      </c>
      <c r="L11" s="11" t="n">
        <v>1</v>
      </c>
      <c r="M11" s="17" t="n">
        <f aca="false">AVERAGE(D11:L11)</f>
        <v>0.777777777777778</v>
      </c>
      <c r="N11" s="18" t="n">
        <f aca="false">SUM(D11:L11)</f>
        <v>7</v>
      </c>
    </row>
    <row r="12" customFormat="false" ht="15" hidden="false" customHeight="true" outlineLevel="0" collapsed="false">
      <c r="B12" s="9" t="s">
        <v>106</v>
      </c>
      <c r="C12" s="10" t="s">
        <v>107</v>
      </c>
      <c r="D12" s="11" t="n">
        <v>0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0</v>
      </c>
      <c r="J12" s="11" t="n">
        <v>0</v>
      </c>
      <c r="K12" s="11" t="n">
        <v>0</v>
      </c>
      <c r="L12" s="11" t="n">
        <v>1</v>
      </c>
      <c r="M12" s="17" t="n">
        <f aca="false">AVERAGE(D12:L12)</f>
        <v>0.555555555555556</v>
      </c>
      <c r="N12" s="18" t="n">
        <f aca="false">SUM(D12:L12)</f>
        <v>5</v>
      </c>
    </row>
    <row r="13" customFormat="false" ht="15" hidden="false" customHeight="true" outlineLevel="0" collapsed="false">
      <c r="B13" s="9" t="s">
        <v>108</v>
      </c>
      <c r="C13" s="10" t="s">
        <v>109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0</v>
      </c>
      <c r="J13" s="11" t="n">
        <v>1</v>
      </c>
      <c r="K13" s="11" t="n">
        <v>0</v>
      </c>
      <c r="L13" s="11" t="n">
        <v>1</v>
      </c>
      <c r="M13" s="17" t="n">
        <f aca="false">AVERAGE(D13:L13)</f>
        <v>0.777777777777778</v>
      </c>
      <c r="N13" s="18" t="n">
        <f aca="false">SUM(D13:L13)</f>
        <v>7</v>
      </c>
    </row>
    <row r="14" customFormat="false" ht="15" hidden="false" customHeight="true" outlineLevel="0" collapsed="false">
      <c r="B14" s="9" t="s">
        <v>111</v>
      </c>
      <c r="C14" s="10" t="s">
        <v>112</v>
      </c>
      <c r="D14" s="11" t="n">
        <v>1</v>
      </c>
      <c r="E14" s="11" t="n">
        <v>1</v>
      </c>
      <c r="F14" s="11" t="n">
        <v>1</v>
      </c>
      <c r="G14" s="11" t="n">
        <v>1</v>
      </c>
      <c r="H14" s="11" t="n">
        <v>1</v>
      </c>
      <c r="I14" s="11" t="n">
        <v>0</v>
      </c>
      <c r="J14" s="11" t="n">
        <v>1</v>
      </c>
      <c r="K14" s="11" t="n">
        <v>1</v>
      </c>
      <c r="L14" s="11" t="n">
        <v>1</v>
      </c>
      <c r="M14" s="17" t="n">
        <f aca="false">AVERAGE(D14:L14)</f>
        <v>0.888888888888889</v>
      </c>
      <c r="N14" s="18" t="n">
        <f aca="false">SUM(D14:L14)</f>
        <v>8</v>
      </c>
    </row>
    <row r="15" customFormat="false" ht="15" hidden="false" customHeight="true" outlineLevel="0" collapsed="false">
      <c r="B15" s="9" t="s">
        <v>113</v>
      </c>
      <c r="C15" s="10" t="s">
        <v>114</v>
      </c>
      <c r="D15" s="11" t="n">
        <v>1</v>
      </c>
      <c r="E15" s="11" t="n">
        <v>1</v>
      </c>
      <c r="F15" s="11" t="n">
        <v>1</v>
      </c>
      <c r="G15" s="11" t="n">
        <v>1</v>
      </c>
      <c r="H15" s="11" t="n">
        <v>1</v>
      </c>
      <c r="I15" s="11" t="n">
        <v>1</v>
      </c>
      <c r="J15" s="11" t="n">
        <v>1</v>
      </c>
      <c r="K15" s="11" t="n">
        <v>1</v>
      </c>
      <c r="L15" s="11" t="n">
        <v>1</v>
      </c>
      <c r="M15" s="17" t="n">
        <f aca="false">AVERAGE(D15:L15)</f>
        <v>1</v>
      </c>
      <c r="N15" s="18" t="n">
        <f aca="false">SUM(D15:L15)</f>
        <v>9</v>
      </c>
    </row>
    <row r="16" customFormat="false" ht="15" hidden="false" customHeight="true" outlineLevel="0" collapsed="false">
      <c r="B16" s="9" t="s">
        <v>115</v>
      </c>
      <c r="C16" s="10" t="s">
        <v>116</v>
      </c>
      <c r="D16" s="11" t="n">
        <v>1</v>
      </c>
      <c r="E16" s="11" t="n">
        <v>1</v>
      </c>
      <c r="F16" s="11" t="n">
        <v>0</v>
      </c>
      <c r="G16" s="11" t="n">
        <v>1</v>
      </c>
      <c r="H16" s="11" t="n">
        <v>1</v>
      </c>
      <c r="I16" s="11" t="n">
        <v>0</v>
      </c>
      <c r="J16" s="11" t="n">
        <v>1</v>
      </c>
      <c r="K16" s="11" t="n">
        <v>0</v>
      </c>
      <c r="L16" s="11" t="n">
        <v>1</v>
      </c>
      <c r="M16" s="17" t="n">
        <f aca="false">AVERAGE(D16:L16)</f>
        <v>0.666666666666667</v>
      </c>
      <c r="N16" s="18" t="n">
        <f aca="false">SUM(D16:L16)</f>
        <v>6</v>
      </c>
    </row>
    <row r="17" customFormat="false" ht="15" hidden="false" customHeight="true" outlineLevel="0" collapsed="false">
      <c r="B17" s="9" t="s">
        <v>117</v>
      </c>
      <c r="C17" s="10" t="s">
        <v>118</v>
      </c>
      <c r="D17" s="11" t="n">
        <v>1</v>
      </c>
      <c r="E17" s="11" t="n">
        <v>1</v>
      </c>
      <c r="F17" s="11" t="n">
        <v>1</v>
      </c>
      <c r="G17" s="11" t="n">
        <v>1</v>
      </c>
      <c r="H17" s="11" t="n">
        <v>1</v>
      </c>
      <c r="I17" s="11" t="n">
        <v>0</v>
      </c>
      <c r="J17" s="11" t="n">
        <v>1</v>
      </c>
      <c r="K17" s="11" t="n">
        <v>1</v>
      </c>
      <c r="L17" s="11" t="n">
        <v>1</v>
      </c>
      <c r="M17" s="17" t="n">
        <f aca="false">AVERAGE(D17:L17)</f>
        <v>0.888888888888889</v>
      </c>
      <c r="N17" s="18" t="n">
        <f aca="false">SUM(D17:L17)</f>
        <v>8</v>
      </c>
    </row>
    <row r="18" customFormat="false" ht="15" hidden="false" customHeight="true" outlineLevel="0" collapsed="false">
      <c r="B18" s="9" t="s">
        <v>119</v>
      </c>
      <c r="C18" s="10" t="s">
        <v>120</v>
      </c>
      <c r="D18" s="11" t="n">
        <v>1</v>
      </c>
      <c r="E18" s="11" t="n">
        <v>1</v>
      </c>
      <c r="F18" s="11" t="n">
        <v>1</v>
      </c>
      <c r="G18" s="11" t="n">
        <v>1</v>
      </c>
      <c r="H18" s="11" t="n">
        <v>1</v>
      </c>
      <c r="I18" s="11" t="n">
        <v>1</v>
      </c>
      <c r="J18" s="11" t="n">
        <v>1</v>
      </c>
      <c r="K18" s="11" t="n">
        <v>0</v>
      </c>
      <c r="L18" s="11" t="n">
        <v>1</v>
      </c>
      <c r="M18" s="17" t="n">
        <f aca="false">AVERAGE(D18:L18)</f>
        <v>0.888888888888889</v>
      </c>
      <c r="N18" s="18" t="n">
        <f aca="false">SUM(D18:L18)</f>
        <v>8</v>
      </c>
    </row>
    <row r="19" customFormat="false" ht="15" hidden="false" customHeight="true" outlineLevel="0" collapsed="false">
      <c r="B19" s="9" t="s">
        <v>122</v>
      </c>
      <c r="C19" s="10" t="s">
        <v>123</v>
      </c>
      <c r="D19" s="11" t="n">
        <v>1</v>
      </c>
      <c r="E19" s="11" t="n">
        <v>1</v>
      </c>
      <c r="F19" s="11" t="n">
        <v>1</v>
      </c>
      <c r="G19" s="11" t="n">
        <v>1</v>
      </c>
      <c r="H19" s="11" t="n">
        <v>1</v>
      </c>
      <c r="I19" s="11" t="n">
        <v>0</v>
      </c>
      <c r="J19" s="11" t="n">
        <v>1</v>
      </c>
      <c r="K19" s="11" t="n">
        <v>0</v>
      </c>
      <c r="L19" s="11" t="n">
        <v>1</v>
      </c>
      <c r="M19" s="17" t="n">
        <f aca="false">AVERAGE(D19:L19)</f>
        <v>0.777777777777778</v>
      </c>
      <c r="N19" s="18" t="n">
        <f aca="false">SUM(D19:L19)</f>
        <v>7</v>
      </c>
    </row>
    <row r="20" customFormat="false" ht="15" hidden="false" customHeight="true" outlineLevel="0" collapsed="false">
      <c r="B20" s="9" t="s">
        <v>124</v>
      </c>
      <c r="C20" s="10" t="s">
        <v>125</v>
      </c>
      <c r="D20" s="11" t="n">
        <v>1</v>
      </c>
      <c r="E20" s="11" t="n">
        <v>1</v>
      </c>
      <c r="F20" s="11" t="n">
        <v>1</v>
      </c>
      <c r="G20" s="11" t="n">
        <v>1</v>
      </c>
      <c r="H20" s="11" t="n">
        <v>1</v>
      </c>
      <c r="I20" s="11" t="n">
        <v>0</v>
      </c>
      <c r="J20" s="11" t="n">
        <v>1</v>
      </c>
      <c r="K20" s="11" t="n">
        <v>0</v>
      </c>
      <c r="L20" s="11" t="n">
        <v>1</v>
      </c>
      <c r="M20" s="17" t="n">
        <f aca="false">AVERAGE(D20:L20)</f>
        <v>0.777777777777778</v>
      </c>
      <c r="N20" s="18" t="n">
        <f aca="false">SUM(D20:L20)</f>
        <v>7</v>
      </c>
    </row>
    <row r="21" customFormat="false" ht="15" hidden="false" customHeight="true" outlineLevel="0" collapsed="false">
      <c r="B21" s="9" t="s">
        <v>126</v>
      </c>
      <c r="C21" s="10" t="s">
        <v>127</v>
      </c>
      <c r="D21" s="11" t="n">
        <v>1</v>
      </c>
      <c r="E21" s="11" t="n">
        <v>1</v>
      </c>
      <c r="F21" s="11" t="n">
        <v>1</v>
      </c>
      <c r="G21" s="11" t="n">
        <v>1</v>
      </c>
      <c r="H21" s="11" t="n">
        <v>1</v>
      </c>
      <c r="I21" s="11" t="n">
        <v>1</v>
      </c>
      <c r="J21" s="11" t="n">
        <v>1</v>
      </c>
      <c r="K21" s="11" t="n">
        <v>0</v>
      </c>
      <c r="L21" s="11" t="n">
        <v>1</v>
      </c>
      <c r="M21" s="17" t="n">
        <f aca="false">AVERAGE(D21:L21)</f>
        <v>0.888888888888889</v>
      </c>
      <c r="N21" s="18" t="n">
        <f aca="false">SUM(D21:L21)</f>
        <v>8</v>
      </c>
    </row>
    <row r="22" customFormat="false" ht="15" hidden="false" customHeight="true" outlineLevel="0" collapsed="false">
      <c r="B22" s="9" t="s">
        <v>129</v>
      </c>
      <c r="C22" s="10" t="s">
        <v>130</v>
      </c>
      <c r="D22" s="11" t="n">
        <v>1</v>
      </c>
      <c r="E22" s="11" t="n">
        <v>1</v>
      </c>
      <c r="F22" s="11" t="n">
        <v>1</v>
      </c>
      <c r="G22" s="11" t="n">
        <v>1</v>
      </c>
      <c r="H22" s="11" t="n">
        <v>1</v>
      </c>
      <c r="I22" s="11" t="n">
        <v>0</v>
      </c>
      <c r="J22" s="11" t="n">
        <v>1</v>
      </c>
      <c r="K22" s="11" t="n">
        <v>1</v>
      </c>
      <c r="L22" s="11" t="n">
        <v>1</v>
      </c>
      <c r="M22" s="17" t="n">
        <f aca="false">AVERAGE(D22:L22)</f>
        <v>0.888888888888889</v>
      </c>
      <c r="N22" s="18" t="n">
        <f aca="false">SUM(D22:L22)</f>
        <v>8</v>
      </c>
    </row>
    <row r="23" customFormat="false" ht="15" hidden="false" customHeight="true" outlineLevel="0" collapsed="false">
      <c r="B23" s="9" t="s">
        <v>131</v>
      </c>
      <c r="C23" s="10" t="s">
        <v>132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7" t="n">
        <f aca="false">AVERAGE(D23:L23)</f>
        <v>0</v>
      </c>
      <c r="N23" s="18" t="n">
        <f aca="false">SUM(D23:L23)</f>
        <v>0</v>
      </c>
    </row>
    <row r="24" customFormat="false" ht="15" hidden="false" customHeight="true" outlineLevel="0" collapsed="false">
      <c r="B24" s="9" t="s">
        <v>133</v>
      </c>
      <c r="C24" s="10" t="s">
        <v>134</v>
      </c>
      <c r="D24" s="11" t="n">
        <v>1</v>
      </c>
      <c r="E24" s="11" t="n">
        <v>1</v>
      </c>
      <c r="F24" s="11" t="n">
        <v>1</v>
      </c>
      <c r="G24" s="11" t="n">
        <v>1</v>
      </c>
      <c r="H24" s="11" t="n">
        <v>1</v>
      </c>
      <c r="I24" s="11" t="n">
        <v>0</v>
      </c>
      <c r="J24" s="11" t="n">
        <v>1</v>
      </c>
      <c r="K24" s="11" t="n">
        <v>0</v>
      </c>
      <c r="L24" s="11" t="n">
        <v>1</v>
      </c>
      <c r="M24" s="17" t="n">
        <f aca="false">AVERAGE(D24:L24)</f>
        <v>0.777777777777778</v>
      </c>
      <c r="N24" s="18" t="n">
        <f aca="false">SUM(D24:L24)</f>
        <v>7</v>
      </c>
    </row>
    <row r="25" customFormat="false" ht="15" hidden="false" customHeight="true" outlineLevel="0" collapsed="false">
      <c r="B25" s="9" t="s">
        <v>135</v>
      </c>
      <c r="C25" s="10" t="s">
        <v>136</v>
      </c>
      <c r="D25" s="11" t="n">
        <v>1</v>
      </c>
      <c r="E25" s="11" t="n">
        <v>1</v>
      </c>
      <c r="F25" s="11" t="n">
        <v>1</v>
      </c>
      <c r="G25" s="11" t="n">
        <v>1</v>
      </c>
      <c r="H25" s="11" t="n">
        <v>1</v>
      </c>
      <c r="I25" s="11" t="n">
        <v>0</v>
      </c>
      <c r="J25" s="11" t="n">
        <v>1</v>
      </c>
      <c r="K25" s="11" t="n">
        <v>0</v>
      </c>
      <c r="L25" s="11" t="n">
        <v>1</v>
      </c>
      <c r="M25" s="17" t="n">
        <f aca="false">AVERAGE(D25:L25)</f>
        <v>0.777777777777778</v>
      </c>
      <c r="N25" s="18" t="n">
        <f aca="false">SUM(D25:L25)</f>
        <v>7</v>
      </c>
    </row>
    <row r="26" customFormat="false" ht="15" hidden="false" customHeight="true" outlineLevel="0" collapsed="false">
      <c r="B26" s="9" t="s">
        <v>137</v>
      </c>
      <c r="C26" s="10" t="s">
        <v>138</v>
      </c>
      <c r="D26" s="11" t="n">
        <v>1</v>
      </c>
      <c r="E26" s="11" t="n">
        <v>1</v>
      </c>
      <c r="F26" s="11" t="n">
        <v>1</v>
      </c>
      <c r="G26" s="11" t="n">
        <v>1</v>
      </c>
      <c r="H26" s="11" t="n">
        <v>1</v>
      </c>
      <c r="I26" s="11" t="n">
        <v>0</v>
      </c>
      <c r="J26" s="11" t="n">
        <v>1</v>
      </c>
      <c r="K26" s="11" t="n">
        <v>0</v>
      </c>
      <c r="L26" s="11" t="n">
        <v>1</v>
      </c>
      <c r="M26" s="17" t="n">
        <f aca="false">AVERAGE(D26:L26)</f>
        <v>0.777777777777778</v>
      </c>
      <c r="N26" s="18" t="n">
        <f aca="false">SUM(D26:L26)</f>
        <v>7</v>
      </c>
    </row>
    <row r="27" customFormat="false" ht="15" hidden="false" customHeight="true" outlineLevel="0" collapsed="false">
      <c r="B27" s="9" t="s">
        <v>139</v>
      </c>
      <c r="C27" s="10" t="s">
        <v>140</v>
      </c>
      <c r="D27" s="11" t="n">
        <v>1</v>
      </c>
      <c r="E27" s="11" t="n">
        <v>1</v>
      </c>
      <c r="F27" s="11" t="n">
        <v>1</v>
      </c>
      <c r="G27" s="11" t="n">
        <v>1</v>
      </c>
      <c r="H27" s="11" t="n">
        <v>1</v>
      </c>
      <c r="I27" s="11" t="n">
        <v>0</v>
      </c>
      <c r="J27" s="11" t="n">
        <v>1</v>
      </c>
      <c r="K27" s="11" t="n">
        <v>1</v>
      </c>
      <c r="L27" s="11" t="n">
        <v>1</v>
      </c>
      <c r="M27" s="17" t="n">
        <f aca="false">AVERAGE(D27:L27)</f>
        <v>0.888888888888889</v>
      </c>
      <c r="N27" s="18" t="n">
        <f aca="false">SUM(D27:L27)</f>
        <v>8</v>
      </c>
    </row>
    <row r="28" customFormat="false" ht="27.75" hidden="false" customHeight="true" outlineLevel="0" collapsed="false">
      <c r="B28" s="9" t="s">
        <v>141</v>
      </c>
      <c r="C28" s="10" t="s">
        <v>142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7" t="n">
        <f aca="false">AVERAGE(D28:L28)</f>
        <v>0</v>
      </c>
      <c r="N28" s="18" t="n">
        <f aca="false">SUM(D28:L28)</f>
        <v>0</v>
      </c>
    </row>
    <row r="29" customFormat="false" ht="15" hidden="false" customHeight="true" outlineLevel="0" collapsed="false">
      <c r="B29" s="9" t="s">
        <v>143</v>
      </c>
      <c r="C29" s="10" t="s">
        <v>144</v>
      </c>
      <c r="D29" s="11" t="n">
        <v>1</v>
      </c>
      <c r="E29" s="11" t="n">
        <v>1</v>
      </c>
      <c r="F29" s="11" t="n">
        <v>1</v>
      </c>
      <c r="G29" s="11" t="n">
        <v>1</v>
      </c>
      <c r="H29" s="11" t="n">
        <v>1</v>
      </c>
      <c r="I29" s="11" t="n">
        <v>0</v>
      </c>
      <c r="J29" s="11" t="n">
        <v>1</v>
      </c>
      <c r="K29" s="11" t="n">
        <v>1</v>
      </c>
      <c r="L29" s="11" t="n">
        <v>1</v>
      </c>
      <c r="M29" s="17" t="n">
        <f aca="false">AVERAGE(D29:L29)</f>
        <v>0.888888888888889</v>
      </c>
      <c r="N29" s="18" t="n">
        <f aca="false">SUM(D29:L29)</f>
        <v>8</v>
      </c>
    </row>
    <row r="30" customFormat="false" ht="15" hidden="false" customHeight="true" outlineLevel="0" collapsed="false">
      <c r="B30" s="9" t="s">
        <v>145</v>
      </c>
      <c r="C30" s="10" t="s">
        <v>146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7" t="n">
        <f aca="false">AVERAGE(D30:L30)</f>
        <v>0</v>
      </c>
      <c r="N30" s="18" t="n">
        <f aca="false">SUM(D30:L30)</f>
        <v>0</v>
      </c>
    </row>
    <row r="31" customFormat="false" ht="15" hidden="false" customHeight="true" outlineLevel="0" collapsed="false">
      <c r="B31" s="9" t="s">
        <v>147</v>
      </c>
      <c r="C31" s="10" t="s">
        <v>148</v>
      </c>
      <c r="D31" s="11" t="n">
        <v>1</v>
      </c>
      <c r="E31" s="11" t="n">
        <v>1</v>
      </c>
      <c r="F31" s="11" t="n">
        <v>1</v>
      </c>
      <c r="G31" s="11" t="n">
        <v>1</v>
      </c>
      <c r="H31" s="11" t="n">
        <v>1</v>
      </c>
      <c r="I31" s="11" t="n">
        <v>0</v>
      </c>
      <c r="J31" s="11" t="n">
        <v>1</v>
      </c>
      <c r="K31" s="11" t="n">
        <v>0</v>
      </c>
      <c r="L31" s="11" t="n">
        <v>1</v>
      </c>
      <c r="M31" s="17" t="n">
        <f aca="false">AVERAGE(D31:L31)</f>
        <v>0.777777777777778</v>
      </c>
      <c r="N31" s="18" t="n">
        <f aca="false">SUM(D31:L31)</f>
        <v>7</v>
      </c>
    </row>
    <row r="32" customFormat="false" ht="15" hidden="false" customHeight="true" outlineLevel="0" collapsed="false">
      <c r="B32" s="9" t="s">
        <v>149</v>
      </c>
      <c r="C32" s="10" t="s">
        <v>150</v>
      </c>
      <c r="D32" s="11" t="n">
        <v>1</v>
      </c>
      <c r="E32" s="11" t="n">
        <v>1</v>
      </c>
      <c r="F32" s="11" t="n">
        <v>1</v>
      </c>
      <c r="G32" s="11" t="n">
        <v>1</v>
      </c>
      <c r="H32" s="11" t="n">
        <v>1</v>
      </c>
      <c r="I32" s="11" t="n">
        <v>0</v>
      </c>
      <c r="J32" s="11" t="n">
        <v>1</v>
      </c>
      <c r="K32" s="11" t="n">
        <v>1</v>
      </c>
      <c r="L32" s="11" t="n">
        <v>1</v>
      </c>
      <c r="M32" s="17" t="n">
        <f aca="false">AVERAGE(D32:L32)</f>
        <v>0.888888888888889</v>
      </c>
      <c r="N32" s="18" t="n">
        <f aca="false">SUM(D32:L32)</f>
        <v>8</v>
      </c>
    </row>
    <row r="33" customFormat="false" ht="15" hidden="false" customHeight="true" outlineLevel="0" collapsed="false">
      <c r="B33" s="9" t="s">
        <v>152</v>
      </c>
      <c r="C33" s="10" t="s">
        <v>153</v>
      </c>
      <c r="D33" s="11" t="n">
        <v>1</v>
      </c>
      <c r="E33" s="11" t="n">
        <v>1</v>
      </c>
      <c r="F33" s="11" t="n">
        <v>0</v>
      </c>
      <c r="G33" s="11" t="n">
        <v>1</v>
      </c>
      <c r="H33" s="11" t="n">
        <v>1</v>
      </c>
      <c r="I33" s="11" t="n">
        <v>0</v>
      </c>
      <c r="J33" s="11" t="n">
        <v>0</v>
      </c>
      <c r="K33" s="11" t="n">
        <v>1</v>
      </c>
      <c r="L33" s="11" t="n">
        <v>0</v>
      </c>
      <c r="M33" s="17" t="n">
        <f aca="false">AVERAGE(D33:L33)</f>
        <v>0.555555555555556</v>
      </c>
      <c r="N33" s="18" t="n">
        <f aca="false">SUM(D33:L33)</f>
        <v>5</v>
      </c>
    </row>
    <row r="34" customFormat="false" ht="15" hidden="false" customHeight="true" outlineLevel="0" collapsed="false">
      <c r="B34" s="9" t="s">
        <v>154</v>
      </c>
      <c r="C34" s="10" t="s">
        <v>155</v>
      </c>
      <c r="D34" s="11" t="n">
        <v>1</v>
      </c>
      <c r="E34" s="11" t="n">
        <v>1</v>
      </c>
      <c r="F34" s="11" t="n">
        <v>1</v>
      </c>
      <c r="G34" s="11" t="n">
        <v>1</v>
      </c>
      <c r="H34" s="11" t="n">
        <v>1</v>
      </c>
      <c r="I34" s="11" t="n">
        <v>1</v>
      </c>
      <c r="J34" s="11" t="n">
        <v>1</v>
      </c>
      <c r="K34" s="11" t="n">
        <v>0</v>
      </c>
      <c r="L34" s="11" t="n">
        <v>1</v>
      </c>
      <c r="M34" s="17" t="n">
        <f aca="false">AVERAGE(D34:L34)</f>
        <v>0.888888888888889</v>
      </c>
      <c r="N34" s="18" t="n">
        <f aca="false">SUM(D34:L34)</f>
        <v>8</v>
      </c>
    </row>
    <row r="35" customFormat="false" ht="15" hidden="false" customHeight="true" outlineLevel="0" collapsed="false">
      <c r="B35" s="9" t="s">
        <v>156</v>
      </c>
      <c r="C35" s="10" t="s">
        <v>157</v>
      </c>
      <c r="D35" s="11" t="n">
        <v>1</v>
      </c>
      <c r="E35" s="11" t="n">
        <v>1</v>
      </c>
      <c r="F35" s="11" t="n">
        <v>1</v>
      </c>
      <c r="G35" s="11" t="n">
        <v>1</v>
      </c>
      <c r="H35" s="11" t="n">
        <v>1</v>
      </c>
      <c r="I35" s="11" t="n">
        <v>0</v>
      </c>
      <c r="J35" s="11" t="n">
        <v>1</v>
      </c>
      <c r="K35" s="11" t="n">
        <v>1</v>
      </c>
      <c r="L35" s="11" t="n">
        <v>1</v>
      </c>
      <c r="M35" s="17" t="n">
        <f aca="false">AVERAGE(D35:L35)</f>
        <v>0.888888888888889</v>
      </c>
      <c r="N35" s="18" t="n">
        <f aca="false">SUM(D35:L35)</f>
        <v>8</v>
      </c>
    </row>
    <row r="36" customFormat="false" ht="15" hidden="false" customHeight="true" outlineLevel="0" collapsed="false">
      <c r="B36" s="9" t="s">
        <v>158</v>
      </c>
      <c r="C36" s="10" t="s">
        <v>159</v>
      </c>
      <c r="D36" s="11" t="n">
        <v>1</v>
      </c>
      <c r="E36" s="11" t="n">
        <v>1</v>
      </c>
      <c r="F36" s="11" t="n">
        <v>1</v>
      </c>
      <c r="G36" s="11" t="n">
        <v>1</v>
      </c>
      <c r="H36" s="11" t="n">
        <v>1</v>
      </c>
      <c r="I36" s="11" t="n">
        <v>0</v>
      </c>
      <c r="J36" s="11" t="n">
        <v>1</v>
      </c>
      <c r="K36" s="11" t="n">
        <v>1</v>
      </c>
      <c r="L36" s="11" t="n">
        <v>1</v>
      </c>
      <c r="M36" s="17" t="n">
        <f aca="false">AVERAGE(D36:L36)</f>
        <v>0.888888888888889</v>
      </c>
      <c r="N36" s="18" t="n">
        <f aca="false">SUM(D36:L36)</f>
        <v>8</v>
      </c>
    </row>
    <row r="37" customFormat="false" ht="15" hidden="false" customHeight="true" outlineLevel="0" collapsed="false">
      <c r="B37" s="9" t="s">
        <v>160</v>
      </c>
      <c r="C37" s="10" t="s">
        <v>161</v>
      </c>
      <c r="D37" s="11" t="n">
        <v>1</v>
      </c>
      <c r="E37" s="11" t="n">
        <v>1</v>
      </c>
      <c r="F37" s="11" t="n">
        <v>0</v>
      </c>
      <c r="G37" s="11" t="n">
        <v>0</v>
      </c>
      <c r="H37" s="11" t="n">
        <v>1</v>
      </c>
      <c r="I37" s="11" t="n">
        <v>0</v>
      </c>
      <c r="J37" s="11" t="n">
        <v>1</v>
      </c>
      <c r="K37" s="11" t="n">
        <v>0</v>
      </c>
      <c r="L37" s="11" t="n">
        <v>0</v>
      </c>
      <c r="M37" s="17" t="n">
        <f aca="false">AVERAGE(D37:L37)</f>
        <v>0.444444444444444</v>
      </c>
      <c r="N37" s="18" t="n">
        <f aca="false">SUM(D37:L37)</f>
        <v>4</v>
      </c>
    </row>
    <row r="38" customFormat="false" ht="15" hidden="false" customHeight="true" outlineLevel="0" collapsed="false">
      <c r="B38" s="9" t="s">
        <v>162</v>
      </c>
      <c r="C38" s="10" t="s">
        <v>163</v>
      </c>
      <c r="D38" s="11" t="n">
        <v>1</v>
      </c>
      <c r="E38" s="11" t="n">
        <v>1</v>
      </c>
      <c r="F38" s="11" t="n">
        <v>1</v>
      </c>
      <c r="G38" s="11" t="n">
        <v>1</v>
      </c>
      <c r="H38" s="11" t="n">
        <v>1</v>
      </c>
      <c r="I38" s="11" t="n">
        <v>0</v>
      </c>
      <c r="J38" s="11" t="n">
        <v>1</v>
      </c>
      <c r="K38" s="11" t="n">
        <v>0</v>
      </c>
      <c r="L38" s="11" t="n">
        <v>1</v>
      </c>
      <c r="M38" s="17" t="n">
        <f aca="false">AVERAGE(D38:L38)</f>
        <v>0.777777777777778</v>
      </c>
      <c r="N38" s="18" t="n">
        <f aca="false">SUM(D38:L38)</f>
        <v>7</v>
      </c>
    </row>
    <row r="39" customFormat="false" ht="15" hidden="false" customHeight="true" outlineLevel="0" collapsed="false">
      <c r="B39" s="9" t="s">
        <v>164</v>
      </c>
      <c r="C39" s="10" t="s">
        <v>165</v>
      </c>
      <c r="D39" s="11" t="n">
        <v>1</v>
      </c>
      <c r="E39" s="11" t="n">
        <v>1</v>
      </c>
      <c r="F39" s="11" t="n">
        <v>1</v>
      </c>
      <c r="G39" s="11" t="n">
        <v>1</v>
      </c>
      <c r="H39" s="11" t="n">
        <v>1</v>
      </c>
      <c r="I39" s="11" t="n">
        <v>1</v>
      </c>
      <c r="J39" s="11" t="n">
        <v>1</v>
      </c>
      <c r="K39" s="11" t="n">
        <v>1</v>
      </c>
      <c r="L39" s="11" t="n">
        <v>1</v>
      </c>
      <c r="M39" s="17" t="n">
        <f aca="false">AVERAGE(D39:L39)</f>
        <v>1</v>
      </c>
      <c r="N39" s="18" t="n">
        <f aca="false">SUM(D39:L39)</f>
        <v>9</v>
      </c>
    </row>
    <row r="40" customFormat="false" ht="15" hidden="false" customHeight="true" outlineLevel="0" collapsed="false">
      <c r="B40" s="9" t="s">
        <v>166</v>
      </c>
      <c r="C40" s="10" t="s">
        <v>167</v>
      </c>
      <c r="D40" s="11" t="n">
        <v>1</v>
      </c>
      <c r="E40" s="11" t="n">
        <v>1</v>
      </c>
      <c r="F40" s="11" t="n">
        <v>1</v>
      </c>
      <c r="G40" s="11" t="n">
        <v>1</v>
      </c>
      <c r="H40" s="11" t="n">
        <v>1</v>
      </c>
      <c r="I40" s="11" t="n">
        <v>1</v>
      </c>
      <c r="J40" s="11" t="n">
        <v>1</v>
      </c>
      <c r="K40" s="11" t="n">
        <v>1</v>
      </c>
      <c r="L40" s="11" t="n">
        <v>1</v>
      </c>
      <c r="M40" s="17" t="n">
        <f aca="false">AVERAGE(D40:L40)</f>
        <v>1</v>
      </c>
      <c r="N40" s="18" t="n">
        <f aca="false">SUM(D40:L40)</f>
        <v>9</v>
      </c>
    </row>
    <row r="41" customFormat="false" ht="15" hidden="false" customHeight="true" outlineLevel="0" collapsed="false">
      <c r="B41" s="9" t="s">
        <v>168</v>
      </c>
      <c r="C41" s="10" t="s">
        <v>169</v>
      </c>
      <c r="D41" s="11" t="n">
        <v>1</v>
      </c>
      <c r="E41" s="11" t="n">
        <v>1</v>
      </c>
      <c r="F41" s="11" t="n">
        <v>1</v>
      </c>
      <c r="G41" s="11" t="n">
        <v>1</v>
      </c>
      <c r="H41" s="11" t="n">
        <v>0</v>
      </c>
      <c r="I41" s="11" t="n">
        <v>0</v>
      </c>
      <c r="J41" s="11" t="n">
        <v>1</v>
      </c>
      <c r="K41" s="11" t="n">
        <v>0</v>
      </c>
      <c r="L41" s="11" t="n">
        <v>1</v>
      </c>
      <c r="M41" s="17" t="n">
        <f aca="false">AVERAGE(D41:L41)</f>
        <v>0.666666666666667</v>
      </c>
      <c r="N41" s="18" t="n">
        <f aca="false">SUM(D41:L41)</f>
        <v>6</v>
      </c>
    </row>
    <row r="42" customFormat="false" ht="15" hidden="false" customHeight="true" outlineLevel="0" collapsed="false">
      <c r="B42" s="9" t="s">
        <v>170</v>
      </c>
      <c r="C42" s="10" t="s">
        <v>171</v>
      </c>
      <c r="D42" s="11" t="n">
        <v>1</v>
      </c>
      <c r="E42" s="11" t="n">
        <v>1</v>
      </c>
      <c r="F42" s="11" t="n">
        <v>1</v>
      </c>
      <c r="G42" s="11" t="n">
        <v>0</v>
      </c>
      <c r="H42" s="11" t="n">
        <v>0</v>
      </c>
      <c r="I42" s="11" t="n">
        <v>0</v>
      </c>
      <c r="J42" s="11" t="n">
        <v>1</v>
      </c>
      <c r="K42" s="11" t="n">
        <v>1</v>
      </c>
      <c r="L42" s="11" t="n">
        <v>0</v>
      </c>
      <c r="M42" s="17" t="n">
        <f aca="false">AVERAGE(D42:L42)</f>
        <v>0.555555555555556</v>
      </c>
      <c r="N42" s="18" t="n">
        <f aca="false">SUM(D42:L42)</f>
        <v>5</v>
      </c>
    </row>
    <row r="43" customFormat="false" ht="15" hidden="false" customHeight="true" outlineLevel="0" collapsed="false">
      <c r="B43" s="9" t="s">
        <v>172</v>
      </c>
      <c r="C43" s="10" t="s">
        <v>173</v>
      </c>
      <c r="D43" s="11" t="n">
        <v>1</v>
      </c>
      <c r="E43" s="11" t="n">
        <v>1</v>
      </c>
      <c r="F43" s="11" t="n">
        <v>1</v>
      </c>
      <c r="G43" s="11" t="n">
        <v>1</v>
      </c>
      <c r="H43" s="11" t="n">
        <v>1</v>
      </c>
      <c r="I43" s="11" t="n">
        <v>0</v>
      </c>
      <c r="J43" s="11" t="n">
        <v>1</v>
      </c>
      <c r="K43" s="11" t="n">
        <v>0</v>
      </c>
      <c r="L43" s="11" t="n">
        <v>1</v>
      </c>
      <c r="M43" s="17" t="n">
        <f aca="false">AVERAGE(D43:L43)</f>
        <v>0.777777777777778</v>
      </c>
      <c r="N43" s="18" t="n">
        <f aca="false">SUM(D43:L43)</f>
        <v>7</v>
      </c>
    </row>
    <row r="44" customFormat="false" ht="15" hidden="false" customHeight="true" outlineLevel="0" collapsed="false">
      <c r="B44" s="9" t="s">
        <v>174</v>
      </c>
      <c r="C44" s="10" t="s">
        <v>175</v>
      </c>
      <c r="D44" s="11" t="n">
        <v>1</v>
      </c>
      <c r="E44" s="11" t="n">
        <v>1</v>
      </c>
      <c r="F44" s="11" t="n">
        <v>0</v>
      </c>
      <c r="G44" s="11" t="n">
        <v>1</v>
      </c>
      <c r="H44" s="11" t="n">
        <v>1</v>
      </c>
      <c r="I44" s="11" t="n">
        <v>0</v>
      </c>
      <c r="J44" s="11" t="n">
        <v>1</v>
      </c>
      <c r="K44" s="11" t="n">
        <v>0</v>
      </c>
      <c r="L44" s="11" t="n">
        <v>1</v>
      </c>
      <c r="M44" s="17" t="n">
        <f aca="false">AVERAGE(D44:L44)</f>
        <v>0.666666666666667</v>
      </c>
      <c r="N44" s="18" t="n">
        <f aca="false">SUM(D44:L44)</f>
        <v>6</v>
      </c>
    </row>
    <row r="45" customFormat="false" ht="15" hidden="false" customHeight="true" outlineLevel="0" collapsed="false">
      <c r="B45" s="9" t="s">
        <v>176</v>
      </c>
      <c r="C45" s="10" t="s">
        <v>177</v>
      </c>
      <c r="D45" s="11" t="n">
        <v>1</v>
      </c>
      <c r="E45" s="11" t="n">
        <v>1</v>
      </c>
      <c r="F45" s="11" t="n">
        <v>1</v>
      </c>
      <c r="G45" s="11" t="n">
        <v>1</v>
      </c>
      <c r="H45" s="11" t="n">
        <v>1</v>
      </c>
      <c r="I45" s="11" t="n">
        <v>0</v>
      </c>
      <c r="J45" s="11" t="n">
        <v>1</v>
      </c>
      <c r="K45" s="11" t="n">
        <v>0</v>
      </c>
      <c r="L45" s="11" t="n">
        <v>1</v>
      </c>
      <c r="M45" s="17" t="n">
        <f aca="false">AVERAGE(D45:L45)</f>
        <v>0.777777777777778</v>
      </c>
      <c r="N45" s="18" t="n">
        <f aca="false">SUM(D45:L45)</f>
        <v>7</v>
      </c>
    </row>
    <row r="46" customFormat="false" ht="15" hidden="false" customHeight="true" outlineLevel="0" collapsed="false">
      <c r="B46" s="9" t="s">
        <v>178</v>
      </c>
      <c r="C46" s="10" t="s">
        <v>179</v>
      </c>
      <c r="D46" s="11" t="n">
        <v>1</v>
      </c>
      <c r="E46" s="11" t="n">
        <v>1</v>
      </c>
      <c r="F46" s="11" t="n">
        <v>1</v>
      </c>
      <c r="G46" s="11" t="n">
        <v>1</v>
      </c>
      <c r="H46" s="11" t="n">
        <v>1</v>
      </c>
      <c r="I46" s="11" t="n">
        <v>0</v>
      </c>
      <c r="J46" s="11" t="n">
        <v>1</v>
      </c>
      <c r="K46" s="11" t="n">
        <v>1</v>
      </c>
      <c r="L46" s="11" t="n">
        <v>1</v>
      </c>
      <c r="M46" s="17" t="n">
        <f aca="false">AVERAGE(D46:L46)</f>
        <v>0.888888888888889</v>
      </c>
      <c r="N46" s="18" t="n">
        <f aca="false">SUM(D46:L46)</f>
        <v>8</v>
      </c>
    </row>
    <row r="47" customFormat="false" ht="15" hidden="false" customHeight="true" outlineLevel="0" collapsed="false">
      <c r="B47" s="9" t="s">
        <v>180</v>
      </c>
      <c r="C47" s="10" t="s">
        <v>181</v>
      </c>
      <c r="D47" s="11" t="n">
        <v>1</v>
      </c>
      <c r="E47" s="11" t="n">
        <v>1</v>
      </c>
      <c r="F47" s="11" t="n">
        <v>1</v>
      </c>
      <c r="G47" s="11" t="n">
        <v>1</v>
      </c>
      <c r="H47" s="11" t="n">
        <v>1</v>
      </c>
      <c r="I47" s="11" t="n">
        <v>0</v>
      </c>
      <c r="J47" s="11" t="n">
        <v>1</v>
      </c>
      <c r="K47" s="11" t="n">
        <v>0</v>
      </c>
      <c r="L47" s="11" t="n">
        <v>1</v>
      </c>
      <c r="M47" s="17" t="n">
        <f aca="false">AVERAGE(D47:L47)</f>
        <v>0.777777777777778</v>
      </c>
      <c r="N47" s="18" t="n">
        <f aca="false">SUM(D47:L47)</f>
        <v>7</v>
      </c>
    </row>
    <row r="48" customFormat="false" ht="15" hidden="false" customHeight="true" outlineLevel="0" collapsed="false">
      <c r="B48" s="9" t="s">
        <v>182</v>
      </c>
      <c r="C48" s="10" t="s">
        <v>183</v>
      </c>
      <c r="D48" s="11" t="n">
        <v>1</v>
      </c>
      <c r="E48" s="11" t="n">
        <v>1</v>
      </c>
      <c r="F48" s="11" t="n">
        <v>1</v>
      </c>
      <c r="G48" s="11" t="n">
        <v>1</v>
      </c>
      <c r="H48" s="11" t="n">
        <v>1</v>
      </c>
      <c r="I48" s="11" t="n">
        <v>0</v>
      </c>
      <c r="J48" s="11" t="n">
        <v>1</v>
      </c>
      <c r="K48" s="11" t="n">
        <v>0</v>
      </c>
      <c r="L48" s="11" t="n">
        <v>1</v>
      </c>
      <c r="M48" s="17" t="n">
        <f aca="false">AVERAGE(D48:L48)</f>
        <v>0.777777777777778</v>
      </c>
      <c r="N48" s="18" t="n">
        <f aca="false">SUM(D48:L48)</f>
        <v>7</v>
      </c>
    </row>
    <row r="49" customFormat="false" ht="15" hidden="false" customHeight="true" outlineLevel="0" collapsed="false">
      <c r="B49" s="9" t="s">
        <v>184</v>
      </c>
      <c r="C49" s="10" t="s">
        <v>185</v>
      </c>
      <c r="D49" s="11" t="n">
        <v>1</v>
      </c>
      <c r="E49" s="11" t="n">
        <v>1</v>
      </c>
      <c r="F49" s="11" t="n">
        <v>1</v>
      </c>
      <c r="G49" s="11" t="n">
        <v>1</v>
      </c>
      <c r="H49" s="11" t="n">
        <v>1</v>
      </c>
      <c r="I49" s="11" t="n">
        <v>0</v>
      </c>
      <c r="J49" s="11" t="n">
        <v>1</v>
      </c>
      <c r="K49" s="11" t="n">
        <v>1</v>
      </c>
      <c r="L49" s="11" t="n">
        <v>0</v>
      </c>
      <c r="M49" s="17" t="n">
        <f aca="false">AVERAGE(D49:L49)</f>
        <v>0.777777777777778</v>
      </c>
      <c r="N49" s="18" t="n">
        <f aca="false">SUM(D49:L49)</f>
        <v>7</v>
      </c>
    </row>
    <row r="50" customFormat="false" ht="15" hidden="false" customHeight="true" outlineLevel="0" collapsed="false">
      <c r="B50" s="9" t="s">
        <v>186</v>
      </c>
      <c r="C50" s="10" t="s">
        <v>187</v>
      </c>
      <c r="D50" s="11" t="n">
        <v>0</v>
      </c>
      <c r="E50" s="11" t="n">
        <v>1</v>
      </c>
      <c r="F50" s="11" t="n">
        <v>1</v>
      </c>
      <c r="G50" s="11" t="n">
        <v>0</v>
      </c>
      <c r="H50" s="11" t="n">
        <v>1</v>
      </c>
      <c r="I50" s="11" t="n">
        <v>0</v>
      </c>
      <c r="J50" s="11" t="n">
        <v>0</v>
      </c>
      <c r="K50" s="11" t="n">
        <v>0</v>
      </c>
      <c r="L50" s="11" t="n">
        <v>1</v>
      </c>
      <c r="M50" s="17" t="n">
        <f aca="false">AVERAGE(D50:L50)</f>
        <v>0.444444444444444</v>
      </c>
      <c r="N50" s="18" t="n">
        <f aca="false">SUM(D50:L50)</f>
        <v>4</v>
      </c>
    </row>
    <row r="51" customFormat="false" ht="15" hidden="false" customHeight="true" outlineLevel="0" collapsed="false">
      <c r="B51" s="9" t="s">
        <v>188</v>
      </c>
      <c r="C51" s="10" t="s">
        <v>189</v>
      </c>
      <c r="D51" s="11" t="n">
        <v>1</v>
      </c>
      <c r="E51" s="11" t="n">
        <v>1</v>
      </c>
      <c r="F51" s="11" t="n">
        <v>1</v>
      </c>
      <c r="G51" s="11" t="n">
        <v>1</v>
      </c>
      <c r="H51" s="11" t="n">
        <v>1</v>
      </c>
      <c r="I51" s="11" t="n">
        <v>1</v>
      </c>
      <c r="J51" s="11" t="n">
        <v>1</v>
      </c>
      <c r="K51" s="11" t="n">
        <v>0</v>
      </c>
      <c r="L51" s="11" t="n">
        <v>1</v>
      </c>
      <c r="M51" s="17" t="n">
        <f aca="false">AVERAGE(D51:L51)</f>
        <v>0.888888888888889</v>
      </c>
      <c r="N51" s="18" t="n">
        <f aca="false">SUM(D51:L51)</f>
        <v>8</v>
      </c>
    </row>
    <row r="52" customFormat="false" ht="15" hidden="false" customHeight="true" outlineLevel="0" collapsed="false">
      <c r="B52" s="9" t="s">
        <v>190</v>
      </c>
      <c r="C52" s="10" t="s">
        <v>191</v>
      </c>
      <c r="D52" s="11" t="n">
        <v>1</v>
      </c>
      <c r="E52" s="11" t="n">
        <v>1</v>
      </c>
      <c r="F52" s="11" t="n">
        <v>1</v>
      </c>
      <c r="G52" s="11" t="n">
        <v>1</v>
      </c>
      <c r="H52" s="11" t="n">
        <v>1</v>
      </c>
      <c r="I52" s="11" t="n">
        <v>0</v>
      </c>
      <c r="J52" s="11" t="n">
        <v>1</v>
      </c>
      <c r="K52" s="11" t="n">
        <v>0</v>
      </c>
      <c r="L52" s="11" t="n">
        <v>1</v>
      </c>
      <c r="M52" s="17" t="n">
        <f aca="false">AVERAGE(D52:L52)</f>
        <v>0.777777777777778</v>
      </c>
      <c r="N52" s="18" t="n">
        <f aca="false">SUM(D52:L52)</f>
        <v>7</v>
      </c>
    </row>
    <row r="53" customFormat="false" ht="15" hidden="false" customHeight="true" outlineLevel="0" collapsed="false">
      <c r="B53" s="9" t="s">
        <v>192</v>
      </c>
      <c r="C53" s="10" t="s">
        <v>193</v>
      </c>
      <c r="D53" s="11" t="n">
        <v>1</v>
      </c>
      <c r="E53" s="11" t="n">
        <v>1</v>
      </c>
      <c r="F53" s="11" t="n">
        <v>1</v>
      </c>
      <c r="G53" s="11" t="n">
        <v>1</v>
      </c>
      <c r="H53" s="11" t="n">
        <v>1</v>
      </c>
      <c r="I53" s="11" t="n">
        <v>0</v>
      </c>
      <c r="J53" s="11" t="n">
        <v>1</v>
      </c>
      <c r="K53" s="11" t="n">
        <v>0</v>
      </c>
      <c r="L53" s="11" t="n">
        <v>1</v>
      </c>
      <c r="M53" s="17" t="n">
        <f aca="false">AVERAGE(D53:L53)</f>
        <v>0.777777777777778</v>
      </c>
      <c r="N53" s="18" t="n">
        <f aca="false">SUM(D53:L53)</f>
        <v>7</v>
      </c>
    </row>
    <row r="54" customFormat="false" ht="15" hidden="false" customHeight="true" outlineLevel="0" collapsed="false">
      <c r="B54" s="9" t="s">
        <v>194</v>
      </c>
      <c r="C54" s="10" t="s">
        <v>195</v>
      </c>
      <c r="D54" s="11" t="n">
        <v>1</v>
      </c>
      <c r="E54" s="11" t="n">
        <v>1</v>
      </c>
      <c r="F54" s="11" t="n">
        <v>1</v>
      </c>
      <c r="G54" s="11" t="n">
        <v>1</v>
      </c>
      <c r="H54" s="11" t="n">
        <v>1</v>
      </c>
      <c r="I54" s="11" t="n">
        <v>0</v>
      </c>
      <c r="J54" s="11" t="n">
        <v>1</v>
      </c>
      <c r="K54" s="11" t="n">
        <v>0</v>
      </c>
      <c r="L54" s="11" t="n">
        <v>1</v>
      </c>
      <c r="M54" s="17" t="n">
        <f aca="false">AVERAGE(D54:L54)</f>
        <v>0.777777777777778</v>
      </c>
      <c r="N54" s="18" t="n">
        <f aca="false">SUM(D54:L54)</f>
        <v>7</v>
      </c>
    </row>
    <row r="55" customFormat="false" ht="15" hidden="false" customHeight="true" outlineLevel="0" collapsed="false">
      <c r="B55" s="9" t="s">
        <v>196</v>
      </c>
      <c r="C55" s="10" t="s">
        <v>197</v>
      </c>
      <c r="D55" s="11" t="n">
        <v>1</v>
      </c>
      <c r="E55" s="11" t="n">
        <v>1</v>
      </c>
      <c r="F55" s="11" t="n">
        <v>1</v>
      </c>
      <c r="G55" s="11" t="n">
        <v>1</v>
      </c>
      <c r="H55" s="11" t="n">
        <v>1</v>
      </c>
      <c r="I55" s="11" t="n">
        <v>0</v>
      </c>
      <c r="J55" s="11" t="n">
        <v>1</v>
      </c>
      <c r="K55" s="11" t="n">
        <v>1</v>
      </c>
      <c r="L55" s="11" t="n">
        <v>1</v>
      </c>
      <c r="M55" s="17" t="n">
        <f aca="false">AVERAGE(D55:L55)</f>
        <v>0.888888888888889</v>
      </c>
      <c r="N55" s="18" t="n">
        <f aca="false">SUM(D55:L55)</f>
        <v>8</v>
      </c>
    </row>
    <row r="56" customFormat="false" ht="15" hidden="false" customHeight="true" outlineLevel="0" collapsed="false">
      <c r="B56" s="9" t="s">
        <v>198</v>
      </c>
      <c r="C56" s="10" t="s">
        <v>199</v>
      </c>
      <c r="D56" s="11" t="n">
        <v>0</v>
      </c>
      <c r="E56" s="11" t="n">
        <v>1</v>
      </c>
      <c r="F56" s="11" t="n">
        <v>1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7" t="n">
        <f aca="false">AVERAGE(D56:L56)</f>
        <v>0.222222222222222</v>
      </c>
      <c r="N56" s="18" t="n">
        <f aca="false">SUM(D56:L56)</f>
        <v>2</v>
      </c>
    </row>
    <row r="57" customFormat="false" ht="15" hidden="false" customHeight="true" outlineLevel="0" collapsed="false">
      <c r="B57" s="9" t="s">
        <v>200</v>
      </c>
      <c r="C57" s="10" t="s">
        <v>201</v>
      </c>
      <c r="D57" s="11" t="n">
        <v>1</v>
      </c>
      <c r="E57" s="11" t="n">
        <v>1</v>
      </c>
      <c r="F57" s="11" t="n">
        <v>0</v>
      </c>
      <c r="G57" s="11" t="n">
        <v>1</v>
      </c>
      <c r="H57" s="11" t="n">
        <v>1</v>
      </c>
      <c r="I57" s="11" t="n">
        <v>0</v>
      </c>
      <c r="J57" s="11" t="n">
        <v>1</v>
      </c>
      <c r="K57" s="11" t="n">
        <v>1</v>
      </c>
      <c r="L57" s="11" t="n">
        <v>1</v>
      </c>
      <c r="M57" s="17" t="n">
        <f aca="false">AVERAGE(D57:L57)</f>
        <v>0.777777777777778</v>
      </c>
      <c r="N57" s="18" t="n">
        <f aca="false">SUM(D57:L57)</f>
        <v>7</v>
      </c>
    </row>
    <row r="58" customFormat="false" ht="15" hidden="false" customHeight="true" outlineLevel="0" collapsed="false">
      <c r="B58" s="9" t="s">
        <v>202</v>
      </c>
      <c r="C58" s="10" t="s">
        <v>203</v>
      </c>
      <c r="D58" s="11" t="n">
        <v>1</v>
      </c>
      <c r="E58" s="11" t="n">
        <v>1</v>
      </c>
      <c r="F58" s="11" t="n">
        <v>1</v>
      </c>
      <c r="G58" s="11" t="n">
        <v>1</v>
      </c>
      <c r="H58" s="11" t="n">
        <v>0</v>
      </c>
      <c r="I58" s="11" t="n">
        <v>0</v>
      </c>
      <c r="J58" s="11" t="n">
        <v>1</v>
      </c>
      <c r="K58" s="11" t="n">
        <v>1</v>
      </c>
      <c r="L58" s="11" t="n">
        <v>1</v>
      </c>
      <c r="M58" s="17" t="n">
        <f aca="false">AVERAGE(D58:L58)</f>
        <v>0.777777777777778</v>
      </c>
      <c r="N58" s="18" t="n">
        <f aca="false">SUM(D58:L58)</f>
        <v>7</v>
      </c>
    </row>
    <row r="59" customFormat="false" ht="15" hidden="false" customHeight="true" outlineLevel="0" collapsed="false">
      <c r="B59" s="9" t="s">
        <v>204</v>
      </c>
      <c r="C59" s="10" t="s">
        <v>205</v>
      </c>
      <c r="D59" s="11" t="n">
        <v>1</v>
      </c>
      <c r="E59" s="11" t="n">
        <v>1</v>
      </c>
      <c r="F59" s="11" t="n">
        <v>1</v>
      </c>
      <c r="G59" s="11" t="n">
        <v>1</v>
      </c>
      <c r="H59" s="11" t="n">
        <v>1</v>
      </c>
      <c r="I59" s="11" t="n">
        <v>0</v>
      </c>
      <c r="J59" s="11" t="n">
        <v>1</v>
      </c>
      <c r="K59" s="11" t="n">
        <v>1</v>
      </c>
      <c r="L59" s="11" t="n">
        <v>0</v>
      </c>
      <c r="M59" s="17" t="n">
        <f aca="false">AVERAGE(D59:L59)</f>
        <v>0.777777777777778</v>
      </c>
      <c r="N59" s="18" t="n">
        <f aca="false">SUM(D59:L59)</f>
        <v>7</v>
      </c>
    </row>
    <row r="60" customFormat="false" ht="15" hidden="false" customHeight="true" outlineLevel="0" collapsed="false">
      <c r="B60" s="9" t="s">
        <v>206</v>
      </c>
      <c r="C60" s="10" t="s">
        <v>207</v>
      </c>
      <c r="D60" s="11" t="n">
        <v>1</v>
      </c>
      <c r="E60" s="11" t="n">
        <v>1</v>
      </c>
      <c r="F60" s="11" t="n">
        <v>1</v>
      </c>
      <c r="G60" s="11" t="n">
        <v>0</v>
      </c>
      <c r="H60" s="11" t="n">
        <v>1</v>
      </c>
      <c r="I60" s="11" t="n">
        <v>0</v>
      </c>
      <c r="J60" s="11" t="n">
        <v>1</v>
      </c>
      <c r="K60" s="11" t="n">
        <v>0</v>
      </c>
      <c r="L60" s="11" t="n">
        <v>1</v>
      </c>
      <c r="M60" s="17" t="n">
        <f aca="false">AVERAGE(D60:L60)</f>
        <v>0.666666666666667</v>
      </c>
      <c r="N60" s="18" t="n">
        <f aca="false">SUM(D60:L60)</f>
        <v>6</v>
      </c>
    </row>
    <row r="61" customFormat="false" ht="15" hidden="false" customHeight="true" outlineLevel="0" collapsed="false">
      <c r="B61" s="9" t="s">
        <v>208</v>
      </c>
      <c r="C61" s="10" t="s">
        <v>209</v>
      </c>
      <c r="D61" s="11" t="n">
        <v>1</v>
      </c>
      <c r="E61" s="11" t="n">
        <v>1</v>
      </c>
      <c r="F61" s="11" t="n">
        <v>1</v>
      </c>
      <c r="G61" s="11" t="n">
        <v>1</v>
      </c>
      <c r="H61" s="11" t="n">
        <v>1</v>
      </c>
      <c r="I61" s="11" t="n">
        <v>0</v>
      </c>
      <c r="J61" s="11" t="n">
        <v>1</v>
      </c>
      <c r="K61" s="11" t="n">
        <v>1</v>
      </c>
      <c r="L61" s="11" t="n">
        <v>1</v>
      </c>
      <c r="M61" s="17" t="n">
        <f aca="false">AVERAGE(D61:L61)</f>
        <v>0.888888888888889</v>
      </c>
      <c r="N61" s="18" t="n">
        <f aca="false">SUM(D61:L61)</f>
        <v>8</v>
      </c>
    </row>
    <row r="62" customFormat="false" ht="15" hidden="false" customHeight="true" outlineLevel="0" collapsed="false">
      <c r="B62" s="9" t="s">
        <v>210</v>
      </c>
      <c r="C62" s="10" t="s">
        <v>211</v>
      </c>
      <c r="D62" s="11" t="n">
        <v>1</v>
      </c>
      <c r="E62" s="11" t="n">
        <v>1</v>
      </c>
      <c r="F62" s="11" t="n">
        <v>1</v>
      </c>
      <c r="G62" s="11" t="n">
        <v>1</v>
      </c>
      <c r="H62" s="11" t="n">
        <v>1</v>
      </c>
      <c r="I62" s="11" t="n">
        <v>0</v>
      </c>
      <c r="J62" s="11" t="n">
        <v>1</v>
      </c>
      <c r="K62" s="11" t="n">
        <v>1</v>
      </c>
      <c r="L62" s="11" t="n">
        <v>1</v>
      </c>
      <c r="M62" s="17" t="n">
        <f aca="false">AVERAGE(D62:L62)</f>
        <v>0.888888888888889</v>
      </c>
      <c r="N62" s="18" t="n">
        <f aca="false">SUM(D62:L62)</f>
        <v>8</v>
      </c>
    </row>
    <row r="63" customFormat="false" ht="15" hidden="false" customHeight="true" outlineLevel="0" collapsed="false">
      <c r="B63" s="9" t="s">
        <v>212</v>
      </c>
      <c r="C63" s="10" t="s">
        <v>213</v>
      </c>
      <c r="D63" s="11" t="n">
        <v>1</v>
      </c>
      <c r="E63" s="11" t="n">
        <v>1</v>
      </c>
      <c r="F63" s="11" t="n">
        <v>1</v>
      </c>
      <c r="G63" s="11" t="n">
        <v>1</v>
      </c>
      <c r="H63" s="11" t="n">
        <v>1</v>
      </c>
      <c r="I63" s="11" t="n">
        <v>0</v>
      </c>
      <c r="J63" s="11" t="n">
        <v>1</v>
      </c>
      <c r="K63" s="11" t="n">
        <v>1</v>
      </c>
      <c r="L63" s="11" t="n">
        <v>1</v>
      </c>
      <c r="M63" s="17" t="n">
        <f aca="false">AVERAGE(D63:L63)</f>
        <v>0.888888888888889</v>
      </c>
      <c r="N63" s="18" t="n">
        <f aca="false">SUM(D63:L63)</f>
        <v>8</v>
      </c>
    </row>
    <row r="64" customFormat="false" ht="15" hidden="false" customHeight="true" outlineLevel="0" collapsed="false">
      <c r="B64" s="9" t="s">
        <v>214</v>
      </c>
      <c r="C64" s="10" t="s">
        <v>215</v>
      </c>
      <c r="D64" s="11" t="n">
        <v>1</v>
      </c>
      <c r="E64" s="11" t="n">
        <v>1</v>
      </c>
      <c r="F64" s="11" t="n">
        <v>1</v>
      </c>
      <c r="G64" s="11" t="n">
        <v>1</v>
      </c>
      <c r="H64" s="11" t="n">
        <v>1</v>
      </c>
      <c r="I64" s="11" t="n">
        <v>0</v>
      </c>
      <c r="J64" s="11" t="n">
        <v>1</v>
      </c>
      <c r="K64" s="11" t="n">
        <v>1</v>
      </c>
      <c r="L64" s="11" t="n">
        <v>1</v>
      </c>
      <c r="M64" s="17" t="n">
        <f aca="false">AVERAGE(D64:L64)</f>
        <v>0.888888888888889</v>
      </c>
      <c r="N64" s="18" t="n">
        <f aca="false">SUM(D64:L64)</f>
        <v>8</v>
      </c>
    </row>
    <row r="65" customFormat="false" ht="15" hidden="false" customHeight="true" outlineLevel="0" collapsed="false">
      <c r="B65" s="9" t="s">
        <v>216</v>
      </c>
      <c r="C65" s="10" t="s">
        <v>217</v>
      </c>
      <c r="D65" s="11" t="n">
        <v>1</v>
      </c>
      <c r="E65" s="11" t="n">
        <v>1</v>
      </c>
      <c r="F65" s="11" t="n">
        <v>1</v>
      </c>
      <c r="G65" s="11" t="n">
        <v>1</v>
      </c>
      <c r="H65" s="11" t="n">
        <v>1</v>
      </c>
      <c r="I65" s="11" t="n">
        <v>1</v>
      </c>
      <c r="J65" s="11" t="n">
        <v>1</v>
      </c>
      <c r="K65" s="11" t="n">
        <v>1</v>
      </c>
      <c r="L65" s="11" t="n">
        <v>1</v>
      </c>
      <c r="M65" s="17" t="n">
        <f aca="false">AVERAGE(D65:L65)</f>
        <v>1</v>
      </c>
      <c r="N65" s="18" t="n">
        <f aca="false">SUM(D65:L65)</f>
        <v>9</v>
      </c>
    </row>
    <row r="66" customFormat="false" ht="15" hidden="false" customHeight="true" outlineLevel="0" collapsed="false">
      <c r="B66" s="9" t="s">
        <v>218</v>
      </c>
      <c r="C66" s="10" t="s">
        <v>219</v>
      </c>
      <c r="D66" s="11" t="n">
        <v>1</v>
      </c>
      <c r="E66" s="11" t="n">
        <v>1</v>
      </c>
      <c r="F66" s="11" t="n">
        <v>1</v>
      </c>
      <c r="G66" s="11" t="n">
        <v>1</v>
      </c>
      <c r="H66" s="11" t="n">
        <v>1</v>
      </c>
      <c r="I66" s="11" t="n">
        <v>0</v>
      </c>
      <c r="J66" s="11" t="n">
        <v>1</v>
      </c>
      <c r="K66" s="11" t="n">
        <v>0</v>
      </c>
      <c r="L66" s="11" t="n">
        <v>1</v>
      </c>
      <c r="M66" s="17" t="n">
        <f aca="false">AVERAGE(D66:L66)</f>
        <v>0.777777777777778</v>
      </c>
      <c r="N66" s="18" t="n">
        <f aca="false">SUM(D66:L66)</f>
        <v>7</v>
      </c>
    </row>
    <row r="67" customFormat="false" ht="15" hidden="false" customHeight="true" outlineLevel="0" collapsed="false">
      <c r="B67" s="9" t="s">
        <v>220</v>
      </c>
      <c r="C67" s="10" t="s">
        <v>221</v>
      </c>
      <c r="D67" s="11" t="n">
        <v>1</v>
      </c>
      <c r="E67" s="11" t="n">
        <v>1</v>
      </c>
      <c r="F67" s="11" t="n">
        <v>1</v>
      </c>
      <c r="G67" s="11" t="n">
        <v>1</v>
      </c>
      <c r="H67" s="11" t="n">
        <v>1</v>
      </c>
      <c r="I67" s="11" t="n">
        <v>0</v>
      </c>
      <c r="J67" s="11" t="n">
        <v>1</v>
      </c>
      <c r="K67" s="11" t="n">
        <v>0</v>
      </c>
      <c r="L67" s="11" t="n">
        <v>1</v>
      </c>
      <c r="M67" s="17" t="n">
        <f aca="false">AVERAGE(D67:L67)</f>
        <v>0.777777777777778</v>
      </c>
      <c r="N67" s="18" t="n">
        <f aca="false">SUM(D67:L67)</f>
        <v>7</v>
      </c>
    </row>
    <row r="68" customFormat="false" ht="15" hidden="false" customHeight="true" outlineLevel="0" collapsed="false">
      <c r="B68" s="9" t="s">
        <v>222</v>
      </c>
      <c r="C68" s="10" t="s">
        <v>223</v>
      </c>
      <c r="D68" s="11" t="n">
        <v>1</v>
      </c>
      <c r="E68" s="11" t="n">
        <v>1</v>
      </c>
      <c r="F68" s="11" t="n">
        <v>1</v>
      </c>
      <c r="G68" s="11" t="n">
        <v>1</v>
      </c>
      <c r="H68" s="11" t="n">
        <v>1</v>
      </c>
      <c r="I68" s="11" t="n">
        <v>1</v>
      </c>
      <c r="J68" s="11" t="n">
        <v>1</v>
      </c>
      <c r="K68" s="11" t="n">
        <v>1</v>
      </c>
      <c r="L68" s="11" t="n">
        <v>1</v>
      </c>
      <c r="M68" s="17" t="n">
        <f aca="false">AVERAGE(D68:L68)</f>
        <v>1</v>
      </c>
      <c r="N68" s="18" t="n">
        <f aca="false">SUM(D68:L68)</f>
        <v>9</v>
      </c>
    </row>
    <row r="69" customFormat="false" ht="15" hidden="false" customHeight="true" outlineLevel="0" collapsed="false">
      <c r="B69" s="9" t="s">
        <v>224</v>
      </c>
      <c r="C69" s="10" t="s">
        <v>225</v>
      </c>
      <c r="D69" s="11" t="n">
        <v>1</v>
      </c>
      <c r="E69" s="11" t="n">
        <v>1</v>
      </c>
      <c r="F69" s="11" t="n">
        <v>1</v>
      </c>
      <c r="G69" s="11" t="n">
        <v>1</v>
      </c>
      <c r="H69" s="11" t="n">
        <v>1</v>
      </c>
      <c r="I69" s="11" t="n">
        <v>0</v>
      </c>
      <c r="J69" s="11" t="n">
        <v>1</v>
      </c>
      <c r="K69" s="11" t="n">
        <v>1</v>
      </c>
      <c r="L69" s="11" t="n">
        <v>1</v>
      </c>
      <c r="M69" s="17" t="n">
        <f aca="false">AVERAGE(D69:L69)</f>
        <v>0.888888888888889</v>
      </c>
      <c r="N69" s="18" t="n">
        <f aca="false">SUM(D69:L69)</f>
        <v>8</v>
      </c>
    </row>
    <row r="70" customFormat="false" ht="15" hidden="false" customHeight="true" outlineLevel="0" collapsed="false">
      <c r="B70" s="9" t="s">
        <v>226</v>
      </c>
      <c r="C70" s="10" t="s">
        <v>227</v>
      </c>
      <c r="D70" s="11" t="n">
        <v>1</v>
      </c>
      <c r="E70" s="11" t="n">
        <v>1</v>
      </c>
      <c r="F70" s="11" t="n">
        <v>1</v>
      </c>
      <c r="G70" s="11" t="n">
        <v>1</v>
      </c>
      <c r="H70" s="11" t="n">
        <v>1</v>
      </c>
      <c r="I70" s="11" t="n">
        <v>1</v>
      </c>
      <c r="J70" s="11" t="n">
        <v>1</v>
      </c>
      <c r="K70" s="11" t="n">
        <v>1</v>
      </c>
      <c r="L70" s="11" t="n">
        <v>1</v>
      </c>
      <c r="M70" s="17" t="n">
        <f aca="false">AVERAGE(D70:L70)</f>
        <v>1</v>
      </c>
      <c r="N70" s="18" t="n">
        <f aca="false">SUM(D70:L70)</f>
        <v>9</v>
      </c>
    </row>
    <row r="71" customFormat="false" ht="15" hidden="false" customHeight="true" outlineLevel="0" collapsed="false">
      <c r="B71" s="9" t="s">
        <v>228</v>
      </c>
      <c r="C71" s="10" t="s">
        <v>229</v>
      </c>
      <c r="D71" s="11" t="n">
        <v>0</v>
      </c>
      <c r="E71" s="11" t="n">
        <v>1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7" t="n">
        <f aca="false">AVERAGE(D71:L71)</f>
        <v>0.111111111111111</v>
      </c>
      <c r="N71" s="18" t="n">
        <f aca="false">SUM(D71:L71)</f>
        <v>1</v>
      </c>
    </row>
    <row r="72" customFormat="false" ht="15" hidden="false" customHeight="true" outlineLevel="0" collapsed="false">
      <c r="B72" s="9" t="s">
        <v>230</v>
      </c>
      <c r="C72" s="10" t="s">
        <v>231</v>
      </c>
      <c r="D72" s="11" t="n">
        <v>1</v>
      </c>
      <c r="E72" s="11" t="n">
        <v>1</v>
      </c>
      <c r="F72" s="11" t="n">
        <v>0</v>
      </c>
      <c r="G72" s="11" t="n">
        <v>1</v>
      </c>
      <c r="H72" s="11" t="n">
        <v>0</v>
      </c>
      <c r="I72" s="11" t="n">
        <v>0</v>
      </c>
      <c r="J72" s="11" t="n">
        <v>0</v>
      </c>
      <c r="K72" s="11" t="n">
        <v>1</v>
      </c>
      <c r="L72" s="11" t="n">
        <v>0</v>
      </c>
      <c r="M72" s="17" t="n">
        <f aca="false">AVERAGE(D72:L72)</f>
        <v>0.444444444444444</v>
      </c>
      <c r="N72" s="18" t="n">
        <f aca="false">SUM(D72:L72)</f>
        <v>4</v>
      </c>
    </row>
    <row r="73" customFormat="false" ht="15" hidden="false" customHeight="true" outlineLevel="0" collapsed="false">
      <c r="B73" s="9" t="s">
        <v>232</v>
      </c>
      <c r="C73" s="10" t="s">
        <v>233</v>
      </c>
      <c r="D73" s="11" t="n">
        <v>1</v>
      </c>
      <c r="E73" s="11" t="n">
        <v>1</v>
      </c>
      <c r="F73" s="11" t="n">
        <v>1</v>
      </c>
      <c r="G73" s="11" t="n">
        <v>1</v>
      </c>
      <c r="H73" s="11" t="n">
        <v>1</v>
      </c>
      <c r="I73" s="11" t="n">
        <v>0</v>
      </c>
      <c r="J73" s="11" t="n">
        <v>1</v>
      </c>
      <c r="K73" s="11" t="n">
        <v>1</v>
      </c>
      <c r="L73" s="11" t="n">
        <v>1</v>
      </c>
      <c r="M73" s="17" t="n">
        <f aca="false">AVERAGE(D73:L73)</f>
        <v>0.888888888888889</v>
      </c>
      <c r="N73" s="18" t="n">
        <f aca="false">SUM(D73:L73)</f>
        <v>8</v>
      </c>
    </row>
    <row r="74" customFormat="false" ht="15" hidden="false" customHeight="true" outlineLevel="0" collapsed="false">
      <c r="B74" s="9" t="s">
        <v>234</v>
      </c>
      <c r="C74" s="10" t="s">
        <v>235</v>
      </c>
      <c r="D74" s="11" t="n">
        <v>1</v>
      </c>
      <c r="E74" s="11" t="n">
        <v>1</v>
      </c>
      <c r="F74" s="11" t="n">
        <v>1</v>
      </c>
      <c r="G74" s="11" t="n">
        <v>1</v>
      </c>
      <c r="H74" s="11" t="n">
        <v>0</v>
      </c>
      <c r="I74" s="11" t="n">
        <v>1</v>
      </c>
      <c r="J74" s="11" t="n">
        <v>1</v>
      </c>
      <c r="K74" s="11" t="n">
        <v>1</v>
      </c>
      <c r="L74" s="11" t="n">
        <v>1</v>
      </c>
      <c r="M74" s="17" t="n">
        <f aca="false">AVERAGE(D74:L74)</f>
        <v>0.888888888888889</v>
      </c>
      <c r="N74" s="18" t="n">
        <f aca="false">SUM(D74:L74)</f>
        <v>8</v>
      </c>
    </row>
    <row r="75" customFormat="false" ht="15" hidden="false" customHeight="true" outlineLevel="0" collapsed="false">
      <c r="B75" s="9" t="s">
        <v>236</v>
      </c>
      <c r="C75" s="10" t="s">
        <v>237</v>
      </c>
      <c r="D75" s="11" t="n">
        <v>1</v>
      </c>
      <c r="E75" s="11" t="n">
        <v>1</v>
      </c>
      <c r="F75" s="11" t="n">
        <v>1</v>
      </c>
      <c r="G75" s="11" t="n">
        <v>1</v>
      </c>
      <c r="H75" s="11" t="n">
        <v>1</v>
      </c>
      <c r="I75" s="11" t="n">
        <v>0</v>
      </c>
      <c r="J75" s="11" t="n">
        <v>1</v>
      </c>
      <c r="K75" s="11" t="n">
        <v>1</v>
      </c>
      <c r="L75" s="11" t="n">
        <v>1</v>
      </c>
      <c r="M75" s="17" t="n">
        <f aca="false">AVERAGE(D75:L75)</f>
        <v>0.888888888888889</v>
      </c>
      <c r="N75" s="18" t="n">
        <f aca="false">SUM(D75:L75)</f>
        <v>8</v>
      </c>
    </row>
    <row r="76" customFormat="false" ht="15" hidden="false" customHeight="true" outlineLevel="0" collapsed="false">
      <c r="B76" s="9" t="s">
        <v>238</v>
      </c>
      <c r="C76" s="10" t="s">
        <v>239</v>
      </c>
      <c r="D76" s="11" t="n">
        <v>1</v>
      </c>
      <c r="E76" s="11" t="n">
        <v>1</v>
      </c>
      <c r="F76" s="11" t="n">
        <v>1</v>
      </c>
      <c r="G76" s="11" t="n">
        <v>1</v>
      </c>
      <c r="H76" s="11" t="n">
        <v>1</v>
      </c>
      <c r="I76" s="11" t="n">
        <v>0</v>
      </c>
      <c r="J76" s="11" t="n">
        <v>1</v>
      </c>
      <c r="K76" s="11" t="n">
        <v>0</v>
      </c>
      <c r="L76" s="11" t="n">
        <v>1</v>
      </c>
      <c r="M76" s="17" t="n">
        <f aca="false">AVERAGE(D76:L76)</f>
        <v>0.777777777777778</v>
      </c>
      <c r="N76" s="18" t="n">
        <f aca="false">SUM(D76:L76)</f>
        <v>7</v>
      </c>
    </row>
    <row r="77" customFormat="false" ht="15" hidden="false" customHeight="true" outlineLevel="0" collapsed="false">
      <c r="B77" s="9" t="s">
        <v>240</v>
      </c>
      <c r="C77" s="10" t="s">
        <v>241</v>
      </c>
      <c r="D77" s="11" t="n">
        <v>1</v>
      </c>
      <c r="E77" s="11" t="n">
        <v>1</v>
      </c>
      <c r="F77" s="11" t="n">
        <v>1</v>
      </c>
      <c r="G77" s="11" t="n">
        <v>1</v>
      </c>
      <c r="H77" s="11" t="n">
        <v>1</v>
      </c>
      <c r="I77" s="11" t="n">
        <v>0</v>
      </c>
      <c r="J77" s="11" t="n">
        <v>1</v>
      </c>
      <c r="K77" s="11" t="n">
        <v>1</v>
      </c>
      <c r="L77" s="11" t="n">
        <v>1</v>
      </c>
      <c r="M77" s="17" t="n">
        <f aca="false">AVERAGE(D77:L77)</f>
        <v>0.888888888888889</v>
      </c>
      <c r="N77" s="18" t="n">
        <f aca="false">SUM(D77:L77)</f>
        <v>8</v>
      </c>
    </row>
    <row r="78" customFormat="false" ht="15" hidden="false" customHeight="true" outlineLevel="0" collapsed="false">
      <c r="B78" s="9" t="s">
        <v>242</v>
      </c>
      <c r="C78" s="10" t="s">
        <v>243</v>
      </c>
      <c r="D78" s="11" t="n">
        <v>1</v>
      </c>
      <c r="E78" s="11" t="n">
        <v>1</v>
      </c>
      <c r="F78" s="11" t="n">
        <v>0</v>
      </c>
      <c r="G78" s="11" t="n">
        <v>1</v>
      </c>
      <c r="H78" s="11" t="n">
        <v>1</v>
      </c>
      <c r="I78" s="11" t="n">
        <v>0</v>
      </c>
      <c r="J78" s="11" t="n">
        <v>0</v>
      </c>
      <c r="K78" s="11" t="n">
        <v>1</v>
      </c>
      <c r="L78" s="11" t="n">
        <v>0</v>
      </c>
      <c r="M78" s="17" t="n">
        <f aca="false">AVERAGE(D78:L78)</f>
        <v>0.555555555555556</v>
      </c>
      <c r="N78" s="18" t="n">
        <f aca="false">SUM(D78:L78)</f>
        <v>5</v>
      </c>
    </row>
    <row r="79" customFormat="false" ht="15" hidden="false" customHeight="true" outlineLevel="0" collapsed="false">
      <c r="B79" s="9" t="s">
        <v>244</v>
      </c>
      <c r="C79" s="10" t="s">
        <v>245</v>
      </c>
      <c r="D79" s="11" t="n">
        <v>1</v>
      </c>
      <c r="E79" s="11" t="n">
        <v>1</v>
      </c>
      <c r="F79" s="11" t="n">
        <v>1</v>
      </c>
      <c r="G79" s="11" t="n">
        <v>1</v>
      </c>
      <c r="H79" s="11" t="n">
        <v>1</v>
      </c>
      <c r="I79" s="11" t="n">
        <v>0</v>
      </c>
      <c r="J79" s="11" t="n">
        <v>1</v>
      </c>
      <c r="K79" s="11" t="n">
        <v>0</v>
      </c>
      <c r="L79" s="11" t="n">
        <v>1</v>
      </c>
      <c r="M79" s="17" t="n">
        <f aca="false">AVERAGE(D79:L79)</f>
        <v>0.777777777777778</v>
      </c>
      <c r="N79" s="18" t="n">
        <f aca="false">SUM(D79:L79)</f>
        <v>7</v>
      </c>
    </row>
    <row r="80" customFormat="false" ht="15" hidden="false" customHeight="true" outlineLevel="0" collapsed="false">
      <c r="B80" s="9" t="s">
        <v>246</v>
      </c>
      <c r="C80" s="10" t="s">
        <v>247</v>
      </c>
      <c r="D80" s="11" t="n">
        <v>1</v>
      </c>
      <c r="E80" s="11" t="n">
        <v>1</v>
      </c>
      <c r="F80" s="11" t="n">
        <v>0</v>
      </c>
      <c r="G80" s="11" t="n">
        <v>1</v>
      </c>
      <c r="H80" s="11" t="n">
        <v>1</v>
      </c>
      <c r="I80" s="11" t="n">
        <v>0</v>
      </c>
      <c r="J80" s="11" t="n">
        <v>1</v>
      </c>
      <c r="K80" s="11" t="n">
        <v>1</v>
      </c>
      <c r="L80" s="11" t="n">
        <v>1</v>
      </c>
      <c r="M80" s="17" t="n">
        <f aca="false">AVERAGE(D80:L80)</f>
        <v>0.777777777777778</v>
      </c>
      <c r="N80" s="18" t="n">
        <f aca="false">SUM(D80:L80)</f>
        <v>7</v>
      </c>
    </row>
    <row r="81" customFormat="false" ht="15" hidden="false" customHeight="true" outlineLevel="0" collapsed="false">
      <c r="B81" s="9" t="s">
        <v>248</v>
      </c>
      <c r="C81" s="10" t="s">
        <v>249</v>
      </c>
      <c r="D81" s="11" t="n">
        <v>1</v>
      </c>
      <c r="E81" s="11" t="n">
        <v>1</v>
      </c>
      <c r="F81" s="11" t="n">
        <v>1</v>
      </c>
      <c r="G81" s="11" t="n">
        <v>1</v>
      </c>
      <c r="H81" s="11" t="n">
        <v>1</v>
      </c>
      <c r="I81" s="11" t="n">
        <v>1</v>
      </c>
      <c r="J81" s="11" t="n">
        <v>1</v>
      </c>
      <c r="K81" s="11" t="n">
        <v>1</v>
      </c>
      <c r="L81" s="11" t="n">
        <v>1</v>
      </c>
      <c r="M81" s="17" t="n">
        <f aca="false">AVERAGE(D81:L81)</f>
        <v>1</v>
      </c>
      <c r="N81" s="18" t="n">
        <f aca="false">SUM(D81:L81)</f>
        <v>9</v>
      </c>
    </row>
    <row r="82" customFormat="false" ht="15" hidden="false" customHeight="true" outlineLevel="0" collapsed="false">
      <c r="B82" s="9" t="s">
        <v>250</v>
      </c>
      <c r="C82" s="10" t="s">
        <v>251</v>
      </c>
      <c r="D82" s="11" t="n">
        <v>1</v>
      </c>
      <c r="E82" s="11" t="n">
        <v>1</v>
      </c>
      <c r="F82" s="11" t="n">
        <v>1</v>
      </c>
      <c r="G82" s="11" t="n">
        <v>1</v>
      </c>
      <c r="H82" s="11" t="n">
        <v>1</v>
      </c>
      <c r="I82" s="11" t="n">
        <v>0</v>
      </c>
      <c r="J82" s="11" t="n">
        <v>1</v>
      </c>
      <c r="K82" s="11" t="n">
        <v>0</v>
      </c>
      <c r="L82" s="11" t="n">
        <v>1</v>
      </c>
      <c r="M82" s="17" t="n">
        <f aca="false">AVERAGE(D82:L82)</f>
        <v>0.777777777777778</v>
      </c>
      <c r="N82" s="18" t="n">
        <f aca="false">SUM(D82:L82)</f>
        <v>7</v>
      </c>
    </row>
    <row r="83" customFormat="false" ht="15" hidden="false" customHeight="true" outlineLevel="0" collapsed="false">
      <c r="B83" s="9" t="s">
        <v>252</v>
      </c>
      <c r="C83" s="10" t="s">
        <v>253</v>
      </c>
      <c r="D83" s="11" t="n">
        <v>1</v>
      </c>
      <c r="E83" s="11" t="n">
        <v>1</v>
      </c>
      <c r="F83" s="11" t="n">
        <v>1</v>
      </c>
      <c r="G83" s="11" t="n">
        <v>1</v>
      </c>
      <c r="H83" s="11" t="n">
        <v>1</v>
      </c>
      <c r="I83" s="11" t="n">
        <v>1</v>
      </c>
      <c r="J83" s="11" t="n">
        <v>1</v>
      </c>
      <c r="K83" s="11" t="n">
        <v>0</v>
      </c>
      <c r="L83" s="11" t="n">
        <v>1</v>
      </c>
      <c r="M83" s="17" t="n">
        <f aca="false">AVERAGE(D83:L83)</f>
        <v>0.888888888888889</v>
      </c>
      <c r="N83" s="18" t="n">
        <f aca="false">SUM(D83:L83)</f>
        <v>8</v>
      </c>
    </row>
    <row r="84" customFormat="false" ht="15" hidden="false" customHeight="true" outlineLevel="0" collapsed="false">
      <c r="B84" s="9" t="s">
        <v>254</v>
      </c>
      <c r="C84" s="10" t="s">
        <v>255</v>
      </c>
      <c r="D84" s="11" t="n">
        <v>1</v>
      </c>
      <c r="E84" s="11" t="n">
        <v>1</v>
      </c>
      <c r="F84" s="11" t="n">
        <v>1</v>
      </c>
      <c r="G84" s="11" t="n">
        <v>0</v>
      </c>
      <c r="H84" s="11" t="n">
        <v>1</v>
      </c>
      <c r="I84" s="11" t="n">
        <v>0</v>
      </c>
      <c r="J84" s="11" t="n">
        <v>1</v>
      </c>
      <c r="K84" s="11" t="n">
        <v>0</v>
      </c>
      <c r="L84" s="11" t="n">
        <v>0</v>
      </c>
      <c r="M84" s="17" t="n">
        <f aca="false">AVERAGE(D84:L84)</f>
        <v>0.555555555555556</v>
      </c>
      <c r="N84" s="18" t="n">
        <f aca="false">SUM(D84:L84)</f>
        <v>5</v>
      </c>
    </row>
    <row r="85" customFormat="false" ht="15" hidden="false" customHeight="true" outlineLevel="0" collapsed="false">
      <c r="B85" s="9" t="s">
        <v>256</v>
      </c>
      <c r="C85" s="10" t="s">
        <v>257</v>
      </c>
      <c r="D85" s="11" t="n">
        <v>1</v>
      </c>
      <c r="E85" s="11" t="n">
        <v>1</v>
      </c>
      <c r="F85" s="11" t="n">
        <v>1</v>
      </c>
      <c r="G85" s="11" t="n">
        <v>1</v>
      </c>
      <c r="H85" s="11" t="n">
        <v>1</v>
      </c>
      <c r="I85" s="11" t="n">
        <v>1</v>
      </c>
      <c r="J85" s="11" t="n">
        <v>1</v>
      </c>
      <c r="K85" s="11" t="n">
        <v>0</v>
      </c>
      <c r="L85" s="11" t="n">
        <v>1</v>
      </c>
      <c r="M85" s="17" t="n">
        <f aca="false">AVERAGE(D85:L85)</f>
        <v>0.888888888888889</v>
      </c>
      <c r="N85" s="18" t="n">
        <f aca="false">SUM(D85:L85)</f>
        <v>8</v>
      </c>
    </row>
    <row r="86" customFormat="false" ht="15" hidden="false" customHeight="true" outlineLevel="0" collapsed="false">
      <c r="B86" s="9" t="s">
        <v>258</v>
      </c>
      <c r="C86" s="10" t="s">
        <v>259</v>
      </c>
      <c r="D86" s="11" t="n">
        <v>1</v>
      </c>
      <c r="E86" s="11" t="n">
        <v>1</v>
      </c>
      <c r="F86" s="11" t="n">
        <v>1</v>
      </c>
      <c r="G86" s="11" t="n">
        <v>1</v>
      </c>
      <c r="H86" s="11" t="n">
        <v>1</v>
      </c>
      <c r="I86" s="11" t="n">
        <v>0</v>
      </c>
      <c r="J86" s="11" t="n">
        <v>1</v>
      </c>
      <c r="K86" s="11" t="n">
        <v>0</v>
      </c>
      <c r="L86" s="11" t="n">
        <v>1</v>
      </c>
      <c r="M86" s="17" t="n">
        <f aca="false">AVERAGE(D86:L86)</f>
        <v>0.777777777777778</v>
      </c>
      <c r="N86" s="18" t="n">
        <f aca="false">SUM(D86:L86)</f>
        <v>7</v>
      </c>
    </row>
    <row r="87" customFormat="false" ht="15" hidden="false" customHeight="true" outlineLevel="0" collapsed="false">
      <c r="B87" s="9" t="s">
        <v>260</v>
      </c>
      <c r="C87" s="10" t="s">
        <v>261</v>
      </c>
      <c r="D87" s="11" t="n">
        <v>1</v>
      </c>
      <c r="E87" s="11" t="n">
        <v>1</v>
      </c>
      <c r="F87" s="11" t="n">
        <v>1</v>
      </c>
      <c r="G87" s="11" t="n">
        <v>1</v>
      </c>
      <c r="H87" s="11" t="n">
        <v>1</v>
      </c>
      <c r="I87" s="11" t="n">
        <v>1</v>
      </c>
      <c r="J87" s="11" t="n">
        <v>1</v>
      </c>
      <c r="K87" s="11" t="n">
        <v>0</v>
      </c>
      <c r="L87" s="11" t="n">
        <v>1</v>
      </c>
      <c r="M87" s="17" t="n">
        <f aca="false">AVERAGE(D87:L87)</f>
        <v>0.888888888888889</v>
      </c>
      <c r="N87" s="18" t="n">
        <f aca="false">SUM(D87:L87)</f>
        <v>8</v>
      </c>
    </row>
    <row r="88" customFormat="false" ht="15" hidden="false" customHeight="true" outlineLevel="0" collapsed="false">
      <c r="B88" s="9" t="s">
        <v>262</v>
      </c>
      <c r="C88" s="10" t="s">
        <v>263</v>
      </c>
      <c r="D88" s="11" t="n">
        <v>1</v>
      </c>
      <c r="E88" s="11" t="n">
        <v>1</v>
      </c>
      <c r="F88" s="11" t="n">
        <v>1</v>
      </c>
      <c r="G88" s="11" t="n">
        <v>1</v>
      </c>
      <c r="H88" s="11" t="n">
        <v>1</v>
      </c>
      <c r="I88" s="11" t="n">
        <v>0</v>
      </c>
      <c r="J88" s="11" t="n">
        <v>1</v>
      </c>
      <c r="K88" s="11" t="n">
        <v>1</v>
      </c>
      <c r="L88" s="11" t="n">
        <v>1</v>
      </c>
      <c r="M88" s="17" t="n">
        <f aca="false">AVERAGE(D88:L88)</f>
        <v>0.888888888888889</v>
      </c>
      <c r="N88" s="18" t="n">
        <f aca="false">SUM(D88:L88)</f>
        <v>8</v>
      </c>
    </row>
    <row r="89" customFormat="false" ht="15" hidden="false" customHeight="true" outlineLevel="0" collapsed="false">
      <c r="B89" s="9" t="s">
        <v>264</v>
      </c>
      <c r="C89" s="10" t="s">
        <v>265</v>
      </c>
      <c r="D89" s="11" t="n">
        <v>1</v>
      </c>
      <c r="E89" s="11" t="n">
        <v>1</v>
      </c>
      <c r="F89" s="11" t="n">
        <v>1</v>
      </c>
      <c r="G89" s="11" t="n">
        <v>1</v>
      </c>
      <c r="H89" s="11" t="n">
        <v>1</v>
      </c>
      <c r="I89" s="11" t="n">
        <v>0</v>
      </c>
      <c r="J89" s="11" t="n">
        <v>1</v>
      </c>
      <c r="K89" s="11" t="n">
        <v>1</v>
      </c>
      <c r="L89" s="11" t="n">
        <v>1</v>
      </c>
      <c r="M89" s="17" t="n">
        <f aca="false">AVERAGE(D89:L89)</f>
        <v>0.888888888888889</v>
      </c>
      <c r="N89" s="18" t="n">
        <f aca="false">SUM(D89:L89)</f>
        <v>8</v>
      </c>
    </row>
    <row r="90" customFormat="false" ht="15" hidden="false" customHeight="true" outlineLevel="0" collapsed="false">
      <c r="B90" s="9" t="s">
        <v>266</v>
      </c>
      <c r="C90" s="10" t="s">
        <v>267</v>
      </c>
      <c r="D90" s="11" t="n">
        <v>1</v>
      </c>
      <c r="E90" s="11" t="n">
        <v>1</v>
      </c>
      <c r="F90" s="11" t="n">
        <v>1</v>
      </c>
      <c r="G90" s="11" t="n">
        <v>1</v>
      </c>
      <c r="H90" s="11" t="n">
        <v>1</v>
      </c>
      <c r="I90" s="11" t="n">
        <v>0</v>
      </c>
      <c r="J90" s="11" t="n">
        <v>1</v>
      </c>
      <c r="K90" s="11" t="n">
        <v>1</v>
      </c>
      <c r="L90" s="11" t="n">
        <v>1</v>
      </c>
      <c r="M90" s="17" t="n">
        <f aca="false">AVERAGE(D90:L90)</f>
        <v>0.888888888888889</v>
      </c>
      <c r="N90" s="18" t="n">
        <f aca="false">SUM(D90:L90)</f>
        <v>8</v>
      </c>
    </row>
    <row r="92" customFormat="false" ht="15" hidden="false" customHeight="true" outlineLevel="0" collapsed="false">
      <c r="B92" s="19"/>
      <c r="C92" s="20" t="s">
        <v>278</v>
      </c>
      <c r="D92" s="21" t="n">
        <f aca="false">SUM(D3:D91)</f>
        <v>80</v>
      </c>
      <c r="E92" s="21" t="n">
        <f aca="false">SUM(E3:E91)</f>
        <v>85</v>
      </c>
      <c r="F92" s="21" t="n">
        <f aca="false">SUM(F3:F91)</f>
        <v>74</v>
      </c>
      <c r="G92" s="21" t="n">
        <f aca="false">SUM(G3:G91)</f>
        <v>77</v>
      </c>
      <c r="H92" s="21" t="n">
        <f aca="false">SUM(H3:H91)</f>
        <v>76</v>
      </c>
      <c r="I92" s="21" t="n">
        <f aca="false">SUM(I3:I91)</f>
        <v>16</v>
      </c>
      <c r="J92" s="21" t="n">
        <f aca="false">SUM(J3:J91)</f>
        <v>77</v>
      </c>
      <c r="K92" s="21" t="n">
        <f aca="false">SUM(K3:K91)</f>
        <v>41</v>
      </c>
      <c r="L92" s="21" t="n">
        <f aca="false">SUM(L3:L91)</f>
        <v>74</v>
      </c>
      <c r="M92" s="22" t="n">
        <f aca="false">AVERAGE(M3:M91)</f>
        <v>0.757575757575758</v>
      </c>
      <c r="N92" s="23" t="n">
        <f aca="false">AVERAGE(N3:N91)</f>
        <v>6.81818181818182</v>
      </c>
    </row>
  </sheetData>
  <autoFilter ref="B2:N90"/>
  <conditionalFormatting sqref="D3:L90">
    <cfRule type="cellIs" priority="2" operator="equal" aboveAverage="0" equalAverage="0" bottom="0" percent="0" rank="0" text="" dxfId="150">
      <formula>1</formula>
    </cfRule>
    <cfRule type="cellIs" priority="3" operator="equal" aboveAverage="0" equalAverage="0" bottom="0" percent="0" rank="0" text="" dxfId="151">
      <formula>0</formula>
    </cfRule>
  </conditionalFormatting>
  <conditionalFormatting sqref="M3:M90">
    <cfRule type="colorScale" priority="4">
      <colorScale>
        <cfvo type="num" val="0"/>
        <cfvo type="num" val="0.5"/>
        <cfvo type="num" val="1"/>
        <color rgb="FFFBE2EC"/>
        <color rgb="FFF4E5C2"/>
        <color rgb="FFDDF0E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4" min="4" style="1" width="7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24"/>
  </cols>
  <sheetData>
    <row r="2" customFormat="false" ht="15" hidden="false" customHeight="true" outlineLevel="0" collapsed="false">
      <c r="B2" s="3" t="s">
        <v>279</v>
      </c>
    </row>
    <row r="3" customFormat="false" ht="36" hidden="false" customHeight="true" outlineLevel="0" collapsed="false">
      <c r="B3" s="8" t="s">
        <v>61</v>
      </c>
      <c r="C3" s="8" t="s">
        <v>62</v>
      </c>
      <c r="D3" s="8" t="s">
        <v>280</v>
      </c>
      <c r="E3" s="8" t="s">
        <v>281</v>
      </c>
      <c r="F3" s="8" t="s">
        <v>282</v>
      </c>
      <c r="G3" s="8" t="s">
        <v>283</v>
      </c>
    </row>
    <row r="4" customFormat="false" ht="15" hidden="false" customHeight="true" outlineLevel="0" collapsed="false">
      <c r="B4" s="9" t="s">
        <v>80</v>
      </c>
      <c r="C4" s="10" t="s">
        <v>81</v>
      </c>
      <c r="D4" s="18"/>
      <c r="E4" s="18"/>
      <c r="F4" s="18"/>
      <c r="G4" s="18"/>
    </row>
    <row r="5" customFormat="false" ht="15" hidden="false" customHeight="true" outlineLevel="0" collapsed="false">
      <c r="B5" s="9" t="s">
        <v>84</v>
      </c>
      <c r="C5" s="10" t="s">
        <v>85</v>
      </c>
      <c r="D5" s="24" t="n">
        <v>2024</v>
      </c>
      <c r="E5" s="25" t="n">
        <v>0.103</v>
      </c>
      <c r="F5" s="25" t="n">
        <v>0.078</v>
      </c>
      <c r="G5" s="18" t="s">
        <v>85</v>
      </c>
    </row>
    <row r="6" customFormat="false" ht="15" hidden="false" customHeight="true" outlineLevel="0" collapsed="false">
      <c r="B6" s="9" t="s">
        <v>88</v>
      </c>
      <c r="C6" s="10" t="s">
        <v>89</v>
      </c>
      <c r="D6" s="24" t="n">
        <v>2024</v>
      </c>
      <c r="E6" s="25" t="n">
        <v>0.712</v>
      </c>
      <c r="F6" s="25" t="n">
        <v>0.553</v>
      </c>
      <c r="G6" s="18" t="s">
        <v>89</v>
      </c>
    </row>
    <row r="7" customFormat="false" ht="15" hidden="false" customHeight="true" outlineLevel="0" collapsed="false">
      <c r="B7" s="9" t="s">
        <v>90</v>
      </c>
      <c r="C7" s="10" t="s">
        <v>91</v>
      </c>
      <c r="D7" s="24" t="n">
        <v>2024</v>
      </c>
      <c r="E7" s="25" t="n">
        <v>0.623</v>
      </c>
      <c r="F7" s="25" t="n">
        <v>0.414</v>
      </c>
      <c r="G7" s="18" t="s">
        <v>91</v>
      </c>
    </row>
    <row r="8" customFormat="false" ht="15" hidden="false" customHeight="true" outlineLevel="0" collapsed="false">
      <c r="B8" s="9" t="s">
        <v>92</v>
      </c>
      <c r="C8" s="10" t="s">
        <v>93</v>
      </c>
      <c r="D8" s="24" t="n">
        <v>2024</v>
      </c>
      <c r="E8" s="25" t="n">
        <v>0.857</v>
      </c>
      <c r="F8" s="25" t="n">
        <v>0.808</v>
      </c>
      <c r="G8" s="18" t="s">
        <v>93</v>
      </c>
    </row>
    <row r="9" customFormat="false" ht="15" hidden="false" customHeight="true" outlineLevel="0" collapsed="false">
      <c r="B9" s="9" t="s">
        <v>95</v>
      </c>
      <c r="C9" s="10" t="s">
        <v>96</v>
      </c>
      <c r="D9" s="24" t="n">
        <v>2024</v>
      </c>
      <c r="E9" s="25" t="n">
        <v>0.839</v>
      </c>
      <c r="F9" s="25" t="n">
        <v>0.762</v>
      </c>
      <c r="G9" s="18" t="s">
        <v>96</v>
      </c>
    </row>
    <row r="10" customFormat="false" ht="15" hidden="false" customHeight="true" outlineLevel="0" collapsed="false">
      <c r="B10" s="9" t="s">
        <v>98</v>
      </c>
      <c r="C10" s="10" t="s">
        <v>99</v>
      </c>
      <c r="D10" s="24" t="n">
        <v>2024</v>
      </c>
      <c r="E10" s="25" t="n">
        <v>0.175</v>
      </c>
      <c r="F10" s="25" t="n">
        <v>0.054</v>
      </c>
      <c r="G10" s="18" t="s">
        <v>99</v>
      </c>
    </row>
    <row r="11" customFormat="false" ht="15" hidden="false" customHeight="true" outlineLevel="0" collapsed="false">
      <c r="B11" s="9" t="s">
        <v>100</v>
      </c>
      <c r="C11" s="10" t="s">
        <v>101</v>
      </c>
      <c r="D11" s="24" t="n">
        <v>2024</v>
      </c>
      <c r="E11" s="25" t="n">
        <v>0.201</v>
      </c>
      <c r="F11" s="25" t="n">
        <v>0.068</v>
      </c>
      <c r="G11" s="18" t="s">
        <v>101</v>
      </c>
    </row>
    <row r="12" customFormat="false" ht="15" hidden="false" customHeight="true" outlineLevel="0" collapsed="false">
      <c r="B12" s="9" t="s">
        <v>104</v>
      </c>
      <c r="C12" s="10" t="s">
        <v>105</v>
      </c>
      <c r="D12" s="24" t="n">
        <v>2024</v>
      </c>
      <c r="E12" s="25" t="n">
        <v>0.124</v>
      </c>
      <c r="F12" s="25" t="n">
        <v>0.052</v>
      </c>
      <c r="G12" s="18" t="s">
        <v>105</v>
      </c>
    </row>
    <row r="13" customFormat="false" ht="15" hidden="false" customHeight="true" outlineLevel="0" collapsed="false">
      <c r="B13" s="9" t="s">
        <v>106</v>
      </c>
      <c r="C13" s="10" t="s">
        <v>107</v>
      </c>
      <c r="D13" s="18"/>
      <c r="E13" s="18"/>
      <c r="F13" s="18"/>
      <c r="G13" s="18"/>
    </row>
    <row r="14" customFormat="false" ht="15" hidden="false" customHeight="true" outlineLevel="0" collapsed="false">
      <c r="B14" s="9" t="s">
        <v>108</v>
      </c>
      <c r="C14" s="10" t="s">
        <v>109</v>
      </c>
      <c r="D14" s="24" t="n">
        <v>2024</v>
      </c>
      <c r="E14" s="25" t="n">
        <v>0.161</v>
      </c>
      <c r="F14" s="25" t="n">
        <v>0.036</v>
      </c>
      <c r="G14" s="18" t="s">
        <v>109</v>
      </c>
    </row>
    <row r="15" customFormat="false" ht="15" hidden="false" customHeight="true" outlineLevel="0" collapsed="false">
      <c r="B15" s="9" t="s">
        <v>111</v>
      </c>
      <c r="C15" s="10" t="s">
        <v>112</v>
      </c>
      <c r="D15" s="24" t="n">
        <v>2024</v>
      </c>
      <c r="E15" s="25" t="n">
        <v>0.576</v>
      </c>
      <c r="F15" s="25" t="n">
        <v>0.314</v>
      </c>
      <c r="G15" s="18" t="s">
        <v>112</v>
      </c>
    </row>
    <row r="16" customFormat="false" ht="15" hidden="false" customHeight="true" outlineLevel="0" collapsed="false">
      <c r="B16" s="9" t="s">
        <v>113</v>
      </c>
      <c r="C16" s="10" t="s">
        <v>114</v>
      </c>
      <c r="D16" s="24" t="n">
        <v>2024</v>
      </c>
      <c r="E16" s="25" t="n">
        <v>0.801</v>
      </c>
      <c r="F16" s="25" t="n">
        <v>0.712</v>
      </c>
      <c r="G16" s="18" t="s">
        <v>114</v>
      </c>
    </row>
    <row r="17" customFormat="false" ht="15" hidden="false" customHeight="true" outlineLevel="0" collapsed="false">
      <c r="B17" s="9" t="s">
        <v>115</v>
      </c>
      <c r="C17" s="10" t="s">
        <v>116</v>
      </c>
      <c r="D17" s="24" t="n">
        <v>2024</v>
      </c>
      <c r="E17" s="25" t="n">
        <v>0.561</v>
      </c>
      <c r="F17" s="25" t="n">
        <v>0.454</v>
      </c>
      <c r="G17" s="18" t="s">
        <v>116</v>
      </c>
    </row>
    <row r="18" customFormat="false" ht="15" hidden="false" customHeight="true" outlineLevel="0" collapsed="false">
      <c r="B18" s="9" t="s">
        <v>117</v>
      </c>
      <c r="C18" s="10" t="s">
        <v>118</v>
      </c>
      <c r="D18" s="24" t="n">
        <v>2024</v>
      </c>
      <c r="E18" s="25" t="n">
        <v>0.594</v>
      </c>
      <c r="F18" s="25" t="n">
        <v>0.478</v>
      </c>
      <c r="G18" s="18" t="s">
        <v>118</v>
      </c>
    </row>
    <row r="19" customFormat="false" ht="15" hidden="false" customHeight="true" outlineLevel="0" collapsed="false">
      <c r="B19" s="9" t="s">
        <v>119</v>
      </c>
      <c r="C19" s="10" t="s">
        <v>120</v>
      </c>
      <c r="D19" s="24" t="n">
        <v>2024</v>
      </c>
      <c r="E19" s="25" t="n">
        <v>0.842</v>
      </c>
      <c r="F19" s="25" t="n">
        <v>0.744</v>
      </c>
      <c r="G19" s="18" t="s">
        <v>120</v>
      </c>
    </row>
    <row r="20" customFormat="false" ht="15" hidden="false" customHeight="true" outlineLevel="0" collapsed="false">
      <c r="B20" s="9" t="s">
        <v>122</v>
      </c>
      <c r="C20" s="10" t="s">
        <v>123</v>
      </c>
      <c r="D20" s="24" t="n">
        <v>2024</v>
      </c>
      <c r="E20" s="25" t="n">
        <v>0.894</v>
      </c>
      <c r="F20" s="25" t="n">
        <v>0.847</v>
      </c>
      <c r="G20" s="18" t="s">
        <v>123</v>
      </c>
    </row>
    <row r="21" customFormat="false" ht="15" hidden="false" customHeight="true" outlineLevel="0" collapsed="false">
      <c r="B21" s="9" t="s">
        <v>124</v>
      </c>
      <c r="C21" s="10" t="s">
        <v>125</v>
      </c>
      <c r="D21" s="24" t="n">
        <v>2024</v>
      </c>
      <c r="E21" s="25" t="n">
        <v>0.844</v>
      </c>
      <c r="F21" s="25" t="n">
        <v>0.787</v>
      </c>
      <c r="G21" s="18" t="s">
        <v>125</v>
      </c>
    </row>
    <row r="22" customFormat="false" ht="15" hidden="false" customHeight="true" outlineLevel="0" collapsed="false">
      <c r="B22" s="9" t="s">
        <v>126</v>
      </c>
      <c r="C22" s="10" t="s">
        <v>127</v>
      </c>
      <c r="D22" s="24" t="n">
        <v>2024</v>
      </c>
      <c r="E22" s="25" t="n">
        <v>0.073</v>
      </c>
      <c r="F22" s="25" t="n">
        <v>0.036</v>
      </c>
      <c r="G22" s="18" t="s">
        <v>127</v>
      </c>
    </row>
    <row r="23" customFormat="false" ht="15" hidden="false" customHeight="true" outlineLevel="0" collapsed="false">
      <c r="B23" s="9" t="s">
        <v>129</v>
      </c>
      <c r="C23" s="10" t="s">
        <v>130</v>
      </c>
      <c r="D23" s="24" t="n">
        <v>2024</v>
      </c>
      <c r="E23" s="25" t="n">
        <v>0.701</v>
      </c>
      <c r="F23" s="25" t="n">
        <v>0.557</v>
      </c>
      <c r="G23" s="18" t="s">
        <v>130</v>
      </c>
    </row>
    <row r="24" customFormat="false" ht="15" hidden="false" customHeight="true" outlineLevel="0" collapsed="false">
      <c r="B24" s="9" t="s">
        <v>131</v>
      </c>
      <c r="C24" s="10" t="s">
        <v>132</v>
      </c>
      <c r="D24" s="18"/>
      <c r="E24" s="18"/>
      <c r="F24" s="18"/>
      <c r="G24" s="18"/>
    </row>
    <row r="25" customFormat="false" ht="15" hidden="false" customHeight="true" outlineLevel="0" collapsed="false">
      <c r="B25" s="9" t="s">
        <v>133</v>
      </c>
      <c r="C25" s="10" t="s">
        <v>134</v>
      </c>
      <c r="D25" s="24" t="n">
        <v>2024</v>
      </c>
      <c r="E25" s="25" t="n">
        <v>0.87</v>
      </c>
      <c r="F25" s="25" t="n">
        <v>0.817</v>
      </c>
      <c r="G25" s="18" t="s">
        <v>284</v>
      </c>
    </row>
    <row r="26" customFormat="false" ht="15" hidden="false" customHeight="true" outlineLevel="0" collapsed="false">
      <c r="B26" s="9" t="s">
        <v>135</v>
      </c>
      <c r="C26" s="10" t="s">
        <v>136</v>
      </c>
      <c r="D26" s="24" t="n">
        <v>2024</v>
      </c>
      <c r="E26" s="25" t="n">
        <v>0.839</v>
      </c>
      <c r="F26" s="25" t="n">
        <v>0.792</v>
      </c>
      <c r="G26" s="18" t="s">
        <v>136</v>
      </c>
    </row>
    <row r="27" customFormat="false" ht="15" hidden="false" customHeight="true" outlineLevel="0" collapsed="false">
      <c r="B27" s="9" t="s">
        <v>137</v>
      </c>
      <c r="C27" s="10" t="s">
        <v>138</v>
      </c>
      <c r="D27" s="24" t="n">
        <v>2024</v>
      </c>
      <c r="E27" s="25" t="n">
        <v>0.916</v>
      </c>
      <c r="F27" s="25" t="n">
        <v>0.883</v>
      </c>
      <c r="G27" s="18" t="s">
        <v>138</v>
      </c>
    </row>
    <row r="28" customFormat="false" ht="15" hidden="false" customHeight="true" outlineLevel="0" collapsed="false">
      <c r="B28" s="9" t="s">
        <v>139</v>
      </c>
      <c r="C28" s="10" t="s">
        <v>140</v>
      </c>
      <c r="D28" s="24" t="n">
        <v>2024</v>
      </c>
      <c r="E28" s="25" t="n">
        <v>0.705</v>
      </c>
      <c r="F28" s="25" t="n">
        <v>0.45</v>
      </c>
      <c r="G28" s="18" t="s">
        <v>140</v>
      </c>
    </row>
    <row r="29" customFormat="false" ht="27.75" hidden="false" customHeight="true" outlineLevel="0" collapsed="false">
      <c r="B29" s="9" t="s">
        <v>141</v>
      </c>
      <c r="C29" s="10" t="s">
        <v>142</v>
      </c>
      <c r="D29" s="18"/>
      <c r="E29" s="18"/>
      <c r="F29" s="18"/>
      <c r="G29" s="18"/>
    </row>
    <row r="30" customFormat="false" ht="15" hidden="false" customHeight="true" outlineLevel="0" collapsed="false">
      <c r="B30" s="9" t="s">
        <v>143</v>
      </c>
      <c r="C30" s="10" t="s">
        <v>144</v>
      </c>
      <c r="D30" s="24" t="n">
        <v>2024</v>
      </c>
      <c r="E30" s="25" t="n">
        <v>0.186</v>
      </c>
      <c r="F30" s="25" t="n">
        <v>0.129</v>
      </c>
      <c r="G30" s="18" t="s">
        <v>144</v>
      </c>
    </row>
    <row r="31" customFormat="false" ht="15" hidden="false" customHeight="true" outlineLevel="0" collapsed="false">
      <c r="B31" s="9" t="s">
        <v>145</v>
      </c>
      <c r="C31" s="10" t="s">
        <v>146</v>
      </c>
      <c r="D31" s="18"/>
      <c r="E31" s="18"/>
      <c r="F31" s="18"/>
      <c r="G31" s="18"/>
    </row>
    <row r="32" customFormat="false" ht="15" hidden="false" customHeight="true" outlineLevel="0" collapsed="false">
      <c r="B32" s="9" t="s">
        <v>147</v>
      </c>
      <c r="C32" s="10" t="s">
        <v>148</v>
      </c>
      <c r="D32" s="24" t="n">
        <v>2024</v>
      </c>
      <c r="E32" s="25" t="n">
        <v>0.829</v>
      </c>
      <c r="F32" s="25" t="n">
        <v>0.745</v>
      </c>
      <c r="G32" s="18" t="s">
        <v>148</v>
      </c>
    </row>
    <row r="33" customFormat="false" ht="15" hidden="false" customHeight="true" outlineLevel="0" collapsed="false">
      <c r="B33" s="9" t="s">
        <v>149</v>
      </c>
      <c r="C33" s="10" t="s">
        <v>150</v>
      </c>
      <c r="D33" s="24" t="n">
        <v>2024</v>
      </c>
      <c r="E33" s="25" t="n">
        <v>0.263</v>
      </c>
      <c r="F33" s="25" t="n">
        <v>0.098</v>
      </c>
      <c r="G33" s="18" t="s">
        <v>150</v>
      </c>
    </row>
    <row r="34" customFormat="false" ht="15" hidden="false" customHeight="true" outlineLevel="0" collapsed="false">
      <c r="B34" s="9" t="s">
        <v>152</v>
      </c>
      <c r="C34" s="10" t="s">
        <v>153</v>
      </c>
      <c r="D34" s="24" t="n">
        <v>2024</v>
      </c>
      <c r="E34" s="25" t="n">
        <v>0.516</v>
      </c>
      <c r="F34" s="25" t="n">
        <v>0.414</v>
      </c>
      <c r="G34" s="18" t="s">
        <v>153</v>
      </c>
    </row>
    <row r="35" customFormat="false" ht="15" hidden="false" customHeight="true" outlineLevel="0" collapsed="false">
      <c r="B35" s="9" t="s">
        <v>154</v>
      </c>
      <c r="C35" s="10" t="s">
        <v>155</v>
      </c>
      <c r="D35" s="24" t="n">
        <v>2024</v>
      </c>
      <c r="E35" s="25" t="n">
        <v>0.833</v>
      </c>
      <c r="F35" s="25" t="n">
        <v>0.752</v>
      </c>
      <c r="G35" s="18" t="s">
        <v>155</v>
      </c>
    </row>
    <row r="36" customFormat="false" ht="15" hidden="false" customHeight="true" outlineLevel="0" collapsed="false">
      <c r="B36" s="9" t="s">
        <v>156</v>
      </c>
      <c r="C36" s="10" t="s">
        <v>157</v>
      </c>
      <c r="D36" s="24" t="n">
        <v>2024</v>
      </c>
      <c r="E36" s="25" t="n">
        <v>0.48</v>
      </c>
      <c r="F36" s="25" t="n">
        <v>0.328</v>
      </c>
      <c r="G36" s="18" t="s">
        <v>157</v>
      </c>
    </row>
    <row r="37" customFormat="false" ht="15" hidden="false" customHeight="true" outlineLevel="0" collapsed="false">
      <c r="B37" s="9" t="s">
        <v>158</v>
      </c>
      <c r="C37" s="10" t="s">
        <v>159</v>
      </c>
      <c r="D37" s="24" t="n">
        <v>2024</v>
      </c>
      <c r="E37" s="25" t="n">
        <v>0.669</v>
      </c>
      <c r="F37" s="25" t="n">
        <v>0.567</v>
      </c>
      <c r="G37" s="18" t="s">
        <v>159</v>
      </c>
    </row>
    <row r="38" customFormat="false" ht="15" hidden="false" customHeight="true" outlineLevel="0" collapsed="false">
      <c r="B38" s="9" t="s">
        <v>160</v>
      </c>
      <c r="C38" s="10" t="s">
        <v>161</v>
      </c>
      <c r="D38" s="24" t="n">
        <v>2024</v>
      </c>
      <c r="E38" s="25" t="n">
        <v>0.169</v>
      </c>
      <c r="F38" s="25" t="n">
        <v>0.133</v>
      </c>
      <c r="G38" s="18" t="s">
        <v>161</v>
      </c>
    </row>
    <row r="39" customFormat="false" ht="15" hidden="false" customHeight="true" outlineLevel="0" collapsed="false">
      <c r="B39" s="9" t="s">
        <v>162</v>
      </c>
      <c r="C39" s="10" t="s">
        <v>163</v>
      </c>
      <c r="D39" s="24" t="n">
        <v>2024</v>
      </c>
      <c r="E39" s="25" t="n">
        <v>0.436</v>
      </c>
      <c r="F39" s="25" t="n">
        <v>0.318</v>
      </c>
      <c r="G39" s="18" t="s">
        <v>163</v>
      </c>
    </row>
    <row r="40" customFormat="false" ht="15" hidden="false" customHeight="true" outlineLevel="0" collapsed="false">
      <c r="B40" s="9" t="s">
        <v>164</v>
      </c>
      <c r="C40" s="10" t="s">
        <v>165</v>
      </c>
      <c r="D40" s="24" t="n">
        <v>2024</v>
      </c>
      <c r="E40" s="25" t="n">
        <v>0.483</v>
      </c>
      <c r="F40" s="25" t="n">
        <v>0.326</v>
      </c>
      <c r="G40" s="18" t="s">
        <v>165</v>
      </c>
    </row>
    <row r="41" customFormat="false" ht="15" hidden="false" customHeight="true" outlineLevel="0" collapsed="false">
      <c r="B41" s="9" t="s">
        <v>166</v>
      </c>
      <c r="C41" s="10" t="s">
        <v>167</v>
      </c>
      <c r="D41" s="24" t="n">
        <v>2024</v>
      </c>
      <c r="E41" s="25" t="n">
        <v>0.398</v>
      </c>
      <c r="F41" s="25" t="n">
        <v>0.291</v>
      </c>
      <c r="G41" s="18" t="s">
        <v>167</v>
      </c>
    </row>
    <row r="42" customFormat="false" ht="15" hidden="false" customHeight="true" outlineLevel="0" collapsed="false">
      <c r="B42" s="9" t="s">
        <v>168</v>
      </c>
      <c r="C42" s="10" t="s">
        <v>169</v>
      </c>
      <c r="D42" s="24" t="n">
        <v>2024</v>
      </c>
      <c r="E42" s="25" t="n">
        <v>0.167</v>
      </c>
      <c r="F42" s="25" t="n">
        <v>0.092</v>
      </c>
      <c r="G42" s="18" t="s">
        <v>169</v>
      </c>
    </row>
    <row r="43" customFormat="false" ht="15" hidden="false" customHeight="true" outlineLevel="0" collapsed="false">
      <c r="B43" s="9" t="s">
        <v>170</v>
      </c>
      <c r="C43" s="10" t="s">
        <v>171</v>
      </c>
      <c r="D43" s="24" t="n">
        <v>2024</v>
      </c>
      <c r="E43" s="25" t="n">
        <v>0.351</v>
      </c>
      <c r="F43" s="25" t="n">
        <v>0.228</v>
      </c>
      <c r="G43" s="18" t="s">
        <v>171</v>
      </c>
    </row>
    <row r="44" customFormat="false" ht="15" hidden="false" customHeight="true" outlineLevel="0" collapsed="false">
      <c r="B44" s="9" t="s">
        <v>172</v>
      </c>
      <c r="C44" s="10" t="s">
        <v>173</v>
      </c>
      <c r="D44" s="24" t="n">
        <v>2024</v>
      </c>
      <c r="E44" s="25" t="n">
        <v>0.844</v>
      </c>
      <c r="F44" s="25" t="n">
        <v>0.759</v>
      </c>
      <c r="G44" s="18" t="s">
        <v>173</v>
      </c>
    </row>
    <row r="45" customFormat="false" ht="15" hidden="false" customHeight="true" outlineLevel="0" collapsed="false">
      <c r="B45" s="9" t="s">
        <v>174</v>
      </c>
      <c r="C45" s="10" t="s">
        <v>175</v>
      </c>
      <c r="D45" s="24" t="n">
        <v>2024</v>
      </c>
      <c r="E45" s="25" t="n">
        <v>0.715</v>
      </c>
      <c r="F45" s="25" t="n">
        <v>0.617</v>
      </c>
      <c r="G45" s="18" t="s">
        <v>175</v>
      </c>
    </row>
    <row r="46" customFormat="false" ht="15" hidden="false" customHeight="true" outlineLevel="0" collapsed="false">
      <c r="B46" s="9" t="s">
        <v>176</v>
      </c>
      <c r="C46" s="10" t="s">
        <v>177</v>
      </c>
      <c r="D46" s="24" t="n">
        <v>2024</v>
      </c>
      <c r="E46" s="25" t="n">
        <v>0.803</v>
      </c>
      <c r="F46" s="25" t="n">
        <v>0.705</v>
      </c>
      <c r="G46" s="18" t="s">
        <v>177</v>
      </c>
    </row>
    <row r="47" customFormat="false" ht="15" hidden="false" customHeight="true" outlineLevel="0" collapsed="false">
      <c r="B47" s="9" t="s">
        <v>178</v>
      </c>
      <c r="C47" s="10" t="s">
        <v>179</v>
      </c>
      <c r="D47" s="24" t="n">
        <v>2024</v>
      </c>
      <c r="E47" s="25" t="n">
        <v>0.803</v>
      </c>
      <c r="F47" s="25" t="n">
        <v>0.684</v>
      </c>
      <c r="G47" s="18" t="s">
        <v>179</v>
      </c>
    </row>
    <row r="48" customFormat="false" ht="15" hidden="false" customHeight="true" outlineLevel="0" collapsed="false">
      <c r="B48" s="9" t="s">
        <v>180</v>
      </c>
      <c r="C48" s="10" t="s">
        <v>181</v>
      </c>
      <c r="D48" s="24" t="n">
        <v>2024</v>
      </c>
      <c r="E48" s="25" t="n">
        <v>0.82</v>
      </c>
      <c r="F48" s="25" t="n">
        <v>0.734</v>
      </c>
      <c r="G48" s="18" t="s">
        <v>181</v>
      </c>
    </row>
    <row r="49" customFormat="false" ht="15" hidden="false" customHeight="true" outlineLevel="0" collapsed="false">
      <c r="B49" s="9" t="s">
        <v>182</v>
      </c>
      <c r="C49" s="10" t="s">
        <v>183</v>
      </c>
      <c r="D49" s="24" t="n">
        <v>2024</v>
      </c>
      <c r="E49" s="25" t="n">
        <v>0.272</v>
      </c>
      <c r="F49" s="25" t="n">
        <v>0.134</v>
      </c>
      <c r="G49" s="18" t="s">
        <v>183</v>
      </c>
    </row>
    <row r="50" customFormat="false" ht="15" hidden="false" customHeight="true" outlineLevel="0" collapsed="false">
      <c r="B50" s="9" t="s">
        <v>184</v>
      </c>
      <c r="C50" s="10" t="s">
        <v>185</v>
      </c>
      <c r="D50" s="24" t="n">
        <v>2024</v>
      </c>
      <c r="E50" s="25" t="n">
        <v>0.333</v>
      </c>
      <c r="F50" s="25" t="n">
        <v>0.183</v>
      </c>
      <c r="G50" s="18" t="s">
        <v>185</v>
      </c>
    </row>
    <row r="51" customFormat="false" ht="15" hidden="false" customHeight="true" outlineLevel="0" collapsed="false">
      <c r="B51" s="9" t="s">
        <v>186</v>
      </c>
      <c r="C51" s="10" t="s">
        <v>187</v>
      </c>
      <c r="D51" s="18"/>
      <c r="E51" s="18"/>
      <c r="F51" s="18"/>
      <c r="G51" s="18"/>
    </row>
    <row r="52" customFormat="false" ht="15" hidden="false" customHeight="true" outlineLevel="0" collapsed="false">
      <c r="B52" s="9" t="s">
        <v>188</v>
      </c>
      <c r="C52" s="10" t="s">
        <v>189</v>
      </c>
      <c r="D52" s="24" t="n">
        <v>2024</v>
      </c>
      <c r="E52" s="25" t="n">
        <v>0.729</v>
      </c>
      <c r="F52" s="25" t="n">
        <v>0.631</v>
      </c>
      <c r="G52" s="18" t="s">
        <v>189</v>
      </c>
    </row>
    <row r="53" customFormat="false" ht="15" hidden="false" customHeight="true" outlineLevel="0" collapsed="false">
      <c r="B53" s="9" t="s">
        <v>190</v>
      </c>
      <c r="C53" s="10" t="s">
        <v>191</v>
      </c>
      <c r="D53" s="24" t="n">
        <v>2024</v>
      </c>
      <c r="E53" s="25" t="n">
        <v>0.292</v>
      </c>
      <c r="F53" s="25" t="n">
        <v>0.266</v>
      </c>
      <c r="G53" s="18" t="s">
        <v>191</v>
      </c>
    </row>
    <row r="54" customFormat="false" ht="15" hidden="false" customHeight="true" outlineLevel="0" collapsed="false">
      <c r="B54" s="9" t="s">
        <v>192</v>
      </c>
      <c r="C54" s="10" t="s">
        <v>193</v>
      </c>
      <c r="D54" s="24" t="n">
        <v>2024</v>
      </c>
      <c r="E54" s="25" t="n">
        <v>0.134</v>
      </c>
      <c r="F54" s="25" t="n">
        <v>0.102</v>
      </c>
      <c r="G54" s="18" t="s">
        <v>193</v>
      </c>
    </row>
    <row r="55" customFormat="false" ht="15" hidden="false" customHeight="true" outlineLevel="0" collapsed="false">
      <c r="B55" s="9" t="s">
        <v>194</v>
      </c>
      <c r="C55" s="10" t="s">
        <v>195</v>
      </c>
      <c r="D55" s="24" t="n">
        <v>2024</v>
      </c>
      <c r="E55" s="25" t="n">
        <v>0.348</v>
      </c>
      <c r="F55" s="25" t="n">
        <v>0.207</v>
      </c>
      <c r="G55" s="18" t="s">
        <v>195</v>
      </c>
    </row>
    <row r="56" customFormat="false" ht="15" hidden="false" customHeight="true" outlineLevel="0" collapsed="false">
      <c r="B56" s="9" t="s">
        <v>196</v>
      </c>
      <c r="C56" s="10" t="s">
        <v>197</v>
      </c>
      <c r="D56" s="24" t="n">
        <v>2024</v>
      </c>
      <c r="E56" s="25" t="n">
        <v>0.664</v>
      </c>
      <c r="F56" s="25" t="n">
        <v>0.486</v>
      </c>
      <c r="G56" s="18" t="s">
        <v>197</v>
      </c>
    </row>
    <row r="57" customFormat="false" ht="15" hidden="false" customHeight="true" outlineLevel="0" collapsed="false">
      <c r="B57" s="9" t="s">
        <v>198</v>
      </c>
      <c r="C57" s="10" t="s">
        <v>199</v>
      </c>
      <c r="D57" s="18"/>
      <c r="E57" s="18"/>
      <c r="F57" s="18"/>
      <c r="G57" s="18"/>
    </row>
    <row r="58" customFormat="false" ht="15" hidden="false" customHeight="true" outlineLevel="0" collapsed="false">
      <c r="B58" s="9" t="s">
        <v>200</v>
      </c>
      <c r="C58" s="10" t="s">
        <v>201</v>
      </c>
      <c r="D58" s="24" t="n">
        <v>2024</v>
      </c>
      <c r="E58" s="25" t="n">
        <v>0.417</v>
      </c>
      <c r="F58" s="25" t="n">
        <v>0.221</v>
      </c>
      <c r="G58" s="18" t="s">
        <v>201</v>
      </c>
    </row>
    <row r="59" customFormat="false" ht="15" hidden="false" customHeight="true" outlineLevel="0" collapsed="false">
      <c r="B59" s="9" t="s">
        <v>202</v>
      </c>
      <c r="C59" s="10" t="s">
        <v>203</v>
      </c>
      <c r="D59" s="24" t="n">
        <v>2024</v>
      </c>
      <c r="E59" s="25" t="n">
        <v>0.564</v>
      </c>
      <c r="F59" s="25" t="n">
        <v>0.423</v>
      </c>
      <c r="G59" s="18" t="s">
        <v>203</v>
      </c>
    </row>
    <row r="60" customFormat="false" ht="15" hidden="false" customHeight="true" outlineLevel="0" collapsed="false">
      <c r="B60" s="9" t="s">
        <v>204</v>
      </c>
      <c r="C60" s="10" t="s">
        <v>205</v>
      </c>
      <c r="D60" s="24" t="n">
        <v>2024</v>
      </c>
      <c r="E60" s="25" t="n">
        <v>0.083</v>
      </c>
      <c r="F60" s="25" t="n">
        <v>0.016</v>
      </c>
      <c r="G60" s="18" t="s">
        <v>285</v>
      </c>
    </row>
    <row r="61" customFormat="false" ht="15" hidden="false" customHeight="true" outlineLevel="0" collapsed="false">
      <c r="B61" s="9" t="s">
        <v>206</v>
      </c>
      <c r="C61" s="10" t="s">
        <v>207</v>
      </c>
      <c r="D61" s="24" t="n">
        <v>2024</v>
      </c>
      <c r="E61" s="25" t="n">
        <v>0.615</v>
      </c>
      <c r="F61" s="25" t="n">
        <v>0.478</v>
      </c>
      <c r="G61" s="18" t="s">
        <v>207</v>
      </c>
    </row>
    <row r="62" customFormat="false" ht="15" hidden="false" customHeight="true" outlineLevel="0" collapsed="false">
      <c r="B62" s="9" t="s">
        <v>208</v>
      </c>
      <c r="C62" s="10" t="s">
        <v>209</v>
      </c>
      <c r="D62" s="24" t="n">
        <v>2024</v>
      </c>
      <c r="E62" s="25" t="n">
        <v>0.333</v>
      </c>
      <c r="F62" s="25" t="n">
        <v>0.135</v>
      </c>
      <c r="G62" s="18" t="s">
        <v>209</v>
      </c>
    </row>
    <row r="63" customFormat="false" ht="15" hidden="false" customHeight="true" outlineLevel="0" collapsed="false">
      <c r="B63" s="9" t="s">
        <v>210</v>
      </c>
      <c r="C63" s="10" t="s">
        <v>211</v>
      </c>
      <c r="D63" s="24" t="n">
        <v>2024</v>
      </c>
      <c r="E63" s="25" t="n">
        <v>0.58</v>
      </c>
      <c r="F63" s="25" t="n">
        <v>0.482</v>
      </c>
      <c r="G63" s="18" t="s">
        <v>211</v>
      </c>
    </row>
    <row r="64" customFormat="false" ht="15" hidden="false" customHeight="true" outlineLevel="0" collapsed="false">
      <c r="B64" s="9" t="s">
        <v>212</v>
      </c>
      <c r="C64" s="10" t="s">
        <v>213</v>
      </c>
      <c r="D64" s="24" t="n">
        <v>2024</v>
      </c>
      <c r="E64" s="25" t="n">
        <v>0.517</v>
      </c>
      <c r="F64" s="25" t="n">
        <v>0.362</v>
      </c>
      <c r="G64" s="18" t="s">
        <v>213</v>
      </c>
    </row>
    <row r="65" customFormat="false" ht="15" hidden="false" customHeight="true" outlineLevel="0" collapsed="false">
      <c r="B65" s="9" t="s">
        <v>214</v>
      </c>
      <c r="C65" s="10" t="s">
        <v>215</v>
      </c>
      <c r="D65" s="24" t="n">
        <v>2024</v>
      </c>
      <c r="E65" s="25" t="n">
        <v>0.623</v>
      </c>
      <c r="F65" s="25" t="n">
        <v>0.515</v>
      </c>
      <c r="G65" s="18" t="s">
        <v>215</v>
      </c>
    </row>
    <row r="66" customFormat="false" ht="15" hidden="false" customHeight="true" outlineLevel="0" collapsed="false">
      <c r="B66" s="9" t="s">
        <v>216</v>
      </c>
      <c r="C66" s="10" t="s">
        <v>217</v>
      </c>
      <c r="D66" s="24" t="n">
        <v>2024</v>
      </c>
      <c r="E66" s="25" t="n">
        <v>0.502</v>
      </c>
      <c r="F66" s="25" t="n">
        <v>0.315</v>
      </c>
      <c r="G66" s="18" t="s">
        <v>217</v>
      </c>
    </row>
    <row r="67" customFormat="false" ht="15" hidden="false" customHeight="true" outlineLevel="0" collapsed="false">
      <c r="B67" s="9" t="s">
        <v>218</v>
      </c>
      <c r="C67" s="10" t="s">
        <v>219</v>
      </c>
      <c r="D67" s="24" t="n">
        <v>2024</v>
      </c>
      <c r="E67" s="25" t="n">
        <v>0.884</v>
      </c>
      <c r="F67" s="25" t="n">
        <v>0.839</v>
      </c>
      <c r="G67" s="18" t="s">
        <v>219</v>
      </c>
    </row>
    <row r="68" customFormat="false" ht="15" hidden="false" customHeight="true" outlineLevel="0" collapsed="false">
      <c r="B68" s="9" t="s">
        <v>220</v>
      </c>
      <c r="C68" s="10" t="s">
        <v>221</v>
      </c>
      <c r="D68" s="24" t="n">
        <v>2024</v>
      </c>
      <c r="E68" s="25" t="n">
        <v>0.863</v>
      </c>
      <c r="F68" s="25" t="n">
        <v>0.809</v>
      </c>
      <c r="G68" s="18" t="s">
        <v>221</v>
      </c>
    </row>
    <row r="69" customFormat="false" ht="15" hidden="false" customHeight="true" outlineLevel="0" collapsed="false">
      <c r="B69" s="9" t="s">
        <v>222</v>
      </c>
      <c r="C69" s="10" t="s">
        <v>223</v>
      </c>
      <c r="D69" s="24" t="n">
        <v>2024</v>
      </c>
      <c r="E69" s="25" t="n">
        <v>0.313</v>
      </c>
      <c r="F69" s="25" t="n">
        <v>0.199</v>
      </c>
      <c r="G69" s="18" t="s">
        <v>223</v>
      </c>
    </row>
    <row r="70" customFormat="false" ht="15" hidden="false" customHeight="true" outlineLevel="0" collapsed="false">
      <c r="B70" s="9" t="s">
        <v>224</v>
      </c>
      <c r="C70" s="10" t="s">
        <v>225</v>
      </c>
      <c r="D70" s="24" t="n">
        <v>2024</v>
      </c>
      <c r="E70" s="25" t="n">
        <v>0.634</v>
      </c>
      <c r="F70" s="25" t="n">
        <v>0.493</v>
      </c>
      <c r="G70" s="18" t="s">
        <v>225</v>
      </c>
    </row>
    <row r="71" customFormat="false" ht="15" hidden="false" customHeight="true" outlineLevel="0" collapsed="false">
      <c r="B71" s="9" t="s">
        <v>226</v>
      </c>
      <c r="C71" s="10" t="s">
        <v>227</v>
      </c>
      <c r="D71" s="24" t="n">
        <v>2024</v>
      </c>
      <c r="E71" s="25" t="n">
        <v>0.435</v>
      </c>
      <c r="F71" s="25" t="n">
        <v>0.308</v>
      </c>
      <c r="G71" s="18" t="s">
        <v>227</v>
      </c>
    </row>
    <row r="72" customFormat="false" ht="15" hidden="false" customHeight="true" outlineLevel="0" collapsed="false">
      <c r="B72" s="9" t="s">
        <v>228</v>
      </c>
      <c r="C72" s="10" t="s">
        <v>229</v>
      </c>
      <c r="D72" s="18"/>
      <c r="E72" s="18"/>
      <c r="F72" s="18"/>
      <c r="G72" s="18"/>
    </row>
    <row r="73" customFormat="false" ht="15" hidden="false" customHeight="true" outlineLevel="0" collapsed="false">
      <c r="B73" s="9" t="s">
        <v>230</v>
      </c>
      <c r="C73" s="10" t="s">
        <v>231</v>
      </c>
      <c r="D73" s="24" t="n">
        <v>2024</v>
      </c>
      <c r="E73" s="25" t="n">
        <v>0.461</v>
      </c>
      <c r="F73" s="25" t="n">
        <v>0.384</v>
      </c>
      <c r="G73" s="18" t="s">
        <v>231</v>
      </c>
    </row>
    <row r="74" customFormat="false" ht="15" hidden="false" customHeight="true" outlineLevel="0" collapsed="false">
      <c r="B74" s="9" t="s">
        <v>232</v>
      </c>
      <c r="C74" s="10" t="s">
        <v>233</v>
      </c>
      <c r="D74" s="24" t="n">
        <v>2024</v>
      </c>
      <c r="E74" s="25" t="n">
        <v>0.087</v>
      </c>
      <c r="F74" s="25" t="n">
        <v>0.08</v>
      </c>
      <c r="G74" s="18" t="s">
        <v>233</v>
      </c>
    </row>
    <row r="75" customFormat="false" ht="15" hidden="false" customHeight="true" outlineLevel="0" collapsed="false">
      <c r="B75" s="9" t="s">
        <v>234</v>
      </c>
      <c r="C75" s="10" t="s">
        <v>235</v>
      </c>
      <c r="D75" s="24" t="n">
        <v>2024</v>
      </c>
      <c r="E75" s="25" t="n">
        <v>0.172</v>
      </c>
      <c r="F75" s="25" t="n">
        <v>0.056</v>
      </c>
      <c r="G75" s="18" t="s">
        <v>286</v>
      </c>
    </row>
    <row r="76" customFormat="false" ht="15" hidden="false" customHeight="true" outlineLevel="0" collapsed="false">
      <c r="B76" s="9" t="s">
        <v>236</v>
      </c>
      <c r="C76" s="10" t="s">
        <v>237</v>
      </c>
      <c r="D76" s="24" t="n">
        <v>2024</v>
      </c>
      <c r="E76" s="25" t="n">
        <v>0.202</v>
      </c>
      <c r="F76" s="25" t="n">
        <v>0.09</v>
      </c>
      <c r="G76" s="18" t="s">
        <v>237</v>
      </c>
    </row>
    <row r="77" customFormat="false" ht="15" hidden="false" customHeight="true" outlineLevel="0" collapsed="false">
      <c r="B77" s="9" t="s">
        <v>238</v>
      </c>
      <c r="C77" s="10" t="s">
        <v>239</v>
      </c>
      <c r="D77" s="24" t="n">
        <v>2024</v>
      </c>
      <c r="E77" s="25" t="n">
        <v>0.015</v>
      </c>
      <c r="F77" s="25" t="n">
        <v>0.047</v>
      </c>
      <c r="G77" s="18" t="s">
        <v>239</v>
      </c>
    </row>
    <row r="78" customFormat="false" ht="15" hidden="false" customHeight="true" outlineLevel="0" collapsed="false">
      <c r="B78" s="9" t="s">
        <v>240</v>
      </c>
      <c r="C78" s="10" t="s">
        <v>241</v>
      </c>
      <c r="D78" s="24" t="n">
        <v>2024</v>
      </c>
      <c r="E78" s="25" t="n">
        <v>0.414</v>
      </c>
      <c r="F78" s="25" t="n">
        <v>0.343</v>
      </c>
      <c r="G78" s="18" t="s">
        <v>241</v>
      </c>
    </row>
    <row r="79" customFormat="false" ht="15" hidden="false" customHeight="true" outlineLevel="0" collapsed="false">
      <c r="B79" s="9" t="s">
        <v>242</v>
      </c>
      <c r="C79" s="10" t="s">
        <v>243</v>
      </c>
      <c r="D79" s="24" t="n">
        <v>2024</v>
      </c>
      <c r="E79" s="25" t="n">
        <v>0.665</v>
      </c>
      <c r="F79" s="25" t="n">
        <v>0.519</v>
      </c>
      <c r="G79" s="18" t="s">
        <v>243</v>
      </c>
    </row>
    <row r="80" customFormat="false" ht="15" hidden="false" customHeight="true" outlineLevel="0" collapsed="false">
      <c r="B80" s="9" t="s">
        <v>244</v>
      </c>
      <c r="C80" s="10" t="s">
        <v>245</v>
      </c>
      <c r="D80" s="24" t="n">
        <v>2024</v>
      </c>
      <c r="E80" s="25" t="n">
        <v>0.881</v>
      </c>
      <c r="F80" s="25" t="n">
        <v>0.845</v>
      </c>
      <c r="G80" s="18" t="s">
        <v>245</v>
      </c>
    </row>
    <row r="81" customFormat="false" ht="15" hidden="false" customHeight="true" outlineLevel="0" collapsed="false">
      <c r="B81" s="9" t="s">
        <v>246</v>
      </c>
      <c r="C81" s="10" t="s">
        <v>247</v>
      </c>
      <c r="D81" s="24" t="n">
        <v>2024</v>
      </c>
      <c r="E81" s="25" t="n">
        <v>0.13</v>
      </c>
      <c r="F81" s="25" t="n">
        <v>0.097</v>
      </c>
      <c r="G81" s="18" t="s">
        <v>247</v>
      </c>
    </row>
    <row r="82" customFormat="false" ht="15" hidden="false" customHeight="true" outlineLevel="0" collapsed="false">
      <c r="B82" s="9" t="s">
        <v>248</v>
      </c>
      <c r="C82" s="10" t="s">
        <v>249</v>
      </c>
      <c r="D82" s="24" t="n">
        <v>2024</v>
      </c>
      <c r="E82" s="25" t="n">
        <v>0.389</v>
      </c>
      <c r="F82" s="25" t="n">
        <v>0.289</v>
      </c>
      <c r="G82" s="18" t="s">
        <v>249</v>
      </c>
    </row>
    <row r="83" customFormat="false" ht="15" hidden="false" customHeight="true" outlineLevel="0" collapsed="false">
      <c r="B83" s="9" t="s">
        <v>250</v>
      </c>
      <c r="C83" s="10" t="s">
        <v>251</v>
      </c>
      <c r="D83" s="24" t="n">
        <v>2024</v>
      </c>
      <c r="E83" s="25" t="n">
        <v>0.755</v>
      </c>
      <c r="F83" s="25" t="n">
        <v>0.627</v>
      </c>
      <c r="G83" s="18" t="s">
        <v>251</v>
      </c>
    </row>
    <row r="84" customFormat="false" ht="15" hidden="false" customHeight="true" outlineLevel="0" collapsed="false">
      <c r="B84" s="9" t="s">
        <v>252</v>
      </c>
      <c r="C84" s="10" t="s">
        <v>253</v>
      </c>
      <c r="D84" s="24" t="n">
        <v>2024</v>
      </c>
      <c r="E84" s="25" t="n">
        <v>0.288</v>
      </c>
      <c r="F84" s="25" t="n">
        <v>0.117</v>
      </c>
      <c r="G84" s="18" t="s">
        <v>287</v>
      </c>
    </row>
    <row r="85" customFormat="false" ht="15" hidden="false" customHeight="true" outlineLevel="0" collapsed="false">
      <c r="B85" s="9" t="s">
        <v>254</v>
      </c>
      <c r="C85" s="10" t="s">
        <v>255</v>
      </c>
      <c r="D85" s="24" t="n">
        <v>2024</v>
      </c>
      <c r="E85" s="25" t="n">
        <v>0.8</v>
      </c>
      <c r="F85" s="25" t="n">
        <v>0.7</v>
      </c>
      <c r="G85" s="18" t="s">
        <v>255</v>
      </c>
    </row>
    <row r="86" customFormat="false" ht="15" hidden="false" customHeight="true" outlineLevel="0" collapsed="false">
      <c r="B86" s="9" t="s">
        <v>256</v>
      </c>
      <c r="C86" s="10" t="s">
        <v>257</v>
      </c>
      <c r="D86" s="24" t="n">
        <v>2024</v>
      </c>
      <c r="E86" s="25" t="n">
        <v>0.389</v>
      </c>
      <c r="F86" s="25" t="n">
        <v>0.233</v>
      </c>
      <c r="G86" s="18" t="s">
        <v>257</v>
      </c>
    </row>
    <row r="87" customFormat="false" ht="15" hidden="false" customHeight="true" outlineLevel="0" collapsed="false">
      <c r="B87" s="9" t="s">
        <v>258</v>
      </c>
      <c r="C87" s="10" t="s">
        <v>259</v>
      </c>
      <c r="D87" s="24" t="n">
        <v>2024</v>
      </c>
      <c r="E87" s="25" t="n">
        <v>0.848</v>
      </c>
      <c r="F87" s="25" t="n">
        <v>0.769</v>
      </c>
      <c r="G87" s="18" t="s">
        <v>259</v>
      </c>
    </row>
    <row r="88" customFormat="false" ht="15" hidden="false" customHeight="true" outlineLevel="0" collapsed="false">
      <c r="B88" s="9" t="s">
        <v>260</v>
      </c>
      <c r="C88" s="10" t="s">
        <v>261</v>
      </c>
      <c r="D88" s="24" t="n">
        <v>2024</v>
      </c>
      <c r="E88" s="25" t="n">
        <v>0.84</v>
      </c>
      <c r="F88" s="25" t="n">
        <v>0.748</v>
      </c>
      <c r="G88" s="18" t="s">
        <v>288</v>
      </c>
    </row>
    <row r="89" customFormat="false" ht="15" hidden="false" customHeight="true" outlineLevel="0" collapsed="false">
      <c r="B89" s="9" t="s">
        <v>262</v>
      </c>
      <c r="C89" s="10" t="s">
        <v>263</v>
      </c>
      <c r="D89" s="24" t="n">
        <v>2024</v>
      </c>
      <c r="E89" s="25" t="n">
        <v>0.734</v>
      </c>
      <c r="F89" s="25" t="n">
        <v>0.652</v>
      </c>
      <c r="G89" s="18" t="s">
        <v>263</v>
      </c>
    </row>
    <row r="90" customFormat="false" ht="15" hidden="false" customHeight="true" outlineLevel="0" collapsed="false">
      <c r="B90" s="9" t="s">
        <v>264</v>
      </c>
      <c r="C90" s="10" t="s">
        <v>265</v>
      </c>
      <c r="D90" s="24" t="n">
        <v>2024</v>
      </c>
      <c r="E90" s="25" t="n">
        <v>0.51</v>
      </c>
      <c r="F90" s="25" t="n">
        <v>0.392</v>
      </c>
      <c r="G90" s="18" t="s">
        <v>265</v>
      </c>
    </row>
    <row r="91" customFormat="false" ht="15" hidden="false" customHeight="true" outlineLevel="0" collapsed="false">
      <c r="B91" s="9" t="s">
        <v>266</v>
      </c>
      <c r="C91" s="10" t="s">
        <v>267</v>
      </c>
      <c r="D91" s="24" t="n">
        <v>2024</v>
      </c>
      <c r="E91" s="25" t="n">
        <v>0.27</v>
      </c>
      <c r="F91" s="25" t="n">
        <v>0.156</v>
      </c>
      <c r="G91" s="18" t="s">
        <v>267</v>
      </c>
    </row>
  </sheetData>
  <autoFilter ref="B3:G91"/>
  <conditionalFormatting sqref="E3:E90">
    <cfRule type="colorScale" priority="2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conditionalFormatting sqref="F3:F90">
    <cfRule type="colorScale" priority="3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4" min="4" style="1" width="7"/>
    <col collapsed="false" customWidth="true" hidden="false" outlineLevel="0" max="10" min="5" style="1" width="13"/>
  </cols>
  <sheetData>
    <row r="2" customFormat="false" ht="15" hidden="false" customHeight="true" outlineLevel="0" collapsed="false">
      <c r="B2" s="3" t="s">
        <v>289</v>
      </c>
    </row>
    <row r="3" customFormat="false" ht="36" hidden="false" customHeight="true" outlineLevel="0" collapsed="false">
      <c r="B3" s="8" t="s">
        <v>61</v>
      </c>
      <c r="C3" s="8" t="s">
        <v>62</v>
      </c>
      <c r="D3" s="8" t="s">
        <v>280</v>
      </c>
      <c r="E3" s="8" t="s">
        <v>290</v>
      </c>
      <c r="F3" s="8" t="s">
        <v>291</v>
      </c>
      <c r="G3" s="8" t="s">
        <v>292</v>
      </c>
      <c r="H3" s="8" t="s">
        <v>293</v>
      </c>
      <c r="I3" s="8" t="s">
        <v>294</v>
      </c>
      <c r="J3" s="8" t="s">
        <v>295</v>
      </c>
    </row>
    <row r="4" customFormat="false" ht="15" hidden="false" customHeight="true" outlineLevel="0" collapsed="false">
      <c r="B4" s="9" t="s">
        <v>80</v>
      </c>
      <c r="C4" s="10" t="s">
        <v>81</v>
      </c>
      <c r="D4" s="24" t="n">
        <v>2024</v>
      </c>
      <c r="E4" s="26" t="n">
        <v>0.9576687</v>
      </c>
      <c r="F4" s="26" t="n">
        <v>1.3302095</v>
      </c>
      <c r="G4" s="26" t="n">
        <v>0.6567856</v>
      </c>
      <c r="H4" s="26" t="n">
        <v>0.9808972</v>
      </c>
      <c r="I4" s="26" t="n">
        <v>1.22006</v>
      </c>
      <c r="J4" s="26" t="n">
        <v>0.8687982</v>
      </c>
    </row>
    <row r="5" customFormat="false" ht="15" hidden="false" customHeight="true" outlineLevel="0" collapsed="false">
      <c r="B5" s="9" t="s">
        <v>84</v>
      </c>
      <c r="C5" s="10" t="s">
        <v>85</v>
      </c>
      <c r="D5" s="24" t="n">
        <v>2024</v>
      </c>
      <c r="E5" s="26" t="n">
        <v>-0.8537487</v>
      </c>
      <c r="F5" s="26" t="n">
        <v>0.7886704</v>
      </c>
      <c r="G5" s="26" t="n">
        <v>1.2599659</v>
      </c>
      <c r="H5" s="26" t="n">
        <v>1.1257177</v>
      </c>
      <c r="I5" s="26" t="n">
        <v>0.4968448</v>
      </c>
      <c r="J5" s="26" t="n">
        <v>1.1702182</v>
      </c>
    </row>
    <row r="6" customFormat="false" ht="15" hidden="false" customHeight="true" outlineLevel="0" collapsed="false">
      <c r="B6" s="9" t="s">
        <v>88</v>
      </c>
      <c r="C6" s="10" t="s">
        <v>89</v>
      </c>
      <c r="D6" s="24" t="n">
        <v>2024</v>
      </c>
      <c r="E6" s="26" t="n">
        <v>0.385552</v>
      </c>
      <c r="F6" s="26" t="n">
        <v>-0.169746</v>
      </c>
      <c r="G6" s="26" t="n">
        <v>0.1837479</v>
      </c>
      <c r="H6" s="26" t="n">
        <v>-0.235026</v>
      </c>
      <c r="I6" s="26" t="n">
        <v>-0.2513801</v>
      </c>
      <c r="J6" s="26" t="n">
        <v>-0.3257079</v>
      </c>
    </row>
    <row r="7" customFormat="false" ht="15" hidden="false" customHeight="true" outlineLevel="0" collapsed="false">
      <c r="B7" s="9" t="s">
        <v>90</v>
      </c>
      <c r="C7" s="10" t="s">
        <v>91</v>
      </c>
      <c r="D7" s="24" t="n">
        <v>2024</v>
      </c>
      <c r="E7" s="26" t="n">
        <v>0.1201848</v>
      </c>
      <c r="F7" s="26" t="n">
        <v>-0.7232973</v>
      </c>
      <c r="G7" s="26" t="n">
        <v>-0.3640294</v>
      </c>
      <c r="H7" s="26" t="n">
        <v>0.137992</v>
      </c>
      <c r="I7" s="26" t="n">
        <v>-0.1423943</v>
      </c>
      <c r="J7" s="26" t="n">
        <v>0.1446809</v>
      </c>
    </row>
    <row r="8" customFormat="false" ht="15" hidden="false" customHeight="true" outlineLevel="0" collapsed="false">
      <c r="B8" s="9" t="s">
        <v>92</v>
      </c>
      <c r="C8" s="10" t="s">
        <v>93</v>
      </c>
      <c r="D8" s="24" t="n">
        <v>2024</v>
      </c>
      <c r="E8" s="26" t="n">
        <v>1.5123302</v>
      </c>
      <c r="F8" s="26" t="n">
        <v>0.7932693</v>
      </c>
      <c r="G8" s="26" t="n">
        <v>1.8090452</v>
      </c>
      <c r="H8" s="26" t="n">
        <v>1.7223205</v>
      </c>
      <c r="I8" s="26" t="n">
        <v>1.4704014</v>
      </c>
      <c r="J8" s="26" t="n">
        <v>1.8520196</v>
      </c>
    </row>
    <row r="9" customFormat="false" ht="15" hidden="false" customHeight="true" outlineLevel="0" collapsed="false">
      <c r="B9" s="9" t="s">
        <v>95</v>
      </c>
      <c r="C9" s="10" t="s">
        <v>96</v>
      </c>
      <c r="D9" s="24" t="n">
        <v>2024</v>
      </c>
      <c r="E9" s="26" t="n">
        <v>1.4054571</v>
      </c>
      <c r="F9" s="26" t="n">
        <v>0.4915979</v>
      </c>
      <c r="G9" s="26" t="n">
        <v>1.5145106</v>
      </c>
      <c r="H9" s="26" t="n">
        <v>1.3510615</v>
      </c>
      <c r="I9" s="26" t="n">
        <v>1.6777399</v>
      </c>
      <c r="J9" s="26" t="n">
        <v>1.2944469</v>
      </c>
    </row>
    <row r="10" customFormat="false" ht="15" hidden="false" customHeight="true" outlineLevel="0" collapsed="false">
      <c r="B10" s="9" t="s">
        <v>98</v>
      </c>
      <c r="C10" s="10" t="s">
        <v>99</v>
      </c>
      <c r="D10" s="24" t="n">
        <v>2024</v>
      </c>
      <c r="E10" s="26" t="n">
        <v>-1.5042391</v>
      </c>
      <c r="F10" s="26" t="n">
        <v>-0.1404058</v>
      </c>
      <c r="G10" s="26" t="n">
        <v>0.1661183</v>
      </c>
      <c r="H10" s="26" t="n">
        <v>0.1348932</v>
      </c>
      <c r="I10" s="26" t="n">
        <v>-0.4853711</v>
      </c>
      <c r="J10" s="26" t="n">
        <v>-0.7750778</v>
      </c>
    </row>
    <row r="11" customFormat="false" ht="15" hidden="false" customHeight="true" outlineLevel="0" collapsed="false">
      <c r="B11" s="9" t="s">
        <v>100</v>
      </c>
      <c r="C11" s="10" t="s">
        <v>101</v>
      </c>
      <c r="D11" s="24" t="n">
        <v>2024</v>
      </c>
      <c r="E11" s="26" t="n">
        <v>-1.1608036</v>
      </c>
      <c r="F11" s="26" t="n">
        <v>-1.4629509</v>
      </c>
      <c r="G11" s="26" t="n">
        <v>-0.6189746</v>
      </c>
      <c r="H11" s="26" t="n">
        <v>-0.9500708</v>
      </c>
      <c r="I11" s="26" t="n">
        <v>-0.9600594</v>
      </c>
      <c r="J11" s="26" t="n">
        <v>-1.1021569</v>
      </c>
    </row>
    <row r="12" customFormat="false" ht="15" hidden="false" customHeight="true" outlineLevel="0" collapsed="false">
      <c r="B12" s="9" t="s">
        <v>104</v>
      </c>
      <c r="C12" s="10" t="s">
        <v>105</v>
      </c>
      <c r="D12" s="24" t="n">
        <v>2024</v>
      </c>
      <c r="E12" s="26" t="n">
        <v>-1.3214713</v>
      </c>
      <c r="F12" s="26" t="n">
        <v>-0.2758672</v>
      </c>
      <c r="G12" s="26" t="n">
        <v>0.6002525</v>
      </c>
      <c r="H12" s="26" t="n">
        <v>0.9502434</v>
      </c>
      <c r="I12" s="26" t="n">
        <v>0.1679373</v>
      </c>
      <c r="J12" s="26" t="n">
        <v>0.2540662</v>
      </c>
    </row>
    <row r="13" customFormat="false" ht="15" hidden="false" customHeight="true" outlineLevel="0" collapsed="false">
      <c r="B13" s="9" t="s">
        <v>106</v>
      </c>
      <c r="C13" s="10" t="s">
        <v>107</v>
      </c>
      <c r="D13" s="24" t="n">
        <v>2024</v>
      </c>
      <c r="E13" s="26" t="n">
        <v>0.5530661</v>
      </c>
      <c r="F13" s="26" t="n">
        <v>1.0493095</v>
      </c>
      <c r="G13" s="26" t="n">
        <v>0.7092986</v>
      </c>
      <c r="H13" s="26" t="n">
        <v>-0.1072579</v>
      </c>
      <c r="I13" s="26" t="n">
        <v>0.2509955</v>
      </c>
      <c r="J13" s="26" t="n">
        <v>1.2320893</v>
      </c>
    </row>
    <row r="14" customFormat="false" ht="15" hidden="false" customHeight="true" outlineLevel="0" collapsed="false">
      <c r="B14" s="9" t="s">
        <v>108</v>
      </c>
      <c r="C14" s="10" t="s">
        <v>109</v>
      </c>
      <c r="D14" s="24" t="n">
        <v>2024</v>
      </c>
      <c r="E14" s="26" t="n">
        <v>-1.6904177</v>
      </c>
      <c r="F14" s="26" t="n">
        <v>-0.3773003</v>
      </c>
      <c r="G14" s="26" t="n">
        <v>-0.7015463</v>
      </c>
      <c r="H14" s="26" t="n">
        <v>-1.232269</v>
      </c>
      <c r="I14" s="26" t="n">
        <v>-1.2305997</v>
      </c>
      <c r="J14" s="26" t="n">
        <v>-0.5781294</v>
      </c>
    </row>
    <row r="15" customFormat="false" ht="15" hidden="false" customHeight="true" outlineLevel="0" collapsed="false">
      <c r="B15" s="9" t="s">
        <v>111</v>
      </c>
      <c r="C15" s="10" t="s">
        <v>112</v>
      </c>
      <c r="D15" s="24" t="n">
        <v>2024</v>
      </c>
      <c r="E15" s="26" t="n">
        <v>-0.4397641</v>
      </c>
      <c r="F15" s="26" t="n">
        <v>-0.5460357</v>
      </c>
      <c r="G15" s="26" t="n">
        <v>-0.6104172</v>
      </c>
      <c r="H15" s="26" t="n">
        <v>-1.2544304</v>
      </c>
      <c r="I15" s="26" t="n">
        <v>-1.267722</v>
      </c>
      <c r="J15" s="26" t="n">
        <v>-0.9975827</v>
      </c>
    </row>
    <row r="16" customFormat="false" ht="15" hidden="false" customHeight="true" outlineLevel="0" collapsed="false">
      <c r="B16" s="9" t="s">
        <v>113</v>
      </c>
      <c r="C16" s="10" t="s">
        <v>114</v>
      </c>
      <c r="D16" s="24" t="n">
        <v>2024</v>
      </c>
      <c r="E16" s="26" t="n">
        <v>0.3164771</v>
      </c>
      <c r="F16" s="26" t="n">
        <v>-0.5205702</v>
      </c>
      <c r="G16" s="26" t="n">
        <v>-0.224003</v>
      </c>
      <c r="H16" s="26" t="n">
        <v>-0.2945386</v>
      </c>
      <c r="I16" s="26" t="n">
        <v>-0.446218</v>
      </c>
      <c r="J16" s="26" t="n">
        <v>-0.4088904</v>
      </c>
    </row>
    <row r="17" customFormat="false" ht="15" hidden="false" customHeight="true" outlineLevel="0" collapsed="false">
      <c r="B17" s="9" t="s">
        <v>115</v>
      </c>
      <c r="C17" s="10" t="s">
        <v>116</v>
      </c>
      <c r="D17" s="24" t="n">
        <v>2024</v>
      </c>
      <c r="E17" s="26" t="n">
        <v>0.4010656</v>
      </c>
      <c r="F17" s="26" t="n">
        <v>1.3541153</v>
      </c>
      <c r="G17" s="26" t="n">
        <v>0.5808357</v>
      </c>
      <c r="H17" s="26" t="n">
        <v>-0.0912943</v>
      </c>
      <c r="I17" s="26" t="n">
        <v>0.7902665</v>
      </c>
      <c r="J17" s="26" t="n">
        <v>1.4722389</v>
      </c>
    </row>
    <row r="18" customFormat="false" ht="15" hidden="false" customHeight="true" outlineLevel="0" collapsed="false">
      <c r="B18" s="9" t="s">
        <v>117</v>
      </c>
      <c r="C18" s="10" t="s">
        <v>118</v>
      </c>
      <c r="D18" s="24" t="n">
        <v>2024</v>
      </c>
      <c r="E18" s="26" t="n">
        <v>0.295265</v>
      </c>
      <c r="F18" s="26" t="n">
        <v>1.0322942</v>
      </c>
      <c r="G18" s="26" t="n">
        <v>0.4168893</v>
      </c>
      <c r="H18" s="26" t="n">
        <v>0.4019336</v>
      </c>
      <c r="I18" s="26" t="n">
        <v>0.3120842</v>
      </c>
      <c r="J18" s="26" t="n">
        <v>0.6311414</v>
      </c>
    </row>
    <row r="19" customFormat="false" ht="15" hidden="false" customHeight="true" outlineLevel="0" collapsed="false">
      <c r="B19" s="9" t="s">
        <v>119</v>
      </c>
      <c r="C19" s="10" t="s">
        <v>120</v>
      </c>
      <c r="D19" s="24" t="n">
        <v>2024</v>
      </c>
      <c r="E19" s="26" t="n">
        <v>1.5036042</v>
      </c>
      <c r="F19" s="26" t="n">
        <v>0.5984769</v>
      </c>
      <c r="G19" s="26" t="n">
        <v>1.7591249</v>
      </c>
      <c r="H19" s="26" t="n">
        <v>1.3622118</v>
      </c>
      <c r="I19" s="26" t="n">
        <v>1.4608299</v>
      </c>
      <c r="J19" s="26" t="n">
        <v>1.6319089</v>
      </c>
    </row>
    <row r="20" customFormat="false" ht="15" hidden="false" customHeight="true" outlineLevel="0" collapsed="false">
      <c r="B20" s="9" t="s">
        <v>122</v>
      </c>
      <c r="C20" s="10" t="s">
        <v>123</v>
      </c>
      <c r="D20" s="24" t="n">
        <v>2024</v>
      </c>
      <c r="E20" s="26" t="n">
        <v>1.6422377</v>
      </c>
      <c r="F20" s="26" t="n">
        <v>0.9806678</v>
      </c>
      <c r="G20" s="26" t="n">
        <v>1.8402935</v>
      </c>
      <c r="H20" s="26" t="n">
        <v>1.7710562</v>
      </c>
      <c r="I20" s="26" t="n">
        <v>1.7636516</v>
      </c>
      <c r="J20" s="26" t="n">
        <v>2.0072184</v>
      </c>
    </row>
    <row r="21" customFormat="false" ht="15" hidden="false" customHeight="true" outlineLevel="0" collapsed="false">
      <c r="B21" s="9" t="s">
        <v>124</v>
      </c>
      <c r="C21" s="10" t="s">
        <v>125</v>
      </c>
      <c r="D21" s="24" t="n">
        <v>2024</v>
      </c>
      <c r="E21" s="26" t="n">
        <v>0.994188</v>
      </c>
      <c r="F21" s="26" t="n">
        <v>0.1213566</v>
      </c>
      <c r="G21" s="26" t="n">
        <v>0.964461</v>
      </c>
      <c r="H21" s="26" t="n">
        <v>0.7807061</v>
      </c>
      <c r="I21" s="26" t="n">
        <v>0.6910553</v>
      </c>
      <c r="J21" s="26" t="n">
        <v>1.1057968</v>
      </c>
    </row>
    <row r="22" customFormat="false" ht="15" hidden="false" customHeight="true" outlineLevel="0" collapsed="false">
      <c r="B22" s="9" t="s">
        <v>126</v>
      </c>
      <c r="C22" s="10" t="s">
        <v>127</v>
      </c>
      <c r="D22" s="24" t="n">
        <v>2024</v>
      </c>
      <c r="E22" s="26" t="n">
        <v>-1.6531931</v>
      </c>
      <c r="F22" s="26" t="n">
        <v>-0.1533364</v>
      </c>
      <c r="G22" s="26" t="n">
        <v>0.8957842</v>
      </c>
      <c r="H22" s="26" t="n">
        <v>-0.0712903</v>
      </c>
      <c r="I22" s="26" t="n">
        <v>-0.5793198</v>
      </c>
      <c r="J22" s="26" t="n">
        <v>0.0886811</v>
      </c>
    </row>
    <row r="23" customFormat="false" ht="15" hidden="false" customHeight="true" outlineLevel="0" collapsed="false">
      <c r="B23" s="9" t="s">
        <v>129</v>
      </c>
      <c r="C23" s="10" t="s">
        <v>130</v>
      </c>
      <c r="D23" s="24" t="n">
        <v>2024</v>
      </c>
      <c r="E23" s="26" t="n">
        <v>0.034564</v>
      </c>
      <c r="F23" s="26" t="n">
        <v>-0.9708732</v>
      </c>
      <c r="G23" s="26" t="n">
        <v>-0.1110991</v>
      </c>
      <c r="H23" s="26" t="n">
        <v>0.0133922</v>
      </c>
      <c r="I23" s="26" t="n">
        <v>-0.5597434</v>
      </c>
      <c r="J23" s="26" t="n">
        <v>-0.2937197</v>
      </c>
    </row>
    <row r="24" customFormat="false" ht="15" hidden="false" customHeight="true" outlineLevel="0" collapsed="false">
      <c r="B24" s="9" t="s">
        <v>131</v>
      </c>
      <c r="C24" s="10" t="s">
        <v>132</v>
      </c>
      <c r="D24" s="24" t="n">
        <v>2024</v>
      </c>
      <c r="E24" s="18"/>
      <c r="F24" s="18"/>
      <c r="G24" s="18"/>
      <c r="H24" s="18"/>
      <c r="I24" s="18"/>
      <c r="J24" s="18"/>
    </row>
    <row r="25" customFormat="false" ht="15" hidden="false" customHeight="true" outlineLevel="0" collapsed="false">
      <c r="B25" s="9" t="s">
        <v>133</v>
      </c>
      <c r="C25" s="10" t="s">
        <v>134</v>
      </c>
      <c r="D25" s="24" t="n">
        <v>2024</v>
      </c>
      <c r="E25" s="26" t="n">
        <v>1.2546961</v>
      </c>
      <c r="F25" s="26" t="n">
        <v>0.9719006</v>
      </c>
      <c r="G25" s="26" t="n">
        <v>1.1773279</v>
      </c>
      <c r="H25" s="26" t="n">
        <v>1.2319075</v>
      </c>
      <c r="I25" s="26" t="n">
        <v>1.1881307</v>
      </c>
      <c r="J25" s="26" t="n">
        <v>0.9310659</v>
      </c>
    </row>
    <row r="26" customFormat="false" ht="15" hidden="false" customHeight="true" outlineLevel="0" collapsed="false">
      <c r="B26" s="9" t="s">
        <v>135</v>
      </c>
      <c r="C26" s="10" t="s">
        <v>136</v>
      </c>
      <c r="D26" s="24" t="n">
        <v>2024</v>
      </c>
      <c r="E26" s="26" t="n">
        <v>1.5981515</v>
      </c>
      <c r="F26" s="26" t="n">
        <v>0.1242671</v>
      </c>
      <c r="G26" s="26" t="n">
        <v>1.5462994</v>
      </c>
      <c r="H26" s="26" t="n">
        <v>1.4980615</v>
      </c>
      <c r="I26" s="26" t="n">
        <v>1.6257844</v>
      </c>
      <c r="J26" s="26" t="n">
        <v>1.7734211</v>
      </c>
    </row>
    <row r="27" customFormat="false" ht="15" hidden="false" customHeight="true" outlineLevel="0" collapsed="false">
      <c r="B27" s="9" t="s">
        <v>137</v>
      </c>
      <c r="C27" s="10" t="s">
        <v>138</v>
      </c>
      <c r="D27" s="24" t="n">
        <v>2024</v>
      </c>
      <c r="E27" s="26" t="n">
        <v>1.8949405</v>
      </c>
      <c r="F27" s="26" t="n">
        <v>0.7688761</v>
      </c>
      <c r="G27" s="26" t="n">
        <v>1.9128986</v>
      </c>
      <c r="H27" s="26" t="n">
        <v>1.9307059</v>
      </c>
      <c r="I27" s="26" t="n">
        <v>2.0043149</v>
      </c>
      <c r="J27" s="26" t="n">
        <v>2.2874751</v>
      </c>
    </row>
    <row r="28" customFormat="false" ht="15" hidden="false" customHeight="true" outlineLevel="0" collapsed="false">
      <c r="B28" s="9" t="s">
        <v>139</v>
      </c>
      <c r="C28" s="10" t="s">
        <v>140</v>
      </c>
      <c r="D28" s="24" t="n">
        <v>2024</v>
      </c>
      <c r="E28" s="26" t="n">
        <v>0.2011502</v>
      </c>
      <c r="F28" s="26" t="n">
        <v>0.5893402</v>
      </c>
      <c r="G28" s="26" t="n">
        <v>0.0746487</v>
      </c>
      <c r="H28" s="26" t="n">
        <v>0.207328</v>
      </c>
      <c r="I28" s="26" t="n">
        <v>-0.1822626</v>
      </c>
      <c r="J28" s="26" t="n">
        <v>-0.2654917</v>
      </c>
    </row>
    <row r="29" customFormat="false" ht="27.75" hidden="false" customHeight="true" outlineLevel="0" collapsed="false">
      <c r="B29" s="9" t="s">
        <v>141</v>
      </c>
      <c r="C29" s="10" t="s">
        <v>142</v>
      </c>
      <c r="D29" s="24" t="n">
        <v>2024</v>
      </c>
      <c r="E29" s="18"/>
      <c r="F29" s="18"/>
      <c r="G29" s="18"/>
      <c r="H29" s="18"/>
      <c r="I29" s="18"/>
      <c r="J29" s="18"/>
    </row>
    <row r="30" customFormat="false" ht="15" hidden="false" customHeight="true" outlineLevel="0" collapsed="false">
      <c r="B30" s="9" t="s">
        <v>143</v>
      </c>
      <c r="C30" s="10" t="s">
        <v>144</v>
      </c>
      <c r="D30" s="24" t="n">
        <v>2024</v>
      </c>
      <c r="E30" s="26" t="n">
        <v>-1.6006344</v>
      </c>
      <c r="F30" s="26" t="n">
        <v>-0.9779235</v>
      </c>
      <c r="G30" s="26" t="n">
        <v>-0.0970579</v>
      </c>
      <c r="H30" s="26" t="n">
        <v>-0.4994694</v>
      </c>
      <c r="I30" s="26" t="n">
        <v>-0.7515399</v>
      </c>
      <c r="J30" s="26" t="n">
        <v>-0.8269898</v>
      </c>
    </row>
    <row r="31" customFormat="false" ht="15" hidden="false" customHeight="true" outlineLevel="0" collapsed="false">
      <c r="B31" s="9" t="s">
        <v>145</v>
      </c>
      <c r="C31" s="10" t="s">
        <v>146</v>
      </c>
      <c r="D31" s="24" t="n">
        <v>2024</v>
      </c>
      <c r="E31" s="18"/>
      <c r="F31" s="18"/>
      <c r="G31" s="18"/>
      <c r="H31" s="18"/>
      <c r="I31" s="18"/>
      <c r="J31" s="18"/>
    </row>
    <row r="32" customFormat="false" ht="15" hidden="false" customHeight="true" outlineLevel="0" collapsed="false">
      <c r="B32" s="9" t="s">
        <v>147</v>
      </c>
      <c r="C32" s="10" t="s">
        <v>148</v>
      </c>
      <c r="D32" s="24" t="n">
        <v>2024</v>
      </c>
      <c r="E32" s="26" t="n">
        <v>1.1484423</v>
      </c>
      <c r="F32" s="26" t="n">
        <v>-0.002992</v>
      </c>
      <c r="G32" s="26" t="n">
        <v>1.110811</v>
      </c>
      <c r="H32" s="26" t="n">
        <v>0.6208379</v>
      </c>
      <c r="I32" s="26" t="n">
        <v>0.9317736</v>
      </c>
      <c r="J32" s="26" t="n">
        <v>0.7145938</v>
      </c>
    </row>
    <row r="33" customFormat="false" ht="15" hidden="false" customHeight="true" outlineLevel="0" collapsed="false">
      <c r="B33" s="9" t="s">
        <v>149</v>
      </c>
      <c r="C33" s="10" t="s">
        <v>150</v>
      </c>
      <c r="D33" s="24" t="n">
        <v>2024</v>
      </c>
      <c r="E33" s="26" t="n">
        <v>-1.2423966</v>
      </c>
      <c r="F33" s="26" t="n">
        <v>-1.8849739</v>
      </c>
      <c r="G33" s="26" t="n">
        <v>-0.645991</v>
      </c>
      <c r="H33" s="26" t="n">
        <v>-0.8332379</v>
      </c>
      <c r="I33" s="26" t="n">
        <v>-1.0489242</v>
      </c>
      <c r="J33" s="26" t="n">
        <v>-0.4378633</v>
      </c>
    </row>
    <row r="34" customFormat="false" ht="15" hidden="false" customHeight="true" outlineLevel="0" collapsed="false">
      <c r="B34" s="9" t="s">
        <v>152</v>
      </c>
      <c r="C34" s="10" t="s">
        <v>153</v>
      </c>
      <c r="D34" s="24" t="n">
        <v>2024</v>
      </c>
      <c r="E34" s="26" t="n">
        <v>0.33163</v>
      </c>
      <c r="F34" s="26" t="n">
        <v>0.6984398</v>
      </c>
      <c r="G34" s="26" t="n">
        <v>0.6089609</v>
      </c>
      <c r="H34" s="26" t="n">
        <v>0.0650822</v>
      </c>
      <c r="I34" s="26" t="n">
        <v>0.3057786</v>
      </c>
      <c r="J34" s="26" t="n">
        <v>0.5626875</v>
      </c>
    </row>
    <row r="35" customFormat="false" ht="15" hidden="false" customHeight="true" outlineLevel="0" collapsed="false">
      <c r="B35" s="9" t="s">
        <v>154</v>
      </c>
      <c r="C35" s="10" t="s">
        <v>155</v>
      </c>
      <c r="D35" s="24" t="n">
        <v>2024</v>
      </c>
      <c r="E35" s="26" t="n">
        <v>1.3006116</v>
      </c>
      <c r="F35" s="26" t="n">
        <v>0.2577085</v>
      </c>
      <c r="G35" s="26" t="n">
        <v>1.1849099</v>
      </c>
      <c r="H35" s="26" t="n">
        <v>1.5112377</v>
      </c>
      <c r="I35" s="26" t="n">
        <v>1.269914</v>
      </c>
      <c r="J35" s="26" t="n">
        <v>1.5097548</v>
      </c>
    </row>
    <row r="36" customFormat="false" ht="15" hidden="false" customHeight="true" outlineLevel="0" collapsed="false">
      <c r="B36" s="9" t="s">
        <v>156</v>
      </c>
      <c r="C36" s="10" t="s">
        <v>157</v>
      </c>
      <c r="D36" s="24" t="n">
        <v>2024</v>
      </c>
      <c r="E36" s="26" t="n">
        <v>-0.253538</v>
      </c>
      <c r="F36" s="26" t="n">
        <v>-0.6127592</v>
      </c>
      <c r="G36" s="26" t="n">
        <v>0.4562672</v>
      </c>
      <c r="H36" s="26" t="n">
        <v>0.6500428</v>
      </c>
      <c r="I36" s="26" t="n">
        <v>0.1489667</v>
      </c>
      <c r="J36" s="26" t="n">
        <v>0.3810861</v>
      </c>
    </row>
    <row r="37" customFormat="false" ht="15" hidden="false" customHeight="true" outlineLevel="0" collapsed="false">
      <c r="B37" s="9" t="s">
        <v>158</v>
      </c>
      <c r="C37" s="10" t="s">
        <v>159</v>
      </c>
      <c r="D37" s="24" t="n">
        <v>2024</v>
      </c>
      <c r="E37" s="26" t="n">
        <v>0.2043162</v>
      </c>
      <c r="F37" s="26" t="n">
        <v>0.0114605</v>
      </c>
      <c r="G37" s="26" t="n">
        <v>0.0595796</v>
      </c>
      <c r="H37" s="26" t="n">
        <v>-0.0898549</v>
      </c>
      <c r="I37" s="26" t="n">
        <v>0.0539695</v>
      </c>
      <c r="J37" s="26" t="n">
        <v>-0.1934794</v>
      </c>
    </row>
    <row r="38" customFormat="false" ht="15" hidden="false" customHeight="true" outlineLevel="0" collapsed="false">
      <c r="B38" s="9" t="s">
        <v>160</v>
      </c>
      <c r="C38" s="10" t="s">
        <v>161</v>
      </c>
      <c r="D38" s="24" t="n">
        <v>2024</v>
      </c>
      <c r="E38" s="26" t="n">
        <v>-0.3206346</v>
      </c>
      <c r="F38" s="26" t="n">
        <v>0.6310985</v>
      </c>
      <c r="G38" s="26" t="n">
        <v>1.6374532</v>
      </c>
      <c r="H38" s="26" t="n">
        <v>1.7399242</v>
      </c>
      <c r="I38" s="26" t="n">
        <v>0.9209804</v>
      </c>
      <c r="J38" s="26" t="n">
        <v>1.5721573</v>
      </c>
    </row>
    <row r="39" customFormat="false" ht="15" hidden="false" customHeight="true" outlineLevel="0" collapsed="false">
      <c r="B39" s="9" t="s">
        <v>162</v>
      </c>
      <c r="C39" s="10" t="s">
        <v>163</v>
      </c>
      <c r="D39" s="24" t="n">
        <v>2024</v>
      </c>
      <c r="E39" s="26" t="n">
        <v>-0.027728</v>
      </c>
      <c r="F39" s="26" t="n">
        <v>0.4363288</v>
      </c>
      <c r="G39" s="26" t="n">
        <v>0.501908</v>
      </c>
      <c r="H39" s="26" t="n">
        <v>0.3350444</v>
      </c>
      <c r="I39" s="26" t="n">
        <v>0.1923364</v>
      </c>
      <c r="J39" s="26" t="n">
        <v>0.0394373</v>
      </c>
    </row>
    <row r="40" customFormat="false" ht="15" hidden="false" customHeight="true" outlineLevel="0" collapsed="false">
      <c r="B40" s="9" t="s">
        <v>164</v>
      </c>
      <c r="C40" s="10" t="s">
        <v>165</v>
      </c>
      <c r="D40" s="24" t="n">
        <v>2024</v>
      </c>
      <c r="E40" s="26" t="n">
        <v>-0.1754316</v>
      </c>
      <c r="F40" s="26" t="n">
        <v>-0.6091275</v>
      </c>
      <c r="G40" s="26" t="n">
        <v>0.179804</v>
      </c>
      <c r="H40" s="26" t="n">
        <v>0.1247202</v>
      </c>
      <c r="I40" s="26" t="n">
        <v>-0.2065981</v>
      </c>
      <c r="J40" s="26" t="n">
        <v>-0.5446152</v>
      </c>
    </row>
    <row r="41" customFormat="false" ht="15" hidden="false" customHeight="true" outlineLevel="0" collapsed="false">
      <c r="B41" s="9" t="s">
        <v>166</v>
      </c>
      <c r="C41" s="10" t="s">
        <v>167</v>
      </c>
      <c r="D41" s="24" t="n">
        <v>2024</v>
      </c>
      <c r="E41" s="26" t="n">
        <v>-0.0789293</v>
      </c>
      <c r="F41" s="26" t="n">
        <v>-0.7857625</v>
      </c>
      <c r="G41" s="26" t="n">
        <v>0.4046051</v>
      </c>
      <c r="H41" s="26" t="n">
        <v>-0.0960696</v>
      </c>
      <c r="I41" s="26" t="n">
        <v>-0.0392287</v>
      </c>
      <c r="J41" s="26" t="n">
        <v>-0.2953362</v>
      </c>
    </row>
    <row r="42" customFormat="false" ht="15" hidden="false" customHeight="true" outlineLevel="0" collapsed="false">
      <c r="B42" s="9" t="s">
        <v>168</v>
      </c>
      <c r="C42" s="10" t="s">
        <v>169</v>
      </c>
      <c r="D42" s="24" t="n">
        <v>2024</v>
      </c>
      <c r="E42" s="26" t="n">
        <v>-1.5484136</v>
      </c>
      <c r="F42" s="26" t="n">
        <v>-1.5811884</v>
      </c>
      <c r="G42" s="26" t="n">
        <v>-0.7061233</v>
      </c>
      <c r="H42" s="26" t="n">
        <v>-1.5113535</v>
      </c>
      <c r="I42" s="26" t="n">
        <v>-1.2348012</v>
      </c>
      <c r="J42" s="26" t="n">
        <v>-1.1472382</v>
      </c>
    </row>
    <row r="43" customFormat="false" ht="15" hidden="false" customHeight="true" outlineLevel="0" collapsed="false">
      <c r="B43" s="9" t="s">
        <v>170</v>
      </c>
      <c r="C43" s="10" t="s">
        <v>171</v>
      </c>
      <c r="D43" s="24" t="n">
        <v>2024</v>
      </c>
      <c r="E43" s="26" t="n">
        <v>-1.0216043</v>
      </c>
      <c r="F43" s="26" t="n">
        <v>-2.0642762</v>
      </c>
      <c r="G43" s="26" t="n">
        <v>-1.1018847</v>
      </c>
      <c r="H43" s="26" t="n">
        <v>-1.030546</v>
      </c>
      <c r="I43" s="26" t="n">
        <v>-1.3581614</v>
      </c>
      <c r="J43" s="26" t="n">
        <v>-1.2050155</v>
      </c>
    </row>
    <row r="44" customFormat="false" ht="15" hidden="false" customHeight="true" outlineLevel="0" collapsed="false">
      <c r="B44" s="9" t="s">
        <v>172</v>
      </c>
      <c r="C44" s="10" t="s">
        <v>173</v>
      </c>
      <c r="D44" s="24" t="n">
        <v>2024</v>
      </c>
      <c r="E44" s="26" t="n">
        <v>1.4247807</v>
      </c>
      <c r="F44" s="26" t="n">
        <v>1.2056034</v>
      </c>
      <c r="G44" s="26" t="n">
        <v>1.645973</v>
      </c>
      <c r="H44" s="26" t="n">
        <v>1.3302839</v>
      </c>
      <c r="I44" s="26" t="n">
        <v>1.6278886</v>
      </c>
      <c r="J44" s="26" t="n">
        <v>1.828818</v>
      </c>
    </row>
    <row r="45" customFormat="false" ht="15" hidden="false" customHeight="true" outlineLevel="0" collapsed="false">
      <c r="B45" s="9" t="s">
        <v>174</v>
      </c>
      <c r="C45" s="10" t="s">
        <v>175</v>
      </c>
      <c r="D45" s="24" t="n">
        <v>2024</v>
      </c>
      <c r="E45" s="26" t="n">
        <v>0.2951561</v>
      </c>
      <c r="F45" s="26" t="n">
        <v>-1.0375015</v>
      </c>
      <c r="G45" s="26" t="n">
        <v>1.1726244</v>
      </c>
      <c r="H45" s="26" t="n">
        <v>1.1138772</v>
      </c>
      <c r="I45" s="26" t="n">
        <v>0.5997177</v>
      </c>
      <c r="J45" s="26" t="n">
        <v>0.853319</v>
      </c>
    </row>
    <row r="46" customFormat="false" ht="15" hidden="false" customHeight="true" outlineLevel="0" collapsed="false">
      <c r="B46" s="9" t="s">
        <v>176</v>
      </c>
      <c r="C46" s="10" t="s">
        <v>177</v>
      </c>
      <c r="D46" s="24" t="n">
        <v>2024</v>
      </c>
      <c r="E46" s="26" t="n">
        <v>1.0673476</v>
      </c>
      <c r="F46" s="26" t="n">
        <v>0.3087035</v>
      </c>
      <c r="G46" s="26" t="n">
        <v>0.7922891</v>
      </c>
      <c r="H46" s="26" t="n">
        <v>0.6401491</v>
      </c>
      <c r="I46" s="26" t="n">
        <v>0.6192043</v>
      </c>
      <c r="J46" s="26" t="n">
        <v>0.5531621</v>
      </c>
    </row>
    <row r="47" customFormat="false" ht="15" hidden="false" customHeight="true" outlineLevel="0" collapsed="false">
      <c r="B47" s="9" t="s">
        <v>178</v>
      </c>
      <c r="C47" s="10" t="s">
        <v>179</v>
      </c>
      <c r="D47" s="24" t="n">
        <v>2024</v>
      </c>
      <c r="E47" s="26" t="n">
        <v>0.485209</v>
      </c>
      <c r="F47" s="26" t="n">
        <v>0.476823</v>
      </c>
      <c r="G47" s="26" t="n">
        <v>0.1712622</v>
      </c>
      <c r="H47" s="26" t="n">
        <v>0.0908785</v>
      </c>
      <c r="I47" s="26" t="n">
        <v>-0.0776697</v>
      </c>
      <c r="J47" s="26" t="n">
        <v>-0.0962723</v>
      </c>
    </row>
    <row r="48" customFormat="false" ht="15" hidden="false" customHeight="true" outlineLevel="0" collapsed="false">
      <c r="B48" s="9" t="s">
        <v>180</v>
      </c>
      <c r="C48" s="10" t="s">
        <v>181</v>
      </c>
      <c r="D48" s="24" t="n">
        <v>2024</v>
      </c>
      <c r="E48" s="26" t="n">
        <v>1.1161265</v>
      </c>
      <c r="F48" s="26" t="n">
        <v>1.1343228</v>
      </c>
      <c r="G48" s="26" t="n">
        <v>2.0879101</v>
      </c>
      <c r="H48" s="26" t="n">
        <v>1.3296352</v>
      </c>
      <c r="I48" s="26" t="n">
        <v>1.5115753</v>
      </c>
      <c r="J48" s="26" t="n">
        <v>1.3570132</v>
      </c>
    </row>
    <row r="49" customFormat="false" ht="15" hidden="false" customHeight="true" outlineLevel="0" collapsed="false">
      <c r="B49" s="9" t="s">
        <v>182</v>
      </c>
      <c r="C49" s="10" t="s">
        <v>183</v>
      </c>
      <c r="D49" s="24" t="n">
        <v>2024</v>
      </c>
      <c r="E49" s="26" t="n">
        <v>-0.8157128</v>
      </c>
      <c r="F49" s="26" t="n">
        <v>-0.2827558</v>
      </c>
      <c r="G49" s="26" t="n">
        <v>0.1467641</v>
      </c>
      <c r="H49" s="26" t="n">
        <v>0.0470549</v>
      </c>
      <c r="I49" s="26" t="n">
        <v>-0.3815477</v>
      </c>
      <c r="J49" s="26" t="n">
        <v>-0.0670903</v>
      </c>
    </row>
    <row r="50" customFormat="false" ht="15" hidden="false" customHeight="true" outlineLevel="0" collapsed="false">
      <c r="B50" s="9" t="s">
        <v>184</v>
      </c>
      <c r="C50" s="10" t="s">
        <v>185</v>
      </c>
      <c r="D50" s="24" t="n">
        <v>2024</v>
      </c>
      <c r="E50" s="26" t="n">
        <v>-0.8013292</v>
      </c>
      <c r="F50" s="26" t="n">
        <v>-0.5045251</v>
      </c>
      <c r="G50" s="26" t="n">
        <v>-0.8885033</v>
      </c>
      <c r="H50" s="26" t="n">
        <v>-0.5167464</v>
      </c>
      <c r="I50" s="26" t="n">
        <v>-0.9360937</v>
      </c>
      <c r="J50" s="26" t="n">
        <v>-1.1364649</v>
      </c>
    </row>
    <row r="51" customFormat="false" ht="15" hidden="false" customHeight="true" outlineLevel="0" collapsed="false">
      <c r="B51" s="9" t="s">
        <v>186</v>
      </c>
      <c r="C51" s="10" t="s">
        <v>187</v>
      </c>
      <c r="D51" s="24" t="n">
        <v>2024</v>
      </c>
      <c r="E51" s="26" t="n">
        <v>0.4598773</v>
      </c>
      <c r="F51" s="26" t="n">
        <v>0.9121334</v>
      </c>
      <c r="G51" s="26" t="n">
        <v>0.6913852</v>
      </c>
      <c r="H51" s="26" t="n">
        <v>0.4799757</v>
      </c>
      <c r="I51" s="26" t="n">
        <v>0.5904494</v>
      </c>
      <c r="J51" s="26" t="n">
        <v>0.3480989</v>
      </c>
    </row>
    <row r="52" customFormat="false" ht="15" hidden="false" customHeight="true" outlineLevel="0" collapsed="false">
      <c r="B52" s="9" t="s">
        <v>188</v>
      </c>
      <c r="C52" s="10" t="s">
        <v>189</v>
      </c>
      <c r="D52" s="24" t="n">
        <v>2024</v>
      </c>
      <c r="E52" s="26" t="n">
        <v>0.8078028</v>
      </c>
      <c r="F52" s="26" t="n">
        <v>0.6393495</v>
      </c>
      <c r="G52" s="26" t="n">
        <v>1.4867237</v>
      </c>
      <c r="H52" s="26" t="n">
        <v>1.013674</v>
      </c>
      <c r="I52" s="26" t="n">
        <v>1.1174546</v>
      </c>
      <c r="J52" s="26" t="n">
        <v>0.8495586</v>
      </c>
    </row>
    <row r="53" customFormat="false" ht="15" hidden="false" customHeight="true" outlineLevel="0" collapsed="false">
      <c r="B53" s="9" t="s">
        <v>190</v>
      </c>
      <c r="C53" s="10" t="s">
        <v>191</v>
      </c>
      <c r="D53" s="24" t="n">
        <v>2024</v>
      </c>
      <c r="E53" s="26" t="n">
        <v>-0.7183422</v>
      </c>
      <c r="F53" s="26" t="n">
        <v>0.2939367</v>
      </c>
      <c r="G53" s="26" t="n">
        <v>0.3278963</v>
      </c>
      <c r="H53" s="26" t="n">
        <v>0.4035133</v>
      </c>
      <c r="I53" s="26" t="n">
        <v>0.2308269</v>
      </c>
      <c r="J53" s="26" t="n">
        <v>0.2183455</v>
      </c>
    </row>
    <row r="54" customFormat="false" ht="15" hidden="false" customHeight="true" outlineLevel="0" collapsed="false">
      <c r="B54" s="9" t="s">
        <v>192</v>
      </c>
      <c r="C54" s="10" t="s">
        <v>193</v>
      </c>
      <c r="D54" s="24" t="n">
        <v>2024</v>
      </c>
      <c r="E54" s="26" t="n">
        <v>-1.4711829</v>
      </c>
      <c r="F54" s="26" t="n">
        <v>0.5576599</v>
      </c>
      <c r="G54" s="26" t="n">
        <v>-0.5819014</v>
      </c>
      <c r="H54" s="26" t="n">
        <v>-0.6360282</v>
      </c>
      <c r="I54" s="26" t="n">
        <v>-0.7424167</v>
      </c>
      <c r="J54" s="26" t="n">
        <v>-0.9798961</v>
      </c>
    </row>
    <row r="55" customFormat="false" ht="15" hidden="false" customHeight="true" outlineLevel="0" collapsed="false">
      <c r="B55" s="9" t="s">
        <v>194</v>
      </c>
      <c r="C55" s="10" t="s">
        <v>195</v>
      </c>
      <c r="D55" s="24" t="n">
        <v>2024</v>
      </c>
      <c r="E55" s="26" t="n">
        <v>-0.7732541</v>
      </c>
      <c r="F55" s="26" t="n">
        <v>-1.3896806</v>
      </c>
      <c r="G55" s="26" t="n">
        <v>-1.1301199</v>
      </c>
      <c r="H55" s="26" t="n">
        <v>-0.9588794</v>
      </c>
      <c r="I55" s="26" t="n">
        <v>-1.0853525</v>
      </c>
      <c r="J55" s="26" t="n">
        <v>-1.3041344</v>
      </c>
    </row>
    <row r="56" customFormat="false" ht="15" hidden="false" customHeight="true" outlineLevel="0" collapsed="false">
      <c r="B56" s="9" t="s">
        <v>196</v>
      </c>
      <c r="C56" s="10" t="s">
        <v>197</v>
      </c>
      <c r="D56" s="24" t="n">
        <v>2024</v>
      </c>
      <c r="E56" s="26" t="n">
        <v>-0.1260255</v>
      </c>
      <c r="F56" s="26" t="n">
        <v>-0.3503024</v>
      </c>
      <c r="G56" s="26" t="n">
        <v>-0.2745215</v>
      </c>
      <c r="H56" s="26" t="n">
        <v>-0.2992135</v>
      </c>
      <c r="I56" s="26" t="n">
        <v>-0.2577461</v>
      </c>
      <c r="J56" s="26" t="n">
        <v>-0.3847709</v>
      </c>
    </row>
    <row r="57" customFormat="false" ht="15" hidden="false" customHeight="true" outlineLevel="0" collapsed="false">
      <c r="B57" s="9" t="s">
        <v>198</v>
      </c>
      <c r="C57" s="10" t="s">
        <v>199</v>
      </c>
      <c r="D57" s="24" t="n">
        <v>2024</v>
      </c>
      <c r="E57" s="26" t="n">
        <v>0.0636166</v>
      </c>
      <c r="F57" s="26" t="n">
        <v>1.053872</v>
      </c>
      <c r="G57" s="26" t="n">
        <v>1.1159269</v>
      </c>
      <c r="H57" s="26" t="n">
        <v>1.3713907</v>
      </c>
      <c r="I57" s="26" t="n">
        <v>0.8520978</v>
      </c>
      <c r="J57" s="26" t="n">
        <v>0.5733844</v>
      </c>
    </row>
    <row r="58" customFormat="false" ht="15" hidden="false" customHeight="true" outlineLevel="0" collapsed="false">
      <c r="B58" s="9" t="s">
        <v>200</v>
      </c>
      <c r="C58" s="10" t="s">
        <v>201</v>
      </c>
      <c r="D58" s="24" t="n">
        <v>2024</v>
      </c>
      <c r="E58" s="26" t="n">
        <v>-0.7253684</v>
      </c>
      <c r="F58" s="26" t="n">
        <v>-0.4805584</v>
      </c>
      <c r="G58" s="26" t="n">
        <v>-0.8631928</v>
      </c>
      <c r="H58" s="26" t="n">
        <v>-0.7485886</v>
      </c>
      <c r="I58" s="26" t="n">
        <v>-0.8827065</v>
      </c>
      <c r="J58" s="26" t="n">
        <v>-1.0099165</v>
      </c>
    </row>
    <row r="59" customFormat="false" ht="15" hidden="false" customHeight="true" outlineLevel="0" collapsed="false">
      <c r="B59" s="9" t="s">
        <v>202</v>
      </c>
      <c r="C59" s="10" t="s">
        <v>203</v>
      </c>
      <c r="D59" s="24" t="n">
        <v>2024</v>
      </c>
      <c r="E59" s="26" t="n">
        <v>-0.4118749</v>
      </c>
      <c r="F59" s="26" t="n">
        <v>-0.0544563</v>
      </c>
      <c r="G59" s="26" t="n">
        <v>-0.221287</v>
      </c>
      <c r="H59" s="26" t="n">
        <v>-0.2353508</v>
      </c>
      <c r="I59" s="26" t="n">
        <v>0.0443492</v>
      </c>
      <c r="J59" s="26" t="n">
        <v>-0.3359538</v>
      </c>
    </row>
    <row r="60" customFormat="false" ht="15" hidden="false" customHeight="true" outlineLevel="0" collapsed="false">
      <c r="B60" s="9" t="s">
        <v>204</v>
      </c>
      <c r="C60" s="10" t="s">
        <v>205</v>
      </c>
      <c r="D60" s="24" t="n">
        <v>2024</v>
      </c>
      <c r="E60" s="26" t="n">
        <v>-2.12458</v>
      </c>
      <c r="F60" s="26" t="n">
        <v>-2.0903985</v>
      </c>
      <c r="G60" s="26" t="n">
        <v>-1.5583075</v>
      </c>
      <c r="H60" s="26" t="n">
        <v>-1.4197208</v>
      </c>
      <c r="I60" s="26" t="n">
        <v>-1.811602</v>
      </c>
      <c r="J60" s="26" t="n">
        <v>-1.2527062</v>
      </c>
    </row>
    <row r="61" customFormat="false" ht="15" hidden="false" customHeight="true" outlineLevel="0" collapsed="false">
      <c r="B61" s="9" t="s">
        <v>206</v>
      </c>
      <c r="C61" s="10" t="s">
        <v>207</v>
      </c>
      <c r="D61" s="24" t="n">
        <v>2024</v>
      </c>
      <c r="E61" s="26" t="n">
        <v>0.3909571</v>
      </c>
      <c r="F61" s="26" t="n">
        <v>0.3318563</v>
      </c>
      <c r="G61" s="26" t="n">
        <v>0.3664948</v>
      </c>
      <c r="H61" s="26" t="n">
        <v>0.1273183</v>
      </c>
      <c r="I61" s="26" t="n">
        <v>0.1813833</v>
      </c>
      <c r="J61" s="26" t="n">
        <v>-0.0594344</v>
      </c>
    </row>
    <row r="62" customFormat="false" ht="15" hidden="false" customHeight="true" outlineLevel="0" collapsed="false">
      <c r="B62" s="9" t="s">
        <v>208</v>
      </c>
      <c r="C62" s="10" t="s">
        <v>209</v>
      </c>
      <c r="D62" s="24" t="n">
        <v>2024</v>
      </c>
      <c r="E62" s="26" t="n">
        <v>-0.925315</v>
      </c>
      <c r="F62" s="26" t="n">
        <v>-0.5595872</v>
      </c>
      <c r="G62" s="26" t="n">
        <v>-0.7412473</v>
      </c>
      <c r="H62" s="26" t="n">
        <v>-0.7781512</v>
      </c>
      <c r="I62" s="26" t="n">
        <v>-0.8635099</v>
      </c>
      <c r="J62" s="26" t="n">
        <v>-0.933745</v>
      </c>
    </row>
    <row r="63" customFormat="false" ht="15" hidden="false" customHeight="true" outlineLevel="0" collapsed="false">
      <c r="B63" s="9" t="s">
        <v>210</v>
      </c>
      <c r="C63" s="10" t="s">
        <v>211</v>
      </c>
      <c r="D63" s="24" t="n">
        <v>2024</v>
      </c>
      <c r="E63" s="26" t="n">
        <v>-0.109434</v>
      </c>
      <c r="F63" s="26" t="n">
        <v>-0.3802084</v>
      </c>
      <c r="G63" s="26" t="n">
        <v>-0.7257604</v>
      </c>
      <c r="H63" s="26" t="n">
        <v>-0.5849557</v>
      </c>
      <c r="I63" s="26" t="n">
        <v>-0.1463001</v>
      </c>
      <c r="J63" s="26" t="n">
        <v>-0.6486607</v>
      </c>
    </row>
    <row r="64" customFormat="false" ht="15" hidden="false" customHeight="true" outlineLevel="0" collapsed="false">
      <c r="B64" s="9" t="s">
        <v>212</v>
      </c>
      <c r="C64" s="10" t="s">
        <v>213</v>
      </c>
      <c r="D64" s="24" t="n">
        <v>2024</v>
      </c>
      <c r="E64" s="26" t="n">
        <v>-0.1267195</v>
      </c>
      <c r="F64" s="26" t="n">
        <v>0.3847799</v>
      </c>
      <c r="G64" s="26" t="n">
        <v>0.9147725</v>
      </c>
      <c r="H64" s="26" t="n">
        <v>0.6804759</v>
      </c>
      <c r="I64" s="26" t="n">
        <v>0.3451357</v>
      </c>
      <c r="J64" s="26" t="n">
        <v>0.4983973</v>
      </c>
    </row>
    <row r="65" customFormat="false" ht="15" hidden="false" customHeight="true" outlineLevel="0" collapsed="false">
      <c r="B65" s="9" t="s">
        <v>214</v>
      </c>
      <c r="C65" s="10" t="s">
        <v>215</v>
      </c>
      <c r="D65" s="24" t="n">
        <v>2024</v>
      </c>
      <c r="E65" s="26" t="n">
        <v>0.3365397</v>
      </c>
      <c r="F65" s="26" t="n">
        <v>0.5467327</v>
      </c>
      <c r="G65" s="26" t="n">
        <v>0.0993431</v>
      </c>
      <c r="H65" s="26" t="n">
        <v>0.1349052</v>
      </c>
      <c r="I65" s="26" t="n">
        <v>0.3278567</v>
      </c>
      <c r="J65" s="26" t="n">
        <v>0.1265202</v>
      </c>
    </row>
    <row r="66" customFormat="false" ht="15" hidden="false" customHeight="true" outlineLevel="0" collapsed="false">
      <c r="B66" s="9" t="s">
        <v>216</v>
      </c>
      <c r="C66" s="10" t="s">
        <v>217</v>
      </c>
      <c r="D66" s="24" t="n">
        <v>2024</v>
      </c>
      <c r="E66" s="26" t="n">
        <v>-0.7265447</v>
      </c>
      <c r="F66" s="26" t="n">
        <v>-2.0025617</v>
      </c>
      <c r="G66" s="26" t="n">
        <v>-1.0065889</v>
      </c>
      <c r="H66" s="26" t="n">
        <v>-0.6332954</v>
      </c>
      <c r="I66" s="26" t="n">
        <v>-1.0069453</v>
      </c>
      <c r="J66" s="26" t="n">
        <v>-1.1145909</v>
      </c>
    </row>
    <row r="67" customFormat="false" ht="15" hidden="false" customHeight="true" outlineLevel="0" collapsed="false">
      <c r="B67" s="9" t="s">
        <v>218</v>
      </c>
      <c r="C67" s="10" t="s">
        <v>219</v>
      </c>
      <c r="D67" s="24" t="n">
        <v>2024</v>
      </c>
      <c r="E67" s="26" t="n">
        <v>1.9294246</v>
      </c>
      <c r="F67" s="26" t="n">
        <v>0.9032646</v>
      </c>
      <c r="G67" s="26" t="n">
        <v>1.843057</v>
      </c>
      <c r="H67" s="26" t="n">
        <v>1.6704537</v>
      </c>
      <c r="I67" s="26" t="n">
        <v>1.9494549</v>
      </c>
      <c r="J67" s="26" t="n">
        <v>1.9610085</v>
      </c>
    </row>
    <row r="68" customFormat="false" ht="15" hidden="false" customHeight="true" outlineLevel="0" collapsed="false">
      <c r="B68" s="9" t="s">
        <v>220</v>
      </c>
      <c r="C68" s="10" t="s">
        <v>221</v>
      </c>
      <c r="D68" s="24" t="n">
        <v>2024</v>
      </c>
      <c r="E68" s="26" t="n">
        <v>1.6892342</v>
      </c>
      <c r="F68" s="26" t="n">
        <v>1.1506563</v>
      </c>
      <c r="G68" s="26" t="n">
        <v>1.8491848</v>
      </c>
      <c r="H68" s="26" t="n">
        <v>1.8444942</v>
      </c>
      <c r="I68" s="26" t="n">
        <v>1.6674536</v>
      </c>
      <c r="J68" s="26" t="n">
        <v>1.9285412</v>
      </c>
    </row>
    <row r="69" customFormat="false" ht="15" hidden="false" customHeight="true" outlineLevel="0" collapsed="false">
      <c r="B69" s="9" t="s">
        <v>222</v>
      </c>
      <c r="C69" s="10" t="s">
        <v>223</v>
      </c>
      <c r="D69" s="24" t="n">
        <v>2024</v>
      </c>
      <c r="E69" s="26" t="n">
        <v>-1.1663298</v>
      </c>
      <c r="F69" s="26" t="n">
        <v>-2.0634311</v>
      </c>
      <c r="G69" s="26" t="n">
        <v>-0.6003273</v>
      </c>
      <c r="H69" s="26" t="n">
        <v>-0.7928043</v>
      </c>
      <c r="I69" s="26" t="n">
        <v>-1.017096</v>
      </c>
      <c r="J69" s="26" t="n">
        <v>-1.0656237</v>
      </c>
    </row>
    <row r="70" customFormat="false" ht="15" hidden="false" customHeight="true" outlineLevel="0" collapsed="false">
      <c r="B70" s="9" t="s">
        <v>224</v>
      </c>
      <c r="C70" s="10" t="s">
        <v>225</v>
      </c>
      <c r="D70" s="24" t="n">
        <v>2024</v>
      </c>
      <c r="E70" s="26" t="n">
        <v>0.0455746</v>
      </c>
      <c r="F70" s="26" t="n">
        <v>-0.6544223</v>
      </c>
      <c r="G70" s="26" t="n">
        <v>-0.2004128</v>
      </c>
      <c r="H70" s="26" t="n">
        <v>0.0828146</v>
      </c>
      <c r="I70" s="26" t="n">
        <v>-0.5057749</v>
      </c>
      <c r="J70" s="26" t="n">
        <v>-0.7203896</v>
      </c>
    </row>
    <row r="71" customFormat="false" ht="15" hidden="false" customHeight="true" outlineLevel="0" collapsed="false">
      <c r="B71" s="9" t="s">
        <v>226</v>
      </c>
      <c r="C71" s="10" t="s">
        <v>227</v>
      </c>
      <c r="D71" s="24" t="n">
        <v>2024</v>
      </c>
      <c r="E71" s="26" t="n">
        <v>-0.3554363</v>
      </c>
      <c r="F71" s="26" t="n">
        <v>-0.7741477</v>
      </c>
      <c r="G71" s="26" t="n">
        <v>0.1445214</v>
      </c>
      <c r="H71" s="26" t="n">
        <v>0.0792961</v>
      </c>
      <c r="I71" s="26" t="n">
        <v>-0.5739681</v>
      </c>
      <c r="J71" s="26" t="n">
        <v>-0.5766165</v>
      </c>
    </row>
    <row r="72" customFormat="false" ht="15" hidden="false" customHeight="true" outlineLevel="0" collapsed="false">
      <c r="B72" s="9" t="s">
        <v>228</v>
      </c>
      <c r="C72" s="10" t="s">
        <v>229</v>
      </c>
      <c r="D72" s="24" t="n">
        <v>2024</v>
      </c>
      <c r="E72" s="26" t="n">
        <v>1.0369618</v>
      </c>
      <c r="F72" s="26" t="n">
        <v>1.2387076</v>
      </c>
      <c r="G72" s="26" t="n">
        <v>0.0100272</v>
      </c>
      <c r="H72" s="26" t="n">
        <v>0.4811763</v>
      </c>
      <c r="I72" s="26" t="n">
        <v>1.1710347</v>
      </c>
      <c r="J72" s="26" t="n">
        <v>0.5049337</v>
      </c>
    </row>
    <row r="73" customFormat="false" ht="15" hidden="false" customHeight="true" outlineLevel="0" collapsed="false">
      <c r="B73" s="9" t="s">
        <v>230</v>
      </c>
      <c r="C73" s="10" t="s">
        <v>231</v>
      </c>
      <c r="D73" s="24" t="n">
        <v>2024</v>
      </c>
      <c r="E73" s="26" t="n">
        <v>-0.3264396</v>
      </c>
      <c r="F73" s="26" t="n">
        <v>-0.653875</v>
      </c>
      <c r="G73" s="26" t="n">
        <v>-0.9004467</v>
      </c>
      <c r="H73" s="26" t="n">
        <v>-0.6004013</v>
      </c>
      <c r="I73" s="26" t="n">
        <v>-0.5713329</v>
      </c>
      <c r="J73" s="26" t="n">
        <v>-0.7973513</v>
      </c>
    </row>
    <row r="74" customFormat="false" ht="15" hidden="false" customHeight="true" outlineLevel="0" collapsed="false">
      <c r="B74" s="9" t="s">
        <v>232</v>
      </c>
      <c r="C74" s="10" t="s">
        <v>233</v>
      </c>
      <c r="D74" s="24" t="n">
        <v>2024</v>
      </c>
      <c r="E74" s="26" t="n">
        <v>-0.9543765</v>
      </c>
      <c r="F74" s="26" t="n">
        <v>0.9511752</v>
      </c>
      <c r="G74" s="26" t="n">
        <v>1.1342702</v>
      </c>
      <c r="H74" s="26" t="n">
        <v>0.9663365</v>
      </c>
      <c r="I74" s="26" t="n">
        <v>0.589593</v>
      </c>
      <c r="J74" s="26" t="n">
        <v>0.7548293</v>
      </c>
    </row>
    <row r="75" customFormat="false" ht="15" hidden="false" customHeight="true" outlineLevel="0" collapsed="false">
      <c r="B75" s="9" t="s">
        <v>234</v>
      </c>
      <c r="C75" s="10" t="s">
        <v>235</v>
      </c>
      <c r="D75" s="24" t="n">
        <v>2024</v>
      </c>
      <c r="E75" s="26" t="n">
        <v>-1.4221754</v>
      </c>
      <c r="F75" s="26" t="n">
        <v>-0.9032847</v>
      </c>
      <c r="G75" s="26" t="n">
        <v>-0.3215539</v>
      </c>
      <c r="H75" s="26" t="n">
        <v>-1.0682839</v>
      </c>
      <c r="I75" s="26" t="n">
        <v>-1.1565186</v>
      </c>
      <c r="J75" s="26" t="n">
        <v>-0.8911386</v>
      </c>
    </row>
    <row r="76" customFormat="false" ht="15" hidden="false" customHeight="true" outlineLevel="0" collapsed="false">
      <c r="B76" s="9" t="s">
        <v>236</v>
      </c>
      <c r="C76" s="10" t="s">
        <v>237</v>
      </c>
      <c r="D76" s="24" t="n">
        <v>2024</v>
      </c>
      <c r="E76" s="26" t="n">
        <v>-0.5889127</v>
      </c>
      <c r="F76" s="26" t="n">
        <v>-0.0436889</v>
      </c>
      <c r="G76" s="26" t="n">
        <v>0.3489076</v>
      </c>
      <c r="H76" s="26" t="n">
        <v>0.2696046</v>
      </c>
      <c r="I76" s="26" t="n">
        <v>0.1002757</v>
      </c>
      <c r="J76" s="26" t="n">
        <v>0.6254936</v>
      </c>
    </row>
    <row r="77" customFormat="false" ht="15" hidden="false" customHeight="true" outlineLevel="0" collapsed="false">
      <c r="B77" s="9" t="s">
        <v>238</v>
      </c>
      <c r="C77" s="10" t="s">
        <v>239</v>
      </c>
      <c r="D77" s="24" t="n">
        <v>2024</v>
      </c>
      <c r="E77" s="26" t="n">
        <v>-1.5472609</v>
      </c>
      <c r="F77" s="26" t="n">
        <v>-0.048171</v>
      </c>
      <c r="G77" s="26" t="n">
        <v>0.7833016</v>
      </c>
      <c r="H77" s="26" t="n">
        <v>0.7102575</v>
      </c>
      <c r="I77" s="26" t="n">
        <v>0.2103549</v>
      </c>
      <c r="J77" s="26" t="n">
        <v>0.7528275</v>
      </c>
    </row>
    <row r="78" customFormat="false" ht="15" hidden="false" customHeight="true" outlineLevel="0" collapsed="false">
      <c r="B78" s="9" t="s">
        <v>240</v>
      </c>
      <c r="C78" s="10" t="s">
        <v>241</v>
      </c>
      <c r="D78" s="24" t="n">
        <v>2024</v>
      </c>
      <c r="E78" s="26" t="n">
        <v>0.0382996</v>
      </c>
      <c r="F78" s="26" t="n">
        <v>1.2318778</v>
      </c>
      <c r="G78" s="26" t="n">
        <v>2.2796267</v>
      </c>
      <c r="H78" s="26" t="n">
        <v>2.1321197</v>
      </c>
      <c r="I78" s="26" t="n">
        <v>1.4311756</v>
      </c>
      <c r="J78" s="26" t="n">
        <v>1.9681221</v>
      </c>
    </row>
    <row r="79" customFormat="false" ht="15" hidden="false" customHeight="true" outlineLevel="0" collapsed="false">
      <c r="B79" s="9" t="s">
        <v>242</v>
      </c>
      <c r="C79" s="10" t="s">
        <v>243</v>
      </c>
      <c r="D79" s="24" t="n">
        <v>2024</v>
      </c>
      <c r="E79" s="26" t="n">
        <v>0.3267325</v>
      </c>
      <c r="F79" s="26" t="n">
        <v>0.7499116</v>
      </c>
      <c r="G79" s="26" t="n">
        <v>-0.8686192</v>
      </c>
      <c r="H79" s="26" t="n">
        <v>-0.888466</v>
      </c>
      <c r="I79" s="26" t="n">
        <v>0.1533565</v>
      </c>
      <c r="J79" s="26" t="n">
        <v>-0.1401036</v>
      </c>
    </row>
    <row r="80" customFormat="false" ht="15" hidden="false" customHeight="true" outlineLevel="0" collapsed="false">
      <c r="B80" s="9" t="s">
        <v>244</v>
      </c>
      <c r="C80" s="10" t="s">
        <v>245</v>
      </c>
      <c r="D80" s="24" t="n">
        <v>2024</v>
      </c>
      <c r="E80" s="26" t="n">
        <v>1.7277944</v>
      </c>
      <c r="F80" s="26" t="n">
        <v>0.6035115</v>
      </c>
      <c r="G80" s="26" t="n">
        <v>1.7746948</v>
      </c>
      <c r="H80" s="26" t="n">
        <v>1.6717941</v>
      </c>
      <c r="I80" s="26" t="n">
        <v>1.7267013</v>
      </c>
      <c r="J80" s="26" t="n">
        <v>1.9676051</v>
      </c>
    </row>
    <row r="81" customFormat="false" ht="15" hidden="false" customHeight="true" outlineLevel="0" collapsed="false">
      <c r="B81" s="9" t="s">
        <v>246</v>
      </c>
      <c r="C81" s="10" t="s">
        <v>247</v>
      </c>
      <c r="D81" s="24" t="n">
        <v>2024</v>
      </c>
      <c r="E81" s="26" t="n">
        <v>-1.3474097</v>
      </c>
      <c r="F81" s="26" t="n">
        <v>-0.7327829</v>
      </c>
      <c r="G81" s="26" t="n">
        <v>-0.7811414</v>
      </c>
      <c r="H81" s="26" t="n">
        <v>-0.6380015</v>
      </c>
      <c r="I81" s="26" t="n">
        <v>-0.8598771</v>
      </c>
      <c r="J81" s="26" t="n">
        <v>-0.7851599</v>
      </c>
    </row>
    <row r="82" customFormat="false" ht="15" hidden="false" customHeight="true" outlineLevel="0" collapsed="false">
      <c r="B82" s="9" t="s">
        <v>248</v>
      </c>
      <c r="C82" s="10" t="s">
        <v>249</v>
      </c>
      <c r="D82" s="24" t="n">
        <v>2024</v>
      </c>
      <c r="E82" s="26" t="n">
        <v>-0.5598404</v>
      </c>
      <c r="F82" s="26" t="n">
        <v>-0.6833311</v>
      </c>
      <c r="G82" s="26" t="n">
        <v>0.2536395</v>
      </c>
      <c r="H82" s="26" t="n">
        <v>0.106412</v>
      </c>
      <c r="I82" s="26" t="n">
        <v>-0.2155096</v>
      </c>
      <c r="J82" s="26" t="n">
        <v>-0.5273456</v>
      </c>
    </row>
    <row r="83" customFormat="false" ht="15" hidden="false" customHeight="true" outlineLevel="0" collapsed="false">
      <c r="B83" s="9" t="s">
        <v>250</v>
      </c>
      <c r="C83" s="10" t="s">
        <v>251</v>
      </c>
      <c r="D83" s="24" t="n">
        <v>2024</v>
      </c>
      <c r="E83" s="26" t="n">
        <v>0.4063023</v>
      </c>
      <c r="F83" s="26" t="n">
        <v>0.3600136</v>
      </c>
      <c r="G83" s="26" t="n">
        <v>0.1112932</v>
      </c>
      <c r="H83" s="26" t="n">
        <v>-0.2065739</v>
      </c>
      <c r="I83" s="26" t="n">
        <v>-0.371533</v>
      </c>
      <c r="J83" s="26" t="n">
        <v>-0.339819</v>
      </c>
    </row>
    <row r="84" customFormat="false" ht="15" hidden="false" customHeight="true" outlineLevel="0" collapsed="false">
      <c r="B84" s="9" t="s">
        <v>252</v>
      </c>
      <c r="C84" s="10" t="s">
        <v>253</v>
      </c>
      <c r="D84" s="24" t="n">
        <v>2024</v>
      </c>
      <c r="E84" s="26" t="n">
        <v>-1.09467</v>
      </c>
      <c r="F84" s="26" t="n">
        <v>-0.9707105</v>
      </c>
      <c r="G84" s="26" t="n">
        <v>-0.0707153</v>
      </c>
      <c r="H84" s="26" t="n">
        <v>-0.2112376</v>
      </c>
      <c r="I84" s="26" t="n">
        <v>-0.8434149</v>
      </c>
      <c r="J84" s="26" t="n">
        <v>-0.5632153</v>
      </c>
    </row>
    <row r="85" customFormat="false" ht="15" hidden="false" customHeight="true" outlineLevel="0" collapsed="false">
      <c r="B85" s="9" t="s">
        <v>254</v>
      </c>
      <c r="C85" s="10" t="s">
        <v>255</v>
      </c>
      <c r="D85" s="24" t="n">
        <v>2024</v>
      </c>
      <c r="E85" s="26" t="n">
        <v>1.0228849</v>
      </c>
      <c r="F85" s="26" t="n">
        <v>0.9166715</v>
      </c>
      <c r="G85" s="26" t="n">
        <v>1.4952103</v>
      </c>
      <c r="H85" s="26" t="n">
        <v>1.2954707</v>
      </c>
      <c r="I85" s="26" t="n">
        <v>1.2880802</v>
      </c>
      <c r="J85" s="26" t="n">
        <v>1.1829546</v>
      </c>
    </row>
    <row r="86" customFormat="false" ht="15" hidden="false" customHeight="true" outlineLevel="0" collapsed="false">
      <c r="B86" s="9" t="s">
        <v>256</v>
      </c>
      <c r="C86" s="10" t="s">
        <v>257</v>
      </c>
      <c r="D86" s="24" t="n">
        <v>2024</v>
      </c>
      <c r="E86" s="26" t="n">
        <v>-0.1110085</v>
      </c>
      <c r="F86" s="26" t="n">
        <v>-0.432315</v>
      </c>
      <c r="G86" s="26" t="n">
        <v>-0.5988431</v>
      </c>
      <c r="H86" s="26" t="n">
        <v>-0.3008524</v>
      </c>
      <c r="I86" s="26" t="n">
        <v>-0.720199</v>
      </c>
      <c r="J86" s="26" t="n">
        <v>-0.6723809</v>
      </c>
    </row>
    <row r="87" customFormat="false" ht="15" hidden="false" customHeight="true" outlineLevel="0" collapsed="false">
      <c r="B87" s="9" t="s">
        <v>258</v>
      </c>
      <c r="C87" s="10" t="s">
        <v>259</v>
      </c>
      <c r="D87" s="24" t="n">
        <v>2024</v>
      </c>
      <c r="E87" s="26" t="n">
        <v>1.2278086</v>
      </c>
      <c r="F87" s="26" t="n">
        <v>1.2779376</v>
      </c>
      <c r="G87" s="26" t="n">
        <v>0.6904799</v>
      </c>
      <c r="H87" s="26" t="n">
        <v>0.6468484</v>
      </c>
      <c r="I87" s="26" t="n">
        <v>0.9505638</v>
      </c>
      <c r="J87" s="26" t="n">
        <v>1.5279256</v>
      </c>
    </row>
    <row r="88" customFormat="false" ht="15" hidden="false" customHeight="true" outlineLevel="0" collapsed="false">
      <c r="B88" s="9" t="s">
        <v>260</v>
      </c>
      <c r="C88" s="10" t="s">
        <v>261</v>
      </c>
      <c r="D88" s="24" t="n">
        <v>2024</v>
      </c>
      <c r="E88" s="26" t="n">
        <v>0.8869557</v>
      </c>
      <c r="F88" s="26" t="n">
        <v>-0.0951125</v>
      </c>
      <c r="G88" s="26" t="n">
        <v>1.3599787</v>
      </c>
      <c r="H88" s="26" t="n">
        <v>1.3524886</v>
      </c>
      <c r="I88" s="26" t="n">
        <v>0.9617896</v>
      </c>
      <c r="J88" s="26" t="n">
        <v>1.0868914</v>
      </c>
    </row>
    <row r="89" customFormat="false" ht="15" hidden="false" customHeight="true" outlineLevel="0" collapsed="false">
      <c r="B89" s="9" t="s">
        <v>262</v>
      </c>
      <c r="C89" s="10" t="s">
        <v>263</v>
      </c>
      <c r="D89" s="24" t="n">
        <v>2024</v>
      </c>
      <c r="E89" s="26" t="n">
        <v>0.6072796</v>
      </c>
      <c r="F89" s="26" t="n">
        <v>-0.6171348</v>
      </c>
      <c r="G89" s="26" t="n">
        <v>-0.2259135</v>
      </c>
      <c r="H89" s="26" t="n">
        <v>-0.0601163</v>
      </c>
      <c r="I89" s="26" t="n">
        <v>0.017703</v>
      </c>
      <c r="J89" s="26" t="n">
        <v>-0.1917928</v>
      </c>
    </row>
    <row r="90" customFormat="false" ht="15" hidden="false" customHeight="true" outlineLevel="0" collapsed="false">
      <c r="B90" s="9" t="s">
        <v>264</v>
      </c>
      <c r="C90" s="10" t="s">
        <v>265</v>
      </c>
      <c r="D90" s="24" t="n">
        <v>2024</v>
      </c>
      <c r="E90" s="26" t="n">
        <v>-0.4075689</v>
      </c>
      <c r="F90" s="26" t="n">
        <v>-0.1007849</v>
      </c>
      <c r="G90" s="26" t="n">
        <v>-0.5330555</v>
      </c>
      <c r="H90" s="26" t="n">
        <v>-0.4206612</v>
      </c>
      <c r="I90" s="26" t="n">
        <v>-0.5611771</v>
      </c>
      <c r="J90" s="26" t="n">
        <v>-0.4568294</v>
      </c>
    </row>
    <row r="91" customFormat="false" ht="15" hidden="false" customHeight="true" outlineLevel="0" collapsed="false">
      <c r="B91" s="9" t="s">
        <v>266</v>
      </c>
      <c r="C91" s="10" t="s">
        <v>267</v>
      </c>
      <c r="D91" s="24" t="n">
        <v>2024</v>
      </c>
      <c r="E91" s="26" t="n">
        <v>-1.2595646</v>
      </c>
      <c r="F91" s="26" t="n">
        <v>-1.0172382</v>
      </c>
      <c r="G91" s="26" t="n">
        <v>-0.9876299</v>
      </c>
      <c r="H91" s="26" t="n">
        <v>-1.1780738</v>
      </c>
      <c r="I91" s="26" t="n">
        <v>-1.2109412</v>
      </c>
      <c r="J91" s="26" t="n">
        <v>-1.2516542</v>
      </c>
    </row>
  </sheetData>
  <autoFilter ref="B3:J91"/>
  <conditionalFormatting sqref="E3:E90">
    <cfRule type="colorScale" priority="2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conditionalFormatting sqref="F3:F90">
    <cfRule type="colorScale" priority="3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conditionalFormatting sqref="G3:G90">
    <cfRule type="colorScale" priority="4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conditionalFormatting sqref="H3:H90">
    <cfRule type="colorScale" priority="5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conditionalFormatting sqref="I3:I90">
    <cfRule type="colorScale" priority="6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conditionalFormatting sqref="J3:J90">
    <cfRule type="colorScale" priority="7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5" min="4" style="1" width="12"/>
  </cols>
  <sheetData>
    <row r="2" customFormat="false" ht="15" hidden="false" customHeight="true" outlineLevel="0" collapsed="false">
      <c r="B2" s="3" t="s">
        <v>296</v>
      </c>
    </row>
    <row r="3" customFormat="false" ht="36" hidden="false" customHeight="true" outlineLevel="0" collapsed="false">
      <c r="B3" s="8" t="s">
        <v>61</v>
      </c>
      <c r="C3" s="8" t="s">
        <v>62</v>
      </c>
      <c r="D3" s="8" t="s">
        <v>297</v>
      </c>
      <c r="E3" s="8" t="s">
        <v>298</v>
      </c>
    </row>
    <row r="4" customFormat="false" ht="15" hidden="false" customHeight="true" outlineLevel="0" collapsed="false">
      <c r="B4" s="9" t="s">
        <v>80</v>
      </c>
      <c r="C4" s="10" t="s">
        <v>81</v>
      </c>
      <c r="D4" s="18"/>
      <c r="E4" s="18"/>
    </row>
    <row r="5" customFormat="false" ht="15" hidden="false" customHeight="true" outlineLevel="0" collapsed="false">
      <c r="B5" s="9" t="s">
        <v>84</v>
      </c>
      <c r="C5" s="10" t="s">
        <v>85</v>
      </c>
      <c r="D5" s="24" t="n">
        <v>2023</v>
      </c>
      <c r="E5" s="25" t="n">
        <v>0.685000002384186</v>
      </c>
    </row>
    <row r="6" customFormat="false" ht="15" hidden="false" customHeight="true" outlineLevel="0" collapsed="false">
      <c r="B6" s="9" t="s">
        <v>88</v>
      </c>
      <c r="C6" s="10" t="s">
        <v>89</v>
      </c>
      <c r="D6" s="24" t="n">
        <v>2023</v>
      </c>
      <c r="E6" s="25" t="n">
        <v>0.556999981403351</v>
      </c>
    </row>
    <row r="7" customFormat="false" ht="15" hidden="false" customHeight="true" outlineLevel="0" collapsed="false">
      <c r="B7" s="9" t="s">
        <v>90</v>
      </c>
      <c r="C7" s="10" t="s">
        <v>91</v>
      </c>
      <c r="D7" s="18"/>
      <c r="E7" s="18"/>
    </row>
    <row r="8" customFormat="false" ht="15" hidden="false" customHeight="true" outlineLevel="0" collapsed="false">
      <c r="B8" s="9" t="s">
        <v>92</v>
      </c>
      <c r="C8" s="10" t="s">
        <v>93</v>
      </c>
      <c r="D8" s="24" t="n">
        <v>2023</v>
      </c>
      <c r="E8" s="25" t="n">
        <v>0.42399999499321</v>
      </c>
    </row>
    <row r="9" customFormat="false" ht="15" hidden="false" customHeight="true" outlineLevel="0" collapsed="false">
      <c r="B9" s="9" t="s">
        <v>95</v>
      </c>
      <c r="C9" s="10" t="s">
        <v>96</v>
      </c>
      <c r="D9" s="24" t="n">
        <v>2023</v>
      </c>
      <c r="E9" s="25" t="n">
        <v>0.912000000476837</v>
      </c>
    </row>
    <row r="10" customFormat="false" ht="15" hidden="false" customHeight="true" outlineLevel="0" collapsed="false">
      <c r="B10" s="9" t="s">
        <v>98</v>
      </c>
      <c r="C10" s="10" t="s">
        <v>99</v>
      </c>
      <c r="D10" s="24" t="n">
        <v>2023</v>
      </c>
      <c r="E10" s="25" t="n">
        <v>0.731500029563904</v>
      </c>
    </row>
    <row r="11" customFormat="false" ht="15" hidden="false" customHeight="true" outlineLevel="0" collapsed="false">
      <c r="B11" s="9" t="s">
        <v>100</v>
      </c>
      <c r="C11" s="10" t="s">
        <v>101</v>
      </c>
      <c r="D11" s="24" t="n">
        <v>2023</v>
      </c>
      <c r="E11" s="25" t="n">
        <v>0.538999974727631</v>
      </c>
    </row>
    <row r="12" customFormat="false" ht="15" hidden="false" customHeight="true" outlineLevel="0" collapsed="false">
      <c r="B12" s="9" t="s">
        <v>104</v>
      </c>
      <c r="C12" s="10" t="s">
        <v>105</v>
      </c>
      <c r="D12" s="24" t="n">
        <v>2023</v>
      </c>
      <c r="E12" s="25" t="n">
        <v>0.514500021934509</v>
      </c>
    </row>
    <row r="13" customFormat="false" ht="15" hidden="false" customHeight="true" outlineLevel="0" collapsed="false">
      <c r="B13" s="9" t="s">
        <v>106</v>
      </c>
      <c r="C13" s="10" t="s">
        <v>107</v>
      </c>
      <c r="D13" s="24" t="n">
        <v>2023</v>
      </c>
      <c r="E13" s="25" t="n">
        <v>0.718500018119812</v>
      </c>
    </row>
    <row r="14" customFormat="false" ht="15" hidden="false" customHeight="true" outlineLevel="0" collapsed="false">
      <c r="B14" s="9" t="s">
        <v>108</v>
      </c>
      <c r="C14" s="10" t="s">
        <v>109</v>
      </c>
      <c r="D14" s="24" t="n">
        <v>2023</v>
      </c>
      <c r="E14" s="25" t="n">
        <v>0.619000017642975</v>
      </c>
    </row>
    <row r="15" customFormat="false" ht="15" hidden="false" customHeight="true" outlineLevel="0" collapsed="false">
      <c r="B15" s="9" t="s">
        <v>111</v>
      </c>
      <c r="C15" s="10" t="s">
        <v>112</v>
      </c>
      <c r="D15" s="24" t="n">
        <v>2023</v>
      </c>
      <c r="E15" s="25" t="n">
        <v>0.837000012397766</v>
      </c>
    </row>
    <row r="16" customFormat="false" ht="15" hidden="false" customHeight="true" outlineLevel="0" collapsed="false">
      <c r="B16" s="9" t="s">
        <v>113</v>
      </c>
      <c r="C16" s="10" t="s">
        <v>114</v>
      </c>
      <c r="D16" s="24" t="n">
        <v>2023</v>
      </c>
      <c r="E16" s="25" t="n">
        <v>0.749000012874603</v>
      </c>
    </row>
    <row r="17" customFormat="false" ht="15" hidden="false" customHeight="true" outlineLevel="0" collapsed="false">
      <c r="B17" s="9" t="s">
        <v>115</v>
      </c>
      <c r="C17" s="10" t="s">
        <v>116</v>
      </c>
      <c r="D17" s="18"/>
      <c r="E17" s="18"/>
    </row>
    <row r="18" customFormat="false" ht="15" hidden="false" customHeight="true" outlineLevel="0" collapsed="false">
      <c r="B18" s="9" t="s">
        <v>117</v>
      </c>
      <c r="C18" s="10" t="s">
        <v>118</v>
      </c>
      <c r="D18" s="24" t="n">
        <v>2023</v>
      </c>
      <c r="E18" s="25" t="n">
        <v>0.578999996185303</v>
      </c>
    </row>
    <row r="19" customFormat="false" ht="15" hidden="false" customHeight="true" outlineLevel="0" collapsed="false">
      <c r="B19" s="9" t="s">
        <v>119</v>
      </c>
      <c r="C19" s="10" t="s">
        <v>120</v>
      </c>
      <c r="D19" s="24" t="n">
        <v>2023</v>
      </c>
      <c r="E19" s="25" t="n">
        <v>0.603999972343445</v>
      </c>
    </row>
    <row r="20" customFormat="false" ht="15" hidden="false" customHeight="true" outlineLevel="0" collapsed="false">
      <c r="B20" s="9" t="s">
        <v>122</v>
      </c>
      <c r="C20" s="10" t="s">
        <v>123</v>
      </c>
      <c r="D20" s="24" t="n">
        <v>2023</v>
      </c>
      <c r="E20" s="25" t="n">
        <v>0.833500027656555</v>
      </c>
    </row>
    <row r="21" customFormat="false" ht="15" hidden="false" customHeight="true" outlineLevel="0" collapsed="false">
      <c r="B21" s="9" t="s">
        <v>124</v>
      </c>
      <c r="C21" s="10" t="s">
        <v>125</v>
      </c>
      <c r="D21" s="24" t="n">
        <v>2023</v>
      </c>
      <c r="E21" s="25" t="n">
        <v>0.745999991893768</v>
      </c>
    </row>
    <row r="22" customFormat="false" ht="15" hidden="false" customHeight="true" outlineLevel="0" collapsed="false">
      <c r="B22" s="9" t="s">
        <v>126</v>
      </c>
      <c r="C22" s="10" t="s">
        <v>127</v>
      </c>
      <c r="D22" s="24" t="n">
        <v>2023</v>
      </c>
      <c r="E22" s="25" t="n">
        <v>0.658999979496002</v>
      </c>
    </row>
    <row r="23" customFormat="false" ht="15" hidden="false" customHeight="true" outlineLevel="0" collapsed="false">
      <c r="B23" s="9" t="s">
        <v>129</v>
      </c>
      <c r="C23" s="10" t="s">
        <v>130</v>
      </c>
      <c r="D23" s="24" t="n">
        <v>2023</v>
      </c>
      <c r="E23" s="25" t="n">
        <v>0.757000029087067</v>
      </c>
    </row>
    <row r="24" customFormat="false" ht="15" hidden="false" customHeight="true" outlineLevel="0" collapsed="false">
      <c r="B24" s="9" t="s">
        <v>131</v>
      </c>
      <c r="C24" s="10" t="s">
        <v>132</v>
      </c>
      <c r="D24" s="18"/>
      <c r="E24" s="18"/>
    </row>
    <row r="25" customFormat="false" ht="15" hidden="false" customHeight="true" outlineLevel="0" collapsed="false">
      <c r="B25" s="9" t="s">
        <v>133</v>
      </c>
      <c r="C25" s="10" t="s">
        <v>134</v>
      </c>
      <c r="D25" s="24" t="n">
        <v>2023</v>
      </c>
      <c r="E25" s="25" t="n">
        <v>0.795000016689301</v>
      </c>
    </row>
    <row r="26" customFormat="false" ht="15" hidden="false" customHeight="true" outlineLevel="0" collapsed="false">
      <c r="B26" s="9" t="s">
        <v>135</v>
      </c>
      <c r="C26" s="10" t="s">
        <v>136</v>
      </c>
      <c r="D26" s="24" t="n">
        <v>2023</v>
      </c>
      <c r="E26" s="25" t="n">
        <v>0.912000000476837</v>
      </c>
    </row>
    <row r="27" customFormat="false" ht="15" hidden="false" customHeight="true" outlineLevel="0" collapsed="false">
      <c r="B27" s="9" t="s">
        <v>137</v>
      </c>
      <c r="C27" s="10" t="s">
        <v>138</v>
      </c>
      <c r="D27" s="24" t="n">
        <v>2023</v>
      </c>
      <c r="E27" s="25" t="n">
        <v>0.606000006198883</v>
      </c>
    </row>
    <row r="28" customFormat="false" ht="15" hidden="false" customHeight="true" outlineLevel="0" collapsed="false">
      <c r="B28" s="9" t="s">
        <v>139</v>
      </c>
      <c r="C28" s="10" t="s">
        <v>140</v>
      </c>
      <c r="D28" s="24" t="n">
        <v>2023</v>
      </c>
      <c r="E28" s="25" t="n">
        <v>0.834999978542328</v>
      </c>
    </row>
    <row r="29" customFormat="false" ht="27.75" hidden="false" customHeight="true" outlineLevel="0" collapsed="false">
      <c r="B29" s="9" t="s">
        <v>141</v>
      </c>
      <c r="C29" s="10" t="s">
        <v>142</v>
      </c>
      <c r="D29" s="18"/>
      <c r="E29" s="18"/>
    </row>
    <row r="30" customFormat="false" ht="15" hidden="false" customHeight="true" outlineLevel="0" collapsed="false">
      <c r="B30" s="9" t="s">
        <v>143</v>
      </c>
      <c r="C30" s="10" t="s">
        <v>144</v>
      </c>
      <c r="D30" s="24" t="n">
        <v>2023</v>
      </c>
      <c r="E30" s="25" t="n">
        <v>0.639999985694885</v>
      </c>
    </row>
    <row r="31" customFormat="false" ht="15" hidden="false" customHeight="true" outlineLevel="0" collapsed="false">
      <c r="B31" s="9" t="s">
        <v>145</v>
      </c>
      <c r="C31" s="10" t="s">
        <v>146</v>
      </c>
      <c r="D31" s="18"/>
      <c r="E31" s="18"/>
    </row>
    <row r="32" customFormat="false" ht="15" hidden="false" customHeight="true" outlineLevel="0" collapsed="false">
      <c r="B32" s="9" t="s">
        <v>147</v>
      </c>
      <c r="C32" s="10" t="s">
        <v>148</v>
      </c>
      <c r="D32" s="24" t="n">
        <v>2023</v>
      </c>
      <c r="E32" s="25" t="n">
        <v>0.895500004291534</v>
      </c>
    </row>
    <row r="33" customFormat="false" ht="15" hidden="false" customHeight="true" outlineLevel="0" collapsed="false">
      <c r="B33" s="9" t="s">
        <v>149</v>
      </c>
      <c r="C33" s="10" t="s">
        <v>150</v>
      </c>
      <c r="D33" s="24" t="n">
        <v>2023</v>
      </c>
      <c r="E33" s="25" t="n">
        <v>0.494500011205673</v>
      </c>
    </row>
    <row r="34" customFormat="false" ht="15" hidden="false" customHeight="true" outlineLevel="0" collapsed="false">
      <c r="B34" s="9" t="s">
        <v>152</v>
      </c>
      <c r="C34" s="10" t="s">
        <v>153</v>
      </c>
      <c r="D34" s="18"/>
      <c r="E34" s="18"/>
    </row>
    <row r="35" customFormat="false" ht="15" hidden="false" customHeight="true" outlineLevel="0" collapsed="false">
      <c r="B35" s="9" t="s">
        <v>154</v>
      </c>
      <c r="C35" s="10" t="s">
        <v>155</v>
      </c>
      <c r="D35" s="24" t="n">
        <v>2023</v>
      </c>
      <c r="E35" s="25" t="n">
        <v>0.441000014543533</v>
      </c>
    </row>
    <row r="36" customFormat="false" ht="15" hidden="false" customHeight="true" outlineLevel="0" collapsed="false">
      <c r="B36" s="9" t="s">
        <v>156</v>
      </c>
      <c r="C36" s="10" t="s">
        <v>157</v>
      </c>
      <c r="D36" s="24" t="n">
        <v>2023</v>
      </c>
      <c r="E36" s="25" t="n">
        <v>0.847000002861023</v>
      </c>
    </row>
    <row r="37" customFormat="false" ht="15" hidden="false" customHeight="true" outlineLevel="0" collapsed="false">
      <c r="B37" s="9" t="s">
        <v>158</v>
      </c>
      <c r="C37" s="10" t="s">
        <v>159</v>
      </c>
      <c r="D37" s="24" t="n">
        <v>2023</v>
      </c>
      <c r="E37" s="25" t="n">
        <v>0.693499982357025</v>
      </c>
    </row>
    <row r="38" customFormat="false" ht="15" hidden="false" customHeight="true" outlineLevel="0" collapsed="false">
      <c r="B38" s="9" t="s">
        <v>160</v>
      </c>
      <c r="C38" s="10" t="s">
        <v>161</v>
      </c>
      <c r="D38" s="18"/>
      <c r="E38" s="18"/>
    </row>
    <row r="39" customFormat="false" ht="15" hidden="false" customHeight="true" outlineLevel="0" collapsed="false">
      <c r="B39" s="9" t="s">
        <v>162</v>
      </c>
      <c r="C39" s="10" t="s">
        <v>163</v>
      </c>
      <c r="D39" s="24" t="n">
        <v>2023</v>
      </c>
      <c r="E39" s="25" t="n">
        <v>0.875500023365021</v>
      </c>
    </row>
    <row r="40" customFormat="false" ht="15" hidden="false" customHeight="true" outlineLevel="0" collapsed="false">
      <c r="B40" s="9" t="s">
        <v>164</v>
      </c>
      <c r="C40" s="10" t="s">
        <v>165</v>
      </c>
      <c r="D40" s="24" t="n">
        <v>2023</v>
      </c>
      <c r="E40" s="25" t="n">
        <v>0.758499979972839</v>
      </c>
    </row>
    <row r="41" customFormat="false" ht="15" hidden="false" customHeight="true" outlineLevel="0" collapsed="false">
      <c r="B41" s="9" t="s">
        <v>166</v>
      </c>
      <c r="C41" s="10" t="s">
        <v>167</v>
      </c>
      <c r="D41" s="24" t="n">
        <v>2023</v>
      </c>
      <c r="E41" s="25" t="n">
        <v>0.594500005245209</v>
      </c>
    </row>
    <row r="42" customFormat="false" ht="15" hidden="false" customHeight="true" outlineLevel="0" collapsed="false">
      <c r="B42" s="9" t="s">
        <v>168</v>
      </c>
      <c r="C42" s="10" t="s">
        <v>169</v>
      </c>
      <c r="D42" s="24" t="n">
        <v>2023</v>
      </c>
      <c r="E42" s="25" t="n">
        <v>0.448000013828278</v>
      </c>
    </row>
    <row r="43" customFormat="false" ht="15" hidden="false" customHeight="true" outlineLevel="0" collapsed="false">
      <c r="B43" s="9" t="s">
        <v>170</v>
      </c>
      <c r="C43" s="10" t="s">
        <v>171</v>
      </c>
      <c r="D43" s="24" t="n">
        <v>2023</v>
      </c>
      <c r="E43" s="25" t="n">
        <v>0.732999980449677</v>
      </c>
    </row>
    <row r="44" customFormat="false" ht="15" hidden="false" customHeight="true" outlineLevel="0" collapsed="false">
      <c r="B44" s="9" t="s">
        <v>172</v>
      </c>
      <c r="C44" s="10" t="s">
        <v>173</v>
      </c>
      <c r="D44" s="24" t="n">
        <v>2023</v>
      </c>
      <c r="E44" s="25" t="n">
        <v>0.695500016212463</v>
      </c>
    </row>
    <row r="45" customFormat="false" ht="15" hidden="false" customHeight="true" outlineLevel="0" collapsed="false">
      <c r="B45" s="9" t="s">
        <v>174</v>
      </c>
      <c r="C45" s="10" t="s">
        <v>175</v>
      </c>
      <c r="D45" s="18"/>
      <c r="E45" s="18"/>
    </row>
    <row r="46" customFormat="false" ht="15" hidden="false" customHeight="true" outlineLevel="0" collapsed="false">
      <c r="B46" s="9" t="s">
        <v>176</v>
      </c>
      <c r="C46" s="10" t="s">
        <v>177</v>
      </c>
      <c r="D46" s="24" t="n">
        <v>2023</v>
      </c>
      <c r="E46" s="25" t="n">
        <v>0.895500004291534</v>
      </c>
    </row>
    <row r="47" customFormat="false" ht="15" hidden="false" customHeight="true" outlineLevel="0" collapsed="false">
      <c r="B47" s="9" t="s">
        <v>178</v>
      </c>
      <c r="C47" s="10" t="s">
        <v>179</v>
      </c>
      <c r="D47" s="24" t="n">
        <v>2023</v>
      </c>
      <c r="E47" s="25" t="n">
        <v>0.661499977111816</v>
      </c>
    </row>
    <row r="48" customFormat="false" ht="15" hidden="false" customHeight="true" outlineLevel="0" collapsed="false">
      <c r="B48" s="9" t="s">
        <v>180</v>
      </c>
      <c r="C48" s="10" t="s">
        <v>181</v>
      </c>
      <c r="D48" s="24" t="n">
        <v>2023</v>
      </c>
      <c r="E48" s="25" t="n">
        <v>0.366499990224838</v>
      </c>
    </row>
    <row r="49" customFormat="false" ht="15" hidden="false" customHeight="true" outlineLevel="0" collapsed="false">
      <c r="B49" s="9" t="s">
        <v>182</v>
      </c>
      <c r="C49" s="10" t="s">
        <v>183</v>
      </c>
      <c r="D49" s="24" t="n">
        <v>2023</v>
      </c>
      <c r="E49" s="25" t="n">
        <v>0.716499984264374</v>
      </c>
    </row>
    <row r="50" customFormat="false" ht="15" hidden="false" customHeight="true" outlineLevel="0" collapsed="false">
      <c r="B50" s="9" t="s">
        <v>184</v>
      </c>
      <c r="C50" s="10" t="s">
        <v>185</v>
      </c>
      <c r="D50" s="24" t="n">
        <v>2023</v>
      </c>
      <c r="E50" s="25" t="n">
        <v>0.736000001430512</v>
      </c>
    </row>
    <row r="51" customFormat="false" ht="15" hidden="false" customHeight="true" outlineLevel="0" collapsed="false">
      <c r="B51" s="9" t="s">
        <v>186</v>
      </c>
      <c r="C51" s="10" t="s">
        <v>187</v>
      </c>
      <c r="D51" s="24" t="n">
        <v>2023</v>
      </c>
      <c r="E51" s="25" t="n">
        <v>0.549499988555908</v>
      </c>
    </row>
    <row r="52" customFormat="false" ht="15" hidden="false" customHeight="true" outlineLevel="0" collapsed="false">
      <c r="B52" s="9" t="s">
        <v>188</v>
      </c>
      <c r="C52" s="10" t="s">
        <v>189</v>
      </c>
      <c r="D52" s="24" t="n">
        <v>2023</v>
      </c>
      <c r="E52" s="25" t="n">
        <v>0.679499983787537</v>
      </c>
    </row>
    <row r="53" customFormat="false" ht="15" hidden="false" customHeight="true" outlineLevel="0" collapsed="false">
      <c r="B53" s="9" t="s">
        <v>190</v>
      </c>
      <c r="C53" s="10" t="s">
        <v>191</v>
      </c>
      <c r="D53" s="24" t="n">
        <v>2023</v>
      </c>
      <c r="E53" s="25" t="n">
        <v>0.564000010490418</v>
      </c>
    </row>
    <row r="54" customFormat="false" ht="15" hidden="false" customHeight="true" outlineLevel="0" collapsed="false">
      <c r="B54" s="9" t="s">
        <v>192</v>
      </c>
      <c r="C54" s="10" t="s">
        <v>193</v>
      </c>
      <c r="D54" s="24" t="n">
        <v>2023</v>
      </c>
      <c r="E54" s="25" t="n">
        <v>0.519999980926514</v>
      </c>
    </row>
    <row r="55" customFormat="false" ht="15" hidden="false" customHeight="true" outlineLevel="0" collapsed="false">
      <c r="B55" s="9" t="s">
        <v>194</v>
      </c>
      <c r="C55" s="10" t="s">
        <v>195</v>
      </c>
      <c r="D55" s="24" t="n">
        <v>2023</v>
      </c>
      <c r="E55" s="25" t="n">
        <v>0.437000006437302</v>
      </c>
    </row>
    <row r="56" customFormat="false" ht="15" hidden="false" customHeight="true" outlineLevel="0" collapsed="false">
      <c r="B56" s="9" t="s">
        <v>196</v>
      </c>
      <c r="C56" s="10" t="s">
        <v>197</v>
      </c>
      <c r="D56" s="24" t="n">
        <v>2023</v>
      </c>
      <c r="E56" s="25" t="n">
        <v>0.75</v>
      </c>
    </row>
    <row r="57" customFormat="false" ht="15" hidden="false" customHeight="true" outlineLevel="0" collapsed="false">
      <c r="B57" s="9" t="s">
        <v>198</v>
      </c>
      <c r="C57" s="10" t="s">
        <v>199</v>
      </c>
      <c r="D57" s="24" t="n">
        <v>2023</v>
      </c>
      <c r="E57" s="25" t="n">
        <v>0.270999997854233</v>
      </c>
    </row>
    <row r="58" customFormat="false" ht="15" hidden="false" customHeight="true" outlineLevel="0" collapsed="false">
      <c r="B58" s="9" t="s">
        <v>200</v>
      </c>
      <c r="C58" s="10" t="s">
        <v>201</v>
      </c>
      <c r="D58" s="18"/>
      <c r="E58" s="18"/>
    </row>
    <row r="59" customFormat="false" ht="15" hidden="false" customHeight="true" outlineLevel="0" collapsed="false">
      <c r="B59" s="9" t="s">
        <v>202</v>
      </c>
      <c r="C59" s="10" t="s">
        <v>203</v>
      </c>
      <c r="D59" s="24" t="n">
        <v>2023</v>
      </c>
      <c r="E59" s="25" t="n">
        <v>0.50900000333786</v>
      </c>
    </row>
    <row r="60" customFormat="false" ht="15" hidden="false" customHeight="true" outlineLevel="0" collapsed="false">
      <c r="B60" s="9" t="s">
        <v>204</v>
      </c>
      <c r="C60" s="10" t="s">
        <v>205</v>
      </c>
      <c r="D60" s="24" t="n">
        <v>2023</v>
      </c>
      <c r="E60" s="25" t="n">
        <v>0.764999985694885</v>
      </c>
    </row>
    <row r="61" customFormat="false" ht="15" hidden="false" customHeight="true" outlineLevel="0" collapsed="false">
      <c r="B61" s="9" t="s">
        <v>206</v>
      </c>
      <c r="C61" s="10" t="s">
        <v>207</v>
      </c>
      <c r="D61" s="24" t="n">
        <v>2023</v>
      </c>
      <c r="E61" s="25" t="n">
        <v>0.790499985218048</v>
      </c>
    </row>
    <row r="62" customFormat="false" ht="15" hidden="false" customHeight="true" outlineLevel="0" collapsed="false">
      <c r="B62" s="9" t="s">
        <v>208</v>
      </c>
      <c r="C62" s="10" t="s">
        <v>209</v>
      </c>
      <c r="D62" s="24" t="n">
        <v>2023</v>
      </c>
      <c r="E62" s="25" t="n">
        <v>0.644500017166138</v>
      </c>
    </row>
    <row r="63" customFormat="false" ht="15" hidden="false" customHeight="true" outlineLevel="0" collapsed="false">
      <c r="B63" s="9" t="s">
        <v>210</v>
      </c>
      <c r="C63" s="10" t="s">
        <v>211</v>
      </c>
      <c r="D63" s="24" t="n">
        <v>2023</v>
      </c>
      <c r="E63" s="25" t="n">
        <v>0.741500020027161</v>
      </c>
    </row>
    <row r="64" customFormat="false" ht="15" hidden="false" customHeight="true" outlineLevel="0" collapsed="false">
      <c r="B64" s="9" t="s">
        <v>212</v>
      </c>
      <c r="C64" s="10" t="s">
        <v>213</v>
      </c>
      <c r="D64" s="24" t="n">
        <v>2023</v>
      </c>
      <c r="E64" s="25" t="n">
        <v>0.563000023365021</v>
      </c>
    </row>
    <row r="65" customFormat="false" ht="15" hidden="false" customHeight="true" outlineLevel="0" collapsed="false">
      <c r="B65" s="9" t="s">
        <v>214</v>
      </c>
      <c r="C65" s="10" t="s">
        <v>215</v>
      </c>
      <c r="D65" s="24" t="n">
        <v>2023</v>
      </c>
      <c r="E65" s="25" t="n">
        <v>0.637000024318695</v>
      </c>
    </row>
    <row r="66" customFormat="false" ht="15" hidden="false" customHeight="true" outlineLevel="0" collapsed="false">
      <c r="B66" s="9" t="s">
        <v>216</v>
      </c>
      <c r="C66" s="10" t="s">
        <v>217</v>
      </c>
      <c r="D66" s="24" t="n">
        <v>2023</v>
      </c>
      <c r="E66" s="25" t="n">
        <v>0.644500017166138</v>
      </c>
    </row>
    <row r="67" customFormat="false" ht="15" hidden="false" customHeight="true" outlineLevel="0" collapsed="false">
      <c r="B67" s="9" t="s">
        <v>218</v>
      </c>
      <c r="C67" s="10" t="s">
        <v>219</v>
      </c>
      <c r="D67" s="24" t="n">
        <v>2023</v>
      </c>
      <c r="E67" s="25" t="n">
        <v>0.724500000476837</v>
      </c>
    </row>
    <row r="68" customFormat="false" ht="15" hidden="false" customHeight="true" outlineLevel="0" collapsed="false">
      <c r="B68" s="9" t="s">
        <v>220</v>
      </c>
      <c r="C68" s="10" t="s">
        <v>221</v>
      </c>
      <c r="D68" s="24" t="n">
        <v>2023</v>
      </c>
      <c r="E68" s="25" t="n">
        <v>0.462500005960465</v>
      </c>
    </row>
    <row r="69" customFormat="false" ht="15" hidden="false" customHeight="true" outlineLevel="0" collapsed="false">
      <c r="B69" s="9" t="s">
        <v>222</v>
      </c>
      <c r="C69" s="10" t="s">
        <v>223</v>
      </c>
      <c r="D69" s="24" t="n">
        <v>2023</v>
      </c>
      <c r="E69" s="25" t="n">
        <v>0.740000009536743</v>
      </c>
    </row>
    <row r="70" customFormat="false" ht="15" hidden="false" customHeight="true" outlineLevel="0" collapsed="false">
      <c r="B70" s="9" t="s">
        <v>224</v>
      </c>
      <c r="C70" s="10" t="s">
        <v>225</v>
      </c>
      <c r="D70" s="24" t="n">
        <v>2023</v>
      </c>
      <c r="E70" s="25" t="n">
        <v>0.804499983787537</v>
      </c>
    </row>
    <row r="71" customFormat="false" ht="15" hidden="false" customHeight="true" outlineLevel="0" collapsed="false">
      <c r="B71" s="9" t="s">
        <v>226</v>
      </c>
      <c r="C71" s="10" t="s">
        <v>227</v>
      </c>
      <c r="D71" s="24" t="n">
        <v>2023</v>
      </c>
      <c r="E71" s="25" t="n">
        <v>0.638999998569489</v>
      </c>
    </row>
    <row r="72" customFormat="false" ht="15" hidden="false" customHeight="true" outlineLevel="0" collapsed="false">
      <c r="B72" s="9" t="s">
        <v>228</v>
      </c>
      <c r="C72" s="10" t="s">
        <v>229</v>
      </c>
      <c r="D72" s="18"/>
      <c r="E72" s="18"/>
    </row>
    <row r="73" customFormat="false" ht="15" hidden="false" customHeight="true" outlineLevel="0" collapsed="false">
      <c r="B73" s="9" t="s">
        <v>230</v>
      </c>
      <c r="C73" s="10" t="s">
        <v>231</v>
      </c>
      <c r="D73" s="18"/>
      <c r="E73" s="18"/>
    </row>
    <row r="74" customFormat="false" ht="15" hidden="false" customHeight="true" outlineLevel="0" collapsed="false">
      <c r="B74" s="9" t="s">
        <v>232</v>
      </c>
      <c r="C74" s="10" t="s">
        <v>233</v>
      </c>
      <c r="D74" s="24" t="n">
        <v>2023</v>
      </c>
      <c r="E74" s="25" t="n">
        <v>0.60699999332428</v>
      </c>
    </row>
    <row r="75" customFormat="false" ht="15" hidden="false" customHeight="true" outlineLevel="0" collapsed="false">
      <c r="B75" s="9" t="s">
        <v>234</v>
      </c>
      <c r="C75" s="10" t="s">
        <v>235</v>
      </c>
      <c r="D75" s="24" t="n">
        <v>2023</v>
      </c>
      <c r="E75" s="25" t="n">
        <v>0.565500020980835</v>
      </c>
    </row>
    <row r="76" customFormat="false" ht="15" hidden="false" customHeight="true" outlineLevel="0" collapsed="false">
      <c r="B76" s="9" t="s">
        <v>236</v>
      </c>
      <c r="C76" s="10" t="s">
        <v>237</v>
      </c>
      <c r="D76" s="24" t="n">
        <v>2023</v>
      </c>
      <c r="E76" s="25" t="n">
        <v>0.59500002861023</v>
      </c>
    </row>
    <row r="77" customFormat="false" ht="15" hidden="false" customHeight="true" outlineLevel="0" collapsed="false">
      <c r="B77" s="9" t="s">
        <v>238</v>
      </c>
      <c r="C77" s="10" t="s">
        <v>239</v>
      </c>
      <c r="D77" s="24" t="n">
        <v>2023</v>
      </c>
      <c r="E77" s="25" t="n">
        <v>0.500500023365021</v>
      </c>
    </row>
    <row r="78" customFormat="false" ht="15" hidden="false" customHeight="true" outlineLevel="0" collapsed="false">
      <c r="B78" s="9" t="s">
        <v>240</v>
      </c>
      <c r="C78" s="10" t="s">
        <v>241</v>
      </c>
      <c r="D78" s="24" t="n">
        <v>2023</v>
      </c>
      <c r="E78" s="25" t="n">
        <v>0.544000029563904</v>
      </c>
    </row>
    <row r="79" customFormat="false" ht="15" hidden="false" customHeight="true" outlineLevel="0" collapsed="false">
      <c r="B79" s="9" t="s">
        <v>242</v>
      </c>
      <c r="C79" s="10" t="s">
        <v>243</v>
      </c>
      <c r="D79" s="18"/>
      <c r="E79" s="18"/>
    </row>
    <row r="80" customFormat="false" ht="15" hidden="false" customHeight="true" outlineLevel="0" collapsed="false">
      <c r="B80" s="9" t="s">
        <v>244</v>
      </c>
      <c r="C80" s="10" t="s">
        <v>245</v>
      </c>
      <c r="D80" s="24" t="n">
        <v>2023</v>
      </c>
      <c r="E80" s="25" t="n">
        <v>0.854499995708466</v>
      </c>
    </row>
    <row r="81" customFormat="false" ht="15" hidden="false" customHeight="true" outlineLevel="0" collapsed="false">
      <c r="B81" s="9" t="s">
        <v>246</v>
      </c>
      <c r="C81" s="10" t="s">
        <v>247</v>
      </c>
      <c r="D81" s="18"/>
      <c r="E81" s="18"/>
    </row>
    <row r="82" customFormat="false" ht="15" hidden="false" customHeight="true" outlineLevel="0" collapsed="false">
      <c r="B82" s="9" t="s">
        <v>248</v>
      </c>
      <c r="C82" s="10" t="s">
        <v>249</v>
      </c>
      <c r="D82" s="24" t="n">
        <v>2023</v>
      </c>
      <c r="E82" s="25" t="n">
        <v>0.435499995946884</v>
      </c>
    </row>
    <row r="83" customFormat="false" ht="15" hidden="false" customHeight="true" outlineLevel="0" collapsed="false">
      <c r="B83" s="9" t="s">
        <v>250</v>
      </c>
      <c r="C83" s="10" t="s">
        <v>251</v>
      </c>
      <c r="D83" s="24" t="n">
        <v>2023</v>
      </c>
      <c r="E83" s="25" t="n">
        <v>0.53549998998642</v>
      </c>
    </row>
    <row r="84" customFormat="false" ht="15" hidden="false" customHeight="true" outlineLevel="0" collapsed="false">
      <c r="B84" s="9" t="s">
        <v>252</v>
      </c>
      <c r="C84" s="10" t="s">
        <v>253</v>
      </c>
      <c r="D84" s="24" t="n">
        <v>2023</v>
      </c>
      <c r="E84" s="25" t="n">
        <v>0.800999999046326</v>
      </c>
    </row>
    <row r="85" customFormat="false" ht="15" hidden="false" customHeight="true" outlineLevel="0" collapsed="false">
      <c r="B85" s="9" t="s">
        <v>254</v>
      </c>
      <c r="C85" s="10" t="s">
        <v>255</v>
      </c>
      <c r="D85" s="24" t="n">
        <v>2023</v>
      </c>
      <c r="E85" s="25" t="n">
        <v>0.453999996185303</v>
      </c>
    </row>
    <row r="86" customFormat="false" ht="15" hidden="false" customHeight="true" outlineLevel="0" collapsed="false">
      <c r="B86" s="9" t="s">
        <v>256</v>
      </c>
      <c r="C86" s="10" t="s">
        <v>257</v>
      </c>
      <c r="D86" s="24" t="n">
        <v>2023</v>
      </c>
      <c r="E86" s="25" t="n">
        <v>0.893499970436096</v>
      </c>
    </row>
    <row r="87" customFormat="false" ht="15" hidden="false" customHeight="true" outlineLevel="0" collapsed="false">
      <c r="B87" s="9" t="s">
        <v>258</v>
      </c>
      <c r="C87" s="10" t="s">
        <v>259</v>
      </c>
      <c r="D87" s="24" t="n">
        <v>2023</v>
      </c>
      <c r="E87" s="25" t="n">
        <v>0.709500014781952</v>
      </c>
    </row>
    <row r="88" customFormat="false" ht="15" hidden="false" customHeight="true" outlineLevel="0" collapsed="false">
      <c r="B88" s="9" t="s">
        <v>260</v>
      </c>
      <c r="C88" s="10" t="s">
        <v>261</v>
      </c>
      <c r="D88" s="24" t="n">
        <v>2023</v>
      </c>
      <c r="E88" s="25" t="n">
        <v>0.614000022411346</v>
      </c>
    </row>
    <row r="89" customFormat="false" ht="15" hidden="false" customHeight="true" outlineLevel="0" collapsed="false">
      <c r="B89" s="9" t="s">
        <v>262</v>
      </c>
      <c r="C89" s="10" t="s">
        <v>263</v>
      </c>
      <c r="D89" s="24" t="n">
        <v>2023</v>
      </c>
      <c r="E89" s="25" t="n">
        <v>0.505999982357025</v>
      </c>
    </row>
    <row r="90" customFormat="false" ht="15" hidden="false" customHeight="true" outlineLevel="0" collapsed="false">
      <c r="B90" s="9" t="s">
        <v>264</v>
      </c>
      <c r="C90" s="10" t="s">
        <v>265</v>
      </c>
      <c r="D90" s="24" t="n">
        <v>2023</v>
      </c>
      <c r="E90" s="25" t="n">
        <v>0.637000024318695</v>
      </c>
    </row>
    <row r="91" customFormat="false" ht="15" hidden="false" customHeight="true" outlineLevel="0" collapsed="false">
      <c r="B91" s="9" t="s">
        <v>266</v>
      </c>
      <c r="C91" s="10" t="s">
        <v>267</v>
      </c>
      <c r="D91" s="24" t="n">
        <v>2023</v>
      </c>
      <c r="E91" s="25" t="n">
        <v>0.533999979496002</v>
      </c>
    </row>
  </sheetData>
  <autoFilter ref="B3:E91"/>
  <conditionalFormatting sqref="E3:E90">
    <cfRule type="colorScale" priority="2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4" min="4" style="1" width="7"/>
    <col collapsed="false" customWidth="true" hidden="false" outlineLevel="0" max="6" min="5" style="1" width="18"/>
    <col collapsed="false" customWidth="true" hidden="false" outlineLevel="0" max="7" min="7" style="1" width="14"/>
    <col collapsed="false" customWidth="true" hidden="false" outlineLevel="0" max="8" min="8" style="1" width="36"/>
  </cols>
  <sheetData>
    <row r="2" customFormat="false" ht="31.5" hidden="false" customHeight="true" outlineLevel="0" collapsed="false">
      <c r="B2" s="27" t="s">
        <v>299</v>
      </c>
    </row>
    <row r="3" customFormat="false" ht="37.5" hidden="false" customHeight="true" outlineLevel="0" collapsed="false">
      <c r="B3" s="8" t="s">
        <v>61</v>
      </c>
      <c r="C3" s="8" t="s">
        <v>62</v>
      </c>
      <c r="D3" s="8" t="s">
        <v>280</v>
      </c>
      <c r="E3" s="8" t="s">
        <v>300</v>
      </c>
      <c r="F3" s="8" t="s">
        <v>301</v>
      </c>
      <c r="G3" s="8" t="s">
        <v>302</v>
      </c>
      <c r="H3" s="8" t="s">
        <v>303</v>
      </c>
    </row>
    <row r="4" customFormat="false" ht="15" hidden="false" customHeight="true" outlineLevel="0" collapsed="false">
      <c r="B4" s="9" t="s">
        <v>80</v>
      </c>
      <c r="C4" s="10" t="s">
        <v>81</v>
      </c>
      <c r="D4" s="12"/>
      <c r="E4" s="12"/>
      <c r="F4" s="12"/>
      <c r="G4" s="12"/>
      <c r="H4" s="10"/>
    </row>
    <row r="5" customFormat="false" ht="27.75" hidden="false" customHeight="true" outlineLevel="0" collapsed="false">
      <c r="B5" s="9" t="s">
        <v>84</v>
      </c>
      <c r="C5" s="10" t="s">
        <v>85</v>
      </c>
      <c r="D5" s="12" t="n">
        <v>2020</v>
      </c>
      <c r="E5" s="13" t="n">
        <v>22.13</v>
      </c>
      <c r="F5" s="13" t="n">
        <v>29.82</v>
      </c>
      <c r="G5" s="15" t="n">
        <v>1.9</v>
      </c>
      <c r="H5" s="10" t="s">
        <v>304</v>
      </c>
    </row>
    <row r="6" customFormat="false" ht="27.75" hidden="false" customHeight="true" outlineLevel="0" collapsed="false">
      <c r="B6" s="9" t="s">
        <v>88</v>
      </c>
      <c r="C6" s="10" t="s">
        <v>89</v>
      </c>
      <c r="D6" s="12" t="n">
        <v>2020</v>
      </c>
      <c r="E6" s="13" t="n">
        <v>21.15</v>
      </c>
      <c r="F6" s="13" t="n">
        <v>25.29</v>
      </c>
      <c r="G6" s="15" t="n">
        <v>26.9</v>
      </c>
      <c r="H6" s="10" t="s">
        <v>304</v>
      </c>
    </row>
    <row r="7" customFormat="false" ht="27.75" hidden="false" customHeight="true" outlineLevel="0" collapsed="false">
      <c r="B7" s="9" t="s">
        <v>90</v>
      </c>
      <c r="C7" s="10" t="s">
        <v>91</v>
      </c>
      <c r="D7" s="12" t="n">
        <v>2020</v>
      </c>
      <c r="E7" s="13" t="n">
        <v>33.97</v>
      </c>
      <c r="F7" s="13" t="n">
        <v>43.56</v>
      </c>
      <c r="G7" s="15" t="n">
        <v>37.4</v>
      </c>
      <c r="H7" s="10" t="s">
        <v>304</v>
      </c>
    </row>
    <row r="8" customFormat="false" ht="27.75" hidden="false" customHeight="true" outlineLevel="0" collapsed="false">
      <c r="B8" s="9" t="s">
        <v>92</v>
      </c>
      <c r="C8" s="10" t="s">
        <v>93</v>
      </c>
      <c r="D8" s="12" t="n">
        <v>2020</v>
      </c>
      <c r="E8" s="13" t="n">
        <v>12.58</v>
      </c>
      <c r="F8" s="13" t="n">
        <v>13.96</v>
      </c>
      <c r="G8" s="15" t="n">
        <v>9.42</v>
      </c>
      <c r="H8" s="10" t="s">
        <v>304</v>
      </c>
    </row>
    <row r="9" customFormat="false" ht="27.75" hidden="false" customHeight="true" outlineLevel="0" collapsed="false">
      <c r="B9" s="9" t="s">
        <v>95</v>
      </c>
      <c r="C9" s="10" t="s">
        <v>96</v>
      </c>
      <c r="D9" s="12" t="n">
        <v>2020</v>
      </c>
      <c r="E9" s="13" t="n">
        <v>9.15</v>
      </c>
      <c r="F9" s="13" t="n">
        <v>10.12</v>
      </c>
      <c r="G9" s="15" t="n">
        <v>12.21</v>
      </c>
      <c r="H9" s="10" t="s">
        <v>304</v>
      </c>
    </row>
    <row r="10" customFormat="false" ht="27.75" hidden="false" customHeight="true" outlineLevel="0" collapsed="false">
      <c r="B10" s="9" t="s">
        <v>98</v>
      </c>
      <c r="C10" s="10" t="s">
        <v>99</v>
      </c>
      <c r="D10" s="12" t="n">
        <v>2020</v>
      </c>
      <c r="E10" s="13" t="n">
        <v>39.05</v>
      </c>
      <c r="F10" s="13" t="n">
        <v>54.84</v>
      </c>
      <c r="G10" s="15" t="n">
        <v>65.17</v>
      </c>
      <c r="H10" s="10" t="s">
        <v>304</v>
      </c>
    </row>
    <row r="11" customFormat="false" ht="27.75" hidden="false" customHeight="true" outlineLevel="0" collapsed="false">
      <c r="B11" s="9" t="s">
        <v>100</v>
      </c>
      <c r="C11" s="10" t="s">
        <v>101</v>
      </c>
      <c r="D11" s="12" t="n">
        <v>2020</v>
      </c>
      <c r="E11" s="13" t="n">
        <v>25.73</v>
      </c>
      <c r="F11" s="13" t="n">
        <v>34.01</v>
      </c>
      <c r="G11" s="15" t="n">
        <v>55.8</v>
      </c>
      <c r="H11" s="10" t="s">
        <v>304</v>
      </c>
    </row>
    <row r="12" customFormat="false" ht="27.75" hidden="false" customHeight="true" outlineLevel="0" collapsed="false">
      <c r="B12" s="9" t="s">
        <v>104</v>
      </c>
      <c r="C12" s="10" t="s">
        <v>105</v>
      </c>
      <c r="D12" s="12" t="n">
        <v>2020</v>
      </c>
      <c r="E12" s="13" t="n">
        <v>14.5</v>
      </c>
      <c r="F12" s="13" t="n">
        <v>22.36</v>
      </c>
      <c r="G12" s="15" t="n">
        <v>0.06</v>
      </c>
      <c r="H12" s="10" t="s">
        <v>304</v>
      </c>
    </row>
    <row r="13" customFormat="false" ht="27.75" hidden="false" customHeight="true" outlineLevel="0" collapsed="false">
      <c r="B13" s="9" t="s">
        <v>106</v>
      </c>
      <c r="C13" s="10" t="s">
        <v>107</v>
      </c>
      <c r="D13" s="12" t="n">
        <v>2020</v>
      </c>
      <c r="E13" s="13" t="n">
        <v>23.76</v>
      </c>
      <c r="F13" s="13" t="n">
        <v>31.28</v>
      </c>
      <c r="G13" s="15" t="n">
        <v>14.2</v>
      </c>
      <c r="H13" s="10" t="s">
        <v>304</v>
      </c>
    </row>
    <row r="14" customFormat="false" ht="27.75" hidden="false" customHeight="true" outlineLevel="0" collapsed="false">
      <c r="B14" s="9" t="s">
        <v>108</v>
      </c>
      <c r="C14" s="10" t="s">
        <v>109</v>
      </c>
      <c r="D14" s="12" t="n">
        <v>2020</v>
      </c>
      <c r="E14" s="13" t="n">
        <v>36.77</v>
      </c>
      <c r="F14" s="13" t="n">
        <v>43.1</v>
      </c>
      <c r="G14" s="15" t="n">
        <v>4.4</v>
      </c>
      <c r="H14" s="10" t="s">
        <v>304</v>
      </c>
    </row>
    <row r="15" customFormat="false" ht="27.75" hidden="false" customHeight="true" outlineLevel="0" collapsed="false">
      <c r="B15" s="9" t="s">
        <v>111</v>
      </c>
      <c r="C15" s="10" t="s">
        <v>112</v>
      </c>
      <c r="D15" s="12" t="n">
        <v>2020</v>
      </c>
      <c r="E15" s="13" t="n">
        <v>54.87</v>
      </c>
      <c r="F15" s="13" t="n">
        <v>64.16</v>
      </c>
      <c r="G15" s="15" t="n">
        <v>65.44</v>
      </c>
      <c r="H15" s="10" t="s">
        <v>304</v>
      </c>
    </row>
    <row r="16" customFormat="false" ht="27.75" hidden="false" customHeight="true" outlineLevel="0" collapsed="false">
      <c r="B16" s="9" t="s">
        <v>113</v>
      </c>
      <c r="C16" s="10" t="s">
        <v>114</v>
      </c>
      <c r="D16" s="12" t="n">
        <v>2020</v>
      </c>
      <c r="E16" s="13" t="n">
        <v>33.38</v>
      </c>
      <c r="F16" s="13" t="n">
        <v>40.02</v>
      </c>
      <c r="G16" s="15" t="n">
        <v>33.04</v>
      </c>
      <c r="H16" s="10" t="s">
        <v>304</v>
      </c>
    </row>
    <row r="17" customFormat="false" ht="27.75" hidden="false" customHeight="true" outlineLevel="0" collapsed="false">
      <c r="B17" s="9" t="s">
        <v>115</v>
      </c>
      <c r="C17" s="10" t="s">
        <v>116</v>
      </c>
      <c r="D17" s="12" t="n">
        <v>2020</v>
      </c>
      <c r="E17" s="13" t="n">
        <v>22.83</v>
      </c>
      <c r="F17" s="13" t="n">
        <v>27.74</v>
      </c>
      <c r="G17" s="15" t="n">
        <v>66.9</v>
      </c>
      <c r="H17" s="10" t="s">
        <v>304</v>
      </c>
    </row>
    <row r="18" customFormat="false" ht="27.75" hidden="false" customHeight="true" outlineLevel="0" collapsed="false">
      <c r="B18" s="9" t="s">
        <v>117</v>
      </c>
      <c r="C18" s="10" t="s">
        <v>118</v>
      </c>
      <c r="D18" s="12" t="n">
        <v>2020</v>
      </c>
      <c r="E18" s="13" t="n">
        <v>25.67</v>
      </c>
      <c r="F18" s="13" t="n">
        <v>31.01</v>
      </c>
      <c r="G18" s="15" t="n">
        <v>14.7</v>
      </c>
      <c r="H18" s="10" t="s">
        <v>304</v>
      </c>
    </row>
    <row r="19" customFormat="false" ht="27.75" hidden="false" customHeight="true" outlineLevel="0" collapsed="false">
      <c r="B19" s="9" t="s">
        <v>119</v>
      </c>
      <c r="C19" s="10" t="s">
        <v>120</v>
      </c>
      <c r="D19" s="12" t="n">
        <v>2020</v>
      </c>
      <c r="E19" s="13" t="n">
        <v>13.89</v>
      </c>
      <c r="F19" s="13" t="n">
        <v>15.95</v>
      </c>
      <c r="G19" s="15" t="n">
        <v>8.62</v>
      </c>
      <c r="H19" s="10" t="s">
        <v>304</v>
      </c>
    </row>
    <row r="20" customFormat="false" ht="27.75" hidden="false" customHeight="true" outlineLevel="0" collapsed="false">
      <c r="B20" s="9" t="s">
        <v>122</v>
      </c>
      <c r="C20" s="10" t="s">
        <v>123</v>
      </c>
      <c r="D20" s="12" t="n">
        <v>2020</v>
      </c>
      <c r="E20" s="13" t="n">
        <v>7.91</v>
      </c>
      <c r="F20" s="13" t="n">
        <v>8.52</v>
      </c>
      <c r="G20" s="15" t="n">
        <v>14.34</v>
      </c>
      <c r="H20" s="10" t="s">
        <v>304</v>
      </c>
    </row>
    <row r="21" customFormat="false" ht="27.75" hidden="false" customHeight="true" outlineLevel="0" collapsed="false">
      <c r="B21" s="9" t="s">
        <v>124</v>
      </c>
      <c r="C21" s="10" t="s">
        <v>125</v>
      </c>
      <c r="D21" s="12" t="n">
        <v>2020</v>
      </c>
      <c r="E21" s="13" t="n">
        <v>15.38</v>
      </c>
      <c r="F21" s="13" t="n">
        <v>19.44</v>
      </c>
      <c r="G21" s="15" t="n">
        <v>23.05</v>
      </c>
      <c r="H21" s="10" t="s">
        <v>304</v>
      </c>
    </row>
    <row r="22" customFormat="false" ht="27.75" hidden="false" customHeight="true" outlineLevel="0" collapsed="false">
      <c r="B22" s="9" t="s">
        <v>126</v>
      </c>
      <c r="C22" s="10" t="s">
        <v>127</v>
      </c>
      <c r="D22" s="12" t="n">
        <v>2020</v>
      </c>
      <c r="E22" s="13" t="n">
        <v>8.02</v>
      </c>
      <c r="F22" s="13" t="n">
        <v>11.64</v>
      </c>
      <c r="G22" s="15" t="n">
        <v>22.84</v>
      </c>
      <c r="H22" s="10" t="s">
        <v>304</v>
      </c>
    </row>
    <row r="23" customFormat="false" ht="27.75" hidden="false" customHeight="true" outlineLevel="0" collapsed="false">
      <c r="B23" s="9" t="s">
        <v>129</v>
      </c>
      <c r="C23" s="10" t="s">
        <v>130</v>
      </c>
      <c r="D23" s="12" t="n">
        <v>2020</v>
      </c>
      <c r="E23" s="13" t="n">
        <v>28.66</v>
      </c>
      <c r="F23" s="13" t="n">
        <v>36.74</v>
      </c>
      <c r="G23" s="15" t="n">
        <v>51.31</v>
      </c>
      <c r="H23" s="10" t="s">
        <v>304</v>
      </c>
    </row>
    <row r="24" customFormat="false" ht="15" hidden="false" customHeight="true" outlineLevel="0" collapsed="false">
      <c r="B24" s="9" t="s">
        <v>131</v>
      </c>
      <c r="C24" s="10" t="s">
        <v>132</v>
      </c>
      <c r="D24" s="12"/>
      <c r="E24" s="12"/>
      <c r="F24" s="12"/>
      <c r="G24" s="12"/>
      <c r="H24" s="10"/>
    </row>
    <row r="25" customFormat="false" ht="27.75" hidden="false" customHeight="true" outlineLevel="0" collapsed="false">
      <c r="B25" s="9" t="s">
        <v>133</v>
      </c>
      <c r="C25" s="10" t="s">
        <v>134</v>
      </c>
      <c r="D25" s="12" t="n">
        <v>2020</v>
      </c>
      <c r="E25" s="13" t="n">
        <v>16.66</v>
      </c>
      <c r="F25" s="13" t="n">
        <v>17.57</v>
      </c>
      <c r="G25" s="15" t="n">
        <v>16.89</v>
      </c>
      <c r="H25" s="10" t="s">
        <v>304</v>
      </c>
    </row>
    <row r="26" customFormat="false" ht="27.75" hidden="false" customHeight="true" outlineLevel="0" collapsed="false">
      <c r="B26" s="9" t="s">
        <v>135</v>
      </c>
      <c r="C26" s="10" t="s">
        <v>136</v>
      </c>
      <c r="D26" s="12" t="n">
        <v>2020</v>
      </c>
      <c r="E26" s="13" t="n">
        <v>14.82</v>
      </c>
      <c r="F26" s="13" t="n">
        <v>15.63</v>
      </c>
      <c r="G26" s="15" t="n">
        <v>8.73</v>
      </c>
      <c r="H26" s="10" t="s">
        <v>304</v>
      </c>
    </row>
    <row r="27" customFormat="false" ht="27.75" hidden="false" customHeight="true" outlineLevel="0" collapsed="false">
      <c r="B27" s="9" t="s">
        <v>137</v>
      </c>
      <c r="C27" s="10" t="s">
        <v>138</v>
      </c>
      <c r="D27" s="12" t="n">
        <v>2020</v>
      </c>
      <c r="E27" s="13" t="n">
        <v>16.09</v>
      </c>
      <c r="F27" s="13" t="n">
        <v>17.09</v>
      </c>
      <c r="G27" s="15" t="n">
        <v>8.52</v>
      </c>
      <c r="H27" s="10" t="s">
        <v>304</v>
      </c>
    </row>
    <row r="28" customFormat="false" ht="27.75" hidden="false" customHeight="true" outlineLevel="0" collapsed="false">
      <c r="B28" s="9" t="s">
        <v>139</v>
      </c>
      <c r="C28" s="10" t="s">
        <v>140</v>
      </c>
      <c r="D28" s="12" t="n">
        <v>2020</v>
      </c>
      <c r="E28" s="13" t="n">
        <v>26.01</v>
      </c>
      <c r="F28" s="13" t="n">
        <v>29.74</v>
      </c>
      <c r="G28" s="15" t="n">
        <v>36.92</v>
      </c>
      <c r="H28" s="10" t="s">
        <v>304</v>
      </c>
    </row>
    <row r="29" customFormat="false" ht="27.75" hidden="false" customHeight="true" outlineLevel="0" collapsed="false">
      <c r="B29" s="9" t="s">
        <v>141</v>
      </c>
      <c r="C29" s="10" t="s">
        <v>142</v>
      </c>
      <c r="D29" s="12"/>
      <c r="E29" s="12"/>
      <c r="F29" s="12"/>
      <c r="G29" s="12"/>
      <c r="H29" s="10"/>
    </row>
    <row r="30" customFormat="false" ht="27.75" hidden="false" customHeight="true" outlineLevel="0" collapsed="false">
      <c r="B30" s="9" t="s">
        <v>143</v>
      </c>
      <c r="C30" s="10" t="s">
        <v>144</v>
      </c>
      <c r="D30" s="12" t="n">
        <v>2020</v>
      </c>
      <c r="E30" s="13" t="n">
        <v>29.33</v>
      </c>
      <c r="F30" s="13" t="n">
        <v>31.58</v>
      </c>
      <c r="G30" s="15" t="n">
        <v>27.4</v>
      </c>
      <c r="H30" s="10" t="s">
        <v>304</v>
      </c>
    </row>
    <row r="31" customFormat="false" ht="15" hidden="false" customHeight="true" outlineLevel="0" collapsed="false">
      <c r="B31" s="9" t="s">
        <v>145</v>
      </c>
      <c r="C31" s="10" t="s">
        <v>146</v>
      </c>
      <c r="D31" s="12"/>
      <c r="E31" s="12"/>
      <c r="F31" s="12"/>
      <c r="G31" s="12"/>
      <c r="H31" s="10"/>
    </row>
    <row r="32" customFormat="false" ht="27.75" hidden="false" customHeight="true" outlineLevel="0" collapsed="false">
      <c r="B32" s="9" t="s">
        <v>147</v>
      </c>
      <c r="C32" s="10" t="s">
        <v>148</v>
      </c>
      <c r="D32" s="12" t="n">
        <v>2020</v>
      </c>
      <c r="E32" s="13" t="n">
        <v>20.58</v>
      </c>
      <c r="F32" s="13" t="n">
        <v>23.4</v>
      </c>
      <c r="G32" s="15" t="n">
        <v>16.06</v>
      </c>
      <c r="H32" s="10" t="s">
        <v>304</v>
      </c>
    </row>
    <row r="33" customFormat="false" ht="27.75" hidden="false" customHeight="true" outlineLevel="0" collapsed="false">
      <c r="B33" s="9" t="s">
        <v>149</v>
      </c>
      <c r="C33" s="10" t="s">
        <v>150</v>
      </c>
      <c r="D33" s="12" t="n">
        <v>2020</v>
      </c>
      <c r="E33" s="13" t="n">
        <v>22.75</v>
      </c>
      <c r="F33" s="13" t="n">
        <v>34.29</v>
      </c>
      <c r="G33" s="15" t="n">
        <v>46.6</v>
      </c>
      <c r="H33" s="10" t="s">
        <v>304</v>
      </c>
    </row>
    <row r="34" customFormat="false" ht="27.75" hidden="false" customHeight="true" outlineLevel="0" collapsed="false">
      <c r="B34" s="9" t="s">
        <v>152</v>
      </c>
      <c r="C34" s="10" t="s">
        <v>153</v>
      </c>
      <c r="D34" s="12" t="n">
        <v>2020</v>
      </c>
      <c r="E34" s="13" t="n">
        <v>29.78</v>
      </c>
      <c r="F34" s="13" t="n">
        <v>33.04</v>
      </c>
      <c r="G34" s="15" t="n">
        <v>22.08</v>
      </c>
      <c r="H34" s="10" t="s">
        <v>304</v>
      </c>
    </row>
    <row r="35" customFormat="false" ht="27.75" hidden="false" customHeight="true" outlineLevel="0" collapsed="false">
      <c r="B35" s="9" t="s">
        <v>154</v>
      </c>
      <c r="C35" s="10" t="s">
        <v>155</v>
      </c>
      <c r="D35" s="12" t="n">
        <v>2020</v>
      </c>
      <c r="E35" s="13" t="n">
        <v>11.69</v>
      </c>
      <c r="F35" s="13" t="n">
        <v>12.83</v>
      </c>
      <c r="G35" s="15" t="n">
        <v>15.58</v>
      </c>
      <c r="H35" s="10" t="s">
        <v>304</v>
      </c>
    </row>
    <row r="36" customFormat="false" ht="27.75" hidden="false" customHeight="true" outlineLevel="0" collapsed="false">
      <c r="B36" s="9" t="s">
        <v>156</v>
      </c>
      <c r="C36" s="10" t="s">
        <v>157</v>
      </c>
      <c r="D36" s="12" t="n">
        <v>2020</v>
      </c>
      <c r="E36" s="13" t="n">
        <v>58.19</v>
      </c>
      <c r="F36" s="13" t="n">
        <v>61.79</v>
      </c>
      <c r="G36" s="15" t="n">
        <v>50.81</v>
      </c>
      <c r="H36" s="10" t="s">
        <v>304</v>
      </c>
    </row>
    <row r="37" customFormat="false" ht="27.75" hidden="false" customHeight="true" outlineLevel="0" collapsed="false">
      <c r="B37" s="9" t="s">
        <v>158</v>
      </c>
      <c r="C37" s="10" t="s">
        <v>159</v>
      </c>
      <c r="D37" s="12" t="n">
        <v>2020</v>
      </c>
      <c r="E37" s="13" t="n">
        <v>35.55</v>
      </c>
      <c r="F37" s="13" t="n">
        <v>37.71</v>
      </c>
      <c r="G37" s="15" t="n">
        <v>68.7</v>
      </c>
      <c r="H37" s="10" t="s">
        <v>304</v>
      </c>
    </row>
    <row r="38" customFormat="false" ht="15" hidden="false" customHeight="true" outlineLevel="0" collapsed="false">
      <c r="B38" s="9" t="s">
        <v>160</v>
      </c>
      <c r="C38" s="10" t="s">
        <v>161</v>
      </c>
      <c r="D38" s="12"/>
      <c r="E38" s="12"/>
      <c r="F38" s="12"/>
      <c r="G38" s="12"/>
      <c r="H38" s="10"/>
    </row>
    <row r="39" customFormat="false" ht="27.75" hidden="false" customHeight="true" outlineLevel="0" collapsed="false">
      <c r="B39" s="9" t="s">
        <v>162</v>
      </c>
      <c r="C39" s="10" t="s">
        <v>163</v>
      </c>
      <c r="D39" s="12" t="n">
        <v>2020</v>
      </c>
      <c r="E39" s="13" t="n">
        <v>22.46</v>
      </c>
      <c r="F39" s="13" t="n">
        <v>22.85</v>
      </c>
      <c r="G39" s="15" t="n">
        <v>11.92</v>
      </c>
      <c r="H39" s="10" t="s">
        <v>304</v>
      </c>
    </row>
    <row r="40" customFormat="false" ht="27.75" hidden="false" customHeight="true" outlineLevel="0" collapsed="false">
      <c r="B40" s="9" t="s">
        <v>164</v>
      </c>
      <c r="C40" s="10" t="s">
        <v>165</v>
      </c>
      <c r="D40" s="12" t="n">
        <v>2020</v>
      </c>
      <c r="E40" s="13" t="n">
        <v>14.88</v>
      </c>
      <c r="F40" s="13" t="n">
        <v>17.85</v>
      </c>
      <c r="G40" s="15" t="n">
        <v>50.65</v>
      </c>
      <c r="H40" s="10" t="s">
        <v>304</v>
      </c>
    </row>
    <row r="41" customFormat="false" ht="27.75" hidden="false" customHeight="true" outlineLevel="0" collapsed="false">
      <c r="B41" s="9" t="s">
        <v>166</v>
      </c>
      <c r="C41" s="10" t="s">
        <v>167</v>
      </c>
      <c r="D41" s="12" t="n">
        <v>2020</v>
      </c>
      <c r="E41" s="13" t="n">
        <v>15.94</v>
      </c>
      <c r="F41" s="13" t="n">
        <v>21.7</v>
      </c>
      <c r="G41" s="15" t="n">
        <v>75.76</v>
      </c>
      <c r="H41" s="10" t="s">
        <v>304</v>
      </c>
    </row>
    <row r="42" customFormat="false" ht="27.75" hidden="false" customHeight="true" outlineLevel="0" collapsed="false">
      <c r="B42" s="9" t="s">
        <v>168</v>
      </c>
      <c r="C42" s="10" t="s">
        <v>169</v>
      </c>
      <c r="D42" s="12" t="n">
        <v>2020</v>
      </c>
      <c r="E42" s="13" t="n">
        <v>16.18</v>
      </c>
      <c r="F42" s="13" t="n">
        <v>18.12</v>
      </c>
      <c r="G42" s="15" t="n">
        <v>60.06</v>
      </c>
      <c r="H42" s="10" t="s">
        <v>304</v>
      </c>
    </row>
    <row r="43" customFormat="false" ht="15" hidden="false" customHeight="true" outlineLevel="0" collapsed="false">
      <c r="B43" s="9" t="s">
        <v>170</v>
      </c>
      <c r="C43" s="10" t="s">
        <v>171</v>
      </c>
      <c r="D43" s="12"/>
      <c r="E43" s="12"/>
      <c r="F43" s="12"/>
      <c r="G43" s="12"/>
      <c r="H43" s="10"/>
    </row>
    <row r="44" customFormat="false" ht="27.75" hidden="false" customHeight="true" outlineLevel="0" collapsed="false">
      <c r="B44" s="9" t="s">
        <v>172</v>
      </c>
      <c r="C44" s="10" t="s">
        <v>173</v>
      </c>
      <c r="D44" s="12" t="n">
        <v>2020</v>
      </c>
      <c r="E44" s="13" t="n">
        <v>14.66</v>
      </c>
      <c r="F44" s="13" t="n">
        <v>15.94</v>
      </c>
      <c r="G44" s="15" t="n">
        <v>10.8</v>
      </c>
      <c r="H44" s="10" t="s">
        <v>304</v>
      </c>
    </row>
    <row r="45" customFormat="false" ht="27.75" hidden="false" customHeight="true" outlineLevel="0" collapsed="false">
      <c r="B45" s="9" t="s">
        <v>174</v>
      </c>
      <c r="C45" s="10" t="s">
        <v>175</v>
      </c>
      <c r="D45" s="12" t="n">
        <v>2020</v>
      </c>
      <c r="E45" s="13" t="n">
        <v>19.2</v>
      </c>
      <c r="F45" s="13" t="n">
        <v>20.22</v>
      </c>
      <c r="G45" s="15" t="n">
        <v>12.43</v>
      </c>
      <c r="H45" s="10" t="s">
        <v>304</v>
      </c>
    </row>
    <row r="46" customFormat="false" ht="27.75" hidden="false" customHeight="true" outlineLevel="0" collapsed="false">
      <c r="B46" s="9" t="s">
        <v>176</v>
      </c>
      <c r="C46" s="10" t="s">
        <v>177</v>
      </c>
      <c r="D46" s="12" t="n">
        <v>2020</v>
      </c>
      <c r="E46" s="13" t="n">
        <v>26.13</v>
      </c>
      <c r="F46" s="13" t="n">
        <v>29.83</v>
      </c>
      <c r="G46" s="15" t="n">
        <v>22.52</v>
      </c>
      <c r="H46" s="10" t="s">
        <v>304</v>
      </c>
    </row>
    <row r="47" customFormat="false" ht="27.75" hidden="false" customHeight="true" outlineLevel="0" collapsed="false">
      <c r="B47" s="9" t="s">
        <v>178</v>
      </c>
      <c r="C47" s="10" t="s">
        <v>179</v>
      </c>
      <c r="D47" s="12" t="n">
        <v>2020</v>
      </c>
      <c r="E47" s="13" t="n">
        <v>32.36</v>
      </c>
      <c r="F47" s="13" t="n">
        <v>37.61</v>
      </c>
      <c r="G47" s="15" t="n">
        <v>37.8</v>
      </c>
      <c r="H47" s="10" t="s">
        <v>304</v>
      </c>
    </row>
    <row r="48" customFormat="false" ht="27.75" hidden="false" customHeight="true" outlineLevel="0" collapsed="false">
      <c r="B48" s="9" t="s">
        <v>180</v>
      </c>
      <c r="C48" s="10" t="s">
        <v>181</v>
      </c>
      <c r="D48" s="12" t="n">
        <v>2020</v>
      </c>
      <c r="E48" s="13" t="n">
        <v>10.21</v>
      </c>
      <c r="F48" s="13" t="n">
        <v>10.44</v>
      </c>
      <c r="G48" s="15" t="n">
        <v>9.98</v>
      </c>
      <c r="H48" s="10" t="s">
        <v>304</v>
      </c>
    </row>
    <row r="49" customFormat="false" ht="27.75" hidden="false" customHeight="true" outlineLevel="0" collapsed="false">
      <c r="B49" s="9" t="s">
        <v>182</v>
      </c>
      <c r="C49" s="10" t="s">
        <v>183</v>
      </c>
      <c r="D49" s="12" t="n">
        <v>2020</v>
      </c>
      <c r="E49" s="13" t="n">
        <v>35.47</v>
      </c>
      <c r="F49" s="13" t="n">
        <v>38.39</v>
      </c>
      <c r="G49" s="15" t="n">
        <v>23.4</v>
      </c>
      <c r="H49" s="10" t="s">
        <v>304</v>
      </c>
    </row>
    <row r="50" customFormat="false" ht="27.75" hidden="false" customHeight="true" outlineLevel="0" collapsed="false">
      <c r="B50" s="9" t="s">
        <v>184</v>
      </c>
      <c r="C50" s="10" t="s">
        <v>185</v>
      </c>
      <c r="D50" s="12" t="n">
        <v>2020</v>
      </c>
      <c r="E50" s="13" t="n">
        <v>33.18</v>
      </c>
      <c r="F50" s="13" t="n">
        <v>37.6</v>
      </c>
      <c r="G50" s="15" t="n">
        <v>36.35</v>
      </c>
      <c r="H50" s="10" t="s">
        <v>304</v>
      </c>
    </row>
    <row r="51" customFormat="false" ht="15" hidden="false" customHeight="true" outlineLevel="0" collapsed="false">
      <c r="B51" s="9" t="s">
        <v>186</v>
      </c>
      <c r="C51" s="10" t="s">
        <v>187</v>
      </c>
      <c r="D51" s="12"/>
      <c r="E51" s="12"/>
      <c r="F51" s="12"/>
      <c r="G51" s="12"/>
      <c r="H51" s="10"/>
    </row>
    <row r="52" customFormat="false" ht="27.75" hidden="false" customHeight="true" outlineLevel="0" collapsed="false">
      <c r="B52" s="9" t="s">
        <v>188</v>
      </c>
      <c r="C52" s="10" t="s">
        <v>189</v>
      </c>
      <c r="D52" s="12" t="n">
        <v>2020</v>
      </c>
      <c r="E52" s="13" t="n">
        <v>22.52</v>
      </c>
      <c r="F52" s="13" t="n">
        <v>26.04</v>
      </c>
      <c r="G52" s="15" t="n">
        <v>24.43</v>
      </c>
      <c r="H52" s="10" t="s">
        <v>304</v>
      </c>
    </row>
    <row r="53" customFormat="false" ht="27.75" hidden="false" customHeight="true" outlineLevel="0" collapsed="false">
      <c r="B53" s="9" t="s">
        <v>190</v>
      </c>
      <c r="C53" s="10" t="s">
        <v>191</v>
      </c>
      <c r="D53" s="12" t="n">
        <v>2020</v>
      </c>
      <c r="E53" s="13" t="n">
        <v>14.39</v>
      </c>
      <c r="F53" s="13" t="n">
        <v>21.82</v>
      </c>
      <c r="G53" s="15" t="n">
        <v>0.97</v>
      </c>
      <c r="H53" s="10" t="s">
        <v>304</v>
      </c>
    </row>
    <row r="54" customFormat="false" ht="27.75" hidden="false" customHeight="true" outlineLevel="0" collapsed="false">
      <c r="B54" s="9" t="s">
        <v>192</v>
      </c>
      <c r="C54" s="10" t="s">
        <v>193</v>
      </c>
      <c r="D54" s="12" t="n">
        <v>2020</v>
      </c>
      <c r="E54" s="13" t="n">
        <v>20</v>
      </c>
      <c r="F54" s="13" t="n">
        <v>28.07</v>
      </c>
      <c r="G54" s="15" t="n">
        <v>84.4</v>
      </c>
      <c r="H54" s="10" t="s">
        <v>304</v>
      </c>
    </row>
    <row r="55" customFormat="false" ht="27.75" hidden="false" customHeight="true" outlineLevel="0" collapsed="false">
      <c r="B55" s="9" t="s">
        <v>194</v>
      </c>
      <c r="C55" s="10" t="s">
        <v>195</v>
      </c>
      <c r="D55" s="12" t="n">
        <v>2020</v>
      </c>
      <c r="E55" s="13" t="n">
        <v>29.37</v>
      </c>
      <c r="F55" s="13" t="n">
        <v>33.86</v>
      </c>
      <c r="G55" s="15" t="n">
        <v>29</v>
      </c>
      <c r="H55" s="10" t="s">
        <v>304</v>
      </c>
    </row>
    <row r="56" customFormat="false" ht="27.75" hidden="false" customHeight="true" outlineLevel="0" collapsed="false">
      <c r="B56" s="9" t="s">
        <v>196</v>
      </c>
      <c r="C56" s="10" t="s">
        <v>197</v>
      </c>
      <c r="D56" s="12" t="n">
        <v>2020</v>
      </c>
      <c r="E56" s="13" t="n">
        <v>32.88</v>
      </c>
      <c r="F56" s="13" t="n">
        <v>41.93</v>
      </c>
      <c r="G56" s="15" t="n">
        <v>42.5</v>
      </c>
      <c r="H56" s="10" t="s">
        <v>304</v>
      </c>
    </row>
    <row r="57" customFormat="false" ht="15" hidden="false" customHeight="true" outlineLevel="0" collapsed="false">
      <c r="B57" s="9" t="s">
        <v>198</v>
      </c>
      <c r="C57" s="10" t="s">
        <v>199</v>
      </c>
      <c r="D57" s="12"/>
      <c r="E57" s="12"/>
      <c r="F57" s="12"/>
      <c r="G57" s="12"/>
      <c r="H57" s="10"/>
    </row>
    <row r="58" customFormat="false" ht="27.75" hidden="false" customHeight="true" outlineLevel="0" collapsed="false">
      <c r="B58" s="9" t="s">
        <v>200</v>
      </c>
      <c r="C58" s="10" t="s">
        <v>201</v>
      </c>
      <c r="D58" s="12" t="n">
        <v>2020</v>
      </c>
      <c r="E58" s="13" t="n">
        <v>35.74</v>
      </c>
      <c r="F58" s="13" t="n">
        <v>44.12</v>
      </c>
      <c r="G58" s="15" t="n">
        <v>88.8</v>
      </c>
      <c r="H58" s="10" t="s">
        <v>304</v>
      </c>
    </row>
    <row r="59" customFormat="false" ht="27.75" hidden="false" customHeight="true" outlineLevel="0" collapsed="false">
      <c r="B59" s="9" t="s">
        <v>202</v>
      </c>
      <c r="C59" s="10" t="s">
        <v>203</v>
      </c>
      <c r="D59" s="12" t="n">
        <v>2020</v>
      </c>
      <c r="E59" s="13" t="n">
        <v>22.73</v>
      </c>
      <c r="F59" s="13" t="n">
        <v>31.03</v>
      </c>
      <c r="G59" s="15" t="n">
        <v>39</v>
      </c>
      <c r="H59" s="10" t="s">
        <v>304</v>
      </c>
    </row>
    <row r="60" customFormat="false" ht="27.75" hidden="false" customHeight="true" outlineLevel="0" collapsed="false">
      <c r="B60" s="9" t="s">
        <v>204</v>
      </c>
      <c r="C60" s="10" t="s">
        <v>205</v>
      </c>
      <c r="D60" s="12" t="n">
        <v>2020</v>
      </c>
      <c r="E60" s="13" t="n">
        <v>22.09</v>
      </c>
      <c r="F60" s="13" t="n">
        <v>49.6</v>
      </c>
      <c r="G60" s="15" t="n">
        <v>62.9</v>
      </c>
      <c r="H60" s="10" t="s">
        <v>304</v>
      </c>
    </row>
    <row r="61" customFormat="false" ht="15" hidden="false" customHeight="true" outlineLevel="0" collapsed="false">
      <c r="B61" s="9" t="s">
        <v>206</v>
      </c>
      <c r="C61" s="10" t="s">
        <v>207</v>
      </c>
      <c r="D61" s="12"/>
      <c r="E61" s="12"/>
      <c r="F61" s="12"/>
      <c r="G61" s="12"/>
      <c r="H61" s="10"/>
    </row>
    <row r="62" customFormat="false" ht="27.75" hidden="false" customHeight="true" outlineLevel="0" collapsed="false">
      <c r="B62" s="9" t="s">
        <v>208</v>
      </c>
      <c r="C62" s="10" t="s">
        <v>209</v>
      </c>
      <c r="D62" s="12" t="n">
        <v>2020</v>
      </c>
      <c r="E62" s="13" t="n">
        <v>30.52</v>
      </c>
      <c r="F62" s="13" t="n">
        <v>32.64</v>
      </c>
      <c r="G62" s="12"/>
      <c r="H62" s="10" t="s">
        <v>304</v>
      </c>
    </row>
    <row r="63" customFormat="false" ht="27.75" hidden="false" customHeight="true" outlineLevel="0" collapsed="false">
      <c r="B63" s="9" t="s">
        <v>210</v>
      </c>
      <c r="C63" s="10" t="s">
        <v>211</v>
      </c>
      <c r="D63" s="12" t="n">
        <v>2020</v>
      </c>
      <c r="E63" s="13" t="n">
        <v>39.51</v>
      </c>
      <c r="F63" s="13" t="n">
        <v>37.96</v>
      </c>
      <c r="G63" s="15" t="n">
        <v>61.9</v>
      </c>
      <c r="H63" s="10" t="s">
        <v>304</v>
      </c>
    </row>
    <row r="64" customFormat="false" ht="27.75" hidden="false" customHeight="true" outlineLevel="0" collapsed="false">
      <c r="B64" s="9" t="s">
        <v>212</v>
      </c>
      <c r="C64" s="10" t="s">
        <v>213</v>
      </c>
      <c r="D64" s="12" t="n">
        <v>2020</v>
      </c>
      <c r="E64" s="13" t="n">
        <v>26.79</v>
      </c>
      <c r="F64" s="13" t="n">
        <v>30.49</v>
      </c>
      <c r="G64" s="15" t="n">
        <v>22.7</v>
      </c>
      <c r="H64" s="10" t="s">
        <v>304</v>
      </c>
    </row>
    <row r="65" customFormat="false" ht="27.75" hidden="false" customHeight="true" outlineLevel="0" collapsed="false">
      <c r="B65" s="9" t="s">
        <v>214</v>
      </c>
      <c r="C65" s="10" t="s">
        <v>215</v>
      </c>
      <c r="D65" s="12" t="n">
        <v>2020</v>
      </c>
      <c r="E65" s="13" t="n">
        <v>24.66</v>
      </c>
      <c r="F65" s="13" t="n">
        <v>30.36</v>
      </c>
      <c r="G65" s="15" t="n">
        <v>36</v>
      </c>
      <c r="H65" s="10" t="s">
        <v>304</v>
      </c>
    </row>
    <row r="66" customFormat="false" ht="27.75" hidden="false" customHeight="true" outlineLevel="0" collapsed="false">
      <c r="B66" s="9" t="s">
        <v>216</v>
      </c>
      <c r="C66" s="10" t="s">
        <v>217</v>
      </c>
      <c r="D66" s="12" t="n">
        <v>2020</v>
      </c>
      <c r="E66" s="13" t="n">
        <v>54.88</v>
      </c>
      <c r="F66" s="13" t="n">
        <v>56.86</v>
      </c>
      <c r="G66" s="15" t="n">
        <v>36.77</v>
      </c>
      <c r="H66" s="10" t="s">
        <v>304</v>
      </c>
    </row>
    <row r="67" customFormat="false" ht="27.75" hidden="false" customHeight="true" outlineLevel="0" collapsed="false">
      <c r="B67" s="9" t="s">
        <v>218</v>
      </c>
      <c r="C67" s="10" t="s">
        <v>219</v>
      </c>
      <c r="D67" s="12" t="n">
        <v>2020</v>
      </c>
      <c r="E67" s="13" t="n">
        <v>16.48</v>
      </c>
      <c r="F67" s="13" t="n">
        <v>19.34</v>
      </c>
      <c r="G67" s="15" t="n">
        <v>6.08</v>
      </c>
      <c r="H67" s="10" t="s">
        <v>304</v>
      </c>
    </row>
    <row r="68" customFormat="false" ht="27.75" hidden="false" customHeight="true" outlineLevel="0" collapsed="false">
      <c r="B68" s="9" t="s">
        <v>220</v>
      </c>
      <c r="C68" s="10" t="s">
        <v>221</v>
      </c>
      <c r="D68" s="12" t="n">
        <v>2020</v>
      </c>
      <c r="E68" s="13" t="n">
        <v>11.22</v>
      </c>
      <c r="F68" s="13" t="n">
        <v>11.91</v>
      </c>
      <c r="G68" s="15" t="n">
        <v>19.67</v>
      </c>
      <c r="H68" s="10" t="s">
        <v>304</v>
      </c>
    </row>
    <row r="69" customFormat="false" ht="27.75" hidden="false" customHeight="true" outlineLevel="0" collapsed="false">
      <c r="B69" s="9" t="s">
        <v>222</v>
      </c>
      <c r="C69" s="10" t="s">
        <v>223</v>
      </c>
      <c r="D69" s="12" t="n">
        <v>2020</v>
      </c>
      <c r="E69" s="13" t="n">
        <v>31.63</v>
      </c>
      <c r="F69" s="13" t="n">
        <v>34.61</v>
      </c>
      <c r="G69" s="15" t="n">
        <v>57.6</v>
      </c>
      <c r="H69" s="10" t="s">
        <v>304</v>
      </c>
    </row>
    <row r="70" customFormat="false" ht="27.75" hidden="false" customHeight="true" outlineLevel="0" collapsed="false">
      <c r="B70" s="9" t="s">
        <v>224</v>
      </c>
      <c r="C70" s="10" t="s">
        <v>225</v>
      </c>
      <c r="D70" s="12" t="n">
        <v>2020</v>
      </c>
      <c r="E70" s="13" t="n">
        <v>42.61</v>
      </c>
      <c r="F70" s="13" t="n">
        <v>59.36</v>
      </c>
      <c r="G70" s="15" t="n">
        <v>52.25</v>
      </c>
      <c r="H70" s="10" t="s">
        <v>304</v>
      </c>
    </row>
    <row r="71" customFormat="false" ht="27.75" hidden="false" customHeight="true" outlineLevel="0" collapsed="false">
      <c r="B71" s="9" t="s">
        <v>226</v>
      </c>
      <c r="C71" s="10" t="s">
        <v>227</v>
      </c>
      <c r="D71" s="12" t="n">
        <v>2020</v>
      </c>
      <c r="E71" s="13" t="n">
        <v>31.95</v>
      </c>
      <c r="F71" s="13" t="n">
        <v>39.8</v>
      </c>
      <c r="G71" s="15" t="n">
        <v>39.6</v>
      </c>
      <c r="H71" s="10" t="s">
        <v>304</v>
      </c>
    </row>
    <row r="72" customFormat="false" ht="15" hidden="false" customHeight="true" outlineLevel="0" collapsed="false">
      <c r="B72" s="9" t="s">
        <v>228</v>
      </c>
      <c r="C72" s="10" t="s">
        <v>229</v>
      </c>
      <c r="D72" s="12"/>
      <c r="E72" s="12"/>
      <c r="F72" s="12"/>
      <c r="G72" s="12"/>
      <c r="H72" s="10"/>
    </row>
    <row r="73" customFormat="false" ht="27.75" hidden="false" customHeight="true" outlineLevel="0" collapsed="false">
      <c r="B73" s="9" t="s">
        <v>230</v>
      </c>
      <c r="C73" s="10" t="s">
        <v>231</v>
      </c>
      <c r="D73" s="12"/>
      <c r="E73" s="12"/>
      <c r="F73" s="13" t="n">
        <v>33.34</v>
      </c>
      <c r="G73" s="12"/>
      <c r="H73" s="10" t="s">
        <v>304</v>
      </c>
    </row>
    <row r="74" customFormat="false" ht="27.75" hidden="false" customHeight="true" outlineLevel="0" collapsed="false">
      <c r="B74" s="9" t="s">
        <v>232</v>
      </c>
      <c r="C74" s="10" t="s">
        <v>233</v>
      </c>
      <c r="D74" s="12" t="n">
        <v>2020</v>
      </c>
      <c r="E74" s="13" t="n">
        <v>13.78</v>
      </c>
      <c r="F74" s="13" t="n">
        <v>19.77</v>
      </c>
      <c r="G74" s="15" t="n">
        <v>0.37</v>
      </c>
      <c r="H74" s="10" t="s">
        <v>304</v>
      </c>
    </row>
    <row r="75" customFormat="false" ht="27.75" hidden="false" customHeight="true" outlineLevel="0" collapsed="false">
      <c r="B75" s="9" t="s">
        <v>234</v>
      </c>
      <c r="C75" s="10" t="s">
        <v>235</v>
      </c>
      <c r="D75" s="12" t="n">
        <v>2020</v>
      </c>
      <c r="E75" s="13" t="n">
        <v>39.09</v>
      </c>
      <c r="F75" s="13" t="n">
        <v>43.07</v>
      </c>
      <c r="G75" s="15" t="n">
        <v>6.75</v>
      </c>
      <c r="H75" s="10" t="s">
        <v>304</v>
      </c>
    </row>
    <row r="76" customFormat="false" ht="27.75" hidden="false" customHeight="true" outlineLevel="0" collapsed="false">
      <c r="B76" s="9" t="s">
        <v>236</v>
      </c>
      <c r="C76" s="10" t="s">
        <v>237</v>
      </c>
      <c r="D76" s="12" t="n">
        <v>2020</v>
      </c>
      <c r="E76" s="13" t="n">
        <v>26.57</v>
      </c>
      <c r="F76" s="13" t="n">
        <v>37.68</v>
      </c>
      <c r="G76" s="15" t="n">
        <v>78.5</v>
      </c>
      <c r="H76" s="10" t="s">
        <v>304</v>
      </c>
    </row>
    <row r="77" customFormat="false" ht="27.75" hidden="false" customHeight="true" outlineLevel="0" collapsed="false">
      <c r="B77" s="9" t="s">
        <v>238</v>
      </c>
      <c r="C77" s="10" t="s">
        <v>239</v>
      </c>
      <c r="D77" s="12" t="n">
        <v>2020</v>
      </c>
      <c r="E77" s="13" t="n">
        <v>14.69</v>
      </c>
      <c r="F77" s="13" t="n">
        <v>18.82</v>
      </c>
      <c r="G77" s="15" t="n">
        <v>3.03</v>
      </c>
      <c r="H77" s="10" t="s">
        <v>304</v>
      </c>
    </row>
    <row r="78" customFormat="false" ht="27.75" hidden="false" customHeight="true" outlineLevel="0" collapsed="false">
      <c r="B78" s="9" t="s">
        <v>240</v>
      </c>
      <c r="C78" s="10" t="s">
        <v>241</v>
      </c>
      <c r="D78" s="12" t="n">
        <v>2020</v>
      </c>
      <c r="E78" s="13" t="n">
        <v>10.77</v>
      </c>
      <c r="F78" s="13" t="n">
        <v>12.3</v>
      </c>
      <c r="G78" s="15" t="n">
        <v>14.67</v>
      </c>
      <c r="H78" s="10" t="s">
        <v>304</v>
      </c>
    </row>
    <row r="79" customFormat="false" ht="27.75" hidden="false" customHeight="true" outlineLevel="0" collapsed="false">
      <c r="B79" s="9" t="s">
        <v>242</v>
      </c>
      <c r="C79" s="10" t="s">
        <v>243</v>
      </c>
      <c r="D79" s="12"/>
      <c r="E79" s="12"/>
      <c r="F79" s="13" t="n">
        <v>31.72</v>
      </c>
      <c r="G79" s="12"/>
      <c r="H79" s="10" t="s">
        <v>304</v>
      </c>
    </row>
    <row r="80" customFormat="false" ht="27.75" hidden="false" customHeight="true" outlineLevel="0" collapsed="false">
      <c r="B80" s="9" t="s">
        <v>244</v>
      </c>
      <c r="C80" s="10" t="s">
        <v>245</v>
      </c>
      <c r="D80" s="12" t="n">
        <v>2020</v>
      </c>
      <c r="E80" s="13" t="n">
        <v>17.15</v>
      </c>
      <c r="F80" s="13" t="n">
        <v>19.11</v>
      </c>
      <c r="G80" s="15" t="n">
        <v>9.92</v>
      </c>
      <c r="H80" s="10" t="s">
        <v>304</v>
      </c>
    </row>
    <row r="81" customFormat="false" ht="27.75" hidden="false" customHeight="true" outlineLevel="0" collapsed="false">
      <c r="B81" s="9" t="s">
        <v>246</v>
      </c>
      <c r="C81" s="10" t="s">
        <v>247</v>
      </c>
      <c r="D81" s="12" t="n">
        <v>2020</v>
      </c>
      <c r="E81" s="13" t="n">
        <v>39.66</v>
      </c>
      <c r="F81" s="13" t="n">
        <v>38.32</v>
      </c>
      <c r="G81" s="12"/>
      <c r="H81" s="10" t="s">
        <v>304</v>
      </c>
    </row>
    <row r="82" customFormat="false" ht="27.75" hidden="false" customHeight="true" outlineLevel="0" collapsed="false">
      <c r="B82" s="9" t="s">
        <v>248</v>
      </c>
      <c r="C82" s="10" t="s">
        <v>249</v>
      </c>
      <c r="D82" s="12" t="n">
        <v>2020</v>
      </c>
      <c r="E82" s="13" t="n">
        <v>45.03</v>
      </c>
      <c r="F82" s="13" t="n">
        <v>48.38</v>
      </c>
      <c r="G82" s="15" t="n">
        <v>53.41</v>
      </c>
      <c r="H82" s="10" t="s">
        <v>304</v>
      </c>
    </row>
    <row r="83" customFormat="false" ht="27.75" hidden="false" customHeight="true" outlineLevel="0" collapsed="false">
      <c r="B83" s="9" t="s">
        <v>250</v>
      </c>
      <c r="C83" s="10" t="s">
        <v>251</v>
      </c>
      <c r="D83" s="12" t="n">
        <v>2020</v>
      </c>
      <c r="E83" s="13" t="n">
        <v>25.19</v>
      </c>
      <c r="F83" s="13" t="n">
        <v>33.35</v>
      </c>
      <c r="G83" s="15" t="n">
        <v>21.2</v>
      </c>
      <c r="H83" s="10" t="s">
        <v>304</v>
      </c>
    </row>
    <row r="84" customFormat="false" ht="27.75" hidden="false" customHeight="true" outlineLevel="0" collapsed="false">
      <c r="B84" s="9" t="s">
        <v>252</v>
      </c>
      <c r="C84" s="10" t="s">
        <v>253</v>
      </c>
      <c r="D84" s="12" t="n">
        <v>2020</v>
      </c>
      <c r="E84" s="13" t="n">
        <v>24.17</v>
      </c>
      <c r="F84" s="13" t="n">
        <v>31.01</v>
      </c>
      <c r="G84" s="15" t="n">
        <v>30.17</v>
      </c>
      <c r="H84" s="10" t="s">
        <v>304</v>
      </c>
    </row>
    <row r="85" customFormat="false" ht="15" hidden="false" customHeight="true" outlineLevel="0" collapsed="false">
      <c r="B85" s="9" t="s">
        <v>254</v>
      </c>
      <c r="C85" s="10" t="s">
        <v>255</v>
      </c>
      <c r="D85" s="12"/>
      <c r="E85" s="12"/>
      <c r="F85" s="12"/>
      <c r="G85" s="12"/>
      <c r="H85" s="10"/>
    </row>
    <row r="86" customFormat="false" ht="27.75" hidden="false" customHeight="true" outlineLevel="0" collapsed="false">
      <c r="B86" s="9" t="s">
        <v>256</v>
      </c>
      <c r="C86" s="10" t="s">
        <v>257</v>
      </c>
      <c r="D86" s="12" t="n">
        <v>2020</v>
      </c>
      <c r="E86" s="13" t="n">
        <v>46.01</v>
      </c>
      <c r="F86" s="13" t="n">
        <v>46.92</v>
      </c>
      <c r="G86" s="15" t="n">
        <v>16.3</v>
      </c>
      <c r="H86" s="10" t="s">
        <v>304</v>
      </c>
    </row>
    <row r="87" customFormat="false" ht="27.75" hidden="false" customHeight="true" outlineLevel="0" collapsed="false">
      <c r="B87" s="9" t="s">
        <v>258</v>
      </c>
      <c r="C87" s="10" t="s">
        <v>259</v>
      </c>
      <c r="D87" s="12" t="n">
        <v>2020</v>
      </c>
      <c r="E87" s="13" t="n">
        <v>40.64</v>
      </c>
      <c r="F87" s="13" t="n">
        <v>48.33</v>
      </c>
      <c r="G87" s="15" t="n">
        <v>31.8</v>
      </c>
      <c r="H87" s="10" t="s">
        <v>304</v>
      </c>
    </row>
    <row r="88" customFormat="false" ht="27.75" hidden="false" customHeight="true" outlineLevel="0" collapsed="false">
      <c r="B88" s="9" t="s">
        <v>260</v>
      </c>
      <c r="C88" s="10" t="s">
        <v>261</v>
      </c>
      <c r="D88" s="12" t="n">
        <v>2020</v>
      </c>
      <c r="E88" s="13" t="n">
        <v>7.95</v>
      </c>
      <c r="F88" s="13" t="n">
        <v>8.55</v>
      </c>
      <c r="G88" s="15" t="n">
        <v>6.32</v>
      </c>
      <c r="H88" s="10" t="s">
        <v>304</v>
      </c>
    </row>
    <row r="89" customFormat="false" ht="27.75" hidden="false" customHeight="true" outlineLevel="0" collapsed="false">
      <c r="B89" s="9" t="s">
        <v>262</v>
      </c>
      <c r="C89" s="10" t="s">
        <v>263</v>
      </c>
      <c r="D89" s="12" t="n">
        <v>2020</v>
      </c>
      <c r="E89" s="13" t="n">
        <v>22.75</v>
      </c>
      <c r="F89" s="13" t="n">
        <v>28.84</v>
      </c>
      <c r="G89" s="15" t="n">
        <v>16.27</v>
      </c>
      <c r="H89" s="10" t="s">
        <v>304</v>
      </c>
    </row>
    <row r="90" customFormat="false" ht="27.75" hidden="false" customHeight="true" outlineLevel="0" collapsed="false">
      <c r="B90" s="9" t="s">
        <v>264</v>
      </c>
      <c r="C90" s="10" t="s">
        <v>265</v>
      </c>
      <c r="D90" s="12" t="n">
        <v>2020</v>
      </c>
      <c r="E90" s="13" t="n">
        <v>39.64</v>
      </c>
      <c r="F90" s="13" t="n">
        <v>47.15</v>
      </c>
      <c r="G90" s="15" t="n">
        <v>57.5</v>
      </c>
      <c r="H90" s="10" t="s">
        <v>304</v>
      </c>
    </row>
    <row r="91" customFormat="false" ht="27.75" hidden="false" customHeight="true" outlineLevel="0" collapsed="false">
      <c r="B91" s="9" t="s">
        <v>266</v>
      </c>
      <c r="C91" s="10" t="s">
        <v>267</v>
      </c>
      <c r="D91" s="12" t="n">
        <v>2020</v>
      </c>
      <c r="E91" s="13" t="n">
        <v>60.43</v>
      </c>
      <c r="F91" s="13" t="n">
        <v>62.23</v>
      </c>
      <c r="G91" s="15" t="n">
        <v>68.75</v>
      </c>
      <c r="H91" s="10" t="s">
        <v>304</v>
      </c>
    </row>
  </sheetData>
  <autoFilter ref="B3:H91"/>
  <conditionalFormatting sqref="E3:E90">
    <cfRule type="colorScale" priority="2">
      <colorScale>
        <cfvo type="min" val="0"/>
        <cfvo type="percentile" val="50"/>
        <cfvo type="max" val="0"/>
        <color rgb="FFDDF0E0"/>
        <color rgb="FFF4E5C2"/>
        <color rgb="FFFBE2EC"/>
      </colorScale>
    </cfRule>
  </conditionalFormatting>
  <conditionalFormatting sqref="F3:F90">
    <cfRule type="colorScale" priority="3">
      <colorScale>
        <cfvo type="min" val="0"/>
        <cfvo type="percentile" val="50"/>
        <cfvo type="max" val="0"/>
        <color rgb="FFDDF0E0"/>
        <color rgb="FFF4E5C2"/>
        <color rgb="FFFBE2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24"/>
  </cols>
  <sheetData>
    <row r="2" customFormat="false" ht="15" hidden="false" customHeight="true" outlineLevel="0" collapsed="false">
      <c r="B2" s="3" t="s">
        <v>305</v>
      </c>
    </row>
    <row r="3" customFormat="false" ht="36" hidden="false" customHeight="true" outlineLevel="0" collapsed="false">
      <c r="B3" s="8" t="s">
        <v>61</v>
      </c>
      <c r="C3" s="8" t="s">
        <v>62</v>
      </c>
      <c r="D3" s="8" t="s">
        <v>306</v>
      </c>
      <c r="E3" s="8" t="s">
        <v>307</v>
      </c>
      <c r="F3" s="8" t="s">
        <v>308</v>
      </c>
    </row>
    <row r="4" customFormat="false" ht="15" hidden="false" customHeight="true" outlineLevel="0" collapsed="false">
      <c r="B4" s="9" t="s">
        <v>80</v>
      </c>
      <c r="C4" s="10" t="s">
        <v>81</v>
      </c>
      <c r="D4" s="18"/>
      <c r="E4" s="18"/>
      <c r="F4" s="18"/>
    </row>
    <row r="5" customFormat="false" ht="15" hidden="false" customHeight="true" outlineLevel="0" collapsed="false">
      <c r="B5" s="9" t="s">
        <v>84</v>
      </c>
      <c r="C5" s="10" t="s">
        <v>85</v>
      </c>
      <c r="D5" s="24" t="n">
        <v>38</v>
      </c>
      <c r="E5" s="26" t="n">
        <v>6.18</v>
      </c>
      <c r="F5" s="18" t="s">
        <v>85</v>
      </c>
    </row>
    <row r="6" customFormat="false" ht="15" hidden="false" customHeight="true" outlineLevel="0" collapsed="false">
      <c r="B6" s="9" t="s">
        <v>88</v>
      </c>
      <c r="C6" s="10" t="s">
        <v>89</v>
      </c>
      <c r="D6" s="18"/>
      <c r="E6" s="18"/>
      <c r="F6" s="18"/>
    </row>
    <row r="7" customFormat="false" ht="15" hidden="false" customHeight="true" outlineLevel="0" collapsed="false">
      <c r="B7" s="9" t="s">
        <v>90</v>
      </c>
      <c r="C7" s="10" t="s">
        <v>91</v>
      </c>
      <c r="D7" s="24" t="n">
        <v>129</v>
      </c>
      <c r="E7" s="26" t="n">
        <v>4.35</v>
      </c>
      <c r="F7" s="18" t="s">
        <v>91</v>
      </c>
    </row>
    <row r="8" customFormat="false" ht="15" hidden="false" customHeight="true" outlineLevel="0" collapsed="false">
      <c r="B8" s="9" t="s">
        <v>92</v>
      </c>
      <c r="C8" s="10" t="s">
        <v>93</v>
      </c>
      <c r="D8" s="24" t="n">
        <v>148</v>
      </c>
      <c r="E8" s="26" t="n">
        <v>4.04</v>
      </c>
      <c r="F8" s="18" t="s">
        <v>93</v>
      </c>
    </row>
    <row r="9" customFormat="false" ht="15" hidden="false" customHeight="true" outlineLevel="0" collapsed="false">
      <c r="B9" s="9" t="s">
        <v>95</v>
      </c>
      <c r="C9" s="10" t="s">
        <v>96</v>
      </c>
      <c r="D9" s="24" t="n">
        <v>130</v>
      </c>
      <c r="E9" s="26" t="n">
        <v>4.35</v>
      </c>
      <c r="F9" s="18" t="s">
        <v>96</v>
      </c>
    </row>
    <row r="10" customFormat="false" ht="15" hidden="false" customHeight="true" outlineLevel="0" collapsed="false">
      <c r="B10" s="9" t="s">
        <v>98</v>
      </c>
      <c r="C10" s="10" t="s">
        <v>99</v>
      </c>
      <c r="D10" s="24" t="n">
        <v>74</v>
      </c>
      <c r="E10" s="26" t="n">
        <v>5.4</v>
      </c>
      <c r="F10" s="18" t="s">
        <v>99</v>
      </c>
    </row>
    <row r="11" customFormat="false" ht="15" hidden="false" customHeight="true" outlineLevel="0" collapsed="false">
      <c r="B11" s="9" t="s">
        <v>100</v>
      </c>
      <c r="C11" s="10" t="s">
        <v>101</v>
      </c>
      <c r="D11" s="24" t="n">
        <v>59</v>
      </c>
      <c r="E11" s="26" t="n">
        <v>5.62</v>
      </c>
      <c r="F11" s="18" t="s">
        <v>101</v>
      </c>
    </row>
    <row r="12" customFormat="false" ht="15" hidden="false" customHeight="true" outlineLevel="0" collapsed="false">
      <c r="B12" s="9" t="s">
        <v>104</v>
      </c>
      <c r="C12" s="10" t="s">
        <v>105</v>
      </c>
      <c r="D12" s="24" t="n">
        <v>85</v>
      </c>
      <c r="E12" s="26" t="n">
        <v>5.17</v>
      </c>
      <c r="F12" s="18" t="s">
        <v>105</v>
      </c>
    </row>
    <row r="13" customFormat="false" ht="15" hidden="false" customHeight="true" outlineLevel="0" collapsed="false">
      <c r="B13" s="9" t="s">
        <v>106</v>
      </c>
      <c r="C13" s="10" t="s">
        <v>107</v>
      </c>
      <c r="D13" s="24" t="n">
        <v>83</v>
      </c>
      <c r="E13" s="26" t="n">
        <v>5.21</v>
      </c>
      <c r="F13" s="18" t="s">
        <v>107</v>
      </c>
    </row>
    <row r="14" customFormat="false" ht="15" hidden="false" customHeight="true" outlineLevel="0" collapsed="false">
      <c r="B14" s="9" t="s">
        <v>108</v>
      </c>
      <c r="C14" s="10" t="s">
        <v>109</v>
      </c>
      <c r="D14" s="24" t="n">
        <v>53</v>
      </c>
      <c r="E14" s="26" t="n">
        <v>5.67</v>
      </c>
      <c r="F14" s="18" t="s">
        <v>109</v>
      </c>
    </row>
    <row r="15" customFormat="false" ht="15" hidden="false" customHeight="true" outlineLevel="0" collapsed="false">
      <c r="B15" s="9" t="s">
        <v>111</v>
      </c>
      <c r="C15" s="10" t="s">
        <v>112</v>
      </c>
      <c r="D15" s="24" t="n">
        <v>72</v>
      </c>
      <c r="E15" s="26" t="n">
        <v>5.44</v>
      </c>
      <c r="F15" s="18" t="s">
        <v>112</v>
      </c>
    </row>
    <row r="16" customFormat="false" ht="15" hidden="false" customHeight="true" outlineLevel="0" collapsed="false">
      <c r="B16" s="9" t="s">
        <v>113</v>
      </c>
      <c r="C16" s="10" t="s">
        <v>114</v>
      </c>
      <c r="D16" s="24" t="n">
        <v>75</v>
      </c>
      <c r="E16" s="26" t="n">
        <v>5.36</v>
      </c>
      <c r="F16" s="18" t="s">
        <v>114</v>
      </c>
    </row>
    <row r="17" customFormat="false" ht="15" hidden="false" customHeight="true" outlineLevel="0" collapsed="false">
      <c r="B17" s="9" t="s">
        <v>115</v>
      </c>
      <c r="C17" s="10" t="s">
        <v>116</v>
      </c>
      <c r="D17" s="24" t="n">
        <v>64</v>
      </c>
      <c r="E17" s="26" t="n">
        <v>5.51</v>
      </c>
      <c r="F17" s="18" t="s">
        <v>116</v>
      </c>
    </row>
    <row r="18" customFormat="false" ht="15" hidden="false" customHeight="true" outlineLevel="0" collapsed="false">
      <c r="B18" s="9" t="s">
        <v>117</v>
      </c>
      <c r="C18" s="10" t="s">
        <v>118</v>
      </c>
      <c r="D18" s="24" t="n">
        <v>127</v>
      </c>
      <c r="E18" s="26" t="n">
        <v>4.36</v>
      </c>
      <c r="F18" s="18" t="s">
        <v>118</v>
      </c>
    </row>
    <row r="19" customFormat="false" ht="15" hidden="false" customHeight="true" outlineLevel="0" collapsed="false">
      <c r="B19" s="9" t="s">
        <v>119</v>
      </c>
      <c r="C19" s="10" t="s">
        <v>120</v>
      </c>
      <c r="D19" s="24" t="n">
        <v>122</v>
      </c>
      <c r="E19" s="26" t="n">
        <v>4.47</v>
      </c>
      <c r="F19" s="18" t="s">
        <v>120</v>
      </c>
    </row>
    <row r="20" customFormat="false" ht="15" hidden="false" customHeight="true" outlineLevel="0" collapsed="false">
      <c r="B20" s="9" t="s">
        <v>122</v>
      </c>
      <c r="C20" s="10" t="s">
        <v>123</v>
      </c>
      <c r="D20" s="24" t="n">
        <v>124</v>
      </c>
      <c r="E20" s="26" t="n">
        <v>4.46</v>
      </c>
      <c r="F20" s="18" t="s">
        <v>123</v>
      </c>
    </row>
    <row r="21" customFormat="false" ht="15" hidden="false" customHeight="true" outlineLevel="0" collapsed="false">
      <c r="B21" s="9" t="s">
        <v>124</v>
      </c>
      <c r="C21" s="10" t="s">
        <v>125</v>
      </c>
      <c r="D21" s="24" t="n">
        <v>144</v>
      </c>
      <c r="E21" s="26" t="n">
        <v>4.08</v>
      </c>
      <c r="F21" s="18" t="s">
        <v>125</v>
      </c>
    </row>
    <row r="22" customFormat="false" ht="15" hidden="false" customHeight="true" outlineLevel="0" collapsed="false">
      <c r="B22" s="9" t="s">
        <v>126</v>
      </c>
      <c r="C22" s="10" t="s">
        <v>127</v>
      </c>
      <c r="D22" s="24" t="n">
        <v>11</v>
      </c>
      <c r="E22" s="26" t="n">
        <v>7.27</v>
      </c>
      <c r="F22" s="18" t="s">
        <v>127</v>
      </c>
    </row>
    <row r="23" customFormat="false" ht="15" hidden="false" customHeight="true" outlineLevel="0" collapsed="false">
      <c r="B23" s="9" t="s">
        <v>129</v>
      </c>
      <c r="C23" s="10" t="s">
        <v>130</v>
      </c>
      <c r="D23" s="24" t="n">
        <v>96</v>
      </c>
      <c r="E23" s="26" t="n">
        <v>4.92</v>
      </c>
      <c r="F23" s="18" t="s">
        <v>130</v>
      </c>
    </row>
    <row r="24" customFormat="false" ht="15" hidden="false" customHeight="true" outlineLevel="0" collapsed="false">
      <c r="B24" s="9" t="s">
        <v>131</v>
      </c>
      <c r="C24" s="10" t="s">
        <v>132</v>
      </c>
      <c r="D24" s="18"/>
      <c r="E24" s="18"/>
      <c r="F24" s="18"/>
    </row>
    <row r="25" customFormat="false" ht="15" hidden="false" customHeight="true" outlineLevel="0" collapsed="false">
      <c r="B25" s="9" t="s">
        <v>133</v>
      </c>
      <c r="C25" s="10" t="s">
        <v>134</v>
      </c>
      <c r="D25" s="24" t="n">
        <v>152</v>
      </c>
      <c r="E25" s="26" t="n">
        <v>3.85</v>
      </c>
      <c r="F25" s="18" t="s">
        <v>134</v>
      </c>
    </row>
    <row r="26" customFormat="false" ht="15" hidden="false" customHeight="true" outlineLevel="0" collapsed="false">
      <c r="B26" s="9" t="s">
        <v>135</v>
      </c>
      <c r="C26" s="10" t="s">
        <v>136</v>
      </c>
      <c r="D26" s="24" t="n">
        <v>114</v>
      </c>
      <c r="E26" s="26" t="n">
        <v>4.63</v>
      </c>
      <c r="F26" s="18" t="s">
        <v>136</v>
      </c>
    </row>
    <row r="27" customFormat="false" ht="15" hidden="false" customHeight="true" outlineLevel="0" collapsed="false">
      <c r="B27" s="9" t="s">
        <v>137</v>
      </c>
      <c r="C27" s="10" t="s">
        <v>138</v>
      </c>
      <c r="D27" s="24" t="n">
        <v>158</v>
      </c>
      <c r="E27" s="26" t="n">
        <v>3.5</v>
      </c>
      <c r="F27" s="18" t="s">
        <v>138</v>
      </c>
    </row>
    <row r="28" customFormat="false" ht="15" hidden="false" customHeight="true" outlineLevel="0" collapsed="false">
      <c r="B28" s="9" t="s">
        <v>139</v>
      </c>
      <c r="C28" s="10" t="s">
        <v>140</v>
      </c>
      <c r="D28" s="24" t="n">
        <v>94</v>
      </c>
      <c r="E28" s="26" t="n">
        <v>4.96</v>
      </c>
      <c r="F28" s="18" t="s">
        <v>140</v>
      </c>
    </row>
    <row r="29" customFormat="false" ht="27.75" hidden="false" customHeight="true" outlineLevel="0" collapsed="false">
      <c r="B29" s="9" t="s">
        <v>141</v>
      </c>
      <c r="C29" s="10" t="s">
        <v>142</v>
      </c>
      <c r="D29" s="18"/>
      <c r="E29" s="18"/>
      <c r="F29" s="18"/>
    </row>
    <row r="30" customFormat="false" ht="15" hidden="false" customHeight="true" outlineLevel="0" collapsed="false">
      <c r="B30" s="9" t="s">
        <v>143</v>
      </c>
      <c r="C30" s="10" t="s">
        <v>144</v>
      </c>
      <c r="D30" s="24" t="n">
        <v>86</v>
      </c>
      <c r="E30" s="26" t="n">
        <v>5.08</v>
      </c>
      <c r="F30" s="18" t="s">
        <v>144</v>
      </c>
    </row>
    <row r="31" customFormat="false" ht="15" hidden="false" customHeight="true" outlineLevel="0" collapsed="false">
      <c r="B31" s="9" t="s">
        <v>145</v>
      </c>
      <c r="C31" s="10" t="s">
        <v>146</v>
      </c>
      <c r="D31" s="18"/>
      <c r="E31" s="18"/>
      <c r="F31" s="18"/>
    </row>
    <row r="32" customFormat="false" ht="15" hidden="false" customHeight="true" outlineLevel="0" collapsed="false">
      <c r="B32" s="9" t="s">
        <v>147</v>
      </c>
      <c r="C32" s="10" t="s">
        <v>148</v>
      </c>
      <c r="D32" s="24" t="n">
        <v>133</v>
      </c>
      <c r="E32" s="26" t="n">
        <v>4.29</v>
      </c>
      <c r="F32" s="18" t="s">
        <v>148</v>
      </c>
    </row>
    <row r="33" customFormat="false" ht="15" hidden="false" customHeight="true" outlineLevel="0" collapsed="false">
      <c r="B33" s="9" t="s">
        <v>149</v>
      </c>
      <c r="C33" s="10" t="s">
        <v>150</v>
      </c>
      <c r="D33" s="24" t="n">
        <v>54</v>
      </c>
      <c r="E33" s="26" t="n">
        <v>5.66</v>
      </c>
      <c r="F33" s="18" t="s">
        <v>150</v>
      </c>
    </row>
    <row r="34" customFormat="false" ht="15" hidden="false" customHeight="true" outlineLevel="0" collapsed="false">
      <c r="B34" s="9" t="s">
        <v>152</v>
      </c>
      <c r="C34" s="10" t="s">
        <v>153</v>
      </c>
      <c r="D34" s="24" t="n">
        <v>109</v>
      </c>
      <c r="E34" s="26" t="n">
        <v>4.71</v>
      </c>
      <c r="F34" s="18" t="s">
        <v>153</v>
      </c>
    </row>
    <row r="35" customFormat="false" ht="15" hidden="false" customHeight="true" outlineLevel="0" collapsed="false">
      <c r="B35" s="9" t="s">
        <v>154</v>
      </c>
      <c r="C35" s="10" t="s">
        <v>155</v>
      </c>
      <c r="D35" s="24" t="n">
        <v>140</v>
      </c>
      <c r="E35" s="26" t="n">
        <v>4.14</v>
      </c>
      <c r="F35" s="18" t="s">
        <v>155</v>
      </c>
    </row>
    <row r="36" customFormat="false" ht="15" hidden="false" customHeight="true" outlineLevel="0" collapsed="false">
      <c r="B36" s="9" t="s">
        <v>156</v>
      </c>
      <c r="C36" s="10" t="s">
        <v>157</v>
      </c>
      <c r="D36" s="24" t="n">
        <v>113</v>
      </c>
      <c r="E36" s="26" t="n">
        <v>4.64</v>
      </c>
      <c r="F36" s="18" t="s">
        <v>157</v>
      </c>
    </row>
    <row r="37" customFormat="false" ht="15" hidden="false" customHeight="true" outlineLevel="0" collapsed="false">
      <c r="B37" s="9" t="s">
        <v>158</v>
      </c>
      <c r="C37" s="10" t="s">
        <v>159</v>
      </c>
      <c r="D37" s="24" t="n">
        <v>79</v>
      </c>
      <c r="E37" s="26" t="n">
        <v>5.28</v>
      </c>
      <c r="F37" s="18" t="s">
        <v>159</v>
      </c>
    </row>
    <row r="38" customFormat="false" ht="15" hidden="false" customHeight="true" outlineLevel="0" collapsed="false">
      <c r="B38" s="9" t="s">
        <v>160</v>
      </c>
      <c r="C38" s="10" t="s">
        <v>161</v>
      </c>
      <c r="D38" s="24" t="n">
        <v>76</v>
      </c>
      <c r="E38" s="26" t="n">
        <v>5.34</v>
      </c>
      <c r="F38" s="18" t="s">
        <v>309</v>
      </c>
    </row>
    <row r="39" customFormat="false" ht="15" hidden="false" customHeight="true" outlineLevel="0" collapsed="false">
      <c r="B39" s="9" t="s">
        <v>162</v>
      </c>
      <c r="C39" s="10" t="s">
        <v>163</v>
      </c>
      <c r="D39" s="24" t="n">
        <v>88</v>
      </c>
      <c r="E39" s="26" t="n">
        <v>5.06</v>
      </c>
      <c r="F39" s="18" t="s">
        <v>163</v>
      </c>
    </row>
    <row r="40" customFormat="false" ht="15" hidden="false" customHeight="true" outlineLevel="0" collapsed="false">
      <c r="B40" s="9" t="s">
        <v>164</v>
      </c>
      <c r="C40" s="10" t="s">
        <v>165</v>
      </c>
      <c r="D40" s="24" t="n">
        <v>78</v>
      </c>
      <c r="E40" s="26" t="n">
        <v>5.33</v>
      </c>
      <c r="F40" s="18" t="s">
        <v>165</v>
      </c>
    </row>
    <row r="41" customFormat="false" ht="15" hidden="false" customHeight="true" outlineLevel="0" collapsed="false">
      <c r="B41" s="9" t="s">
        <v>166</v>
      </c>
      <c r="C41" s="10" t="s">
        <v>167</v>
      </c>
      <c r="D41" s="24" t="n">
        <v>68</v>
      </c>
      <c r="E41" s="26" t="n">
        <v>5.49</v>
      </c>
      <c r="F41" s="18" t="s">
        <v>167</v>
      </c>
    </row>
    <row r="42" customFormat="false" ht="15" hidden="false" customHeight="true" outlineLevel="0" collapsed="false">
      <c r="B42" s="9" t="s">
        <v>168</v>
      </c>
      <c r="C42" s="10" t="s">
        <v>169</v>
      </c>
      <c r="D42" s="18"/>
      <c r="E42" s="18"/>
      <c r="F42" s="18"/>
    </row>
    <row r="43" customFormat="false" ht="15" hidden="false" customHeight="true" outlineLevel="0" collapsed="false">
      <c r="B43" s="9" t="s">
        <v>170</v>
      </c>
      <c r="C43" s="10" t="s">
        <v>171</v>
      </c>
      <c r="D43" s="18"/>
      <c r="E43" s="18"/>
      <c r="F43" s="18"/>
    </row>
    <row r="44" customFormat="false" ht="15" hidden="false" customHeight="true" outlineLevel="0" collapsed="false">
      <c r="B44" s="9" t="s">
        <v>172</v>
      </c>
      <c r="C44" s="10" t="s">
        <v>173</v>
      </c>
      <c r="D44" s="24" t="n">
        <v>163</v>
      </c>
      <c r="E44" s="26" t="n">
        <v>3</v>
      </c>
      <c r="F44" s="18" t="s">
        <v>173</v>
      </c>
    </row>
    <row r="45" customFormat="false" ht="15" hidden="false" customHeight="true" outlineLevel="0" collapsed="false">
      <c r="B45" s="9" t="s">
        <v>174</v>
      </c>
      <c r="C45" s="10" t="s">
        <v>175</v>
      </c>
      <c r="D45" s="24" t="n">
        <v>150</v>
      </c>
      <c r="E45" s="26" t="n">
        <v>3.97</v>
      </c>
      <c r="F45" s="18" t="s">
        <v>175</v>
      </c>
    </row>
    <row r="46" customFormat="false" ht="15" hidden="false" customHeight="true" outlineLevel="0" collapsed="false">
      <c r="B46" s="9" t="s">
        <v>176</v>
      </c>
      <c r="C46" s="10" t="s">
        <v>177</v>
      </c>
      <c r="D46" s="24" t="n">
        <v>102</v>
      </c>
      <c r="E46" s="26" t="n">
        <v>4.8</v>
      </c>
      <c r="F46" s="18" t="s">
        <v>177</v>
      </c>
    </row>
    <row r="47" customFormat="false" ht="15" hidden="false" customHeight="true" outlineLevel="0" collapsed="false">
      <c r="B47" s="9" t="s">
        <v>178</v>
      </c>
      <c r="C47" s="10" t="s">
        <v>179</v>
      </c>
      <c r="D47" s="24" t="n">
        <v>103</v>
      </c>
      <c r="E47" s="26" t="n">
        <v>4.79</v>
      </c>
      <c r="F47" s="18" t="s">
        <v>179</v>
      </c>
    </row>
    <row r="48" customFormat="false" ht="15" hidden="false" customHeight="true" outlineLevel="0" collapsed="false">
      <c r="B48" s="9" t="s">
        <v>180</v>
      </c>
      <c r="C48" s="10" t="s">
        <v>181</v>
      </c>
      <c r="D48" s="24" t="n">
        <v>104</v>
      </c>
      <c r="E48" s="26" t="n">
        <v>4.77</v>
      </c>
      <c r="F48" s="18" t="s">
        <v>181</v>
      </c>
    </row>
    <row r="49" customFormat="false" ht="15" hidden="false" customHeight="true" outlineLevel="0" collapsed="false">
      <c r="B49" s="9" t="s">
        <v>182</v>
      </c>
      <c r="C49" s="10" t="s">
        <v>183</v>
      </c>
      <c r="D49" s="24" t="n">
        <v>111</v>
      </c>
      <c r="E49" s="26" t="n">
        <v>4.65</v>
      </c>
      <c r="F49" s="18" t="s">
        <v>183</v>
      </c>
    </row>
    <row r="50" customFormat="false" ht="15" hidden="false" customHeight="true" outlineLevel="0" collapsed="false">
      <c r="B50" s="9" t="s">
        <v>184</v>
      </c>
      <c r="C50" s="10" t="s">
        <v>185</v>
      </c>
      <c r="D50" s="24" t="n">
        <v>45</v>
      </c>
      <c r="E50" s="26" t="n">
        <v>5.95</v>
      </c>
      <c r="F50" s="18" t="s">
        <v>185</v>
      </c>
    </row>
    <row r="51" customFormat="false" ht="15" hidden="false" customHeight="true" outlineLevel="0" collapsed="false">
      <c r="B51" s="9" t="s">
        <v>186</v>
      </c>
      <c r="C51" s="10" t="s">
        <v>187</v>
      </c>
      <c r="D51" s="24" t="n">
        <v>57</v>
      </c>
      <c r="E51" s="26" t="n">
        <v>5.64</v>
      </c>
      <c r="F51" s="18" t="s">
        <v>310</v>
      </c>
    </row>
    <row r="52" customFormat="false" ht="15" hidden="false" customHeight="true" outlineLevel="0" collapsed="false">
      <c r="B52" s="9" t="s">
        <v>188</v>
      </c>
      <c r="C52" s="10" t="s">
        <v>189</v>
      </c>
      <c r="D52" s="24" t="n">
        <v>125</v>
      </c>
      <c r="E52" s="26" t="n">
        <v>4.42</v>
      </c>
      <c r="F52" s="18" t="s">
        <v>311</v>
      </c>
    </row>
    <row r="53" customFormat="false" ht="15" hidden="false" customHeight="true" outlineLevel="0" collapsed="false">
      <c r="B53" s="9" t="s">
        <v>190</v>
      </c>
      <c r="C53" s="10" t="s">
        <v>191</v>
      </c>
      <c r="D53" s="24" t="n">
        <v>37</v>
      </c>
      <c r="E53" s="26" t="n">
        <v>6.27</v>
      </c>
      <c r="F53" s="18" t="s">
        <v>191</v>
      </c>
    </row>
    <row r="54" customFormat="false" ht="15" hidden="false" customHeight="true" outlineLevel="0" collapsed="false">
      <c r="B54" s="9" t="s">
        <v>192</v>
      </c>
      <c r="C54" s="10" t="s">
        <v>193</v>
      </c>
      <c r="D54" s="24" t="n">
        <v>6</v>
      </c>
      <c r="E54" s="26" t="n">
        <v>7.53</v>
      </c>
      <c r="F54" s="18" t="s">
        <v>312</v>
      </c>
    </row>
    <row r="55" customFormat="false" ht="15" hidden="false" customHeight="true" outlineLevel="0" collapsed="false">
      <c r="B55" s="9" t="s">
        <v>194</v>
      </c>
      <c r="C55" s="10" t="s">
        <v>195</v>
      </c>
      <c r="D55" s="24" t="n">
        <v>50</v>
      </c>
      <c r="E55" s="26" t="n">
        <v>5.81</v>
      </c>
      <c r="F55" s="18" t="s">
        <v>195</v>
      </c>
    </row>
    <row r="56" customFormat="false" ht="15" hidden="false" customHeight="true" outlineLevel="0" collapsed="false">
      <c r="B56" s="9" t="s">
        <v>196</v>
      </c>
      <c r="C56" s="10" t="s">
        <v>197</v>
      </c>
      <c r="D56" s="24" t="n">
        <v>80</v>
      </c>
      <c r="E56" s="26" t="n">
        <v>5.28</v>
      </c>
      <c r="F56" s="18" t="s">
        <v>197</v>
      </c>
    </row>
    <row r="57" customFormat="false" ht="15" hidden="false" customHeight="true" outlineLevel="0" collapsed="false">
      <c r="B57" s="9" t="s">
        <v>198</v>
      </c>
      <c r="C57" s="10" t="s">
        <v>199</v>
      </c>
      <c r="D57" s="18"/>
      <c r="E57" s="18"/>
      <c r="F57" s="18"/>
    </row>
    <row r="58" customFormat="false" ht="15" hidden="false" customHeight="true" outlineLevel="0" collapsed="false">
      <c r="B58" s="9" t="s">
        <v>200</v>
      </c>
      <c r="C58" s="10" t="s">
        <v>201</v>
      </c>
      <c r="D58" s="24" t="n">
        <v>20</v>
      </c>
      <c r="E58" s="26" t="n">
        <v>6.76</v>
      </c>
      <c r="F58" s="18" t="s">
        <v>201</v>
      </c>
    </row>
    <row r="59" customFormat="false" ht="15" hidden="false" customHeight="true" outlineLevel="0" collapsed="false">
      <c r="B59" s="9" t="s">
        <v>202</v>
      </c>
      <c r="C59" s="10" t="s">
        <v>203</v>
      </c>
      <c r="D59" s="18"/>
      <c r="E59" s="18"/>
      <c r="F59" s="18"/>
    </row>
    <row r="60" customFormat="false" ht="15" hidden="false" customHeight="true" outlineLevel="0" collapsed="false">
      <c r="B60" s="9" t="s">
        <v>204</v>
      </c>
      <c r="C60" s="10" t="s">
        <v>205</v>
      </c>
      <c r="D60" s="24" t="n">
        <v>1</v>
      </c>
      <c r="E60" s="26" t="n">
        <v>8.17</v>
      </c>
      <c r="F60" s="18" t="s">
        <v>205</v>
      </c>
    </row>
    <row r="61" customFormat="false" ht="15" hidden="false" customHeight="true" outlineLevel="0" collapsed="false">
      <c r="B61" s="9" t="s">
        <v>206</v>
      </c>
      <c r="C61" s="10" t="s">
        <v>207</v>
      </c>
      <c r="D61" s="24" t="n">
        <v>136</v>
      </c>
      <c r="E61" s="26" t="n">
        <v>4.23</v>
      </c>
      <c r="F61" s="18" t="s">
        <v>207</v>
      </c>
    </row>
    <row r="62" customFormat="false" ht="15" hidden="false" customHeight="true" outlineLevel="0" collapsed="false">
      <c r="B62" s="9" t="s">
        <v>208</v>
      </c>
      <c r="C62" s="10" t="s">
        <v>209</v>
      </c>
      <c r="D62" s="24" t="n">
        <v>36</v>
      </c>
      <c r="E62" s="26" t="n">
        <v>6.28</v>
      </c>
      <c r="F62" s="18" t="s">
        <v>209</v>
      </c>
    </row>
    <row r="63" customFormat="false" ht="15" hidden="false" customHeight="true" outlineLevel="0" collapsed="false">
      <c r="B63" s="9" t="s">
        <v>210</v>
      </c>
      <c r="C63" s="10" t="s">
        <v>211</v>
      </c>
      <c r="D63" s="24" t="n">
        <v>71</v>
      </c>
      <c r="E63" s="26" t="n">
        <v>5.45</v>
      </c>
      <c r="F63" s="18" t="s">
        <v>211</v>
      </c>
    </row>
    <row r="64" customFormat="false" ht="15" hidden="false" customHeight="true" outlineLevel="0" collapsed="false">
      <c r="B64" s="9" t="s">
        <v>212</v>
      </c>
      <c r="C64" s="10" t="s">
        <v>213</v>
      </c>
      <c r="D64" s="24" t="n">
        <v>67</v>
      </c>
      <c r="E64" s="26" t="n">
        <v>5.5</v>
      </c>
      <c r="F64" s="18" t="s">
        <v>213</v>
      </c>
    </row>
    <row r="65" customFormat="false" ht="15" hidden="false" customHeight="true" outlineLevel="0" collapsed="false">
      <c r="B65" s="9" t="s">
        <v>214</v>
      </c>
      <c r="C65" s="10" t="s">
        <v>215</v>
      </c>
      <c r="D65" s="24" t="n">
        <v>97</v>
      </c>
      <c r="E65" s="26" t="n">
        <v>4.89</v>
      </c>
      <c r="F65" s="18" t="s">
        <v>215</v>
      </c>
    </row>
    <row r="66" customFormat="false" ht="15" hidden="false" customHeight="true" outlineLevel="0" collapsed="false">
      <c r="B66" s="9" t="s">
        <v>216</v>
      </c>
      <c r="C66" s="10" t="s">
        <v>217</v>
      </c>
      <c r="D66" s="24" t="n">
        <v>17</v>
      </c>
      <c r="E66" s="26" t="n">
        <v>6.85</v>
      </c>
      <c r="F66" s="18" t="s">
        <v>217</v>
      </c>
    </row>
    <row r="67" customFormat="false" ht="15" hidden="false" customHeight="true" outlineLevel="0" collapsed="false">
      <c r="B67" s="9" t="s">
        <v>218</v>
      </c>
      <c r="C67" s="10" t="s">
        <v>219</v>
      </c>
      <c r="D67" s="24" t="n">
        <v>153</v>
      </c>
      <c r="E67" s="26" t="n">
        <v>3.76</v>
      </c>
      <c r="F67" s="18" t="s">
        <v>219</v>
      </c>
    </row>
    <row r="68" customFormat="false" ht="15" hidden="false" customHeight="true" outlineLevel="0" collapsed="false">
      <c r="B68" s="9" t="s">
        <v>220</v>
      </c>
      <c r="C68" s="10" t="s">
        <v>221</v>
      </c>
      <c r="D68" s="24" t="n">
        <v>154</v>
      </c>
      <c r="E68" s="26" t="n">
        <v>3.68</v>
      </c>
      <c r="F68" s="18" t="s">
        <v>221</v>
      </c>
    </row>
    <row r="69" customFormat="false" ht="15" hidden="false" customHeight="true" outlineLevel="0" collapsed="false">
      <c r="B69" s="9" t="s">
        <v>222</v>
      </c>
      <c r="C69" s="10" t="s">
        <v>223</v>
      </c>
      <c r="D69" s="24" t="n">
        <v>61</v>
      </c>
      <c r="E69" s="26" t="n">
        <v>5.56</v>
      </c>
      <c r="F69" s="18" t="s">
        <v>223</v>
      </c>
    </row>
    <row r="70" customFormat="false" ht="15" hidden="false" customHeight="true" outlineLevel="0" collapsed="false">
      <c r="B70" s="9" t="s">
        <v>224</v>
      </c>
      <c r="C70" s="10" t="s">
        <v>225</v>
      </c>
      <c r="D70" s="24" t="n">
        <v>105</v>
      </c>
      <c r="E70" s="26" t="n">
        <v>4.77</v>
      </c>
      <c r="F70" s="18" t="s">
        <v>225</v>
      </c>
    </row>
    <row r="71" customFormat="false" ht="15" hidden="false" customHeight="true" outlineLevel="0" collapsed="false">
      <c r="B71" s="9" t="s">
        <v>226</v>
      </c>
      <c r="C71" s="10" t="s">
        <v>227</v>
      </c>
      <c r="D71" s="24" t="n">
        <v>49</v>
      </c>
      <c r="E71" s="26" t="n">
        <v>5.84</v>
      </c>
      <c r="F71" s="18" t="s">
        <v>227</v>
      </c>
    </row>
    <row r="72" customFormat="false" ht="15" hidden="false" customHeight="true" outlineLevel="0" collapsed="false">
      <c r="B72" s="9" t="s">
        <v>228</v>
      </c>
      <c r="C72" s="10" t="s">
        <v>229</v>
      </c>
      <c r="D72" s="18"/>
      <c r="E72" s="18"/>
      <c r="F72" s="18"/>
    </row>
    <row r="73" customFormat="false" ht="15" hidden="false" customHeight="true" outlineLevel="0" collapsed="false">
      <c r="B73" s="9" t="s">
        <v>230</v>
      </c>
      <c r="C73" s="10" t="s">
        <v>231</v>
      </c>
      <c r="D73" s="18"/>
      <c r="E73" s="18"/>
      <c r="F73" s="18"/>
    </row>
    <row r="74" customFormat="false" ht="15" hidden="false" customHeight="true" outlineLevel="0" collapsed="false">
      <c r="B74" s="9" t="s">
        <v>232</v>
      </c>
      <c r="C74" s="10" t="s">
        <v>233</v>
      </c>
      <c r="D74" s="24" t="n">
        <v>62</v>
      </c>
      <c r="E74" s="26" t="n">
        <v>5.55</v>
      </c>
      <c r="F74" s="18" t="s">
        <v>233</v>
      </c>
    </row>
    <row r="75" customFormat="false" ht="15" hidden="false" customHeight="true" outlineLevel="0" collapsed="false">
      <c r="B75" s="9" t="s">
        <v>234</v>
      </c>
      <c r="C75" s="10" t="s">
        <v>235</v>
      </c>
      <c r="D75" s="18"/>
      <c r="E75" s="18"/>
      <c r="F75" s="18"/>
    </row>
    <row r="76" customFormat="false" ht="15" hidden="false" customHeight="true" outlineLevel="0" collapsed="false">
      <c r="B76" s="9" t="s">
        <v>236</v>
      </c>
      <c r="C76" s="10" t="s">
        <v>237</v>
      </c>
      <c r="D76" s="24" t="n">
        <v>46</v>
      </c>
      <c r="E76" s="26" t="n">
        <v>5.94</v>
      </c>
      <c r="F76" s="18" t="s">
        <v>237</v>
      </c>
    </row>
    <row r="77" customFormat="false" ht="15" hidden="false" customHeight="true" outlineLevel="0" collapsed="false">
      <c r="B77" s="9" t="s">
        <v>238</v>
      </c>
      <c r="C77" s="10" t="s">
        <v>239</v>
      </c>
      <c r="D77" s="24" t="n">
        <v>48</v>
      </c>
      <c r="E77" s="26" t="n">
        <v>5.88</v>
      </c>
      <c r="F77" s="18" t="s">
        <v>239</v>
      </c>
    </row>
    <row r="78" customFormat="false" ht="15" hidden="false" customHeight="true" outlineLevel="0" collapsed="false">
      <c r="B78" s="9" t="s">
        <v>240</v>
      </c>
      <c r="C78" s="10" t="s">
        <v>241</v>
      </c>
      <c r="D78" s="24" t="n">
        <v>110</v>
      </c>
      <c r="E78" s="26" t="n">
        <v>4.7</v>
      </c>
      <c r="F78" s="18" t="s">
        <v>241</v>
      </c>
    </row>
    <row r="79" customFormat="false" ht="15" hidden="false" customHeight="true" outlineLevel="0" collapsed="false">
      <c r="B79" s="9" t="s">
        <v>242</v>
      </c>
      <c r="C79" s="10" t="s">
        <v>243</v>
      </c>
      <c r="D79" s="24" t="n">
        <v>35</v>
      </c>
      <c r="E79" s="26" t="n">
        <v>6.32</v>
      </c>
      <c r="F79" s="18" t="s">
        <v>243</v>
      </c>
    </row>
    <row r="80" customFormat="false" ht="15" hidden="false" customHeight="true" outlineLevel="0" collapsed="false">
      <c r="B80" s="9" t="s">
        <v>244</v>
      </c>
      <c r="C80" s="10" t="s">
        <v>245</v>
      </c>
      <c r="D80" s="24" t="n">
        <v>159</v>
      </c>
      <c r="E80" s="26" t="n">
        <v>3.45</v>
      </c>
      <c r="F80" s="18" t="s">
        <v>245</v>
      </c>
    </row>
    <row r="81" customFormat="false" ht="15" hidden="false" customHeight="true" outlineLevel="0" collapsed="false">
      <c r="B81" s="9" t="s">
        <v>246</v>
      </c>
      <c r="C81" s="10" t="s">
        <v>247</v>
      </c>
      <c r="D81" s="24" t="n">
        <v>24</v>
      </c>
      <c r="E81" s="26" t="n">
        <v>6.69</v>
      </c>
      <c r="F81" s="18" t="s">
        <v>247</v>
      </c>
    </row>
    <row r="82" customFormat="false" ht="15" hidden="false" customHeight="true" outlineLevel="0" collapsed="false">
      <c r="B82" s="9" t="s">
        <v>248</v>
      </c>
      <c r="C82" s="10" t="s">
        <v>249</v>
      </c>
      <c r="D82" s="24" t="n">
        <v>39</v>
      </c>
      <c r="E82" s="26" t="n">
        <v>6.16</v>
      </c>
      <c r="F82" s="18" t="s">
        <v>249</v>
      </c>
    </row>
    <row r="83" customFormat="false" ht="15" hidden="false" customHeight="true" outlineLevel="0" collapsed="false">
      <c r="B83" s="9" t="s">
        <v>250</v>
      </c>
      <c r="C83" s="10" t="s">
        <v>251</v>
      </c>
      <c r="D83" s="24" t="n">
        <v>138</v>
      </c>
      <c r="E83" s="26" t="n">
        <v>4.19</v>
      </c>
      <c r="F83" s="18" t="s">
        <v>251</v>
      </c>
    </row>
    <row r="84" customFormat="false" ht="15" hidden="false" customHeight="true" outlineLevel="0" collapsed="false">
      <c r="B84" s="9" t="s">
        <v>252</v>
      </c>
      <c r="C84" s="10" t="s">
        <v>253</v>
      </c>
      <c r="D84" s="24" t="n">
        <v>58</v>
      </c>
      <c r="E84" s="26" t="n">
        <v>5.63</v>
      </c>
      <c r="F84" s="18" t="s">
        <v>287</v>
      </c>
    </row>
    <row r="85" customFormat="false" ht="15" hidden="false" customHeight="true" outlineLevel="0" collapsed="false">
      <c r="B85" s="9" t="s">
        <v>254</v>
      </c>
      <c r="C85" s="10" t="s">
        <v>255</v>
      </c>
      <c r="D85" s="24" t="n">
        <v>147</v>
      </c>
      <c r="E85" s="26" t="n">
        <v>4.05</v>
      </c>
      <c r="F85" s="18" t="s">
        <v>313</v>
      </c>
    </row>
    <row r="86" customFormat="false" ht="15" hidden="false" customHeight="true" outlineLevel="0" collapsed="false">
      <c r="B86" s="9" t="s">
        <v>256</v>
      </c>
      <c r="C86" s="10" t="s">
        <v>257</v>
      </c>
      <c r="D86" s="24" t="n">
        <v>82</v>
      </c>
      <c r="E86" s="26" t="n">
        <v>5.26</v>
      </c>
      <c r="F86" s="18" t="s">
        <v>257</v>
      </c>
    </row>
    <row r="87" customFormat="false" ht="15" hidden="false" customHeight="true" outlineLevel="0" collapsed="false">
      <c r="B87" s="9" t="s">
        <v>258</v>
      </c>
      <c r="C87" s="10" t="s">
        <v>259</v>
      </c>
      <c r="D87" s="24" t="n">
        <v>141</v>
      </c>
      <c r="E87" s="26" t="n">
        <v>4.11</v>
      </c>
      <c r="F87" s="18" t="s">
        <v>259</v>
      </c>
    </row>
    <row r="88" customFormat="false" ht="15" hidden="false" customHeight="true" outlineLevel="0" collapsed="false">
      <c r="B88" s="9" t="s">
        <v>260</v>
      </c>
      <c r="C88" s="10" t="s">
        <v>261</v>
      </c>
      <c r="D88" s="24" t="n">
        <v>101</v>
      </c>
      <c r="E88" s="26" t="n">
        <v>4.81</v>
      </c>
      <c r="F88" s="18" t="s">
        <v>261</v>
      </c>
    </row>
    <row r="89" customFormat="false" ht="15" hidden="false" customHeight="true" outlineLevel="0" collapsed="false">
      <c r="B89" s="9" t="s">
        <v>262</v>
      </c>
      <c r="C89" s="10" t="s">
        <v>263</v>
      </c>
      <c r="D89" s="24" t="n">
        <v>52</v>
      </c>
      <c r="E89" s="26" t="n">
        <v>5.7</v>
      </c>
      <c r="F89" s="18" t="s">
        <v>263</v>
      </c>
    </row>
    <row r="90" customFormat="false" ht="15" hidden="false" customHeight="true" outlineLevel="0" collapsed="false">
      <c r="B90" s="9" t="s">
        <v>264</v>
      </c>
      <c r="C90" s="10" t="s">
        <v>265</v>
      </c>
      <c r="D90" s="24" t="n">
        <v>77</v>
      </c>
      <c r="E90" s="26" t="n">
        <v>5.34</v>
      </c>
      <c r="F90" s="18" t="s">
        <v>265</v>
      </c>
    </row>
    <row r="91" customFormat="false" ht="15" hidden="false" customHeight="true" outlineLevel="0" collapsed="false">
      <c r="B91" s="9" t="s">
        <v>266</v>
      </c>
      <c r="C91" s="10" t="s">
        <v>267</v>
      </c>
      <c r="D91" s="24" t="n">
        <v>44</v>
      </c>
      <c r="E91" s="26" t="n">
        <v>5.98</v>
      </c>
      <c r="F91" s="18" t="s">
        <v>267</v>
      </c>
    </row>
  </sheetData>
  <autoFilter ref="B3:F91"/>
  <conditionalFormatting sqref="E3:E90">
    <cfRule type="colorScale" priority="2">
      <colorScale>
        <cfvo type="min" val="0"/>
        <cfvo type="percentile" val="50"/>
        <cfvo type="max" val="0"/>
        <color rgb="FFDDF0E0"/>
        <color rgb="FFF4E5C2"/>
        <color rgb="FFFBE2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4" min="4" style="1" width="12"/>
    <col collapsed="false" customWidth="true" hidden="false" outlineLevel="0" max="5" min="5" style="1" width="30"/>
  </cols>
  <sheetData>
    <row r="2" customFormat="false" ht="15" hidden="false" customHeight="true" outlineLevel="0" collapsed="false">
      <c r="B2" s="3" t="s">
        <v>314</v>
      </c>
    </row>
    <row r="3" customFormat="false" ht="36" hidden="false" customHeight="true" outlineLevel="0" collapsed="false">
      <c r="B3" s="8" t="s">
        <v>61</v>
      </c>
      <c r="C3" s="8" t="s">
        <v>62</v>
      </c>
      <c r="D3" s="8" t="s">
        <v>315</v>
      </c>
      <c r="E3" s="8" t="s">
        <v>316</v>
      </c>
    </row>
    <row r="4" customFormat="false" ht="15" hidden="false" customHeight="true" outlineLevel="0" collapsed="false">
      <c r="B4" s="9" t="s">
        <v>80</v>
      </c>
      <c r="C4" s="10" t="s">
        <v>81</v>
      </c>
      <c r="D4" s="18"/>
      <c r="E4" s="18" t="s">
        <v>317</v>
      </c>
    </row>
    <row r="5" customFormat="false" ht="15" hidden="false" customHeight="true" outlineLevel="0" collapsed="false">
      <c r="B5" s="9" t="s">
        <v>84</v>
      </c>
      <c r="C5" s="10" t="s">
        <v>85</v>
      </c>
      <c r="D5" s="18"/>
      <c r="E5" s="18" t="s">
        <v>317</v>
      </c>
    </row>
    <row r="6" customFormat="false" ht="15" hidden="false" customHeight="true" outlineLevel="0" collapsed="false">
      <c r="B6" s="9" t="s">
        <v>88</v>
      </c>
      <c r="C6" s="10" t="s">
        <v>89</v>
      </c>
      <c r="D6" s="24" t="n">
        <v>15</v>
      </c>
      <c r="E6" s="18" t="s">
        <v>318</v>
      </c>
    </row>
    <row r="7" customFormat="false" ht="15" hidden="false" customHeight="true" outlineLevel="0" collapsed="false">
      <c r="B7" s="9" t="s">
        <v>90</v>
      </c>
      <c r="C7" s="10" t="s">
        <v>91</v>
      </c>
      <c r="D7" s="18"/>
      <c r="E7" s="18" t="s">
        <v>317</v>
      </c>
    </row>
    <row r="8" customFormat="false" ht="15" hidden="false" customHeight="true" outlineLevel="0" collapsed="false">
      <c r="B8" s="9" t="s">
        <v>92</v>
      </c>
      <c r="C8" s="10" t="s">
        <v>93</v>
      </c>
      <c r="D8" s="18"/>
      <c r="E8" s="18" t="s">
        <v>317</v>
      </c>
    </row>
    <row r="9" customFormat="false" ht="15" hidden="false" customHeight="true" outlineLevel="0" collapsed="false">
      <c r="B9" s="9" t="s">
        <v>95</v>
      </c>
      <c r="C9" s="10" t="s">
        <v>96</v>
      </c>
      <c r="D9" s="18"/>
      <c r="E9" s="18" t="s">
        <v>317</v>
      </c>
    </row>
    <row r="10" customFormat="false" ht="15" hidden="false" customHeight="true" outlineLevel="0" collapsed="false">
      <c r="B10" s="9" t="s">
        <v>98</v>
      </c>
      <c r="C10" s="10" t="s">
        <v>99</v>
      </c>
      <c r="D10" s="18"/>
      <c r="E10" s="18" t="s">
        <v>317</v>
      </c>
    </row>
    <row r="11" customFormat="false" ht="15" hidden="false" customHeight="true" outlineLevel="0" collapsed="false">
      <c r="B11" s="9" t="s">
        <v>100</v>
      </c>
      <c r="C11" s="10" t="s">
        <v>101</v>
      </c>
      <c r="D11" s="18"/>
      <c r="E11" s="18" t="s">
        <v>317</v>
      </c>
    </row>
    <row r="12" customFormat="false" ht="15" hidden="false" customHeight="true" outlineLevel="0" collapsed="false">
      <c r="B12" s="9" t="s">
        <v>104</v>
      </c>
      <c r="C12" s="10" t="s">
        <v>105</v>
      </c>
      <c r="D12" s="18"/>
      <c r="E12" s="18" t="s">
        <v>317</v>
      </c>
    </row>
    <row r="13" customFormat="false" ht="15" hidden="false" customHeight="true" outlineLevel="0" collapsed="false">
      <c r="B13" s="9" t="s">
        <v>106</v>
      </c>
      <c r="C13" s="10" t="s">
        <v>107</v>
      </c>
      <c r="D13" s="18"/>
      <c r="E13" s="18" t="s">
        <v>317</v>
      </c>
    </row>
    <row r="14" customFormat="false" ht="15" hidden="false" customHeight="true" outlineLevel="0" collapsed="false">
      <c r="B14" s="9" t="s">
        <v>108</v>
      </c>
      <c r="C14" s="10" t="s">
        <v>109</v>
      </c>
      <c r="D14" s="18"/>
      <c r="E14" s="18" t="s">
        <v>317</v>
      </c>
    </row>
    <row r="15" customFormat="false" ht="15" hidden="false" customHeight="true" outlineLevel="0" collapsed="false">
      <c r="B15" s="9" t="s">
        <v>111</v>
      </c>
      <c r="C15" s="10" t="s">
        <v>112</v>
      </c>
      <c r="D15" s="18"/>
      <c r="E15" s="18" t="s">
        <v>317</v>
      </c>
    </row>
    <row r="16" customFormat="false" ht="15" hidden="false" customHeight="true" outlineLevel="0" collapsed="false">
      <c r="B16" s="9" t="s">
        <v>113</v>
      </c>
      <c r="C16" s="10" t="s">
        <v>114</v>
      </c>
      <c r="D16" s="24" t="n">
        <v>10</v>
      </c>
      <c r="E16" s="18" t="s">
        <v>318</v>
      </c>
    </row>
    <row r="17" customFormat="false" ht="15" hidden="false" customHeight="true" outlineLevel="0" collapsed="false">
      <c r="B17" s="9" t="s">
        <v>115</v>
      </c>
      <c r="C17" s="10" t="s">
        <v>116</v>
      </c>
      <c r="D17" s="18"/>
      <c r="E17" s="18" t="s">
        <v>317</v>
      </c>
    </row>
    <row r="18" customFormat="false" ht="15" hidden="false" customHeight="true" outlineLevel="0" collapsed="false">
      <c r="B18" s="9" t="s">
        <v>117</v>
      </c>
      <c r="C18" s="10" t="s">
        <v>118</v>
      </c>
      <c r="D18" s="18"/>
      <c r="E18" s="18" t="s">
        <v>317</v>
      </c>
    </row>
    <row r="19" customFormat="false" ht="15" hidden="false" customHeight="true" outlineLevel="0" collapsed="false">
      <c r="B19" s="9" t="s">
        <v>119</v>
      </c>
      <c r="C19" s="10" t="s">
        <v>120</v>
      </c>
      <c r="D19" s="24" t="n">
        <v>18</v>
      </c>
      <c r="E19" s="18" t="s">
        <v>318</v>
      </c>
    </row>
    <row r="20" customFormat="false" ht="15" hidden="false" customHeight="true" outlineLevel="0" collapsed="false">
      <c r="B20" s="9" t="s">
        <v>122</v>
      </c>
      <c r="C20" s="10" t="s">
        <v>123</v>
      </c>
      <c r="D20" s="18"/>
      <c r="E20" s="18" t="s">
        <v>317</v>
      </c>
    </row>
    <row r="21" customFormat="false" ht="15" hidden="false" customHeight="true" outlineLevel="0" collapsed="false">
      <c r="B21" s="9" t="s">
        <v>124</v>
      </c>
      <c r="C21" s="10" t="s">
        <v>125</v>
      </c>
      <c r="D21" s="18"/>
      <c r="E21" s="18" t="s">
        <v>317</v>
      </c>
    </row>
    <row r="22" customFormat="false" ht="15" hidden="false" customHeight="true" outlineLevel="0" collapsed="false">
      <c r="B22" s="9" t="s">
        <v>126</v>
      </c>
      <c r="C22" s="10" t="s">
        <v>127</v>
      </c>
      <c r="D22" s="24" t="n">
        <v>20</v>
      </c>
      <c r="E22" s="18" t="s">
        <v>318</v>
      </c>
    </row>
    <row r="23" customFormat="false" ht="15" hidden="false" customHeight="true" outlineLevel="0" collapsed="false">
      <c r="B23" s="9" t="s">
        <v>129</v>
      </c>
      <c r="C23" s="10" t="s">
        <v>130</v>
      </c>
      <c r="D23" s="18"/>
      <c r="E23" s="18" t="s">
        <v>317</v>
      </c>
    </row>
    <row r="24" customFormat="false" ht="15" hidden="false" customHeight="true" outlineLevel="0" collapsed="false">
      <c r="B24" s="9" t="s">
        <v>131</v>
      </c>
      <c r="C24" s="10" t="s">
        <v>132</v>
      </c>
      <c r="D24" s="18"/>
      <c r="E24" s="18" t="s">
        <v>317</v>
      </c>
    </row>
    <row r="25" customFormat="false" ht="15" hidden="false" customHeight="true" outlineLevel="0" collapsed="false">
      <c r="B25" s="9" t="s">
        <v>133</v>
      </c>
      <c r="C25" s="10" t="s">
        <v>134</v>
      </c>
      <c r="D25" s="18"/>
      <c r="E25" s="18" t="s">
        <v>317</v>
      </c>
    </row>
    <row r="26" customFormat="false" ht="15" hidden="false" customHeight="true" outlineLevel="0" collapsed="false">
      <c r="B26" s="9" t="s">
        <v>135</v>
      </c>
      <c r="C26" s="10" t="s">
        <v>136</v>
      </c>
      <c r="D26" s="18"/>
      <c r="E26" s="18" t="s">
        <v>317</v>
      </c>
    </row>
    <row r="27" customFormat="false" ht="15" hidden="false" customHeight="true" outlineLevel="0" collapsed="false">
      <c r="B27" s="9" t="s">
        <v>137</v>
      </c>
      <c r="C27" s="10" t="s">
        <v>138</v>
      </c>
      <c r="D27" s="18"/>
      <c r="E27" s="18" t="s">
        <v>317</v>
      </c>
    </row>
    <row r="28" customFormat="false" ht="15" hidden="false" customHeight="true" outlineLevel="0" collapsed="false">
      <c r="B28" s="9" t="s">
        <v>139</v>
      </c>
      <c r="C28" s="10" t="s">
        <v>140</v>
      </c>
      <c r="D28" s="18"/>
      <c r="E28" s="18" t="s">
        <v>317</v>
      </c>
    </row>
    <row r="29" customFormat="false" ht="27.75" hidden="false" customHeight="true" outlineLevel="0" collapsed="false">
      <c r="B29" s="9" t="s">
        <v>141</v>
      </c>
      <c r="C29" s="10" t="s">
        <v>142</v>
      </c>
      <c r="D29" s="18"/>
      <c r="E29" s="18" t="s">
        <v>317</v>
      </c>
    </row>
    <row r="30" customFormat="false" ht="15" hidden="false" customHeight="true" outlineLevel="0" collapsed="false">
      <c r="B30" s="9" t="s">
        <v>143</v>
      </c>
      <c r="C30" s="10" t="s">
        <v>144</v>
      </c>
      <c r="D30" s="18"/>
      <c r="E30" s="18" t="s">
        <v>317</v>
      </c>
    </row>
    <row r="31" customFormat="false" ht="15" hidden="false" customHeight="true" outlineLevel="0" collapsed="false">
      <c r="B31" s="9" t="s">
        <v>145</v>
      </c>
      <c r="C31" s="10" t="s">
        <v>146</v>
      </c>
      <c r="D31" s="18"/>
      <c r="E31" s="18" t="s">
        <v>317</v>
      </c>
    </row>
    <row r="32" customFormat="false" ht="15" hidden="false" customHeight="true" outlineLevel="0" collapsed="false">
      <c r="B32" s="9" t="s">
        <v>147</v>
      </c>
      <c r="C32" s="10" t="s">
        <v>148</v>
      </c>
      <c r="D32" s="18"/>
      <c r="E32" s="18" t="s">
        <v>317</v>
      </c>
    </row>
    <row r="33" customFormat="false" ht="15" hidden="false" customHeight="true" outlineLevel="0" collapsed="false">
      <c r="B33" s="9" t="s">
        <v>149</v>
      </c>
      <c r="C33" s="10" t="s">
        <v>150</v>
      </c>
      <c r="D33" s="18"/>
      <c r="E33" s="18" t="s">
        <v>317</v>
      </c>
    </row>
    <row r="34" customFormat="false" ht="15" hidden="false" customHeight="true" outlineLevel="0" collapsed="false">
      <c r="B34" s="9" t="s">
        <v>152</v>
      </c>
      <c r="C34" s="10" t="s">
        <v>153</v>
      </c>
      <c r="D34" s="18"/>
      <c r="E34" s="18" t="s">
        <v>317</v>
      </c>
    </row>
    <row r="35" customFormat="false" ht="15" hidden="false" customHeight="true" outlineLevel="0" collapsed="false">
      <c r="B35" s="9" t="s">
        <v>154</v>
      </c>
      <c r="C35" s="10" t="s">
        <v>155</v>
      </c>
      <c r="D35" s="24" t="n">
        <v>12</v>
      </c>
      <c r="E35" s="18" t="s">
        <v>318</v>
      </c>
    </row>
    <row r="36" customFormat="false" ht="15" hidden="false" customHeight="true" outlineLevel="0" collapsed="false">
      <c r="B36" s="9" t="s">
        <v>156</v>
      </c>
      <c r="C36" s="10" t="s">
        <v>157</v>
      </c>
      <c r="D36" s="18"/>
      <c r="E36" s="18" t="s">
        <v>317</v>
      </c>
    </row>
    <row r="37" customFormat="false" ht="15" hidden="false" customHeight="true" outlineLevel="0" collapsed="false">
      <c r="B37" s="9" t="s">
        <v>158</v>
      </c>
      <c r="C37" s="10" t="s">
        <v>159</v>
      </c>
      <c r="D37" s="18"/>
      <c r="E37" s="18" t="s">
        <v>317</v>
      </c>
    </row>
    <row r="38" customFormat="false" ht="15" hidden="false" customHeight="true" outlineLevel="0" collapsed="false">
      <c r="B38" s="9" t="s">
        <v>160</v>
      </c>
      <c r="C38" s="10" t="s">
        <v>161</v>
      </c>
      <c r="D38" s="18"/>
      <c r="E38" s="18" t="s">
        <v>317</v>
      </c>
    </row>
    <row r="39" customFormat="false" ht="15" hidden="false" customHeight="true" outlineLevel="0" collapsed="false">
      <c r="B39" s="9" t="s">
        <v>162</v>
      </c>
      <c r="C39" s="10" t="s">
        <v>163</v>
      </c>
      <c r="D39" s="18"/>
      <c r="E39" s="18" t="s">
        <v>317</v>
      </c>
    </row>
    <row r="40" customFormat="false" ht="15" hidden="false" customHeight="true" outlineLevel="0" collapsed="false">
      <c r="B40" s="9" t="s">
        <v>164</v>
      </c>
      <c r="C40" s="10" t="s">
        <v>165</v>
      </c>
      <c r="D40" s="24" t="n">
        <v>3</v>
      </c>
      <c r="E40" s="18" t="s">
        <v>318</v>
      </c>
    </row>
    <row r="41" customFormat="false" ht="15" hidden="false" customHeight="true" outlineLevel="0" collapsed="false">
      <c r="B41" s="9" t="s">
        <v>166</v>
      </c>
      <c r="C41" s="10" t="s">
        <v>167</v>
      </c>
      <c r="D41" s="24" t="n">
        <v>1</v>
      </c>
      <c r="E41" s="18" t="s">
        <v>318</v>
      </c>
    </row>
    <row r="42" customFormat="false" ht="15" hidden="false" customHeight="true" outlineLevel="0" collapsed="false">
      <c r="B42" s="9" t="s">
        <v>168</v>
      </c>
      <c r="C42" s="10" t="s">
        <v>169</v>
      </c>
      <c r="D42" s="18"/>
      <c r="E42" s="18" t="s">
        <v>317</v>
      </c>
    </row>
    <row r="43" customFormat="false" ht="15" hidden="false" customHeight="true" outlineLevel="0" collapsed="false">
      <c r="B43" s="9" t="s">
        <v>170</v>
      </c>
      <c r="C43" s="10" t="s">
        <v>171</v>
      </c>
      <c r="D43" s="18"/>
      <c r="E43" s="18" t="s">
        <v>317</v>
      </c>
    </row>
    <row r="44" customFormat="false" ht="15" hidden="false" customHeight="true" outlineLevel="0" collapsed="false">
      <c r="B44" s="9" t="s">
        <v>172</v>
      </c>
      <c r="C44" s="10" t="s">
        <v>173</v>
      </c>
      <c r="D44" s="18"/>
      <c r="E44" s="18" t="s">
        <v>317</v>
      </c>
    </row>
    <row r="45" customFormat="false" ht="15" hidden="false" customHeight="true" outlineLevel="0" collapsed="false">
      <c r="B45" s="9" t="s">
        <v>174</v>
      </c>
      <c r="C45" s="10" t="s">
        <v>175</v>
      </c>
      <c r="D45" s="18"/>
      <c r="E45" s="18" t="s">
        <v>317</v>
      </c>
    </row>
    <row r="46" customFormat="false" ht="15" hidden="false" customHeight="true" outlineLevel="0" collapsed="false">
      <c r="B46" s="9" t="s">
        <v>176</v>
      </c>
      <c r="C46" s="10" t="s">
        <v>177</v>
      </c>
      <c r="D46" s="18"/>
      <c r="E46" s="18" t="s">
        <v>317</v>
      </c>
    </row>
    <row r="47" customFormat="false" ht="15" hidden="false" customHeight="true" outlineLevel="0" collapsed="false">
      <c r="B47" s="9" t="s">
        <v>178</v>
      </c>
      <c r="C47" s="10" t="s">
        <v>179</v>
      </c>
      <c r="D47" s="18"/>
      <c r="E47" s="18" t="s">
        <v>317</v>
      </c>
    </row>
    <row r="48" customFormat="false" ht="15" hidden="false" customHeight="true" outlineLevel="0" collapsed="false">
      <c r="B48" s="9" t="s">
        <v>180</v>
      </c>
      <c r="C48" s="10" t="s">
        <v>181</v>
      </c>
      <c r="D48" s="18"/>
      <c r="E48" s="18" t="s">
        <v>317</v>
      </c>
    </row>
    <row r="49" customFormat="false" ht="15" hidden="false" customHeight="true" outlineLevel="0" collapsed="false">
      <c r="B49" s="9" t="s">
        <v>182</v>
      </c>
      <c r="C49" s="10" t="s">
        <v>183</v>
      </c>
      <c r="D49" s="18"/>
      <c r="E49" s="18" t="s">
        <v>317</v>
      </c>
    </row>
    <row r="50" customFormat="false" ht="15" hidden="false" customHeight="true" outlineLevel="0" collapsed="false">
      <c r="B50" s="9" t="s">
        <v>184</v>
      </c>
      <c r="C50" s="10" t="s">
        <v>185</v>
      </c>
      <c r="D50" s="18"/>
      <c r="E50" s="18" t="s">
        <v>317</v>
      </c>
    </row>
    <row r="51" customFormat="false" ht="15" hidden="false" customHeight="true" outlineLevel="0" collapsed="false">
      <c r="B51" s="9" t="s">
        <v>186</v>
      </c>
      <c r="C51" s="10" t="s">
        <v>187</v>
      </c>
      <c r="D51" s="18"/>
      <c r="E51" s="18" t="s">
        <v>317</v>
      </c>
    </row>
    <row r="52" customFormat="false" ht="15" hidden="false" customHeight="true" outlineLevel="0" collapsed="false">
      <c r="B52" s="9" t="s">
        <v>188</v>
      </c>
      <c r="C52" s="10" t="s">
        <v>189</v>
      </c>
      <c r="D52" s="24" t="n">
        <v>19</v>
      </c>
      <c r="E52" s="18" t="s">
        <v>318</v>
      </c>
    </row>
    <row r="53" customFormat="false" ht="15" hidden="false" customHeight="true" outlineLevel="0" collapsed="false">
      <c r="B53" s="9" t="s">
        <v>190</v>
      </c>
      <c r="C53" s="10" t="s">
        <v>191</v>
      </c>
      <c r="D53" s="18"/>
      <c r="E53" s="18" t="s">
        <v>317</v>
      </c>
    </row>
    <row r="54" customFormat="false" ht="15" hidden="false" customHeight="true" outlineLevel="0" collapsed="false">
      <c r="B54" s="9" t="s">
        <v>192</v>
      </c>
      <c r="C54" s="10" t="s">
        <v>193</v>
      </c>
      <c r="D54" s="18"/>
      <c r="E54" s="18" t="s">
        <v>317</v>
      </c>
    </row>
    <row r="55" customFormat="false" ht="15" hidden="false" customHeight="true" outlineLevel="0" collapsed="false">
      <c r="B55" s="9" t="s">
        <v>194</v>
      </c>
      <c r="C55" s="10" t="s">
        <v>195</v>
      </c>
      <c r="D55" s="18"/>
      <c r="E55" s="18" t="s">
        <v>317</v>
      </c>
    </row>
    <row r="56" customFormat="false" ht="15" hidden="false" customHeight="true" outlineLevel="0" collapsed="false">
      <c r="B56" s="9" t="s">
        <v>196</v>
      </c>
      <c r="C56" s="10" t="s">
        <v>197</v>
      </c>
      <c r="D56" s="18"/>
      <c r="E56" s="18" t="s">
        <v>317</v>
      </c>
    </row>
    <row r="57" customFormat="false" ht="15" hidden="false" customHeight="true" outlineLevel="0" collapsed="false">
      <c r="B57" s="9" t="s">
        <v>198</v>
      </c>
      <c r="C57" s="10" t="s">
        <v>199</v>
      </c>
      <c r="D57" s="18"/>
      <c r="E57" s="18" t="s">
        <v>317</v>
      </c>
    </row>
    <row r="58" customFormat="false" ht="15" hidden="false" customHeight="true" outlineLevel="0" collapsed="false">
      <c r="B58" s="9" t="s">
        <v>200</v>
      </c>
      <c r="C58" s="10" t="s">
        <v>201</v>
      </c>
      <c r="D58" s="18"/>
      <c r="E58" s="18" t="s">
        <v>317</v>
      </c>
    </row>
    <row r="59" customFormat="false" ht="15" hidden="false" customHeight="true" outlineLevel="0" collapsed="false">
      <c r="B59" s="9" t="s">
        <v>202</v>
      </c>
      <c r="C59" s="10" t="s">
        <v>203</v>
      </c>
      <c r="D59" s="18"/>
      <c r="E59" s="18" t="s">
        <v>317</v>
      </c>
    </row>
    <row r="60" customFormat="false" ht="15" hidden="false" customHeight="true" outlineLevel="0" collapsed="false">
      <c r="B60" s="9" t="s">
        <v>204</v>
      </c>
      <c r="C60" s="10" t="s">
        <v>205</v>
      </c>
      <c r="D60" s="18"/>
      <c r="E60" s="18" t="s">
        <v>317</v>
      </c>
    </row>
    <row r="61" customFormat="false" ht="15" hidden="false" customHeight="true" outlineLevel="0" collapsed="false">
      <c r="B61" s="9" t="s">
        <v>206</v>
      </c>
      <c r="C61" s="10" t="s">
        <v>207</v>
      </c>
      <c r="D61" s="18"/>
      <c r="E61" s="18" t="s">
        <v>317</v>
      </c>
    </row>
    <row r="62" customFormat="false" ht="15" hidden="false" customHeight="true" outlineLevel="0" collapsed="false">
      <c r="B62" s="9" t="s">
        <v>208</v>
      </c>
      <c r="C62" s="10" t="s">
        <v>209</v>
      </c>
      <c r="D62" s="18"/>
      <c r="E62" s="18" t="s">
        <v>317</v>
      </c>
    </row>
    <row r="63" customFormat="false" ht="15" hidden="false" customHeight="true" outlineLevel="0" collapsed="false">
      <c r="B63" s="9" t="s">
        <v>210</v>
      </c>
      <c r="C63" s="10" t="s">
        <v>211</v>
      </c>
      <c r="D63" s="18"/>
      <c r="E63" s="18" t="s">
        <v>317</v>
      </c>
    </row>
    <row r="64" customFormat="false" ht="15" hidden="false" customHeight="true" outlineLevel="0" collapsed="false">
      <c r="B64" s="9" t="s">
        <v>212</v>
      </c>
      <c r="C64" s="10" t="s">
        <v>213</v>
      </c>
      <c r="D64" s="18"/>
      <c r="E64" s="18" t="s">
        <v>317</v>
      </c>
    </row>
    <row r="65" customFormat="false" ht="15" hidden="false" customHeight="true" outlineLevel="0" collapsed="false">
      <c r="B65" s="9" t="s">
        <v>214</v>
      </c>
      <c r="C65" s="10" t="s">
        <v>215</v>
      </c>
      <c r="D65" s="18"/>
      <c r="E65" s="18" t="s">
        <v>317</v>
      </c>
    </row>
    <row r="66" customFormat="false" ht="15" hidden="false" customHeight="true" outlineLevel="0" collapsed="false">
      <c r="B66" s="9" t="s">
        <v>216</v>
      </c>
      <c r="C66" s="10" t="s">
        <v>217</v>
      </c>
      <c r="D66" s="24" t="n">
        <v>2</v>
      </c>
      <c r="E66" s="18" t="s">
        <v>318</v>
      </c>
    </row>
    <row r="67" customFormat="false" ht="15" hidden="false" customHeight="true" outlineLevel="0" collapsed="false">
      <c r="B67" s="9" t="s">
        <v>218</v>
      </c>
      <c r="C67" s="10" t="s">
        <v>219</v>
      </c>
      <c r="D67" s="18"/>
      <c r="E67" s="18" t="s">
        <v>317</v>
      </c>
    </row>
    <row r="68" customFormat="false" ht="15" hidden="false" customHeight="true" outlineLevel="0" collapsed="false">
      <c r="B68" s="9" t="s">
        <v>220</v>
      </c>
      <c r="C68" s="10" t="s">
        <v>221</v>
      </c>
      <c r="D68" s="18"/>
      <c r="E68" s="18" t="s">
        <v>317</v>
      </c>
    </row>
    <row r="69" customFormat="false" ht="15" hidden="false" customHeight="true" outlineLevel="0" collapsed="false">
      <c r="B69" s="9" t="s">
        <v>222</v>
      </c>
      <c r="C69" s="10" t="s">
        <v>223</v>
      </c>
      <c r="D69" s="24" t="n">
        <v>9</v>
      </c>
      <c r="E69" s="18" t="s">
        <v>318</v>
      </c>
    </row>
    <row r="70" customFormat="false" ht="15" hidden="false" customHeight="true" outlineLevel="0" collapsed="false">
      <c r="B70" s="9" t="s">
        <v>224</v>
      </c>
      <c r="C70" s="10" t="s">
        <v>225</v>
      </c>
      <c r="D70" s="18"/>
      <c r="E70" s="18" t="s">
        <v>317</v>
      </c>
    </row>
    <row r="71" customFormat="false" ht="15" hidden="false" customHeight="true" outlineLevel="0" collapsed="false">
      <c r="B71" s="9" t="s">
        <v>226</v>
      </c>
      <c r="C71" s="10" t="s">
        <v>227</v>
      </c>
      <c r="D71" s="24" t="n">
        <v>8</v>
      </c>
      <c r="E71" s="18" t="s">
        <v>318</v>
      </c>
    </row>
    <row r="72" customFormat="false" ht="15" hidden="false" customHeight="true" outlineLevel="0" collapsed="false">
      <c r="B72" s="9" t="s">
        <v>228</v>
      </c>
      <c r="C72" s="10" t="s">
        <v>229</v>
      </c>
      <c r="D72" s="18"/>
      <c r="E72" s="18" t="s">
        <v>317</v>
      </c>
    </row>
    <row r="73" customFormat="false" ht="15" hidden="false" customHeight="true" outlineLevel="0" collapsed="false">
      <c r="B73" s="9" t="s">
        <v>230</v>
      </c>
      <c r="C73" s="10" t="s">
        <v>231</v>
      </c>
      <c r="D73" s="18"/>
      <c r="E73" s="18" t="s">
        <v>317</v>
      </c>
    </row>
    <row r="74" customFormat="false" ht="15" hidden="false" customHeight="true" outlineLevel="0" collapsed="false">
      <c r="B74" s="9" t="s">
        <v>232</v>
      </c>
      <c r="C74" s="10" t="s">
        <v>233</v>
      </c>
      <c r="D74" s="18"/>
      <c r="E74" s="18" t="s">
        <v>317</v>
      </c>
    </row>
    <row r="75" customFormat="false" ht="15" hidden="false" customHeight="true" outlineLevel="0" collapsed="false">
      <c r="B75" s="9" t="s">
        <v>234</v>
      </c>
      <c r="C75" s="10" t="s">
        <v>235</v>
      </c>
      <c r="D75" s="24" t="n">
        <v>7</v>
      </c>
      <c r="E75" s="18" t="s">
        <v>318</v>
      </c>
    </row>
    <row r="76" customFormat="false" ht="15" hidden="false" customHeight="true" outlineLevel="0" collapsed="false">
      <c r="B76" s="9" t="s">
        <v>236</v>
      </c>
      <c r="C76" s="10" t="s">
        <v>237</v>
      </c>
      <c r="D76" s="18"/>
      <c r="E76" s="18" t="s">
        <v>317</v>
      </c>
    </row>
    <row r="77" customFormat="false" ht="15" hidden="false" customHeight="true" outlineLevel="0" collapsed="false">
      <c r="B77" s="9" t="s">
        <v>238</v>
      </c>
      <c r="C77" s="10" t="s">
        <v>239</v>
      </c>
      <c r="D77" s="18"/>
      <c r="E77" s="18" t="s">
        <v>317</v>
      </c>
    </row>
    <row r="78" customFormat="false" ht="15" hidden="false" customHeight="true" outlineLevel="0" collapsed="false">
      <c r="B78" s="9" t="s">
        <v>240</v>
      </c>
      <c r="C78" s="10" t="s">
        <v>241</v>
      </c>
      <c r="D78" s="18"/>
      <c r="E78" s="18" t="s">
        <v>317</v>
      </c>
    </row>
    <row r="79" customFormat="false" ht="15" hidden="false" customHeight="true" outlineLevel="0" collapsed="false">
      <c r="B79" s="9" t="s">
        <v>242</v>
      </c>
      <c r="C79" s="10" t="s">
        <v>243</v>
      </c>
      <c r="D79" s="18"/>
      <c r="E79" s="18" t="s">
        <v>317</v>
      </c>
    </row>
    <row r="80" customFormat="false" ht="15" hidden="false" customHeight="true" outlineLevel="0" collapsed="false">
      <c r="B80" s="9" t="s">
        <v>244</v>
      </c>
      <c r="C80" s="10" t="s">
        <v>245</v>
      </c>
      <c r="D80" s="18"/>
      <c r="E80" s="18" t="s">
        <v>317</v>
      </c>
    </row>
    <row r="81" customFormat="false" ht="15" hidden="false" customHeight="true" outlineLevel="0" collapsed="false">
      <c r="B81" s="9" t="s">
        <v>246</v>
      </c>
      <c r="C81" s="10" t="s">
        <v>247</v>
      </c>
      <c r="D81" s="18"/>
      <c r="E81" s="18" t="s">
        <v>317</v>
      </c>
    </row>
    <row r="82" customFormat="false" ht="15" hidden="false" customHeight="true" outlineLevel="0" collapsed="false">
      <c r="B82" s="9" t="s">
        <v>248</v>
      </c>
      <c r="C82" s="10" t="s">
        <v>249</v>
      </c>
      <c r="D82" s="24" t="n">
        <v>16</v>
      </c>
      <c r="E82" s="18" t="s">
        <v>318</v>
      </c>
    </row>
    <row r="83" customFormat="false" ht="15" hidden="false" customHeight="true" outlineLevel="0" collapsed="false">
      <c r="B83" s="9" t="s">
        <v>250</v>
      </c>
      <c r="C83" s="10" t="s">
        <v>251</v>
      </c>
      <c r="D83" s="18"/>
      <c r="E83" s="18" t="s">
        <v>317</v>
      </c>
    </row>
    <row r="84" customFormat="false" ht="15" hidden="false" customHeight="true" outlineLevel="0" collapsed="false">
      <c r="B84" s="9" t="s">
        <v>252</v>
      </c>
      <c r="C84" s="10" t="s">
        <v>253</v>
      </c>
      <c r="D84" s="24" t="n">
        <v>11</v>
      </c>
      <c r="E84" s="18" t="s">
        <v>318</v>
      </c>
    </row>
    <row r="85" customFormat="false" ht="15" hidden="false" customHeight="true" outlineLevel="0" collapsed="false">
      <c r="B85" s="9" t="s">
        <v>254</v>
      </c>
      <c r="C85" s="10" t="s">
        <v>255</v>
      </c>
      <c r="D85" s="18"/>
      <c r="E85" s="18" t="s">
        <v>317</v>
      </c>
    </row>
    <row r="86" customFormat="false" ht="15" hidden="false" customHeight="true" outlineLevel="0" collapsed="false">
      <c r="B86" s="9" t="s">
        <v>256</v>
      </c>
      <c r="C86" s="10" t="s">
        <v>257</v>
      </c>
      <c r="D86" s="24" t="n">
        <v>6</v>
      </c>
      <c r="E86" s="18" t="s">
        <v>318</v>
      </c>
    </row>
    <row r="87" customFormat="false" ht="15" hidden="false" customHeight="true" outlineLevel="0" collapsed="false">
      <c r="B87" s="9" t="s">
        <v>258</v>
      </c>
      <c r="C87" s="10" t="s">
        <v>259</v>
      </c>
      <c r="D87" s="18"/>
      <c r="E87" s="18" t="s">
        <v>317</v>
      </c>
    </row>
    <row r="88" customFormat="false" ht="15" hidden="false" customHeight="true" outlineLevel="0" collapsed="false">
      <c r="B88" s="9" t="s">
        <v>260</v>
      </c>
      <c r="C88" s="10" t="s">
        <v>261</v>
      </c>
      <c r="D88" s="24" t="n">
        <v>4</v>
      </c>
      <c r="E88" s="18" t="s">
        <v>318</v>
      </c>
    </row>
    <row r="89" customFormat="false" ht="15" hidden="false" customHeight="true" outlineLevel="0" collapsed="false">
      <c r="B89" s="9" t="s">
        <v>262</v>
      </c>
      <c r="C89" s="10" t="s">
        <v>263</v>
      </c>
      <c r="D89" s="18"/>
      <c r="E89" s="18" t="s">
        <v>317</v>
      </c>
    </row>
    <row r="90" customFormat="false" ht="15" hidden="false" customHeight="true" outlineLevel="0" collapsed="false">
      <c r="B90" s="9" t="s">
        <v>264</v>
      </c>
      <c r="C90" s="10" t="s">
        <v>265</v>
      </c>
      <c r="D90" s="18"/>
      <c r="E90" s="18" t="s">
        <v>317</v>
      </c>
    </row>
    <row r="91" customFormat="false" ht="15" hidden="false" customHeight="true" outlineLevel="0" collapsed="false">
      <c r="B91" s="9" t="s">
        <v>266</v>
      </c>
      <c r="C91" s="10" t="s">
        <v>267</v>
      </c>
      <c r="D91" s="18"/>
      <c r="E91" s="18" t="s">
        <v>317</v>
      </c>
    </row>
  </sheetData>
  <autoFilter ref="B3:E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4" min="4" style="1" width="7"/>
    <col collapsed="false" customWidth="true" hidden="false" outlineLevel="0" max="5" min="5" style="1" width="16"/>
    <col collapsed="false" customWidth="true" hidden="false" outlineLevel="0" max="6" min="6" style="1" width="18"/>
  </cols>
  <sheetData>
    <row r="2" customFormat="false" ht="15" hidden="false" customHeight="true" outlineLevel="0" collapsed="false">
      <c r="B2" s="3" t="s">
        <v>319</v>
      </c>
    </row>
    <row r="3" customFormat="false" ht="36" hidden="false" customHeight="true" outlineLevel="0" collapsed="false">
      <c r="B3" s="8" t="s">
        <v>61</v>
      </c>
      <c r="C3" s="8" t="s">
        <v>62</v>
      </c>
      <c r="D3" s="8" t="s">
        <v>280</v>
      </c>
      <c r="E3" s="8" t="s">
        <v>320</v>
      </c>
      <c r="F3" s="8" t="s">
        <v>321</v>
      </c>
    </row>
    <row r="4" customFormat="false" ht="15" hidden="false" customHeight="true" outlineLevel="0" collapsed="false">
      <c r="B4" s="9" t="s">
        <v>80</v>
      </c>
      <c r="C4" s="10" t="s">
        <v>81</v>
      </c>
      <c r="D4" s="18"/>
      <c r="E4" s="18"/>
      <c r="F4" s="18"/>
    </row>
    <row r="5" customFormat="false" ht="15" hidden="false" customHeight="true" outlineLevel="0" collapsed="false">
      <c r="B5" s="9" t="s">
        <v>84</v>
      </c>
      <c r="C5" s="10" t="s">
        <v>85</v>
      </c>
      <c r="D5" s="24" t="n">
        <v>2021</v>
      </c>
      <c r="E5" s="28" t="n">
        <v>0.857421930087712</v>
      </c>
      <c r="F5" s="28" t="n">
        <v>0.132578891939491</v>
      </c>
    </row>
    <row r="6" customFormat="false" ht="15" hidden="false" customHeight="true" outlineLevel="0" collapsed="false">
      <c r="B6" s="9" t="s">
        <v>88</v>
      </c>
      <c r="C6" s="10" t="s">
        <v>89</v>
      </c>
      <c r="D6" s="24" t="n">
        <v>2024</v>
      </c>
      <c r="E6" s="28" t="n">
        <v>0.817442446865007</v>
      </c>
      <c r="F6" s="28" t="n">
        <v>0.567395436775823</v>
      </c>
    </row>
    <row r="7" customFormat="false" ht="15" hidden="false" customHeight="true" outlineLevel="0" collapsed="false">
      <c r="B7" s="9" t="s">
        <v>90</v>
      </c>
      <c r="C7" s="10" t="s">
        <v>91</v>
      </c>
      <c r="D7" s="24" t="n">
        <v>2024</v>
      </c>
      <c r="E7" s="28" t="n">
        <v>0.713734734683257</v>
      </c>
      <c r="F7" s="28" t="n">
        <v>0.173602692204797</v>
      </c>
    </row>
    <row r="8" customFormat="false" ht="15" hidden="false" customHeight="true" outlineLevel="0" collapsed="false">
      <c r="B8" s="9" t="s">
        <v>92</v>
      </c>
      <c r="C8" s="10" t="s">
        <v>93</v>
      </c>
      <c r="D8" s="24" t="n">
        <v>2024</v>
      </c>
      <c r="E8" s="28" t="n">
        <v>0.980103778290099</v>
      </c>
      <c r="F8" s="18"/>
    </row>
    <row r="9" customFormat="false" ht="15" hidden="false" customHeight="true" outlineLevel="0" collapsed="false">
      <c r="B9" s="9" t="s">
        <v>95</v>
      </c>
      <c r="C9" s="10" t="s">
        <v>96</v>
      </c>
      <c r="D9" s="24" t="n">
        <v>2024</v>
      </c>
      <c r="E9" s="28" t="n">
        <v>0.995084974640411</v>
      </c>
      <c r="F9" s="18"/>
    </row>
    <row r="10" customFormat="false" ht="15" hidden="false" customHeight="true" outlineLevel="0" collapsed="false">
      <c r="B10" s="9" t="s">
        <v>98</v>
      </c>
      <c r="C10" s="10" t="s">
        <v>99</v>
      </c>
      <c r="D10" s="24" t="n">
        <v>2024</v>
      </c>
      <c r="E10" s="28" t="n">
        <v>0.563046655573957</v>
      </c>
      <c r="F10" s="18"/>
    </row>
    <row r="11" customFormat="false" ht="15" hidden="false" customHeight="true" outlineLevel="0" collapsed="false">
      <c r="B11" s="9" t="s">
        <v>100</v>
      </c>
      <c r="C11" s="10" t="s">
        <v>101</v>
      </c>
      <c r="D11" s="24" t="n">
        <v>2024</v>
      </c>
      <c r="E11" s="28" t="n">
        <v>0.432839733431322</v>
      </c>
      <c r="F11" s="28" t="n">
        <v>0.20768372550151</v>
      </c>
    </row>
    <row r="12" customFormat="false" ht="15" hidden="false" customHeight="true" outlineLevel="0" collapsed="false">
      <c r="B12" s="9" t="s">
        <v>104</v>
      </c>
      <c r="C12" s="10" t="s">
        <v>105</v>
      </c>
      <c r="D12" s="24" t="n">
        <v>2024</v>
      </c>
      <c r="E12" s="28" t="n">
        <v>0.823220521049445</v>
      </c>
      <c r="F12" s="18"/>
    </row>
    <row r="13" customFormat="false" ht="15" hidden="false" customHeight="true" outlineLevel="0" collapsed="false">
      <c r="B13" s="9" t="s">
        <v>106</v>
      </c>
      <c r="C13" s="10" t="s">
        <v>107</v>
      </c>
      <c r="D13" s="18"/>
      <c r="E13" s="18"/>
      <c r="F13" s="18"/>
    </row>
    <row r="14" customFormat="false" ht="15" hidden="false" customHeight="true" outlineLevel="0" collapsed="false">
      <c r="B14" s="9" t="s">
        <v>108</v>
      </c>
      <c r="C14" s="10" t="s">
        <v>109</v>
      </c>
      <c r="D14" s="24" t="n">
        <v>2017</v>
      </c>
      <c r="E14" s="28" t="n">
        <v>0.811558850462713</v>
      </c>
      <c r="F14" s="18"/>
    </row>
    <row r="15" customFormat="false" ht="15" hidden="false" customHeight="true" outlineLevel="0" collapsed="false">
      <c r="B15" s="9" t="s">
        <v>111</v>
      </c>
      <c r="C15" s="10" t="s">
        <v>112</v>
      </c>
      <c r="D15" s="24" t="n">
        <v>2024</v>
      </c>
      <c r="E15" s="28" t="n">
        <v>0.56849052664469</v>
      </c>
      <c r="F15" s="28" t="n">
        <v>0.199779285324343</v>
      </c>
    </row>
    <row r="16" customFormat="false" ht="15" hidden="false" customHeight="true" outlineLevel="0" collapsed="false">
      <c r="B16" s="9" t="s">
        <v>113</v>
      </c>
      <c r="C16" s="10" t="s">
        <v>114</v>
      </c>
      <c r="D16" s="24" t="n">
        <v>2024</v>
      </c>
      <c r="E16" s="28" t="n">
        <v>0.863811782311541</v>
      </c>
      <c r="F16" s="28" t="n">
        <v>0.581666157171296</v>
      </c>
    </row>
    <row r="17" customFormat="false" ht="15" hidden="false" customHeight="true" outlineLevel="0" collapsed="false">
      <c r="B17" s="9" t="s">
        <v>115</v>
      </c>
      <c r="C17" s="10" t="s">
        <v>116</v>
      </c>
      <c r="D17" s="24" t="n">
        <v>2014</v>
      </c>
      <c r="E17" s="28" t="n">
        <v>0.336659130127617</v>
      </c>
      <c r="F17" s="18"/>
    </row>
    <row r="18" customFormat="false" ht="15" hidden="false" customHeight="true" outlineLevel="0" collapsed="false">
      <c r="B18" s="9" t="s">
        <v>117</v>
      </c>
      <c r="C18" s="10" t="s">
        <v>118</v>
      </c>
      <c r="D18" s="24" t="n">
        <v>2024</v>
      </c>
      <c r="E18" s="28" t="n">
        <v>0.614384690565565</v>
      </c>
      <c r="F18" s="28" t="n">
        <v>0.51617815726863</v>
      </c>
    </row>
    <row r="19" customFormat="false" ht="15" hidden="false" customHeight="true" outlineLevel="0" collapsed="false">
      <c r="B19" s="9" t="s">
        <v>119</v>
      </c>
      <c r="C19" s="10" t="s">
        <v>120</v>
      </c>
      <c r="D19" s="24" t="n">
        <v>2024</v>
      </c>
      <c r="E19" s="28" t="n">
        <v>0.984047126063262</v>
      </c>
      <c r="F19" s="18"/>
    </row>
    <row r="20" customFormat="false" ht="15" hidden="false" customHeight="true" outlineLevel="0" collapsed="false">
      <c r="B20" s="9" t="s">
        <v>122</v>
      </c>
      <c r="C20" s="10" t="s">
        <v>123</v>
      </c>
      <c r="D20" s="24" t="n">
        <v>2024</v>
      </c>
      <c r="E20" s="28" t="n">
        <v>0.98412309687795</v>
      </c>
      <c r="F20" s="18"/>
    </row>
    <row r="21" customFormat="false" ht="15" hidden="false" customHeight="true" outlineLevel="0" collapsed="false">
      <c r="B21" s="9" t="s">
        <v>124</v>
      </c>
      <c r="C21" s="10" t="s">
        <v>125</v>
      </c>
      <c r="D21" s="24" t="n">
        <v>2024</v>
      </c>
      <c r="E21" s="28" t="n">
        <v>0.850691778196127</v>
      </c>
      <c r="F21" s="18"/>
    </row>
    <row r="22" customFormat="false" ht="15" hidden="false" customHeight="true" outlineLevel="0" collapsed="false">
      <c r="B22" s="9" t="s">
        <v>126</v>
      </c>
      <c r="C22" s="10" t="s">
        <v>127</v>
      </c>
      <c r="D22" s="24" t="n">
        <v>2024</v>
      </c>
      <c r="E22" s="28" t="n">
        <v>0.893830319754266</v>
      </c>
      <c r="F22" s="18"/>
    </row>
    <row r="23" customFormat="false" ht="15" hidden="false" customHeight="true" outlineLevel="0" collapsed="false">
      <c r="B23" s="9" t="s">
        <v>129</v>
      </c>
      <c r="C23" s="10" t="s">
        <v>130</v>
      </c>
      <c r="D23" s="24" t="n">
        <v>2024</v>
      </c>
      <c r="E23" s="28" t="n">
        <v>0.570594856281374</v>
      </c>
      <c r="F23" s="28" t="n">
        <v>0.391465592561995</v>
      </c>
    </row>
    <row r="24" customFormat="false" ht="15" hidden="false" customHeight="true" outlineLevel="0" collapsed="false">
      <c r="B24" s="9" t="s">
        <v>131</v>
      </c>
      <c r="C24" s="10" t="s">
        <v>132</v>
      </c>
      <c r="D24" s="18"/>
      <c r="E24" s="18"/>
      <c r="F24" s="18"/>
    </row>
    <row r="25" customFormat="false" ht="15" hidden="false" customHeight="true" outlineLevel="0" collapsed="false">
      <c r="B25" s="9" t="s">
        <v>133</v>
      </c>
      <c r="C25" s="10" t="s">
        <v>134</v>
      </c>
      <c r="D25" s="24" t="n">
        <v>2024</v>
      </c>
      <c r="E25" s="28" t="n">
        <v>0.922832885462025</v>
      </c>
      <c r="F25" s="18"/>
    </row>
    <row r="26" customFormat="false" ht="15" hidden="false" customHeight="true" outlineLevel="0" collapsed="false">
      <c r="B26" s="9" t="s">
        <v>135</v>
      </c>
      <c r="C26" s="10" t="s">
        <v>136</v>
      </c>
      <c r="D26" s="24" t="n">
        <v>2024</v>
      </c>
      <c r="E26" s="28" t="n">
        <v>0.982983235670699</v>
      </c>
      <c r="F26" s="18"/>
    </row>
    <row r="27" customFormat="false" ht="15" hidden="false" customHeight="true" outlineLevel="0" collapsed="false">
      <c r="B27" s="9" t="s">
        <v>137</v>
      </c>
      <c r="C27" s="10" t="s">
        <v>138</v>
      </c>
      <c r="D27" s="24" t="n">
        <v>2024</v>
      </c>
      <c r="E27" s="28" t="n">
        <v>0.986505141065248</v>
      </c>
      <c r="F27" s="18"/>
    </row>
    <row r="28" customFormat="false" ht="15" hidden="false" customHeight="true" outlineLevel="0" collapsed="false">
      <c r="B28" s="9" t="s">
        <v>139</v>
      </c>
      <c r="C28" s="10" t="s">
        <v>140</v>
      </c>
      <c r="D28" s="24" t="n">
        <v>2024</v>
      </c>
      <c r="E28" s="28" t="n">
        <v>0.64777963876998</v>
      </c>
      <c r="F28" s="28" t="n">
        <v>0.180158284310334</v>
      </c>
    </row>
    <row r="29" customFormat="false" ht="27.75" hidden="false" customHeight="true" outlineLevel="0" collapsed="false">
      <c r="B29" s="9" t="s">
        <v>141</v>
      </c>
      <c r="C29" s="10" t="s">
        <v>142</v>
      </c>
      <c r="D29" s="18"/>
      <c r="E29" s="18"/>
      <c r="F29" s="18"/>
    </row>
    <row r="30" customFormat="false" ht="15" hidden="false" customHeight="true" outlineLevel="0" collapsed="false">
      <c r="B30" s="9" t="s">
        <v>143</v>
      </c>
      <c r="C30" s="10" t="s">
        <v>144</v>
      </c>
      <c r="D30" s="24" t="n">
        <v>2024</v>
      </c>
      <c r="E30" s="28" t="n">
        <v>0.431134368034247</v>
      </c>
      <c r="F30" s="28" t="n">
        <v>0.156072041150034</v>
      </c>
    </row>
    <row r="31" customFormat="false" ht="15" hidden="false" customHeight="true" outlineLevel="0" collapsed="false">
      <c r="B31" s="9" t="s">
        <v>145</v>
      </c>
      <c r="C31" s="10" t="s">
        <v>146</v>
      </c>
      <c r="D31" s="18"/>
      <c r="E31" s="18"/>
      <c r="F31" s="18"/>
    </row>
    <row r="32" customFormat="false" ht="15" hidden="false" customHeight="true" outlineLevel="0" collapsed="false">
      <c r="B32" s="9" t="s">
        <v>147</v>
      </c>
      <c r="C32" s="10" t="s">
        <v>148</v>
      </c>
      <c r="D32" s="24" t="n">
        <v>2024</v>
      </c>
      <c r="E32" s="28" t="n">
        <v>0.983807416463989</v>
      </c>
      <c r="F32" s="18"/>
    </row>
    <row r="33" customFormat="false" ht="15" hidden="false" customHeight="true" outlineLevel="0" collapsed="false">
      <c r="B33" s="9" t="s">
        <v>149</v>
      </c>
      <c r="C33" s="10" t="s">
        <v>150</v>
      </c>
      <c r="D33" s="24" t="n">
        <v>2024</v>
      </c>
      <c r="E33" s="28" t="n">
        <v>0.488302767819942</v>
      </c>
      <c r="F33" s="28" t="n">
        <v>0.0945488963590303</v>
      </c>
    </row>
    <row r="34" customFormat="false" ht="15" hidden="false" customHeight="true" outlineLevel="0" collapsed="false">
      <c r="B34" s="9" t="s">
        <v>152</v>
      </c>
      <c r="C34" s="10" t="s">
        <v>153</v>
      </c>
      <c r="D34" s="18"/>
      <c r="E34" s="18"/>
      <c r="F34" s="18"/>
    </row>
    <row r="35" customFormat="false" ht="15" hidden="false" customHeight="true" outlineLevel="0" collapsed="false">
      <c r="B35" s="9" t="s">
        <v>154</v>
      </c>
      <c r="C35" s="10" t="s">
        <v>155</v>
      </c>
      <c r="D35" s="24" t="n">
        <v>2024</v>
      </c>
      <c r="E35" s="28" t="n">
        <v>0.992843092777584</v>
      </c>
      <c r="F35" s="18"/>
    </row>
    <row r="36" customFormat="false" ht="15" hidden="false" customHeight="true" outlineLevel="0" collapsed="false">
      <c r="B36" s="9" t="s">
        <v>156</v>
      </c>
      <c r="C36" s="10" t="s">
        <v>157</v>
      </c>
      <c r="D36" s="24" t="n">
        <v>2024</v>
      </c>
      <c r="E36" s="28" t="n">
        <v>0.788236410959339</v>
      </c>
      <c r="F36" s="18"/>
    </row>
    <row r="37" customFormat="false" ht="15" hidden="false" customHeight="true" outlineLevel="0" collapsed="false">
      <c r="B37" s="9" t="s">
        <v>158</v>
      </c>
      <c r="C37" s="10" t="s">
        <v>159</v>
      </c>
      <c r="D37" s="24" t="n">
        <v>2024</v>
      </c>
      <c r="E37" s="28" t="n">
        <v>0.812430252454858</v>
      </c>
      <c r="F37" s="28" t="n">
        <v>0.782813635015091</v>
      </c>
    </row>
    <row r="38" customFormat="false" ht="15" hidden="false" customHeight="true" outlineLevel="0" collapsed="false">
      <c r="B38" s="9" t="s">
        <v>160</v>
      </c>
      <c r="C38" s="10" t="s">
        <v>161</v>
      </c>
      <c r="D38" s="24" t="n">
        <v>2024</v>
      </c>
      <c r="E38" s="28" t="n">
        <v>0.973080247282368</v>
      </c>
      <c r="F38" s="18"/>
    </row>
    <row r="39" customFormat="false" ht="15" hidden="false" customHeight="true" outlineLevel="0" collapsed="false">
      <c r="B39" s="9" t="s">
        <v>162</v>
      </c>
      <c r="C39" s="10" t="s">
        <v>163</v>
      </c>
      <c r="D39" s="24" t="n">
        <v>2024</v>
      </c>
      <c r="E39" s="28" t="n">
        <v>0.869605630769545</v>
      </c>
      <c r="F39" s="18"/>
    </row>
    <row r="40" customFormat="false" ht="15" hidden="false" customHeight="true" outlineLevel="0" collapsed="false">
      <c r="B40" s="9" t="s">
        <v>164</v>
      </c>
      <c r="C40" s="10" t="s">
        <v>165</v>
      </c>
      <c r="D40" s="24" t="n">
        <v>2024</v>
      </c>
      <c r="E40" s="28" t="n">
        <v>0.563278493718021</v>
      </c>
      <c r="F40" s="28" t="n">
        <v>0.220129024040787</v>
      </c>
    </row>
    <row r="41" customFormat="false" ht="15" hidden="false" customHeight="true" outlineLevel="0" collapsed="false">
      <c r="B41" s="9" t="s">
        <v>166</v>
      </c>
      <c r="C41" s="10" t="s">
        <v>167</v>
      </c>
      <c r="D41" s="24" t="n">
        <v>2024</v>
      </c>
      <c r="E41" s="28" t="n">
        <v>0.890248224502547</v>
      </c>
      <c r="F41" s="28" t="n">
        <v>0.231007553610962</v>
      </c>
    </row>
    <row r="42" customFormat="false" ht="15" hidden="false" customHeight="true" outlineLevel="0" collapsed="false">
      <c r="B42" s="9" t="s">
        <v>168</v>
      </c>
      <c r="C42" s="10" t="s">
        <v>169</v>
      </c>
      <c r="D42" s="24" t="n">
        <v>2024</v>
      </c>
      <c r="E42" s="28" t="n">
        <v>0.910610044635676</v>
      </c>
      <c r="F42" s="28" t="n">
        <v>0.131040104950472</v>
      </c>
    </row>
    <row r="43" customFormat="false" ht="15" hidden="false" customHeight="true" outlineLevel="0" collapsed="false">
      <c r="B43" s="9" t="s">
        <v>170</v>
      </c>
      <c r="C43" s="10" t="s">
        <v>171</v>
      </c>
      <c r="D43" s="24" t="n">
        <v>2024</v>
      </c>
      <c r="E43" s="28" t="n">
        <v>0.301610517779513</v>
      </c>
      <c r="F43" s="28" t="n">
        <v>0.118649862957934</v>
      </c>
    </row>
    <row r="44" customFormat="false" ht="15" hidden="false" customHeight="true" outlineLevel="0" collapsed="false">
      <c r="B44" s="9" t="s">
        <v>172</v>
      </c>
      <c r="C44" s="10" t="s">
        <v>173</v>
      </c>
      <c r="D44" s="24" t="n">
        <v>2024</v>
      </c>
      <c r="E44" s="28" t="n">
        <v>0.998548358099717</v>
      </c>
      <c r="F44" s="18"/>
    </row>
    <row r="45" customFormat="false" ht="15" hidden="false" customHeight="true" outlineLevel="0" collapsed="false">
      <c r="B45" s="9" t="s">
        <v>174</v>
      </c>
      <c r="C45" s="10" t="s">
        <v>175</v>
      </c>
      <c r="D45" s="24" t="n">
        <v>2024</v>
      </c>
      <c r="E45" s="28" t="n">
        <v>0.892691974119826</v>
      </c>
      <c r="F45" s="18"/>
    </row>
    <row r="46" customFormat="false" ht="15" hidden="false" customHeight="true" outlineLevel="0" collapsed="false">
      <c r="B46" s="9" t="s">
        <v>176</v>
      </c>
      <c r="C46" s="10" t="s">
        <v>177</v>
      </c>
      <c r="D46" s="24" t="n">
        <v>2024</v>
      </c>
      <c r="E46" s="28" t="n">
        <v>0.860191093278992</v>
      </c>
      <c r="F46" s="18"/>
    </row>
    <row r="47" customFormat="false" ht="15" hidden="false" customHeight="true" outlineLevel="0" collapsed="false">
      <c r="B47" s="9" t="s">
        <v>178</v>
      </c>
      <c r="C47" s="10" t="s">
        <v>179</v>
      </c>
      <c r="D47" s="24" t="n">
        <v>2021</v>
      </c>
      <c r="E47" s="28" t="n">
        <v>0.733003615105011</v>
      </c>
      <c r="F47" s="28" t="n">
        <v>0.126601306162648</v>
      </c>
    </row>
    <row r="48" customFormat="false" ht="15" hidden="false" customHeight="true" outlineLevel="0" collapsed="false">
      <c r="B48" s="9" t="s">
        <v>180</v>
      </c>
      <c r="C48" s="10" t="s">
        <v>181</v>
      </c>
      <c r="D48" s="24" t="n">
        <v>2024</v>
      </c>
      <c r="E48" s="28" t="n">
        <v>0.985235592091779</v>
      </c>
      <c r="F48" s="18"/>
    </row>
    <row r="49" customFormat="false" ht="15" hidden="false" customHeight="true" outlineLevel="0" collapsed="false">
      <c r="B49" s="9" t="s">
        <v>182</v>
      </c>
      <c r="C49" s="10" t="s">
        <v>183</v>
      </c>
      <c r="D49" s="24" t="n">
        <v>2024</v>
      </c>
      <c r="E49" s="28" t="n">
        <v>0.870486447464415</v>
      </c>
      <c r="F49" s="28" t="n">
        <v>0.488575255414164</v>
      </c>
    </row>
    <row r="50" customFormat="false" ht="15" hidden="false" customHeight="true" outlineLevel="0" collapsed="false">
      <c r="B50" s="9" t="s">
        <v>184</v>
      </c>
      <c r="C50" s="10" t="s">
        <v>185</v>
      </c>
      <c r="D50" s="24" t="n">
        <v>2024</v>
      </c>
      <c r="E50" s="28" t="n">
        <v>0.722642375946654</v>
      </c>
      <c r="F50" s="28" t="n">
        <v>0.310351086424767</v>
      </c>
    </row>
    <row r="51" customFormat="false" ht="15" hidden="false" customHeight="true" outlineLevel="0" collapsed="false">
      <c r="B51" s="9" t="s">
        <v>186</v>
      </c>
      <c r="C51" s="10" t="s">
        <v>187</v>
      </c>
      <c r="D51" s="18"/>
      <c r="E51" s="18"/>
      <c r="F51" s="18"/>
    </row>
    <row r="52" customFormat="false" ht="15" hidden="false" customHeight="true" outlineLevel="0" collapsed="false">
      <c r="B52" s="9" t="s">
        <v>188</v>
      </c>
      <c r="C52" s="10" t="s">
        <v>189</v>
      </c>
      <c r="D52" s="24" t="n">
        <v>2024</v>
      </c>
      <c r="E52" s="28" t="n">
        <v>0.968949448884961</v>
      </c>
      <c r="F52" s="28" t="n">
        <v>0.601022032736356</v>
      </c>
    </row>
    <row r="53" customFormat="false" ht="15" hidden="false" customHeight="true" outlineLevel="0" collapsed="false">
      <c r="B53" s="9" t="s">
        <v>190</v>
      </c>
      <c r="C53" s="10" t="s">
        <v>191</v>
      </c>
      <c r="D53" s="24" t="n">
        <v>2024</v>
      </c>
      <c r="E53" s="28" t="n">
        <v>0.744578561430281</v>
      </c>
      <c r="F53" s="18"/>
    </row>
    <row r="54" customFormat="false" ht="15" hidden="false" customHeight="true" outlineLevel="0" collapsed="false">
      <c r="B54" s="9" t="s">
        <v>192</v>
      </c>
      <c r="C54" s="10" t="s">
        <v>193</v>
      </c>
      <c r="D54" s="24" t="n">
        <v>2024</v>
      </c>
      <c r="E54" s="28" t="n">
        <v>0.376501969468659</v>
      </c>
      <c r="F54" s="28" t="n">
        <v>0.118384276782264</v>
      </c>
    </row>
    <row r="55" customFormat="false" ht="15" hidden="false" customHeight="true" outlineLevel="0" collapsed="false">
      <c r="B55" s="9" t="s">
        <v>194</v>
      </c>
      <c r="C55" s="10" t="s">
        <v>195</v>
      </c>
      <c r="D55" s="24" t="n">
        <v>2024</v>
      </c>
      <c r="E55" s="28" t="n">
        <v>0.230438575680739</v>
      </c>
      <c r="F55" s="28" t="n">
        <v>0.0271589794245283</v>
      </c>
    </row>
    <row r="56" customFormat="false" ht="15" hidden="false" customHeight="true" outlineLevel="0" collapsed="false">
      <c r="B56" s="9" t="s">
        <v>196</v>
      </c>
      <c r="C56" s="10" t="s">
        <v>197</v>
      </c>
      <c r="D56" s="24" t="n">
        <v>2024</v>
      </c>
      <c r="E56" s="28" t="n">
        <v>0.816921293527248</v>
      </c>
      <c r="F56" s="28" t="n">
        <v>0.0299616477602989</v>
      </c>
    </row>
    <row r="57" customFormat="false" ht="15" hidden="false" customHeight="true" outlineLevel="0" collapsed="false">
      <c r="B57" s="9" t="s">
        <v>198</v>
      </c>
      <c r="C57" s="10" t="s">
        <v>199</v>
      </c>
      <c r="D57" s="18"/>
      <c r="E57" s="18"/>
      <c r="F57" s="18"/>
    </row>
    <row r="58" customFormat="false" ht="15" hidden="false" customHeight="true" outlineLevel="0" collapsed="false">
      <c r="B58" s="9" t="s">
        <v>200</v>
      </c>
      <c r="C58" s="10" t="s">
        <v>201</v>
      </c>
      <c r="D58" s="24" t="n">
        <v>2024</v>
      </c>
      <c r="E58" s="28" t="n">
        <v>0.244501397197571</v>
      </c>
      <c r="F58" s="28" t="n">
        <v>0.193550167093779</v>
      </c>
    </row>
    <row r="59" customFormat="false" ht="15" hidden="false" customHeight="true" outlineLevel="0" collapsed="false">
      <c r="B59" s="9" t="s">
        <v>202</v>
      </c>
      <c r="C59" s="10" t="s">
        <v>203</v>
      </c>
      <c r="D59" s="24" t="n">
        <v>2017</v>
      </c>
      <c r="E59" s="28" t="n">
        <v>0.79546409464789</v>
      </c>
      <c r="F59" s="28" t="n">
        <v>0.233007872254875</v>
      </c>
    </row>
    <row r="60" customFormat="false" ht="15" hidden="false" customHeight="true" outlineLevel="0" collapsed="false">
      <c r="B60" s="9" t="s">
        <v>204</v>
      </c>
      <c r="C60" s="10" t="s">
        <v>205</v>
      </c>
      <c r="D60" s="24" t="n">
        <v>2021</v>
      </c>
      <c r="E60" s="28" t="n">
        <v>0.477910290706127</v>
      </c>
      <c r="F60" s="28" t="n">
        <v>0.290307042450086</v>
      </c>
    </row>
    <row r="61" customFormat="false" ht="15" hidden="false" customHeight="true" outlineLevel="0" collapsed="false">
      <c r="B61" s="9" t="s">
        <v>206</v>
      </c>
      <c r="C61" s="10" t="s">
        <v>207</v>
      </c>
      <c r="D61" s="24" t="n">
        <v>2024</v>
      </c>
      <c r="E61" s="28" t="n">
        <v>0.754116297013886</v>
      </c>
      <c r="F61" s="18"/>
    </row>
    <row r="62" customFormat="false" ht="15" hidden="false" customHeight="true" outlineLevel="0" collapsed="false">
      <c r="B62" s="9" t="s">
        <v>208</v>
      </c>
      <c r="C62" s="10" t="s">
        <v>209</v>
      </c>
      <c r="D62" s="24" t="n">
        <v>2024</v>
      </c>
      <c r="E62" s="28" t="n">
        <v>0.273142609920985</v>
      </c>
      <c r="F62" s="18"/>
    </row>
    <row r="63" customFormat="false" ht="15" hidden="false" customHeight="true" outlineLevel="0" collapsed="false">
      <c r="B63" s="9" t="s">
        <v>210</v>
      </c>
      <c r="C63" s="10" t="s">
        <v>211</v>
      </c>
      <c r="D63" s="24" t="n">
        <v>2024</v>
      </c>
      <c r="E63" s="28" t="n">
        <v>0.503696725002439</v>
      </c>
      <c r="F63" s="28" t="n">
        <v>0.473991978362086</v>
      </c>
    </row>
    <row r="64" customFormat="false" ht="15" hidden="false" customHeight="true" outlineLevel="0" collapsed="false">
      <c r="B64" s="9" t="s">
        <v>212</v>
      </c>
      <c r="C64" s="10" t="s">
        <v>213</v>
      </c>
      <c r="D64" s="24" t="n">
        <v>2024</v>
      </c>
      <c r="E64" s="28" t="n">
        <v>0.886918012421116</v>
      </c>
      <c r="F64" s="28" t="n">
        <v>0.445049316596793</v>
      </c>
    </row>
    <row r="65" customFormat="false" ht="15" hidden="false" customHeight="true" outlineLevel="0" collapsed="false">
      <c r="B65" s="9" t="s">
        <v>214</v>
      </c>
      <c r="C65" s="10" t="s">
        <v>215</v>
      </c>
      <c r="D65" s="24" t="n">
        <v>2024</v>
      </c>
      <c r="E65" s="28" t="n">
        <v>0.729187672893525</v>
      </c>
      <c r="F65" s="28" t="n">
        <v>0.484473580646797</v>
      </c>
    </row>
    <row r="66" customFormat="false" ht="15" hidden="false" customHeight="true" outlineLevel="0" collapsed="false">
      <c r="B66" s="9" t="s">
        <v>216</v>
      </c>
      <c r="C66" s="10" t="s">
        <v>217</v>
      </c>
      <c r="D66" s="24" t="n">
        <v>2024</v>
      </c>
      <c r="E66" s="28" t="n">
        <v>0.632613514491542</v>
      </c>
      <c r="F66" s="28" t="n">
        <v>0.327907521346508</v>
      </c>
    </row>
    <row r="67" customFormat="false" ht="15" hidden="false" customHeight="true" outlineLevel="0" collapsed="false">
      <c r="B67" s="9" t="s">
        <v>218</v>
      </c>
      <c r="C67" s="10" t="s">
        <v>219</v>
      </c>
      <c r="D67" s="24" t="n">
        <v>2024</v>
      </c>
      <c r="E67" s="28" t="n">
        <v>0.985561571037813</v>
      </c>
      <c r="F67" s="18"/>
    </row>
    <row r="68" customFormat="false" ht="15" hidden="false" customHeight="true" outlineLevel="0" collapsed="false">
      <c r="B68" s="9" t="s">
        <v>220</v>
      </c>
      <c r="C68" s="10" t="s">
        <v>221</v>
      </c>
      <c r="D68" s="24" t="n">
        <v>2024</v>
      </c>
      <c r="E68" s="28" t="n">
        <v>0.978647563722742</v>
      </c>
      <c r="F68" s="18"/>
    </row>
    <row r="69" customFormat="false" ht="15" hidden="false" customHeight="true" outlineLevel="0" collapsed="false">
      <c r="B69" s="9" t="s">
        <v>222</v>
      </c>
      <c r="C69" s="10" t="s">
        <v>223</v>
      </c>
      <c r="D69" s="24" t="n">
        <v>2024</v>
      </c>
      <c r="E69" s="28" t="n">
        <v>0.272960071761925</v>
      </c>
      <c r="F69" s="28" t="n">
        <v>0.183578643242878</v>
      </c>
    </row>
    <row r="70" customFormat="false" ht="15" hidden="false" customHeight="true" outlineLevel="0" collapsed="false">
      <c r="B70" s="9" t="s">
        <v>224</v>
      </c>
      <c r="C70" s="10" t="s">
        <v>225</v>
      </c>
      <c r="D70" s="24" t="n">
        <v>2024</v>
      </c>
      <c r="E70" s="28" t="n">
        <v>0.593098978248017</v>
      </c>
      <c r="F70" s="28" t="n">
        <v>0.424973370328842</v>
      </c>
    </row>
    <row r="71" customFormat="false" ht="15" hidden="false" customHeight="true" outlineLevel="0" collapsed="false">
      <c r="B71" s="9" t="s">
        <v>226</v>
      </c>
      <c r="C71" s="10" t="s">
        <v>227</v>
      </c>
      <c r="D71" s="24" t="n">
        <v>2024</v>
      </c>
      <c r="E71" s="28" t="n">
        <v>0.501824221429254</v>
      </c>
      <c r="F71" s="28" t="n">
        <v>0.288000006326383</v>
      </c>
    </row>
    <row r="72" customFormat="false" ht="15" hidden="false" customHeight="true" outlineLevel="0" collapsed="false">
      <c r="B72" s="9" t="s">
        <v>228</v>
      </c>
      <c r="C72" s="10" t="s">
        <v>229</v>
      </c>
      <c r="D72" s="18"/>
      <c r="E72" s="18"/>
      <c r="F72" s="18"/>
    </row>
    <row r="73" customFormat="false" ht="15" hidden="false" customHeight="true" outlineLevel="0" collapsed="false">
      <c r="B73" s="9" t="s">
        <v>230</v>
      </c>
      <c r="C73" s="10" t="s">
        <v>231</v>
      </c>
      <c r="D73" s="18"/>
      <c r="E73" s="18"/>
      <c r="F73" s="18"/>
    </row>
    <row r="74" customFormat="false" ht="15" hidden="false" customHeight="true" outlineLevel="0" collapsed="false">
      <c r="B74" s="9" t="s">
        <v>232</v>
      </c>
      <c r="C74" s="10" t="s">
        <v>233</v>
      </c>
      <c r="D74" s="24" t="n">
        <v>2011</v>
      </c>
      <c r="E74" s="28" t="n">
        <v>0.658753853266331</v>
      </c>
      <c r="F74" s="18"/>
    </row>
    <row r="75" customFormat="false" ht="15" hidden="false" customHeight="true" outlineLevel="0" collapsed="false">
      <c r="B75" s="9" t="s">
        <v>234</v>
      </c>
      <c r="C75" s="10" t="s">
        <v>235</v>
      </c>
      <c r="D75" s="24" t="n">
        <v>2024</v>
      </c>
      <c r="E75" s="28" t="n">
        <v>0.793421267068262</v>
      </c>
      <c r="F75" s="28" t="n">
        <v>0.0581761873044621</v>
      </c>
    </row>
    <row r="76" customFormat="false" ht="15" hidden="false" customHeight="true" outlineLevel="0" collapsed="false">
      <c r="B76" s="9" t="s">
        <v>236</v>
      </c>
      <c r="C76" s="10" t="s">
        <v>237</v>
      </c>
      <c r="D76" s="24" t="n">
        <v>2017</v>
      </c>
      <c r="E76" s="28" t="n">
        <v>0.50019793696102</v>
      </c>
      <c r="F76" s="28" t="n">
        <v>0.31114641541215</v>
      </c>
    </row>
    <row r="77" customFormat="false" ht="15" hidden="false" customHeight="true" outlineLevel="0" collapsed="false">
      <c r="B77" s="9" t="s">
        <v>238</v>
      </c>
      <c r="C77" s="10" t="s">
        <v>239</v>
      </c>
      <c r="D77" s="24" t="n">
        <v>2024</v>
      </c>
      <c r="E77" s="28" t="n">
        <v>0.788409517231945</v>
      </c>
      <c r="F77" s="28" t="n">
        <v>0.365012282127332</v>
      </c>
    </row>
    <row r="78" customFormat="false" ht="15" hidden="false" customHeight="true" outlineLevel="0" collapsed="false">
      <c r="B78" s="9" t="s">
        <v>240</v>
      </c>
      <c r="C78" s="10" t="s">
        <v>241</v>
      </c>
      <c r="D78" s="24" t="n">
        <v>2024</v>
      </c>
      <c r="E78" s="28" t="n">
        <v>0.979718288419762</v>
      </c>
      <c r="F78" s="28" t="n">
        <v>0.564689658881854</v>
      </c>
    </row>
    <row r="79" customFormat="false" ht="15" hidden="false" customHeight="true" outlineLevel="0" collapsed="false">
      <c r="B79" s="9" t="s">
        <v>242</v>
      </c>
      <c r="C79" s="10" t="s">
        <v>243</v>
      </c>
      <c r="D79" s="18"/>
      <c r="E79" s="18"/>
      <c r="F79" s="18"/>
    </row>
    <row r="80" customFormat="false" ht="15" hidden="false" customHeight="true" outlineLevel="0" collapsed="false">
      <c r="B80" s="9" t="s">
        <v>244</v>
      </c>
      <c r="C80" s="10" t="s">
        <v>245</v>
      </c>
      <c r="D80" s="24" t="n">
        <v>2024</v>
      </c>
      <c r="E80" s="28" t="n">
        <v>0.985654945145745</v>
      </c>
      <c r="F80" s="18"/>
    </row>
    <row r="81" customFormat="false" ht="15" hidden="false" customHeight="true" outlineLevel="0" collapsed="false">
      <c r="B81" s="9" t="s">
        <v>246</v>
      </c>
      <c r="C81" s="10" t="s">
        <v>247</v>
      </c>
      <c r="D81" s="24" t="n">
        <v>2024</v>
      </c>
      <c r="E81" s="28" t="n">
        <v>0.651160267166079</v>
      </c>
      <c r="F81" s="28" t="n">
        <v>0.504069175550071</v>
      </c>
    </row>
    <row r="82" customFormat="false" ht="15" hidden="false" customHeight="true" outlineLevel="0" collapsed="false">
      <c r="B82" s="9" t="s">
        <v>248</v>
      </c>
      <c r="C82" s="10" t="s">
        <v>249</v>
      </c>
      <c r="D82" s="24" t="n">
        <v>2024</v>
      </c>
      <c r="E82" s="28" t="n">
        <v>0.918249814693343</v>
      </c>
      <c r="F82" s="28" t="n">
        <v>0.416773814169066</v>
      </c>
    </row>
    <row r="83" customFormat="false" ht="15" hidden="false" customHeight="true" outlineLevel="0" collapsed="false">
      <c r="B83" s="9" t="s">
        <v>250</v>
      </c>
      <c r="C83" s="10" t="s">
        <v>251</v>
      </c>
      <c r="D83" s="24" t="n">
        <v>2024</v>
      </c>
      <c r="E83" s="28" t="n">
        <v>0.745920641469519</v>
      </c>
      <c r="F83" s="18"/>
    </row>
    <row r="84" customFormat="false" ht="15" hidden="false" customHeight="true" outlineLevel="0" collapsed="false">
      <c r="B84" s="9" t="s">
        <v>252</v>
      </c>
      <c r="C84" s="10" t="s">
        <v>253</v>
      </c>
      <c r="D84" s="24" t="n">
        <v>2024</v>
      </c>
      <c r="E84" s="28" t="n">
        <v>0.815545478352063</v>
      </c>
      <c r="F84" s="28" t="n">
        <v>0.233225245914149</v>
      </c>
    </row>
    <row r="85" customFormat="false" ht="15" hidden="false" customHeight="true" outlineLevel="0" collapsed="false">
      <c r="B85" s="9" t="s">
        <v>254</v>
      </c>
      <c r="C85" s="10" t="s">
        <v>255</v>
      </c>
      <c r="D85" s="24" t="n">
        <v>2024</v>
      </c>
      <c r="E85" s="28" t="n">
        <v>0.956207098673629</v>
      </c>
      <c r="F85" s="18"/>
    </row>
    <row r="86" customFormat="false" ht="15" hidden="false" customHeight="true" outlineLevel="0" collapsed="false">
      <c r="B86" s="9" t="s">
        <v>256</v>
      </c>
      <c r="C86" s="10" t="s">
        <v>257</v>
      </c>
      <c r="D86" s="24" t="n">
        <v>2024</v>
      </c>
      <c r="E86" s="28" t="n">
        <v>0.87581225854266</v>
      </c>
      <c r="F86" s="18"/>
    </row>
    <row r="87" customFormat="false" ht="15" hidden="false" customHeight="true" outlineLevel="0" collapsed="false">
      <c r="B87" s="9" t="s">
        <v>258</v>
      </c>
      <c r="C87" s="10" t="s">
        <v>259</v>
      </c>
      <c r="D87" s="24" t="n">
        <v>2024</v>
      </c>
      <c r="E87" s="28" t="n">
        <v>0.737451275567861</v>
      </c>
      <c r="F87" s="18"/>
    </row>
    <row r="88" customFormat="false" ht="15" hidden="false" customHeight="true" outlineLevel="0" collapsed="false">
      <c r="B88" s="9" t="s">
        <v>260</v>
      </c>
      <c r="C88" s="10" t="s">
        <v>261</v>
      </c>
      <c r="D88" s="24" t="n">
        <v>2024</v>
      </c>
      <c r="E88" s="28" t="n">
        <v>0.970230983290589</v>
      </c>
      <c r="F88" s="18"/>
    </row>
    <row r="89" customFormat="false" ht="15" hidden="false" customHeight="true" outlineLevel="0" collapsed="false">
      <c r="B89" s="9" t="s">
        <v>262</v>
      </c>
      <c r="C89" s="10" t="s">
        <v>263</v>
      </c>
      <c r="D89" s="24" t="n">
        <v>2024</v>
      </c>
      <c r="E89" s="28" t="n">
        <v>0.811259662052011</v>
      </c>
      <c r="F89" s="28" t="n">
        <v>0.31623201671299</v>
      </c>
    </row>
    <row r="90" customFormat="false" ht="15" hidden="false" customHeight="true" outlineLevel="0" collapsed="false">
      <c r="B90" s="9" t="s">
        <v>264</v>
      </c>
      <c r="C90" s="10" t="s">
        <v>265</v>
      </c>
      <c r="D90" s="24" t="n">
        <v>2024</v>
      </c>
      <c r="E90" s="28" t="n">
        <v>0.727024245599811</v>
      </c>
      <c r="F90" s="28" t="n">
        <v>0.693107512524696</v>
      </c>
    </row>
    <row r="91" customFormat="false" ht="15" hidden="false" customHeight="true" outlineLevel="0" collapsed="false">
      <c r="B91" s="9" t="s">
        <v>266</v>
      </c>
      <c r="C91" s="10" t="s">
        <v>267</v>
      </c>
      <c r="D91" s="24" t="n">
        <v>2024</v>
      </c>
      <c r="E91" s="28" t="n">
        <v>0.495216018025126</v>
      </c>
      <c r="F91" s="28" t="n">
        <v>0.433317368740992</v>
      </c>
    </row>
  </sheetData>
  <autoFilter ref="B3:F91"/>
  <conditionalFormatting sqref="E3:E90">
    <cfRule type="colorScale" priority="2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conditionalFormatting sqref="F3:F90">
    <cfRule type="colorScale" priority="3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4" min="4" style="1" width="7"/>
    <col collapsed="false" customWidth="true" hidden="false" outlineLevel="0" max="5" min="5" style="1" width="12"/>
    <col collapsed="false" customWidth="true" hidden="false" outlineLevel="0" max="6" min="6" style="1" width="24"/>
  </cols>
  <sheetData>
    <row r="2" customFormat="false" ht="15" hidden="false" customHeight="true" outlineLevel="0" collapsed="false">
      <c r="B2" s="3" t="s">
        <v>322</v>
      </c>
    </row>
    <row r="3" customFormat="false" ht="36" hidden="false" customHeight="true" outlineLevel="0" collapsed="false">
      <c r="B3" s="8" t="s">
        <v>61</v>
      </c>
      <c r="C3" s="8" t="s">
        <v>62</v>
      </c>
      <c r="D3" s="8" t="s">
        <v>280</v>
      </c>
      <c r="E3" s="8" t="s">
        <v>323</v>
      </c>
      <c r="F3" s="8" t="s">
        <v>324</v>
      </c>
    </row>
    <row r="4" customFormat="false" ht="15" hidden="false" customHeight="true" outlineLevel="0" collapsed="false">
      <c r="B4" s="9" t="s">
        <v>80</v>
      </c>
      <c r="C4" s="10" t="s">
        <v>81</v>
      </c>
      <c r="D4" s="18"/>
      <c r="E4" s="18"/>
      <c r="F4" s="18"/>
    </row>
    <row r="5" customFormat="false" ht="15" hidden="false" customHeight="true" outlineLevel="0" collapsed="false">
      <c r="B5" s="9" t="s">
        <v>84</v>
      </c>
      <c r="C5" s="10" t="s">
        <v>85</v>
      </c>
      <c r="D5" s="18"/>
      <c r="E5" s="18"/>
      <c r="F5" s="18"/>
    </row>
    <row r="6" customFormat="false" ht="15" hidden="false" customHeight="true" outlineLevel="0" collapsed="false">
      <c r="B6" s="9" t="s">
        <v>88</v>
      </c>
      <c r="C6" s="10" t="s">
        <v>89</v>
      </c>
      <c r="D6" s="24" t="n">
        <v>2024</v>
      </c>
      <c r="E6" s="29" t="n">
        <v>90.1325</v>
      </c>
      <c r="F6" s="18" t="s">
        <v>89</v>
      </c>
    </row>
    <row r="7" customFormat="false" ht="15" hidden="false" customHeight="true" outlineLevel="0" collapsed="false">
      <c r="B7" s="9" t="s">
        <v>90</v>
      </c>
      <c r="C7" s="10" t="s">
        <v>91</v>
      </c>
      <c r="D7" s="24" t="n">
        <v>2024</v>
      </c>
      <c r="E7" s="29" t="n">
        <v>55.2625</v>
      </c>
      <c r="F7" s="18" t="s">
        <v>91</v>
      </c>
    </row>
    <row r="8" customFormat="false" ht="15" hidden="false" customHeight="true" outlineLevel="0" collapsed="false">
      <c r="B8" s="9" t="s">
        <v>92</v>
      </c>
      <c r="C8" s="10" t="s">
        <v>93</v>
      </c>
      <c r="D8" s="18"/>
      <c r="E8" s="18"/>
      <c r="F8" s="18"/>
    </row>
    <row r="9" customFormat="false" ht="15" hidden="false" customHeight="true" outlineLevel="0" collapsed="false">
      <c r="B9" s="9" t="s">
        <v>95</v>
      </c>
      <c r="C9" s="10" t="s">
        <v>96</v>
      </c>
      <c r="D9" s="18"/>
      <c r="E9" s="18"/>
      <c r="F9" s="18"/>
    </row>
    <row r="10" customFormat="false" ht="15" hidden="false" customHeight="true" outlineLevel="0" collapsed="false">
      <c r="B10" s="9" t="s">
        <v>98</v>
      </c>
      <c r="C10" s="10" t="s">
        <v>99</v>
      </c>
      <c r="D10" s="18"/>
      <c r="E10" s="18"/>
      <c r="F10" s="18"/>
    </row>
    <row r="11" customFormat="false" ht="15" hidden="false" customHeight="true" outlineLevel="0" collapsed="false">
      <c r="B11" s="9" t="s">
        <v>100</v>
      </c>
      <c r="C11" s="10" t="s">
        <v>101</v>
      </c>
      <c r="D11" s="24" t="n">
        <v>2024</v>
      </c>
      <c r="E11" s="29" t="n">
        <v>80.5825</v>
      </c>
      <c r="F11" s="18" t="s">
        <v>101</v>
      </c>
    </row>
    <row r="12" customFormat="false" ht="15" hidden="false" customHeight="true" outlineLevel="0" collapsed="false">
      <c r="B12" s="9" t="s">
        <v>104</v>
      </c>
      <c r="C12" s="10" t="s">
        <v>105</v>
      </c>
      <c r="D12" s="18"/>
      <c r="E12" s="18"/>
      <c r="F12" s="18"/>
    </row>
    <row r="13" customFormat="false" ht="15" hidden="false" customHeight="true" outlineLevel="0" collapsed="false">
      <c r="B13" s="9" t="s">
        <v>106</v>
      </c>
      <c r="C13" s="10" t="s">
        <v>107</v>
      </c>
      <c r="D13" s="18"/>
      <c r="E13" s="18"/>
      <c r="F13" s="18"/>
    </row>
    <row r="14" customFormat="false" ht="15" hidden="false" customHeight="true" outlineLevel="0" collapsed="false">
      <c r="B14" s="9" t="s">
        <v>108</v>
      </c>
      <c r="C14" s="10" t="s">
        <v>109</v>
      </c>
      <c r="D14" s="18"/>
      <c r="E14" s="18"/>
      <c r="F14" s="18"/>
    </row>
    <row r="15" customFormat="false" ht="15" hidden="false" customHeight="true" outlineLevel="0" collapsed="false">
      <c r="B15" s="9" t="s">
        <v>111</v>
      </c>
      <c r="C15" s="10" t="s">
        <v>112</v>
      </c>
      <c r="D15" s="24" t="n">
        <v>2024</v>
      </c>
      <c r="E15" s="29" t="n">
        <v>75.7175</v>
      </c>
      <c r="F15" s="18" t="s">
        <v>112</v>
      </c>
    </row>
    <row r="16" customFormat="false" ht="15" hidden="false" customHeight="true" outlineLevel="0" collapsed="false">
      <c r="B16" s="9" t="s">
        <v>113</v>
      </c>
      <c r="C16" s="10" t="s">
        <v>114</v>
      </c>
      <c r="D16" s="24" t="n">
        <v>2024</v>
      </c>
      <c r="E16" s="29" t="n">
        <v>91.12625</v>
      </c>
      <c r="F16" s="18" t="s">
        <v>114</v>
      </c>
    </row>
    <row r="17" customFormat="false" ht="15" hidden="false" customHeight="true" outlineLevel="0" collapsed="false">
      <c r="B17" s="9" t="s">
        <v>115</v>
      </c>
      <c r="C17" s="10" t="s">
        <v>116</v>
      </c>
      <c r="D17" s="18"/>
      <c r="E17" s="18"/>
      <c r="F17" s="18"/>
    </row>
    <row r="18" customFormat="false" ht="15" hidden="false" customHeight="true" outlineLevel="0" collapsed="false">
      <c r="B18" s="9" t="s">
        <v>117</v>
      </c>
      <c r="C18" s="10" t="s">
        <v>118</v>
      </c>
      <c r="D18" s="24" t="n">
        <v>2024</v>
      </c>
      <c r="E18" s="29" t="n">
        <v>73.2425</v>
      </c>
      <c r="F18" s="18" t="s">
        <v>118</v>
      </c>
    </row>
    <row r="19" customFormat="false" ht="15" hidden="false" customHeight="true" outlineLevel="0" collapsed="false">
      <c r="B19" s="9" t="s">
        <v>119</v>
      </c>
      <c r="C19" s="10" t="s">
        <v>120</v>
      </c>
      <c r="D19" s="18"/>
      <c r="E19" s="18"/>
      <c r="F19" s="18"/>
    </row>
    <row r="20" customFormat="false" ht="15" hidden="false" customHeight="true" outlineLevel="0" collapsed="false">
      <c r="B20" s="9" t="s">
        <v>122</v>
      </c>
      <c r="C20" s="10" t="s">
        <v>123</v>
      </c>
      <c r="D20" s="18"/>
      <c r="E20" s="18"/>
      <c r="F20" s="18"/>
    </row>
    <row r="21" customFormat="false" ht="15" hidden="false" customHeight="true" outlineLevel="0" collapsed="false">
      <c r="B21" s="9" t="s">
        <v>124</v>
      </c>
      <c r="C21" s="10" t="s">
        <v>125</v>
      </c>
      <c r="D21" s="18"/>
      <c r="E21" s="18"/>
      <c r="F21" s="18"/>
    </row>
    <row r="22" customFormat="false" ht="15" hidden="false" customHeight="true" outlineLevel="0" collapsed="false">
      <c r="B22" s="9" t="s">
        <v>126</v>
      </c>
      <c r="C22" s="10" t="s">
        <v>127</v>
      </c>
      <c r="D22" s="18"/>
      <c r="E22" s="18"/>
      <c r="F22" s="18"/>
    </row>
    <row r="23" customFormat="false" ht="15" hidden="false" customHeight="true" outlineLevel="0" collapsed="false">
      <c r="B23" s="9" t="s">
        <v>129</v>
      </c>
      <c r="C23" s="10" t="s">
        <v>130</v>
      </c>
      <c r="D23" s="24" t="n">
        <v>2024</v>
      </c>
      <c r="E23" s="29" t="n">
        <v>90.5625</v>
      </c>
      <c r="F23" s="18" t="s">
        <v>130</v>
      </c>
    </row>
    <row r="24" customFormat="false" ht="15" hidden="false" customHeight="true" outlineLevel="0" collapsed="false">
      <c r="B24" s="9" t="s">
        <v>131</v>
      </c>
      <c r="C24" s="10" t="s">
        <v>132</v>
      </c>
      <c r="D24" s="18"/>
      <c r="E24" s="18"/>
      <c r="F24" s="18"/>
    </row>
    <row r="25" customFormat="false" ht="15" hidden="false" customHeight="true" outlineLevel="0" collapsed="false">
      <c r="B25" s="9" t="s">
        <v>133</v>
      </c>
      <c r="C25" s="10" t="s">
        <v>134</v>
      </c>
      <c r="D25" s="18"/>
      <c r="E25" s="18"/>
      <c r="F25" s="18"/>
    </row>
    <row r="26" customFormat="false" ht="15" hidden="false" customHeight="true" outlineLevel="0" collapsed="false">
      <c r="B26" s="9" t="s">
        <v>135</v>
      </c>
      <c r="C26" s="10" t="s">
        <v>136</v>
      </c>
      <c r="D26" s="18"/>
      <c r="E26" s="18"/>
      <c r="F26" s="18"/>
    </row>
    <row r="27" customFormat="false" ht="15" hidden="false" customHeight="true" outlineLevel="0" collapsed="false">
      <c r="B27" s="9" t="s">
        <v>137</v>
      </c>
      <c r="C27" s="10" t="s">
        <v>138</v>
      </c>
      <c r="D27" s="18"/>
      <c r="E27" s="18"/>
      <c r="F27" s="18"/>
    </row>
    <row r="28" customFormat="false" ht="15" hidden="false" customHeight="true" outlineLevel="0" collapsed="false">
      <c r="B28" s="9" t="s">
        <v>139</v>
      </c>
      <c r="C28" s="10" t="s">
        <v>140</v>
      </c>
      <c r="D28" s="24" t="n">
        <v>2024</v>
      </c>
      <c r="E28" s="29" t="n">
        <v>88.1375</v>
      </c>
      <c r="F28" s="18" t="s">
        <v>140</v>
      </c>
    </row>
    <row r="29" customFormat="false" ht="27.75" hidden="false" customHeight="true" outlineLevel="0" collapsed="false">
      <c r="B29" s="9" t="s">
        <v>141</v>
      </c>
      <c r="C29" s="10" t="s">
        <v>142</v>
      </c>
      <c r="D29" s="18"/>
      <c r="E29" s="18"/>
      <c r="F29" s="18"/>
    </row>
    <row r="30" customFormat="false" ht="15" hidden="false" customHeight="true" outlineLevel="0" collapsed="false">
      <c r="B30" s="9" t="s">
        <v>143</v>
      </c>
      <c r="C30" s="10" t="s">
        <v>144</v>
      </c>
      <c r="D30" s="24" t="n">
        <v>2024</v>
      </c>
      <c r="E30" s="29" t="n">
        <v>80.0125</v>
      </c>
      <c r="F30" s="18" t="s">
        <v>144</v>
      </c>
    </row>
    <row r="31" customFormat="false" ht="15" hidden="false" customHeight="true" outlineLevel="0" collapsed="false">
      <c r="B31" s="9" t="s">
        <v>145</v>
      </c>
      <c r="C31" s="10" t="s">
        <v>146</v>
      </c>
      <c r="D31" s="18"/>
      <c r="E31" s="18"/>
      <c r="F31" s="18"/>
    </row>
    <row r="32" customFormat="false" ht="15" hidden="false" customHeight="true" outlineLevel="0" collapsed="false">
      <c r="B32" s="9" t="s">
        <v>147</v>
      </c>
      <c r="C32" s="10" t="s">
        <v>148</v>
      </c>
      <c r="D32" s="18"/>
      <c r="E32" s="18"/>
      <c r="F32" s="18"/>
    </row>
    <row r="33" customFormat="false" ht="15" hidden="false" customHeight="true" outlineLevel="0" collapsed="false">
      <c r="B33" s="9" t="s">
        <v>149</v>
      </c>
      <c r="C33" s="10" t="s">
        <v>150</v>
      </c>
      <c r="D33" s="24" t="n">
        <v>2024</v>
      </c>
      <c r="E33" s="29" t="n">
        <v>86.5625</v>
      </c>
      <c r="F33" s="18" t="s">
        <v>150</v>
      </c>
    </row>
    <row r="34" customFormat="false" ht="15" hidden="false" customHeight="true" outlineLevel="0" collapsed="false">
      <c r="B34" s="9" t="s">
        <v>152</v>
      </c>
      <c r="C34" s="10" t="s">
        <v>153</v>
      </c>
      <c r="D34" s="24" t="n">
        <v>2024</v>
      </c>
      <c r="E34" s="29" t="n">
        <v>70.305</v>
      </c>
      <c r="F34" s="18" t="s">
        <v>153</v>
      </c>
    </row>
    <row r="35" customFormat="false" ht="15" hidden="false" customHeight="true" outlineLevel="0" collapsed="false">
      <c r="B35" s="9" t="s">
        <v>154</v>
      </c>
      <c r="C35" s="10" t="s">
        <v>155</v>
      </c>
      <c r="D35" s="18"/>
      <c r="E35" s="18"/>
      <c r="F35" s="18"/>
    </row>
    <row r="36" customFormat="false" ht="15" hidden="false" customHeight="true" outlineLevel="0" collapsed="false">
      <c r="B36" s="9" t="s">
        <v>156</v>
      </c>
      <c r="C36" s="10" t="s">
        <v>157</v>
      </c>
      <c r="D36" s="24" t="n">
        <v>2024</v>
      </c>
      <c r="E36" s="29" t="n">
        <v>79.575</v>
      </c>
      <c r="F36" s="18" t="s">
        <v>157</v>
      </c>
    </row>
    <row r="37" customFormat="false" ht="15" hidden="false" customHeight="true" outlineLevel="0" collapsed="false">
      <c r="B37" s="9" t="s">
        <v>158</v>
      </c>
      <c r="C37" s="10" t="s">
        <v>159</v>
      </c>
      <c r="D37" s="24" t="n">
        <v>2024</v>
      </c>
      <c r="E37" s="29" t="n">
        <v>95.0625</v>
      </c>
      <c r="F37" s="18" t="s">
        <v>159</v>
      </c>
    </row>
    <row r="38" customFormat="false" ht="15" hidden="false" customHeight="true" outlineLevel="0" collapsed="false">
      <c r="B38" s="9" t="s">
        <v>160</v>
      </c>
      <c r="C38" s="10" t="s">
        <v>161</v>
      </c>
      <c r="D38" s="18"/>
      <c r="E38" s="18"/>
      <c r="F38" s="18"/>
    </row>
    <row r="39" customFormat="false" ht="15" hidden="false" customHeight="true" outlineLevel="0" collapsed="false">
      <c r="B39" s="9" t="s">
        <v>162</v>
      </c>
      <c r="C39" s="10" t="s">
        <v>163</v>
      </c>
      <c r="D39" s="18"/>
      <c r="E39" s="18"/>
      <c r="F39" s="18"/>
    </row>
    <row r="40" customFormat="false" ht="15" hidden="false" customHeight="true" outlineLevel="0" collapsed="false">
      <c r="B40" s="9" t="s">
        <v>164</v>
      </c>
      <c r="C40" s="10" t="s">
        <v>165</v>
      </c>
      <c r="D40" s="24" t="n">
        <v>2024</v>
      </c>
      <c r="E40" s="29" t="n">
        <v>78.91375</v>
      </c>
      <c r="F40" s="18" t="s">
        <v>165</v>
      </c>
    </row>
    <row r="41" customFormat="false" ht="15" hidden="false" customHeight="true" outlineLevel="0" collapsed="false">
      <c r="B41" s="9" t="s">
        <v>166</v>
      </c>
      <c r="C41" s="10" t="s">
        <v>167</v>
      </c>
      <c r="D41" s="24" t="n">
        <v>2024</v>
      </c>
      <c r="E41" s="29" t="n">
        <v>85.0925</v>
      </c>
      <c r="F41" s="18" t="s">
        <v>167</v>
      </c>
    </row>
    <row r="42" customFormat="false" ht="15" hidden="false" customHeight="true" outlineLevel="0" collapsed="false">
      <c r="B42" s="9" t="s">
        <v>168</v>
      </c>
      <c r="C42" s="10" t="s">
        <v>169</v>
      </c>
      <c r="D42" s="18"/>
      <c r="E42" s="18"/>
      <c r="F42" s="18"/>
    </row>
    <row r="43" customFormat="false" ht="15" hidden="false" customHeight="true" outlineLevel="0" collapsed="false">
      <c r="B43" s="9" t="s">
        <v>170</v>
      </c>
      <c r="C43" s="10" t="s">
        <v>171</v>
      </c>
      <c r="D43" s="24" t="n">
        <v>2024</v>
      </c>
      <c r="E43" s="29" t="n">
        <v>91.3875</v>
      </c>
      <c r="F43" s="18" t="s">
        <v>171</v>
      </c>
    </row>
    <row r="44" customFormat="false" ht="15" hidden="false" customHeight="true" outlineLevel="0" collapsed="false">
      <c r="B44" s="9" t="s">
        <v>172</v>
      </c>
      <c r="C44" s="10" t="s">
        <v>173</v>
      </c>
      <c r="D44" s="18"/>
      <c r="E44" s="18"/>
      <c r="F44" s="18"/>
    </row>
    <row r="45" customFormat="false" ht="15" hidden="false" customHeight="true" outlineLevel="0" collapsed="false">
      <c r="B45" s="9" t="s">
        <v>174</v>
      </c>
      <c r="C45" s="10" t="s">
        <v>175</v>
      </c>
      <c r="D45" s="18"/>
      <c r="E45" s="18"/>
      <c r="F45" s="18"/>
    </row>
    <row r="46" customFormat="false" ht="15" hidden="false" customHeight="true" outlineLevel="0" collapsed="false">
      <c r="B46" s="9" t="s">
        <v>176</v>
      </c>
      <c r="C46" s="10" t="s">
        <v>177</v>
      </c>
      <c r="D46" s="18"/>
      <c r="E46" s="18"/>
      <c r="F46" s="18"/>
    </row>
    <row r="47" customFormat="false" ht="15" hidden="false" customHeight="true" outlineLevel="0" collapsed="false">
      <c r="B47" s="9" t="s">
        <v>178</v>
      </c>
      <c r="C47" s="10" t="s">
        <v>179</v>
      </c>
      <c r="D47" s="24" t="n">
        <v>2024</v>
      </c>
      <c r="E47" s="29" t="n">
        <v>53.58125</v>
      </c>
      <c r="F47" s="18" t="s">
        <v>179</v>
      </c>
    </row>
    <row r="48" customFormat="false" ht="15" hidden="false" customHeight="true" outlineLevel="0" collapsed="false">
      <c r="B48" s="9" t="s">
        <v>180</v>
      </c>
      <c r="C48" s="10" t="s">
        <v>181</v>
      </c>
      <c r="D48" s="18"/>
      <c r="E48" s="18"/>
      <c r="F48" s="18"/>
    </row>
    <row r="49" customFormat="false" ht="15" hidden="false" customHeight="true" outlineLevel="0" collapsed="false">
      <c r="B49" s="9" t="s">
        <v>182</v>
      </c>
      <c r="C49" s="10" t="s">
        <v>183</v>
      </c>
      <c r="D49" s="18"/>
      <c r="E49" s="18"/>
      <c r="F49" s="18"/>
    </row>
    <row r="50" customFormat="false" ht="15" hidden="false" customHeight="true" outlineLevel="0" collapsed="false">
      <c r="B50" s="9" t="s">
        <v>184</v>
      </c>
      <c r="C50" s="10" t="s">
        <v>185</v>
      </c>
      <c r="D50" s="24" t="n">
        <v>2024</v>
      </c>
      <c r="E50" s="29" t="n">
        <v>81.8875</v>
      </c>
      <c r="F50" s="18" t="s">
        <v>185</v>
      </c>
    </row>
    <row r="51" customFormat="false" ht="15" hidden="false" customHeight="true" outlineLevel="0" collapsed="false">
      <c r="B51" s="9" t="s">
        <v>186</v>
      </c>
      <c r="C51" s="10" t="s">
        <v>187</v>
      </c>
      <c r="D51" s="18"/>
      <c r="E51" s="18"/>
      <c r="F51" s="18"/>
    </row>
    <row r="52" customFormat="false" ht="15" hidden="false" customHeight="true" outlineLevel="0" collapsed="false">
      <c r="B52" s="9" t="s">
        <v>188</v>
      </c>
      <c r="C52" s="10" t="s">
        <v>189</v>
      </c>
      <c r="D52" s="18"/>
      <c r="E52" s="18"/>
      <c r="F52" s="18"/>
    </row>
    <row r="53" customFormat="false" ht="15" hidden="false" customHeight="true" outlineLevel="0" collapsed="false">
      <c r="B53" s="9" t="s">
        <v>190</v>
      </c>
      <c r="C53" s="10" t="s">
        <v>191</v>
      </c>
      <c r="D53" s="18"/>
      <c r="E53" s="18"/>
      <c r="F53" s="18"/>
    </row>
    <row r="54" customFormat="false" ht="15" hidden="false" customHeight="true" outlineLevel="0" collapsed="false">
      <c r="B54" s="9" t="s">
        <v>192</v>
      </c>
      <c r="C54" s="10" t="s">
        <v>193</v>
      </c>
      <c r="D54" s="18"/>
      <c r="E54" s="18"/>
      <c r="F54" s="18"/>
    </row>
    <row r="55" customFormat="false" ht="15" hidden="false" customHeight="true" outlineLevel="0" collapsed="false">
      <c r="B55" s="9" t="s">
        <v>194</v>
      </c>
      <c r="C55" s="10" t="s">
        <v>195</v>
      </c>
      <c r="D55" s="18"/>
      <c r="E55" s="18"/>
      <c r="F55" s="18"/>
    </row>
    <row r="56" customFormat="false" ht="15" hidden="false" customHeight="true" outlineLevel="0" collapsed="false">
      <c r="B56" s="9" t="s">
        <v>196</v>
      </c>
      <c r="C56" s="10" t="s">
        <v>197</v>
      </c>
      <c r="D56" s="24" t="n">
        <v>2024</v>
      </c>
      <c r="E56" s="29" t="n">
        <v>76.4</v>
      </c>
      <c r="F56" s="18" t="s">
        <v>197</v>
      </c>
    </row>
    <row r="57" customFormat="false" ht="15" hidden="false" customHeight="true" outlineLevel="0" collapsed="false">
      <c r="B57" s="9" t="s">
        <v>198</v>
      </c>
      <c r="C57" s="10" t="s">
        <v>199</v>
      </c>
      <c r="D57" s="18"/>
      <c r="E57" s="18"/>
      <c r="F57" s="18"/>
    </row>
    <row r="58" customFormat="false" ht="15" hidden="false" customHeight="true" outlineLevel="0" collapsed="false">
      <c r="B58" s="9" t="s">
        <v>200</v>
      </c>
      <c r="C58" s="10" t="s">
        <v>201</v>
      </c>
      <c r="D58" s="24" t="n">
        <v>2024</v>
      </c>
      <c r="E58" s="29" t="n">
        <v>86.29375</v>
      </c>
      <c r="F58" s="18" t="s">
        <v>201</v>
      </c>
    </row>
    <row r="59" customFormat="false" ht="15" hidden="false" customHeight="true" outlineLevel="0" collapsed="false">
      <c r="B59" s="9" t="s">
        <v>202</v>
      </c>
      <c r="C59" s="10" t="s">
        <v>203</v>
      </c>
      <c r="D59" s="24" t="n">
        <v>2024</v>
      </c>
      <c r="E59" s="29" t="n">
        <v>74.9425</v>
      </c>
      <c r="F59" s="18" t="s">
        <v>203</v>
      </c>
    </row>
    <row r="60" customFormat="false" ht="15" hidden="false" customHeight="true" outlineLevel="0" collapsed="false">
      <c r="B60" s="9" t="s">
        <v>204</v>
      </c>
      <c r="C60" s="10" t="s">
        <v>205</v>
      </c>
      <c r="D60" s="24" t="n">
        <v>2024</v>
      </c>
      <c r="E60" s="29" t="n">
        <v>72.805</v>
      </c>
      <c r="F60" s="18" t="s">
        <v>205</v>
      </c>
    </row>
    <row r="61" customFormat="false" ht="15" hidden="false" customHeight="true" outlineLevel="0" collapsed="false">
      <c r="B61" s="9" t="s">
        <v>206</v>
      </c>
      <c r="C61" s="10" t="s">
        <v>207</v>
      </c>
      <c r="D61" s="18"/>
      <c r="E61" s="18"/>
      <c r="F61" s="18"/>
    </row>
    <row r="62" customFormat="false" ht="15" hidden="false" customHeight="true" outlineLevel="0" collapsed="false">
      <c r="B62" s="9" t="s">
        <v>208</v>
      </c>
      <c r="C62" s="10" t="s">
        <v>209</v>
      </c>
      <c r="D62" s="24" t="n">
        <v>2024</v>
      </c>
      <c r="E62" s="29" t="n">
        <v>80.79375</v>
      </c>
      <c r="F62" s="18" t="s">
        <v>209</v>
      </c>
    </row>
    <row r="63" customFormat="false" ht="15" hidden="false" customHeight="true" outlineLevel="0" collapsed="false">
      <c r="B63" s="9" t="s">
        <v>210</v>
      </c>
      <c r="C63" s="10" t="s">
        <v>211</v>
      </c>
      <c r="D63" s="24" t="n">
        <v>2024</v>
      </c>
      <c r="E63" s="29" t="n">
        <v>93.88</v>
      </c>
      <c r="F63" s="18" t="s">
        <v>211</v>
      </c>
    </row>
    <row r="64" customFormat="false" ht="15" hidden="false" customHeight="true" outlineLevel="0" collapsed="false">
      <c r="B64" s="9" t="s">
        <v>212</v>
      </c>
      <c r="C64" s="10" t="s">
        <v>213</v>
      </c>
      <c r="D64" s="24" t="n">
        <v>2024</v>
      </c>
      <c r="E64" s="29" t="n">
        <v>87.2675</v>
      </c>
      <c r="F64" s="18" t="s">
        <v>213</v>
      </c>
    </row>
    <row r="65" customFormat="false" ht="15" hidden="false" customHeight="true" outlineLevel="0" collapsed="false">
      <c r="B65" s="9" t="s">
        <v>214</v>
      </c>
      <c r="C65" s="10" t="s">
        <v>215</v>
      </c>
      <c r="D65" s="24" t="n">
        <v>2024</v>
      </c>
      <c r="E65" s="29" t="n">
        <v>73.60625</v>
      </c>
      <c r="F65" s="18" t="s">
        <v>215</v>
      </c>
    </row>
    <row r="66" customFormat="false" ht="15" hidden="false" customHeight="true" outlineLevel="0" collapsed="false">
      <c r="B66" s="9" t="s">
        <v>216</v>
      </c>
      <c r="C66" s="10" t="s">
        <v>217</v>
      </c>
      <c r="D66" s="24" t="n">
        <v>2024</v>
      </c>
      <c r="E66" s="29" t="n">
        <v>85.3375</v>
      </c>
      <c r="F66" s="18" t="s">
        <v>217</v>
      </c>
    </row>
    <row r="67" customFormat="false" ht="15" hidden="false" customHeight="true" outlineLevel="0" collapsed="false">
      <c r="B67" s="9" t="s">
        <v>218</v>
      </c>
      <c r="C67" s="10" t="s">
        <v>219</v>
      </c>
      <c r="D67" s="18"/>
      <c r="E67" s="18"/>
      <c r="F67" s="18"/>
    </row>
    <row r="68" customFormat="false" ht="15" hidden="false" customHeight="true" outlineLevel="0" collapsed="false">
      <c r="B68" s="9" t="s">
        <v>220</v>
      </c>
      <c r="C68" s="10" t="s">
        <v>221</v>
      </c>
      <c r="D68" s="18"/>
      <c r="E68" s="18"/>
      <c r="F68" s="18"/>
    </row>
    <row r="69" customFormat="false" ht="15" hidden="false" customHeight="true" outlineLevel="0" collapsed="false">
      <c r="B69" s="9" t="s">
        <v>222</v>
      </c>
      <c r="C69" s="10" t="s">
        <v>223</v>
      </c>
      <c r="D69" s="24" t="n">
        <v>2024</v>
      </c>
      <c r="E69" s="29" t="n">
        <v>92.8125</v>
      </c>
      <c r="F69" s="18" t="s">
        <v>223</v>
      </c>
    </row>
    <row r="70" customFormat="false" ht="15" hidden="false" customHeight="true" outlineLevel="0" collapsed="false">
      <c r="B70" s="9" t="s">
        <v>224</v>
      </c>
      <c r="C70" s="10" t="s">
        <v>225</v>
      </c>
      <c r="D70" s="24" t="n">
        <v>2024</v>
      </c>
      <c r="E70" s="29" t="n">
        <v>90.575</v>
      </c>
      <c r="F70" s="18" t="s">
        <v>225</v>
      </c>
    </row>
    <row r="71" customFormat="false" ht="15" hidden="false" customHeight="true" outlineLevel="0" collapsed="false">
      <c r="B71" s="9" t="s">
        <v>226</v>
      </c>
      <c r="C71" s="10" t="s">
        <v>227</v>
      </c>
      <c r="D71" s="24" t="n">
        <v>2024</v>
      </c>
      <c r="E71" s="29" t="n">
        <v>75.575</v>
      </c>
      <c r="F71" s="18" t="s">
        <v>227</v>
      </c>
    </row>
    <row r="72" customFormat="false" ht="15" hidden="false" customHeight="true" outlineLevel="0" collapsed="false">
      <c r="B72" s="9" t="s">
        <v>228</v>
      </c>
      <c r="C72" s="10" t="s">
        <v>229</v>
      </c>
      <c r="D72" s="18"/>
      <c r="E72" s="18"/>
      <c r="F72" s="18"/>
    </row>
    <row r="73" customFormat="false" ht="15" hidden="false" customHeight="true" outlineLevel="0" collapsed="false">
      <c r="B73" s="9" t="s">
        <v>230</v>
      </c>
      <c r="C73" s="10" t="s">
        <v>231</v>
      </c>
      <c r="D73" s="24" t="n">
        <v>2024</v>
      </c>
      <c r="E73" s="29" t="n">
        <v>84.6875</v>
      </c>
      <c r="F73" s="18" t="s">
        <v>231</v>
      </c>
    </row>
    <row r="74" customFormat="false" ht="15" hidden="false" customHeight="true" outlineLevel="0" collapsed="false">
      <c r="B74" s="9" t="s">
        <v>232</v>
      </c>
      <c r="C74" s="10" t="s">
        <v>233</v>
      </c>
      <c r="D74" s="24" t="n">
        <v>2024</v>
      </c>
      <c r="E74" s="29" t="n">
        <v>94.2125</v>
      </c>
      <c r="F74" s="18" t="s">
        <v>233</v>
      </c>
    </row>
    <row r="75" customFormat="false" ht="15" hidden="false" customHeight="true" outlineLevel="0" collapsed="false">
      <c r="B75" s="9" t="s">
        <v>234</v>
      </c>
      <c r="C75" s="10" t="s">
        <v>235</v>
      </c>
      <c r="D75" s="24" t="n">
        <v>2024</v>
      </c>
      <c r="E75" s="29" t="n">
        <v>64.5625</v>
      </c>
      <c r="F75" s="18" t="s">
        <v>286</v>
      </c>
    </row>
    <row r="76" customFormat="false" ht="15" hidden="false" customHeight="true" outlineLevel="0" collapsed="false">
      <c r="B76" s="9" t="s">
        <v>236</v>
      </c>
      <c r="C76" s="10" t="s">
        <v>237</v>
      </c>
      <c r="D76" s="24" t="n">
        <v>2024</v>
      </c>
      <c r="E76" s="29" t="n">
        <v>95</v>
      </c>
      <c r="F76" s="18" t="s">
        <v>237</v>
      </c>
    </row>
    <row r="77" customFormat="false" ht="15" hidden="false" customHeight="true" outlineLevel="0" collapsed="false">
      <c r="B77" s="9" t="s">
        <v>238</v>
      </c>
      <c r="C77" s="10" t="s">
        <v>239</v>
      </c>
      <c r="D77" s="18"/>
      <c r="E77" s="18"/>
      <c r="F77" s="18"/>
    </row>
    <row r="78" customFormat="false" ht="15" hidden="false" customHeight="true" outlineLevel="0" collapsed="false">
      <c r="B78" s="9" t="s">
        <v>240</v>
      </c>
      <c r="C78" s="10" t="s">
        <v>241</v>
      </c>
      <c r="D78" s="24" t="n">
        <v>2024</v>
      </c>
      <c r="E78" s="29" t="n">
        <v>83.8125</v>
      </c>
      <c r="F78" s="18" t="s">
        <v>241</v>
      </c>
    </row>
    <row r="79" customFormat="false" ht="15" hidden="false" customHeight="true" outlineLevel="0" collapsed="false">
      <c r="B79" s="9" t="s">
        <v>242</v>
      </c>
      <c r="C79" s="10" t="s">
        <v>243</v>
      </c>
      <c r="D79" s="24" t="n">
        <v>2024</v>
      </c>
      <c r="E79" s="29" t="n">
        <v>68.445</v>
      </c>
      <c r="F79" s="18" t="s">
        <v>243</v>
      </c>
    </row>
    <row r="80" customFormat="false" ht="15" hidden="false" customHeight="true" outlineLevel="0" collapsed="false">
      <c r="B80" s="9" t="s">
        <v>244</v>
      </c>
      <c r="C80" s="10" t="s">
        <v>245</v>
      </c>
      <c r="D80" s="18"/>
      <c r="E80" s="18"/>
      <c r="F80" s="18"/>
    </row>
    <row r="81" customFormat="false" ht="15" hidden="false" customHeight="true" outlineLevel="0" collapsed="false">
      <c r="B81" s="9" t="s">
        <v>246</v>
      </c>
      <c r="C81" s="10" t="s">
        <v>247</v>
      </c>
      <c r="D81" s="24" t="n">
        <v>2024</v>
      </c>
      <c r="E81" s="29" t="n">
        <v>67.9175</v>
      </c>
      <c r="F81" s="18" t="s">
        <v>247</v>
      </c>
    </row>
    <row r="82" customFormat="false" ht="15" hidden="false" customHeight="true" outlineLevel="0" collapsed="false">
      <c r="B82" s="9" t="s">
        <v>248</v>
      </c>
      <c r="C82" s="10" t="s">
        <v>249</v>
      </c>
      <c r="D82" s="24" t="n">
        <v>2024</v>
      </c>
      <c r="E82" s="29" t="n">
        <v>70.225</v>
      </c>
      <c r="F82" s="18" t="s">
        <v>249</v>
      </c>
    </row>
    <row r="83" customFormat="false" ht="15" hidden="false" customHeight="true" outlineLevel="0" collapsed="false">
      <c r="B83" s="9" t="s">
        <v>250</v>
      </c>
      <c r="C83" s="10" t="s">
        <v>251</v>
      </c>
      <c r="D83" s="18"/>
      <c r="E83" s="18"/>
      <c r="F83" s="18"/>
    </row>
    <row r="84" customFormat="false" ht="15" hidden="false" customHeight="true" outlineLevel="0" collapsed="false">
      <c r="B84" s="9" t="s">
        <v>252</v>
      </c>
      <c r="C84" s="10" t="s">
        <v>253</v>
      </c>
      <c r="D84" s="18"/>
      <c r="E84" s="18"/>
      <c r="F84" s="18"/>
    </row>
    <row r="85" customFormat="false" ht="15" hidden="false" customHeight="true" outlineLevel="0" collapsed="false">
      <c r="B85" s="9" t="s">
        <v>254</v>
      </c>
      <c r="C85" s="10" t="s">
        <v>255</v>
      </c>
      <c r="D85" s="18"/>
      <c r="E85" s="18"/>
      <c r="F85" s="18"/>
    </row>
    <row r="86" customFormat="false" ht="15" hidden="false" customHeight="true" outlineLevel="0" collapsed="false">
      <c r="B86" s="9" t="s">
        <v>256</v>
      </c>
      <c r="C86" s="10" t="s">
        <v>257</v>
      </c>
      <c r="D86" s="18"/>
      <c r="E86" s="18"/>
      <c r="F86" s="18"/>
    </row>
    <row r="87" customFormat="false" ht="15" hidden="false" customHeight="true" outlineLevel="0" collapsed="false">
      <c r="B87" s="9" t="s">
        <v>258</v>
      </c>
      <c r="C87" s="10" t="s">
        <v>259</v>
      </c>
      <c r="D87" s="18"/>
      <c r="E87" s="18"/>
      <c r="F87" s="18"/>
    </row>
    <row r="88" customFormat="false" ht="15" hidden="false" customHeight="true" outlineLevel="0" collapsed="false">
      <c r="B88" s="9" t="s">
        <v>260</v>
      </c>
      <c r="C88" s="10" t="s">
        <v>261</v>
      </c>
      <c r="D88" s="18"/>
      <c r="E88" s="18"/>
      <c r="F88" s="18"/>
    </row>
    <row r="89" customFormat="false" ht="15" hidden="false" customHeight="true" outlineLevel="0" collapsed="false">
      <c r="B89" s="9" t="s">
        <v>262</v>
      </c>
      <c r="C89" s="10" t="s">
        <v>263</v>
      </c>
      <c r="D89" s="24" t="n">
        <v>2024</v>
      </c>
      <c r="E89" s="29" t="n">
        <v>79.27375</v>
      </c>
      <c r="F89" s="18" t="s">
        <v>263</v>
      </c>
    </row>
    <row r="90" customFormat="false" ht="15" hidden="false" customHeight="true" outlineLevel="0" collapsed="false">
      <c r="B90" s="9" t="s">
        <v>264</v>
      </c>
      <c r="C90" s="10" t="s">
        <v>265</v>
      </c>
      <c r="D90" s="24" t="n">
        <v>2024</v>
      </c>
      <c r="E90" s="29" t="n">
        <v>83.6375</v>
      </c>
      <c r="F90" s="18" t="s">
        <v>265</v>
      </c>
    </row>
    <row r="91" customFormat="false" ht="15" hidden="false" customHeight="true" outlineLevel="0" collapsed="false">
      <c r="B91" s="9" t="s">
        <v>266</v>
      </c>
      <c r="C91" s="10" t="s">
        <v>267</v>
      </c>
      <c r="D91" s="24" t="n">
        <v>2024</v>
      </c>
      <c r="E91" s="29" t="n">
        <v>65.675</v>
      </c>
      <c r="F91" s="18" t="s">
        <v>267</v>
      </c>
    </row>
  </sheetData>
  <autoFilter ref="B3:F91"/>
  <conditionalFormatting sqref="E3:E90">
    <cfRule type="colorScale" priority="2">
      <colorScale>
        <cfvo type="min" val="0"/>
        <cfvo type="percentile" val="50"/>
        <cfvo type="max" val="0"/>
        <color rgb="FFFBE2EC"/>
        <color rgb="FFF4E5C2"/>
        <color rgb="FFDDF0E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4" min="4" style="1" width="30"/>
  </cols>
  <sheetData>
    <row r="2" customFormat="false" ht="15" hidden="false" customHeight="true" outlineLevel="0" collapsed="false">
      <c r="B2" s="3" t="s">
        <v>325</v>
      </c>
    </row>
    <row r="3" customFormat="false" ht="36" hidden="false" customHeight="true" outlineLevel="0" collapsed="false">
      <c r="B3" s="8" t="s">
        <v>61</v>
      </c>
      <c r="C3" s="8" t="s">
        <v>62</v>
      </c>
      <c r="D3" s="8" t="s">
        <v>326</v>
      </c>
    </row>
    <row r="4" customFormat="false" ht="15" hidden="false" customHeight="true" outlineLevel="0" collapsed="false">
      <c r="B4" s="9" t="s">
        <v>80</v>
      </c>
      <c r="C4" s="10" t="s">
        <v>81</v>
      </c>
      <c r="D4" s="18" t="s">
        <v>83</v>
      </c>
    </row>
    <row r="5" customFormat="false" ht="15" hidden="false" customHeight="true" outlineLevel="0" collapsed="false">
      <c r="B5" s="9" t="s">
        <v>84</v>
      </c>
      <c r="C5" s="10" t="s">
        <v>85</v>
      </c>
      <c r="D5" s="18" t="s">
        <v>87</v>
      </c>
    </row>
    <row r="6" customFormat="false" ht="15" hidden="false" customHeight="true" outlineLevel="0" collapsed="false">
      <c r="B6" s="9" t="s">
        <v>88</v>
      </c>
      <c r="C6" s="10" t="s">
        <v>89</v>
      </c>
      <c r="D6" s="18" t="s">
        <v>87</v>
      </c>
    </row>
    <row r="7" customFormat="false" ht="15" hidden="false" customHeight="true" outlineLevel="0" collapsed="false">
      <c r="B7" s="9" t="s">
        <v>90</v>
      </c>
      <c r="C7" s="10" t="s">
        <v>91</v>
      </c>
      <c r="D7" s="18" t="s">
        <v>87</v>
      </c>
    </row>
    <row r="8" customFormat="false" ht="15" hidden="false" customHeight="true" outlineLevel="0" collapsed="false">
      <c r="B8" s="9" t="s">
        <v>92</v>
      </c>
      <c r="C8" s="10" t="s">
        <v>93</v>
      </c>
      <c r="D8" s="18" t="s">
        <v>87</v>
      </c>
    </row>
    <row r="9" customFormat="false" ht="15" hidden="false" customHeight="true" outlineLevel="0" collapsed="false">
      <c r="B9" s="9" t="s">
        <v>95</v>
      </c>
      <c r="C9" s="10" t="s">
        <v>96</v>
      </c>
      <c r="D9" s="18" t="s">
        <v>87</v>
      </c>
    </row>
    <row r="10" customFormat="false" ht="15" hidden="false" customHeight="true" outlineLevel="0" collapsed="false">
      <c r="B10" s="9" t="s">
        <v>98</v>
      </c>
      <c r="C10" s="10" t="s">
        <v>99</v>
      </c>
      <c r="D10" s="18" t="s">
        <v>87</v>
      </c>
    </row>
    <row r="11" customFormat="false" ht="15" hidden="false" customHeight="true" outlineLevel="0" collapsed="false">
      <c r="B11" s="9" t="s">
        <v>100</v>
      </c>
      <c r="C11" s="10" t="s">
        <v>101</v>
      </c>
      <c r="D11" s="18" t="s">
        <v>103</v>
      </c>
    </row>
    <row r="12" customFormat="false" ht="15" hidden="false" customHeight="true" outlineLevel="0" collapsed="false">
      <c r="B12" s="9" t="s">
        <v>104</v>
      </c>
      <c r="C12" s="10" t="s">
        <v>105</v>
      </c>
      <c r="D12" s="18" t="s">
        <v>87</v>
      </c>
    </row>
    <row r="13" customFormat="false" ht="15" hidden="false" customHeight="true" outlineLevel="0" collapsed="false">
      <c r="B13" s="9" t="s">
        <v>106</v>
      </c>
      <c r="C13" s="10" t="s">
        <v>107</v>
      </c>
      <c r="D13" s="18" t="s">
        <v>87</v>
      </c>
    </row>
    <row r="14" customFormat="false" ht="15" hidden="false" customHeight="true" outlineLevel="0" collapsed="false">
      <c r="B14" s="9" t="s">
        <v>108</v>
      </c>
      <c r="C14" s="10" t="s">
        <v>109</v>
      </c>
      <c r="D14" s="18" t="s">
        <v>87</v>
      </c>
    </row>
    <row r="15" customFormat="false" ht="15" hidden="false" customHeight="true" outlineLevel="0" collapsed="false">
      <c r="B15" s="9" t="s">
        <v>111</v>
      </c>
      <c r="C15" s="10" t="s">
        <v>112</v>
      </c>
      <c r="D15" s="18" t="s">
        <v>103</v>
      </c>
    </row>
    <row r="16" customFormat="false" ht="15" hidden="false" customHeight="true" outlineLevel="0" collapsed="false">
      <c r="B16" s="9" t="s">
        <v>113</v>
      </c>
      <c r="C16" s="10" t="s">
        <v>114</v>
      </c>
      <c r="D16" s="18" t="s">
        <v>87</v>
      </c>
    </row>
    <row r="17" customFormat="false" ht="15" hidden="false" customHeight="true" outlineLevel="0" collapsed="false">
      <c r="B17" s="9" t="s">
        <v>115</v>
      </c>
      <c r="C17" s="10" t="s">
        <v>116</v>
      </c>
      <c r="D17" s="18" t="s">
        <v>87</v>
      </c>
    </row>
    <row r="18" customFormat="false" ht="15" hidden="false" customHeight="true" outlineLevel="0" collapsed="false">
      <c r="B18" s="9" t="s">
        <v>117</v>
      </c>
      <c r="C18" s="10" t="s">
        <v>118</v>
      </c>
      <c r="D18" s="18" t="s">
        <v>103</v>
      </c>
    </row>
    <row r="19" customFormat="false" ht="15" hidden="false" customHeight="true" outlineLevel="0" collapsed="false">
      <c r="B19" s="9" t="s">
        <v>119</v>
      </c>
      <c r="C19" s="10" t="s">
        <v>120</v>
      </c>
      <c r="D19" s="18" t="s">
        <v>103</v>
      </c>
    </row>
    <row r="20" customFormat="false" ht="15" hidden="false" customHeight="true" outlineLevel="0" collapsed="false">
      <c r="B20" s="9" t="s">
        <v>122</v>
      </c>
      <c r="C20" s="10" t="s">
        <v>123</v>
      </c>
      <c r="D20" s="18" t="s">
        <v>87</v>
      </c>
    </row>
    <row r="21" customFormat="false" ht="15" hidden="false" customHeight="true" outlineLevel="0" collapsed="false">
      <c r="B21" s="9" t="s">
        <v>124</v>
      </c>
      <c r="C21" s="10" t="s">
        <v>125</v>
      </c>
      <c r="D21" s="18" t="s">
        <v>103</v>
      </c>
    </row>
    <row r="22" customFormat="false" ht="15" hidden="false" customHeight="true" outlineLevel="0" collapsed="false">
      <c r="B22" s="9" t="s">
        <v>126</v>
      </c>
      <c r="C22" s="10" t="s">
        <v>127</v>
      </c>
      <c r="D22" s="18" t="s">
        <v>87</v>
      </c>
    </row>
    <row r="23" customFormat="false" ht="15" hidden="false" customHeight="true" outlineLevel="0" collapsed="false">
      <c r="B23" s="9" t="s">
        <v>129</v>
      </c>
      <c r="C23" s="10" t="s">
        <v>130</v>
      </c>
      <c r="D23" s="18" t="s">
        <v>87</v>
      </c>
    </row>
    <row r="24" customFormat="false" ht="15" hidden="false" customHeight="true" outlineLevel="0" collapsed="false">
      <c r="B24" s="9" t="s">
        <v>131</v>
      </c>
      <c r="C24" s="10" t="s">
        <v>132</v>
      </c>
      <c r="D24" s="18" t="s">
        <v>83</v>
      </c>
    </row>
    <row r="25" customFormat="false" ht="15" hidden="false" customHeight="true" outlineLevel="0" collapsed="false">
      <c r="B25" s="9" t="s">
        <v>133</v>
      </c>
      <c r="C25" s="10" t="s">
        <v>134</v>
      </c>
      <c r="D25" s="18" t="s">
        <v>87</v>
      </c>
    </row>
    <row r="26" customFormat="false" ht="15" hidden="false" customHeight="true" outlineLevel="0" collapsed="false">
      <c r="B26" s="9" t="s">
        <v>135</v>
      </c>
      <c r="C26" s="10" t="s">
        <v>136</v>
      </c>
      <c r="D26" s="18" t="s">
        <v>87</v>
      </c>
    </row>
    <row r="27" customFormat="false" ht="15" hidden="false" customHeight="true" outlineLevel="0" collapsed="false">
      <c r="B27" s="9" t="s">
        <v>137</v>
      </c>
      <c r="C27" s="10" t="s">
        <v>138</v>
      </c>
      <c r="D27" s="18" t="s">
        <v>87</v>
      </c>
    </row>
    <row r="28" customFormat="false" ht="15" hidden="false" customHeight="true" outlineLevel="0" collapsed="false">
      <c r="B28" s="9" t="s">
        <v>139</v>
      </c>
      <c r="C28" s="10" t="s">
        <v>140</v>
      </c>
      <c r="D28" s="18" t="s">
        <v>87</v>
      </c>
    </row>
    <row r="29" customFormat="false" ht="27.75" hidden="false" customHeight="true" outlineLevel="0" collapsed="false">
      <c r="B29" s="9" t="s">
        <v>141</v>
      </c>
      <c r="C29" s="10" t="s">
        <v>142</v>
      </c>
      <c r="D29" s="18" t="s">
        <v>83</v>
      </c>
    </row>
    <row r="30" customFormat="false" ht="15" hidden="false" customHeight="true" outlineLevel="0" collapsed="false">
      <c r="B30" s="9" t="s">
        <v>143</v>
      </c>
      <c r="C30" s="10" t="s">
        <v>144</v>
      </c>
      <c r="D30" s="18" t="s">
        <v>87</v>
      </c>
    </row>
    <row r="31" customFormat="false" ht="15" hidden="false" customHeight="true" outlineLevel="0" collapsed="false">
      <c r="B31" s="9" t="s">
        <v>145</v>
      </c>
      <c r="C31" s="10" t="s">
        <v>146</v>
      </c>
      <c r="D31" s="18" t="s">
        <v>83</v>
      </c>
    </row>
    <row r="32" customFormat="false" ht="15" hidden="false" customHeight="true" outlineLevel="0" collapsed="false">
      <c r="B32" s="9" t="s">
        <v>147</v>
      </c>
      <c r="C32" s="10" t="s">
        <v>148</v>
      </c>
      <c r="D32" s="18" t="s">
        <v>87</v>
      </c>
    </row>
    <row r="33" customFormat="false" ht="15" hidden="false" customHeight="true" outlineLevel="0" collapsed="false">
      <c r="B33" s="9" t="s">
        <v>149</v>
      </c>
      <c r="C33" s="10" t="s">
        <v>150</v>
      </c>
      <c r="D33" s="18" t="s">
        <v>87</v>
      </c>
    </row>
    <row r="34" customFormat="false" ht="15" hidden="false" customHeight="true" outlineLevel="0" collapsed="false">
      <c r="B34" s="9" t="s">
        <v>152</v>
      </c>
      <c r="C34" s="10" t="s">
        <v>153</v>
      </c>
      <c r="D34" s="18" t="s">
        <v>83</v>
      </c>
    </row>
    <row r="35" customFormat="false" ht="15" hidden="false" customHeight="true" outlineLevel="0" collapsed="false">
      <c r="B35" s="9" t="s">
        <v>154</v>
      </c>
      <c r="C35" s="10" t="s">
        <v>155</v>
      </c>
      <c r="D35" s="18" t="s">
        <v>87</v>
      </c>
    </row>
    <row r="36" customFormat="false" ht="15" hidden="false" customHeight="true" outlineLevel="0" collapsed="false">
      <c r="B36" s="9" t="s">
        <v>156</v>
      </c>
      <c r="C36" s="10" t="s">
        <v>157</v>
      </c>
      <c r="D36" s="18" t="s">
        <v>87</v>
      </c>
    </row>
    <row r="37" customFormat="false" ht="15" hidden="false" customHeight="true" outlineLevel="0" collapsed="false">
      <c r="B37" s="9" t="s">
        <v>158</v>
      </c>
      <c r="C37" s="10" t="s">
        <v>159</v>
      </c>
      <c r="D37" s="18" t="s">
        <v>87</v>
      </c>
    </row>
    <row r="38" customFormat="false" ht="15" hidden="false" customHeight="true" outlineLevel="0" collapsed="false">
      <c r="B38" s="9" t="s">
        <v>160</v>
      </c>
      <c r="C38" s="10" t="s">
        <v>161</v>
      </c>
      <c r="D38" s="18" t="s">
        <v>83</v>
      </c>
    </row>
    <row r="39" customFormat="false" ht="15" hidden="false" customHeight="true" outlineLevel="0" collapsed="false">
      <c r="B39" s="9" t="s">
        <v>162</v>
      </c>
      <c r="C39" s="10" t="s">
        <v>163</v>
      </c>
      <c r="D39" s="18" t="s">
        <v>87</v>
      </c>
    </row>
    <row r="40" customFormat="false" ht="15" hidden="false" customHeight="true" outlineLevel="0" collapsed="false">
      <c r="B40" s="9" t="s">
        <v>164</v>
      </c>
      <c r="C40" s="10" t="s">
        <v>165</v>
      </c>
      <c r="D40" s="18" t="s">
        <v>87</v>
      </c>
    </row>
    <row r="41" customFormat="false" ht="15" hidden="false" customHeight="true" outlineLevel="0" collapsed="false">
      <c r="B41" s="9" t="s">
        <v>166</v>
      </c>
      <c r="C41" s="10" t="s">
        <v>167</v>
      </c>
      <c r="D41" s="18" t="s">
        <v>103</v>
      </c>
    </row>
    <row r="42" customFormat="false" ht="15" hidden="false" customHeight="true" outlineLevel="0" collapsed="false">
      <c r="B42" s="9" t="s">
        <v>168</v>
      </c>
      <c r="C42" s="10" t="s">
        <v>169</v>
      </c>
      <c r="D42" s="18" t="s">
        <v>103</v>
      </c>
    </row>
    <row r="43" customFormat="false" ht="15" hidden="false" customHeight="true" outlineLevel="0" collapsed="false">
      <c r="B43" s="9" t="s">
        <v>170</v>
      </c>
      <c r="C43" s="10" t="s">
        <v>171</v>
      </c>
      <c r="D43" s="18" t="s">
        <v>83</v>
      </c>
    </row>
    <row r="44" customFormat="false" ht="15" hidden="false" customHeight="true" outlineLevel="0" collapsed="false">
      <c r="B44" s="9" t="s">
        <v>172</v>
      </c>
      <c r="C44" s="10" t="s">
        <v>173</v>
      </c>
      <c r="D44" s="18" t="s">
        <v>87</v>
      </c>
    </row>
    <row r="45" customFormat="false" ht="15" hidden="false" customHeight="true" outlineLevel="0" collapsed="false">
      <c r="B45" s="9" t="s">
        <v>174</v>
      </c>
      <c r="C45" s="10" t="s">
        <v>175</v>
      </c>
      <c r="D45" s="18" t="s">
        <v>103</v>
      </c>
    </row>
    <row r="46" customFormat="false" ht="15" hidden="false" customHeight="true" outlineLevel="0" collapsed="false">
      <c r="B46" s="9" t="s">
        <v>176</v>
      </c>
      <c r="C46" s="10" t="s">
        <v>177</v>
      </c>
      <c r="D46" s="18" t="s">
        <v>87</v>
      </c>
    </row>
    <row r="47" customFormat="false" ht="15" hidden="false" customHeight="true" outlineLevel="0" collapsed="false">
      <c r="B47" s="9" t="s">
        <v>178</v>
      </c>
      <c r="C47" s="10" t="s">
        <v>179</v>
      </c>
      <c r="D47" s="18" t="s">
        <v>87</v>
      </c>
    </row>
    <row r="48" customFormat="false" ht="15" hidden="false" customHeight="true" outlineLevel="0" collapsed="false">
      <c r="B48" s="9" t="s">
        <v>180</v>
      </c>
      <c r="C48" s="10" t="s">
        <v>181</v>
      </c>
      <c r="D48" s="18" t="s">
        <v>87</v>
      </c>
    </row>
    <row r="49" customFormat="false" ht="15" hidden="false" customHeight="true" outlineLevel="0" collapsed="false">
      <c r="B49" s="9" t="s">
        <v>182</v>
      </c>
      <c r="C49" s="10" t="s">
        <v>183</v>
      </c>
      <c r="D49" s="18" t="s">
        <v>87</v>
      </c>
    </row>
    <row r="50" customFormat="false" ht="15" hidden="false" customHeight="true" outlineLevel="0" collapsed="false">
      <c r="B50" s="9" t="s">
        <v>184</v>
      </c>
      <c r="C50" s="10" t="s">
        <v>185</v>
      </c>
      <c r="D50" s="18" t="s">
        <v>83</v>
      </c>
    </row>
    <row r="51" customFormat="false" ht="15" hidden="false" customHeight="true" outlineLevel="0" collapsed="false">
      <c r="B51" s="9" t="s">
        <v>186</v>
      </c>
      <c r="C51" s="10" t="s">
        <v>187</v>
      </c>
      <c r="D51" s="18" t="s">
        <v>87</v>
      </c>
    </row>
    <row r="52" customFormat="false" ht="15" hidden="false" customHeight="true" outlineLevel="0" collapsed="false">
      <c r="B52" s="9" t="s">
        <v>188</v>
      </c>
      <c r="C52" s="10" t="s">
        <v>189</v>
      </c>
      <c r="D52" s="18" t="s">
        <v>87</v>
      </c>
    </row>
    <row r="53" customFormat="false" ht="15" hidden="false" customHeight="true" outlineLevel="0" collapsed="false">
      <c r="B53" s="9" t="s">
        <v>190</v>
      </c>
      <c r="C53" s="10" t="s">
        <v>191</v>
      </c>
      <c r="D53" s="18" t="s">
        <v>87</v>
      </c>
    </row>
    <row r="54" customFormat="false" ht="15" hidden="false" customHeight="true" outlineLevel="0" collapsed="false">
      <c r="B54" s="9" t="s">
        <v>192</v>
      </c>
      <c r="C54" s="10" t="s">
        <v>193</v>
      </c>
      <c r="D54" s="18" t="s">
        <v>87</v>
      </c>
    </row>
    <row r="55" customFormat="false" ht="15" hidden="false" customHeight="true" outlineLevel="0" collapsed="false">
      <c r="B55" s="9" t="s">
        <v>194</v>
      </c>
      <c r="C55" s="10" t="s">
        <v>195</v>
      </c>
      <c r="D55" s="18" t="s">
        <v>87</v>
      </c>
    </row>
    <row r="56" customFormat="false" ht="15" hidden="false" customHeight="true" outlineLevel="0" collapsed="false">
      <c r="B56" s="9" t="s">
        <v>196</v>
      </c>
      <c r="C56" s="10" t="s">
        <v>197</v>
      </c>
      <c r="D56" s="18" t="s">
        <v>103</v>
      </c>
    </row>
    <row r="57" customFormat="false" ht="15" hidden="false" customHeight="true" outlineLevel="0" collapsed="false">
      <c r="B57" s="9" t="s">
        <v>198</v>
      </c>
      <c r="C57" s="10" t="s">
        <v>199</v>
      </c>
      <c r="D57" s="18" t="s">
        <v>83</v>
      </c>
    </row>
    <row r="58" customFormat="false" ht="15" hidden="false" customHeight="true" outlineLevel="0" collapsed="false">
      <c r="B58" s="9" t="s">
        <v>200</v>
      </c>
      <c r="C58" s="10" t="s">
        <v>201</v>
      </c>
      <c r="D58" s="18" t="s">
        <v>87</v>
      </c>
    </row>
    <row r="59" customFormat="false" ht="15" hidden="false" customHeight="true" outlineLevel="0" collapsed="false">
      <c r="B59" s="9" t="s">
        <v>202</v>
      </c>
      <c r="C59" s="10" t="s">
        <v>203</v>
      </c>
      <c r="D59" s="18" t="s">
        <v>103</v>
      </c>
    </row>
    <row r="60" customFormat="false" ht="15" hidden="false" customHeight="true" outlineLevel="0" collapsed="false">
      <c r="B60" s="9" t="s">
        <v>204</v>
      </c>
      <c r="C60" s="10" t="s">
        <v>205</v>
      </c>
      <c r="D60" s="18" t="s">
        <v>83</v>
      </c>
    </row>
    <row r="61" customFormat="false" ht="15" hidden="false" customHeight="true" outlineLevel="0" collapsed="false">
      <c r="B61" s="9" t="s">
        <v>206</v>
      </c>
      <c r="C61" s="10" t="s">
        <v>207</v>
      </c>
      <c r="D61" s="18" t="s">
        <v>87</v>
      </c>
    </row>
    <row r="62" customFormat="false" ht="15" hidden="false" customHeight="true" outlineLevel="0" collapsed="false">
      <c r="B62" s="9" t="s">
        <v>208</v>
      </c>
      <c r="C62" s="10" t="s">
        <v>209</v>
      </c>
      <c r="D62" s="18" t="s">
        <v>87</v>
      </c>
    </row>
    <row r="63" customFormat="false" ht="15" hidden="false" customHeight="true" outlineLevel="0" collapsed="false">
      <c r="B63" s="9" t="s">
        <v>210</v>
      </c>
      <c r="C63" s="10" t="s">
        <v>211</v>
      </c>
      <c r="D63" s="18" t="s">
        <v>87</v>
      </c>
    </row>
    <row r="64" customFormat="false" ht="15" hidden="false" customHeight="true" outlineLevel="0" collapsed="false">
      <c r="B64" s="9" t="s">
        <v>212</v>
      </c>
      <c r="C64" s="10" t="s">
        <v>213</v>
      </c>
      <c r="D64" s="18" t="s">
        <v>87</v>
      </c>
    </row>
    <row r="65" customFormat="false" ht="15" hidden="false" customHeight="true" outlineLevel="0" collapsed="false">
      <c r="B65" s="9" t="s">
        <v>214</v>
      </c>
      <c r="C65" s="10" t="s">
        <v>215</v>
      </c>
      <c r="D65" s="18" t="s">
        <v>103</v>
      </c>
    </row>
    <row r="66" customFormat="false" ht="15" hidden="false" customHeight="true" outlineLevel="0" collapsed="false">
      <c r="B66" s="9" t="s">
        <v>216</v>
      </c>
      <c r="C66" s="10" t="s">
        <v>217</v>
      </c>
      <c r="D66" s="18" t="s">
        <v>87</v>
      </c>
    </row>
    <row r="67" customFormat="false" ht="15" hidden="false" customHeight="true" outlineLevel="0" collapsed="false">
      <c r="B67" s="9" t="s">
        <v>218</v>
      </c>
      <c r="C67" s="10" t="s">
        <v>219</v>
      </c>
      <c r="D67" s="18" t="s">
        <v>87</v>
      </c>
    </row>
    <row r="68" customFormat="false" ht="15" hidden="false" customHeight="true" outlineLevel="0" collapsed="false">
      <c r="B68" s="9" t="s">
        <v>220</v>
      </c>
      <c r="C68" s="10" t="s">
        <v>221</v>
      </c>
      <c r="D68" s="18" t="s">
        <v>87</v>
      </c>
    </row>
    <row r="69" customFormat="false" ht="15" hidden="false" customHeight="true" outlineLevel="0" collapsed="false">
      <c r="B69" s="9" t="s">
        <v>222</v>
      </c>
      <c r="C69" s="10" t="s">
        <v>223</v>
      </c>
      <c r="D69" s="18" t="s">
        <v>103</v>
      </c>
    </row>
    <row r="70" customFormat="false" ht="15" hidden="false" customHeight="true" outlineLevel="0" collapsed="false">
      <c r="B70" s="9" t="s">
        <v>224</v>
      </c>
      <c r="C70" s="10" t="s">
        <v>225</v>
      </c>
      <c r="D70" s="18" t="s">
        <v>87</v>
      </c>
    </row>
    <row r="71" customFormat="false" ht="15" hidden="false" customHeight="true" outlineLevel="0" collapsed="false">
      <c r="B71" s="9" t="s">
        <v>226</v>
      </c>
      <c r="C71" s="10" t="s">
        <v>227</v>
      </c>
      <c r="D71" s="18" t="s">
        <v>87</v>
      </c>
    </row>
    <row r="72" customFormat="false" ht="15" hidden="false" customHeight="true" outlineLevel="0" collapsed="false">
      <c r="B72" s="9" t="s">
        <v>228</v>
      </c>
      <c r="C72" s="10" t="s">
        <v>229</v>
      </c>
      <c r="D72" s="18" t="s">
        <v>83</v>
      </c>
    </row>
    <row r="73" customFormat="false" ht="15" hidden="false" customHeight="true" outlineLevel="0" collapsed="false">
      <c r="B73" s="9" t="s">
        <v>230</v>
      </c>
      <c r="C73" s="10" t="s">
        <v>231</v>
      </c>
      <c r="D73" s="18" t="s">
        <v>83</v>
      </c>
    </row>
    <row r="74" customFormat="false" ht="15" hidden="false" customHeight="true" outlineLevel="0" collapsed="false">
      <c r="B74" s="9" t="s">
        <v>232</v>
      </c>
      <c r="C74" s="10" t="s">
        <v>233</v>
      </c>
      <c r="D74" s="18" t="s">
        <v>87</v>
      </c>
    </row>
    <row r="75" customFormat="false" ht="15" hidden="false" customHeight="true" outlineLevel="0" collapsed="false">
      <c r="B75" s="9" t="s">
        <v>234</v>
      </c>
      <c r="C75" s="10" t="s">
        <v>235</v>
      </c>
      <c r="D75" s="18" t="s">
        <v>87</v>
      </c>
    </row>
    <row r="76" customFormat="false" ht="15" hidden="false" customHeight="true" outlineLevel="0" collapsed="false">
      <c r="B76" s="9" t="s">
        <v>236</v>
      </c>
      <c r="C76" s="10" t="s">
        <v>237</v>
      </c>
      <c r="D76" s="18" t="s">
        <v>87</v>
      </c>
    </row>
    <row r="77" customFormat="false" ht="15" hidden="false" customHeight="true" outlineLevel="0" collapsed="false">
      <c r="B77" s="9" t="s">
        <v>238</v>
      </c>
      <c r="C77" s="10" t="s">
        <v>239</v>
      </c>
      <c r="D77" s="18" t="s">
        <v>87</v>
      </c>
    </row>
    <row r="78" customFormat="false" ht="15" hidden="false" customHeight="true" outlineLevel="0" collapsed="false">
      <c r="B78" s="9" t="s">
        <v>240</v>
      </c>
      <c r="C78" s="10" t="s">
        <v>241</v>
      </c>
      <c r="D78" s="18" t="s">
        <v>87</v>
      </c>
    </row>
    <row r="79" customFormat="false" ht="15" hidden="false" customHeight="true" outlineLevel="0" collapsed="false">
      <c r="B79" s="9" t="s">
        <v>242</v>
      </c>
      <c r="C79" s="10" t="s">
        <v>243</v>
      </c>
      <c r="D79" s="18" t="s">
        <v>83</v>
      </c>
    </row>
    <row r="80" customFormat="false" ht="15" hidden="false" customHeight="true" outlineLevel="0" collapsed="false">
      <c r="B80" s="9" t="s">
        <v>244</v>
      </c>
      <c r="C80" s="10" t="s">
        <v>245</v>
      </c>
      <c r="D80" s="18" t="s">
        <v>87</v>
      </c>
    </row>
    <row r="81" customFormat="false" ht="15" hidden="false" customHeight="true" outlineLevel="0" collapsed="false">
      <c r="B81" s="9" t="s">
        <v>246</v>
      </c>
      <c r="C81" s="10" t="s">
        <v>247</v>
      </c>
      <c r="D81" s="18" t="s">
        <v>87</v>
      </c>
    </row>
    <row r="82" customFormat="false" ht="15" hidden="false" customHeight="true" outlineLevel="0" collapsed="false">
      <c r="B82" s="9" t="s">
        <v>248</v>
      </c>
      <c r="C82" s="10" t="s">
        <v>249</v>
      </c>
      <c r="D82" s="18" t="s">
        <v>87</v>
      </c>
    </row>
    <row r="83" customFormat="false" ht="15" hidden="false" customHeight="true" outlineLevel="0" collapsed="false">
      <c r="B83" s="9" t="s">
        <v>250</v>
      </c>
      <c r="C83" s="10" t="s">
        <v>251</v>
      </c>
      <c r="D83" s="18" t="s">
        <v>87</v>
      </c>
    </row>
    <row r="84" customFormat="false" ht="15" hidden="false" customHeight="true" outlineLevel="0" collapsed="false">
      <c r="B84" s="9" t="s">
        <v>252</v>
      </c>
      <c r="C84" s="10" t="s">
        <v>253</v>
      </c>
      <c r="D84" s="18" t="s">
        <v>87</v>
      </c>
    </row>
    <row r="85" customFormat="false" ht="15" hidden="false" customHeight="true" outlineLevel="0" collapsed="false">
      <c r="B85" s="9" t="s">
        <v>254</v>
      </c>
      <c r="C85" s="10" t="s">
        <v>255</v>
      </c>
      <c r="D85" s="18" t="s">
        <v>83</v>
      </c>
    </row>
    <row r="86" customFormat="false" ht="15" hidden="false" customHeight="true" outlineLevel="0" collapsed="false">
      <c r="B86" s="9" t="s">
        <v>256</v>
      </c>
      <c r="C86" s="10" t="s">
        <v>257</v>
      </c>
      <c r="D86" s="18" t="s">
        <v>87</v>
      </c>
    </row>
    <row r="87" customFormat="false" ht="15" hidden="false" customHeight="true" outlineLevel="0" collapsed="false">
      <c r="B87" s="9" t="s">
        <v>258</v>
      </c>
      <c r="C87" s="10" t="s">
        <v>259</v>
      </c>
      <c r="D87" s="18" t="s">
        <v>87</v>
      </c>
    </row>
    <row r="88" customFormat="false" ht="15" hidden="false" customHeight="true" outlineLevel="0" collapsed="false">
      <c r="B88" s="9" t="s">
        <v>260</v>
      </c>
      <c r="C88" s="10" t="s">
        <v>261</v>
      </c>
      <c r="D88" s="18" t="s">
        <v>87</v>
      </c>
    </row>
    <row r="89" customFormat="false" ht="15" hidden="false" customHeight="true" outlineLevel="0" collapsed="false">
      <c r="B89" s="9" t="s">
        <v>262</v>
      </c>
      <c r="C89" s="10" t="s">
        <v>263</v>
      </c>
      <c r="D89" s="18" t="s">
        <v>87</v>
      </c>
    </row>
    <row r="90" customFormat="false" ht="15" hidden="false" customHeight="true" outlineLevel="0" collapsed="false">
      <c r="B90" s="9" t="s">
        <v>264</v>
      </c>
      <c r="C90" s="10" t="s">
        <v>265</v>
      </c>
      <c r="D90" s="18" t="s">
        <v>87</v>
      </c>
    </row>
    <row r="91" customFormat="false" ht="15" hidden="false" customHeight="true" outlineLevel="0" collapsed="false">
      <c r="B91" s="9" t="s">
        <v>266</v>
      </c>
      <c r="C91" s="10" t="s">
        <v>267</v>
      </c>
      <c r="D91" s="18" t="s">
        <v>87</v>
      </c>
    </row>
  </sheetData>
  <autoFilter ref="B3:D91"/>
  <conditionalFormatting sqref="D4:D91">
    <cfRule type="cellIs" priority="2" operator="equal" aboveAverage="0" equalAverage="0" bottom="0" percent="0" rank="0" text="" dxfId="150">
      <formula>"Legislation"</formula>
    </cfRule>
    <cfRule type="cellIs" priority="3" operator="equal" aboveAverage="0" equalAverage="0" bottom="0" percent="0" rank="0" text="" dxfId="168">
      <formula>"Draft"</formula>
    </cfRule>
    <cfRule type="cellIs" priority="4" operator="equal" aboveAverage="0" equalAverage="0" bottom="0" percent="0" rank="0" text="" dxfId="151">
      <formula>"No data"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50"/>
    <col collapsed="false" customWidth="true" hidden="false" outlineLevel="0" max="4" min="4" style="1" width="20"/>
    <col collapsed="false" customWidth="true" hidden="false" outlineLevel="0" max="5" min="5" style="1" width="90"/>
  </cols>
  <sheetData>
    <row r="2" customFormat="false" ht="21.75" hidden="false" customHeight="true" outlineLevel="0" collapsed="false">
      <c r="B2" s="2" t="s">
        <v>327</v>
      </c>
    </row>
    <row r="3" customFormat="false" ht="15" hidden="false" customHeight="true" outlineLevel="0" collapsed="false">
      <c r="B3" s="3" t="s">
        <v>328</v>
      </c>
    </row>
    <row r="5" customFormat="false" ht="31.5" hidden="false" customHeight="true" outlineLevel="0" collapsed="false">
      <c r="B5" s="8" t="s">
        <v>303</v>
      </c>
      <c r="C5" s="8" t="s">
        <v>329</v>
      </c>
      <c r="D5" s="8" t="s">
        <v>330</v>
      </c>
      <c r="E5" s="8" t="s">
        <v>331</v>
      </c>
    </row>
    <row r="6" customFormat="false" ht="27.75" hidden="false" customHeight="true" outlineLevel="0" collapsed="false">
      <c r="B6" s="30" t="s">
        <v>34</v>
      </c>
      <c r="C6" s="31" t="s">
        <v>332</v>
      </c>
      <c r="D6" s="31" t="s">
        <v>333</v>
      </c>
      <c r="E6" s="32" t="s">
        <v>334</v>
      </c>
    </row>
    <row r="7" customFormat="false" ht="27.75" hidden="false" customHeight="true" outlineLevel="0" collapsed="false">
      <c r="B7" s="30" t="s">
        <v>36</v>
      </c>
      <c r="C7" s="31" t="s">
        <v>335</v>
      </c>
      <c r="D7" s="31" t="s">
        <v>336</v>
      </c>
      <c r="E7" s="32" t="s">
        <v>337</v>
      </c>
    </row>
    <row r="8" customFormat="false" ht="27.75" hidden="false" customHeight="true" outlineLevel="0" collapsed="false">
      <c r="B8" s="30" t="s">
        <v>72</v>
      </c>
      <c r="C8" s="31" t="s">
        <v>338</v>
      </c>
      <c r="D8" s="31" t="s">
        <v>339</v>
      </c>
      <c r="E8" s="32" t="s">
        <v>340</v>
      </c>
    </row>
    <row r="9" customFormat="false" ht="27.75" hidden="false" customHeight="true" outlineLevel="0" collapsed="false">
      <c r="B9" s="30" t="s">
        <v>341</v>
      </c>
      <c r="C9" s="31" t="s">
        <v>342</v>
      </c>
      <c r="D9" s="31" t="s">
        <v>343</v>
      </c>
      <c r="E9" s="32" t="s">
        <v>344</v>
      </c>
    </row>
    <row r="10" customFormat="false" ht="27.75" hidden="false" customHeight="true" outlineLevel="0" collapsed="false">
      <c r="B10" s="30" t="s">
        <v>42</v>
      </c>
      <c r="C10" s="31" t="s">
        <v>345</v>
      </c>
      <c r="D10" s="31" t="s">
        <v>346</v>
      </c>
      <c r="E10" s="32" t="s">
        <v>347</v>
      </c>
    </row>
    <row r="11" customFormat="false" ht="15" hidden="false" customHeight="true" outlineLevel="0" collapsed="false">
      <c r="B11" s="30" t="s">
        <v>348</v>
      </c>
      <c r="C11" s="31" t="s">
        <v>349</v>
      </c>
      <c r="D11" s="31" t="s">
        <v>350</v>
      </c>
      <c r="E11" s="32" t="s">
        <v>351</v>
      </c>
    </row>
    <row r="12" customFormat="false" ht="27.75" hidden="false" customHeight="true" outlineLevel="0" collapsed="false">
      <c r="B12" s="30" t="s">
        <v>44</v>
      </c>
      <c r="C12" s="31" t="s">
        <v>352</v>
      </c>
      <c r="D12" s="31" t="s">
        <v>353</v>
      </c>
      <c r="E12" s="32" t="s">
        <v>354</v>
      </c>
    </row>
    <row r="13" customFormat="false" ht="15" hidden="false" customHeight="true" outlineLevel="0" collapsed="false">
      <c r="B13" s="30" t="s">
        <v>46</v>
      </c>
      <c r="C13" s="31" t="s">
        <v>355</v>
      </c>
      <c r="D13" s="31" t="s">
        <v>356</v>
      </c>
      <c r="E13" s="32" t="s">
        <v>357</v>
      </c>
    </row>
    <row r="14" customFormat="false" ht="15" hidden="false" customHeight="true" outlineLevel="0" collapsed="false">
      <c r="B14" s="30" t="s">
        <v>48</v>
      </c>
      <c r="C14" s="31" t="s">
        <v>358</v>
      </c>
      <c r="D14" s="31" t="s">
        <v>359</v>
      </c>
      <c r="E14" s="32" t="s">
        <v>360</v>
      </c>
    </row>
    <row r="15" customFormat="false" ht="27.75" hidden="false" customHeight="true" outlineLevel="0" collapsed="false">
      <c r="B15" s="30" t="s">
        <v>50</v>
      </c>
      <c r="C15" s="31" t="s">
        <v>361</v>
      </c>
      <c r="D15" s="31" t="s">
        <v>362</v>
      </c>
      <c r="E15" s="32" t="s">
        <v>363</v>
      </c>
    </row>
    <row r="16" customFormat="false" ht="15" hidden="false" customHeight="true" outlineLevel="0" collapsed="false">
      <c r="B16" s="30" t="s">
        <v>364</v>
      </c>
      <c r="C16" s="31" t="s">
        <v>365</v>
      </c>
      <c r="D16" s="31" t="s">
        <v>366</v>
      </c>
      <c r="E16" s="32" t="s">
        <v>367</v>
      </c>
    </row>
  </sheetData>
  <hyperlinks>
    <hyperlink ref="E6" r:id="rId1" display="https://v-dem.net/data/the-v-dem-dataset/"/>
    <hyperlink ref="E7" r:id="rId2" display="https://www.worldbank.org/en/publication/worldwide-governance-indicators"/>
    <hyperlink ref="E8" r:id="rId3" display="https://cbidata.org/"/>
    <hyperlink ref="E9" r:id="rId4" display="https://www.worldbank.org/en/research/brief/informal-economy-database"/>
    <hyperlink ref="E10" r:id="rId5" display="https://baselgovernance.org/sites/default/files/2024-11/2024%20Basel%20AML%20Index%20report.pdf"/>
    <hyperlink ref="E11" r:id="rId6" display="https://index.baselgovernance.org/ranking"/>
    <hyperlink ref="E12" r:id="rId7" display="https://www.chainalysis.com/blog/2024-global-crypto-adoption-index/"/>
    <hyperlink ref="E13" r:id="rId8" display="https://thedocs.worldbank.org/en/doc/be6615202d1f08a25855c8ac2d615122-0050012025/related/GlobalFindexDatabase2025.xlsx"/>
    <hyperlink ref="E14" r:id="rId9" display="https://www.gsma.com/wp-content/uploads/2024/10/Mobile_Money_Regulatory_Index_Database_2024.xlsx"/>
    <hyperlink ref="E15" r:id="rId10" display="https://unctad.org/page/data-protection-and-privacy-legislation-worldwide"/>
    <hyperlink ref="E16" r:id="rId11" display="https://www.iso.org/iso-3166-country-codes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6" min="5" style="1" width="50"/>
    <col collapsed="false" customWidth="true" hidden="false" outlineLevel="0" max="9" min="7" style="1" width="14"/>
    <col collapsed="false" customWidth="true" hidden="false" outlineLevel="0" max="10" min="10" style="1" width="22"/>
    <col collapsed="false" customWidth="true" hidden="false" outlineLevel="0" max="11" min="11" style="1" width="28"/>
  </cols>
  <sheetData>
    <row r="2" customFormat="false" ht="21.75" hidden="false" customHeight="true" outlineLevel="0" collapsed="false">
      <c r="B2" s="2" t="s">
        <v>368</v>
      </c>
    </row>
    <row r="3" customFormat="false" ht="30" hidden="false" customHeight="true" outlineLevel="0" collapsed="false">
      <c r="B3" s="33" t="s">
        <v>369</v>
      </c>
      <c r="C3" s="33"/>
      <c r="D3" s="33"/>
      <c r="E3" s="33"/>
      <c r="F3" s="33"/>
      <c r="G3" s="33"/>
      <c r="H3" s="33"/>
      <c r="I3" s="33"/>
      <c r="J3" s="33"/>
      <c r="K3" s="33"/>
    </row>
    <row r="5" customFormat="false" ht="15" hidden="false" customHeight="true" outlineLevel="0" collapsed="false">
      <c r="B5" s="34" t="s">
        <v>370</v>
      </c>
      <c r="C5" s="34"/>
      <c r="D5" s="34"/>
      <c r="E5" s="34"/>
      <c r="F5" s="34"/>
      <c r="G5" s="34"/>
      <c r="H5" s="34"/>
      <c r="I5" s="34"/>
      <c r="J5" s="34"/>
      <c r="K5" s="34"/>
    </row>
    <row r="6" customFormat="false" ht="15" hidden="false" customHeight="true" outlineLevel="0" collapsed="false">
      <c r="B6" s="35" t="s">
        <v>371</v>
      </c>
      <c r="C6" s="35" t="s">
        <v>372</v>
      </c>
      <c r="D6" s="35" t="s">
        <v>373</v>
      </c>
      <c r="E6" s="35"/>
      <c r="F6" s="35"/>
      <c r="G6" s="35"/>
      <c r="H6" s="35"/>
      <c r="I6" s="35"/>
      <c r="J6" s="35"/>
      <c r="K6" s="35"/>
    </row>
    <row r="7" customFormat="false" ht="31.5" hidden="false" customHeight="true" outlineLevel="0" collapsed="false">
      <c r="B7" s="36" t="s">
        <v>374</v>
      </c>
      <c r="C7" s="37" t="s">
        <v>375</v>
      </c>
      <c r="D7" s="37" t="s">
        <v>376</v>
      </c>
      <c r="E7" s="37"/>
      <c r="F7" s="37"/>
      <c r="G7" s="37"/>
      <c r="H7" s="37"/>
      <c r="I7" s="37"/>
      <c r="J7" s="37"/>
      <c r="K7" s="37"/>
    </row>
    <row r="8" customFormat="false" ht="31.5" hidden="false" customHeight="true" outlineLevel="0" collapsed="false">
      <c r="B8" s="36" t="s">
        <v>377</v>
      </c>
      <c r="C8" s="37" t="s">
        <v>378</v>
      </c>
      <c r="D8" s="37" t="s">
        <v>379</v>
      </c>
      <c r="E8" s="37"/>
      <c r="F8" s="37"/>
      <c r="G8" s="37"/>
      <c r="H8" s="37"/>
      <c r="I8" s="37"/>
      <c r="J8" s="37"/>
      <c r="K8" s="37"/>
    </row>
    <row r="9" customFormat="false" ht="31.5" hidden="false" customHeight="true" outlineLevel="0" collapsed="false">
      <c r="B9" s="36" t="s">
        <v>380</v>
      </c>
      <c r="C9" s="37" t="s">
        <v>381</v>
      </c>
      <c r="D9" s="37" t="s">
        <v>382</v>
      </c>
      <c r="E9" s="37"/>
      <c r="F9" s="37"/>
      <c r="G9" s="37"/>
      <c r="H9" s="37"/>
      <c r="I9" s="37"/>
      <c r="J9" s="37"/>
      <c r="K9" s="37"/>
    </row>
    <row r="10" customFormat="false" ht="31.5" hidden="false" customHeight="true" outlineLevel="0" collapsed="false">
      <c r="B10" s="36" t="s">
        <v>383</v>
      </c>
      <c r="C10" s="37" t="s">
        <v>384</v>
      </c>
      <c r="D10" s="37" t="s">
        <v>385</v>
      </c>
      <c r="E10" s="37"/>
      <c r="F10" s="37"/>
      <c r="G10" s="37"/>
      <c r="H10" s="37"/>
      <c r="I10" s="37"/>
      <c r="J10" s="37"/>
      <c r="K10" s="37"/>
    </row>
    <row r="11" customFormat="false" ht="31.5" hidden="false" customHeight="true" outlineLevel="0" collapsed="false">
      <c r="B11" s="36" t="s">
        <v>386</v>
      </c>
      <c r="C11" s="37" t="s">
        <v>387</v>
      </c>
      <c r="D11" s="37" t="s">
        <v>388</v>
      </c>
      <c r="E11" s="37"/>
      <c r="F11" s="37"/>
      <c r="G11" s="37"/>
      <c r="H11" s="37"/>
      <c r="I11" s="37"/>
      <c r="J11" s="37"/>
      <c r="K11" s="37"/>
    </row>
    <row r="14" customFormat="false" ht="15" hidden="false" customHeight="true" outlineLevel="0" collapsed="false">
      <c r="B14" s="34" t="s">
        <v>389</v>
      </c>
      <c r="C14" s="34"/>
      <c r="D14" s="34"/>
      <c r="E14" s="34"/>
      <c r="F14" s="34"/>
      <c r="G14" s="34"/>
      <c r="H14" s="34"/>
      <c r="I14" s="34"/>
      <c r="J14" s="34"/>
      <c r="K14" s="34"/>
    </row>
    <row r="15" customFormat="false" ht="37.5" hidden="false" customHeight="true" outlineLevel="0" collapsed="false">
      <c r="B15" s="35" t="s">
        <v>390</v>
      </c>
      <c r="C15" s="35" t="s">
        <v>391</v>
      </c>
      <c r="D15" s="35" t="s">
        <v>392</v>
      </c>
      <c r="E15" s="35" t="s">
        <v>393</v>
      </c>
      <c r="F15" s="35" t="s">
        <v>394</v>
      </c>
      <c r="G15" s="35" t="s">
        <v>395</v>
      </c>
      <c r="H15" s="35" t="s">
        <v>396</v>
      </c>
      <c r="I15" s="35" t="s">
        <v>397</v>
      </c>
      <c r="J15" s="35" t="s">
        <v>398</v>
      </c>
      <c r="K15" s="35" t="s">
        <v>399</v>
      </c>
    </row>
    <row r="16" customFormat="false" ht="129.75" hidden="false" customHeight="true" outlineLevel="0" collapsed="false">
      <c r="B16" s="38" t="n">
        <v>1</v>
      </c>
      <c r="C16" s="30" t="s">
        <v>34</v>
      </c>
      <c r="D16" s="37" t="s">
        <v>400</v>
      </c>
      <c r="E16" s="37" t="s">
        <v>401</v>
      </c>
      <c r="F16" s="37" t="s">
        <v>402</v>
      </c>
      <c r="G16" s="39" t="s">
        <v>403</v>
      </c>
      <c r="H16" s="40" t="s">
        <v>404</v>
      </c>
      <c r="I16" s="41" t="s">
        <v>405</v>
      </c>
      <c r="J16" s="38" t="s">
        <v>406</v>
      </c>
      <c r="K16" s="37" t="s">
        <v>407</v>
      </c>
    </row>
    <row r="17" customFormat="false" ht="129.75" hidden="false" customHeight="true" outlineLevel="0" collapsed="false">
      <c r="B17" s="38" t="n">
        <v>2</v>
      </c>
      <c r="C17" s="30" t="s">
        <v>408</v>
      </c>
      <c r="D17" s="37" t="s">
        <v>409</v>
      </c>
      <c r="E17" s="37" t="s">
        <v>410</v>
      </c>
      <c r="F17" s="37" t="s">
        <v>411</v>
      </c>
      <c r="G17" s="41" t="s">
        <v>412</v>
      </c>
      <c r="H17" s="41" t="s">
        <v>413</v>
      </c>
      <c r="I17" s="39" t="s">
        <v>403</v>
      </c>
      <c r="J17" s="38" t="s">
        <v>414</v>
      </c>
      <c r="K17" s="37" t="s">
        <v>415</v>
      </c>
    </row>
    <row r="18" customFormat="false" ht="129.75" hidden="false" customHeight="true" outlineLevel="0" collapsed="false">
      <c r="B18" s="38" t="n">
        <v>3</v>
      </c>
      <c r="C18" s="30" t="s">
        <v>38</v>
      </c>
      <c r="D18" s="37" t="s">
        <v>416</v>
      </c>
      <c r="E18" s="37" t="s">
        <v>417</v>
      </c>
      <c r="F18" s="37" t="s">
        <v>418</v>
      </c>
      <c r="G18" s="39" t="s">
        <v>403</v>
      </c>
      <c r="H18" s="40" t="s">
        <v>404</v>
      </c>
      <c r="I18" s="41" t="s">
        <v>405</v>
      </c>
      <c r="J18" s="38" t="s">
        <v>414</v>
      </c>
      <c r="K18" s="37" t="s">
        <v>419</v>
      </c>
    </row>
    <row r="19" customFormat="false" ht="129.75" hidden="false" customHeight="true" outlineLevel="0" collapsed="false">
      <c r="B19" s="38" t="n">
        <v>4</v>
      </c>
      <c r="C19" s="30" t="s">
        <v>420</v>
      </c>
      <c r="D19" s="37" t="s">
        <v>421</v>
      </c>
      <c r="E19" s="37" t="s">
        <v>422</v>
      </c>
      <c r="F19" s="37" t="s">
        <v>423</v>
      </c>
      <c r="G19" s="41" t="s">
        <v>424</v>
      </c>
      <c r="H19" s="41" t="s">
        <v>424</v>
      </c>
      <c r="I19" s="39" t="s">
        <v>403</v>
      </c>
      <c r="J19" s="38" t="s">
        <v>425</v>
      </c>
      <c r="K19" s="37" t="s">
        <v>426</v>
      </c>
    </row>
    <row r="20" customFormat="false" ht="129.75" hidden="false" customHeight="true" outlineLevel="0" collapsed="false">
      <c r="B20" s="38" t="n">
        <v>5</v>
      </c>
      <c r="C20" s="30" t="s">
        <v>427</v>
      </c>
      <c r="D20" s="37" t="s">
        <v>428</v>
      </c>
      <c r="E20" s="37" t="s">
        <v>429</v>
      </c>
      <c r="F20" s="37" t="s">
        <v>430</v>
      </c>
      <c r="G20" s="40" t="s">
        <v>404</v>
      </c>
      <c r="H20" s="39" t="s">
        <v>403</v>
      </c>
      <c r="I20" s="39" t="s">
        <v>403</v>
      </c>
      <c r="J20" s="38" t="s">
        <v>414</v>
      </c>
      <c r="K20" s="37" t="s">
        <v>431</v>
      </c>
    </row>
    <row r="21" customFormat="false" ht="129.75" hidden="false" customHeight="true" outlineLevel="0" collapsed="false">
      <c r="B21" s="38" t="n">
        <v>6</v>
      </c>
      <c r="C21" s="30" t="s">
        <v>432</v>
      </c>
      <c r="D21" s="37" t="s">
        <v>433</v>
      </c>
      <c r="E21" s="37" t="s">
        <v>434</v>
      </c>
      <c r="F21" s="37" t="s">
        <v>435</v>
      </c>
      <c r="G21" s="41" t="s">
        <v>424</v>
      </c>
      <c r="H21" s="41" t="s">
        <v>424</v>
      </c>
      <c r="I21" s="39" t="s">
        <v>403</v>
      </c>
      <c r="J21" s="38" t="s">
        <v>436</v>
      </c>
      <c r="K21" s="37" t="s">
        <v>437</v>
      </c>
    </row>
    <row r="22" customFormat="false" ht="129.75" hidden="false" customHeight="true" outlineLevel="0" collapsed="false">
      <c r="B22" s="38" t="n">
        <v>7</v>
      </c>
      <c r="C22" s="30" t="s">
        <v>438</v>
      </c>
      <c r="D22" s="37" t="s">
        <v>439</v>
      </c>
      <c r="E22" s="37" t="s">
        <v>440</v>
      </c>
      <c r="F22" s="37" t="s">
        <v>441</v>
      </c>
      <c r="G22" s="41" t="s">
        <v>442</v>
      </c>
      <c r="H22" s="41" t="s">
        <v>424</v>
      </c>
      <c r="I22" s="41" t="s">
        <v>405</v>
      </c>
      <c r="J22" s="38" t="s">
        <v>443</v>
      </c>
      <c r="K22" s="37" t="s">
        <v>444</v>
      </c>
    </row>
    <row r="23" customFormat="false" ht="129.75" hidden="false" customHeight="true" outlineLevel="0" collapsed="false">
      <c r="B23" s="38" t="n">
        <v>8</v>
      </c>
      <c r="C23" s="30" t="s">
        <v>48</v>
      </c>
      <c r="D23" s="37" t="s">
        <v>445</v>
      </c>
      <c r="E23" s="37" t="s">
        <v>446</v>
      </c>
      <c r="F23" s="37" t="s">
        <v>447</v>
      </c>
      <c r="G23" s="40" t="s">
        <v>448</v>
      </c>
      <c r="H23" s="39" t="s">
        <v>449</v>
      </c>
      <c r="I23" s="41" t="s">
        <v>405</v>
      </c>
      <c r="J23" s="38" t="s">
        <v>414</v>
      </c>
      <c r="K23" s="37" t="s">
        <v>450</v>
      </c>
    </row>
    <row r="24" customFormat="false" ht="129.75" hidden="false" customHeight="true" outlineLevel="0" collapsed="false">
      <c r="B24" s="38" t="n">
        <v>9</v>
      </c>
      <c r="C24" s="30" t="s">
        <v>451</v>
      </c>
      <c r="D24" s="37" t="s">
        <v>452</v>
      </c>
      <c r="E24" s="37" t="s">
        <v>453</v>
      </c>
      <c r="F24" s="37" t="s">
        <v>454</v>
      </c>
      <c r="G24" s="39" t="s">
        <v>455</v>
      </c>
      <c r="H24" s="40" t="s">
        <v>404</v>
      </c>
      <c r="I24" s="41" t="s">
        <v>405</v>
      </c>
      <c r="J24" s="38" t="s">
        <v>414</v>
      </c>
      <c r="K24" s="37" t="s">
        <v>456</v>
      </c>
    </row>
    <row r="27" customFormat="false" ht="15" hidden="false" customHeight="true" outlineLevel="0" collapsed="false">
      <c r="B27" s="34" t="s">
        <v>457</v>
      </c>
      <c r="C27" s="34"/>
      <c r="D27" s="34"/>
      <c r="E27" s="34"/>
      <c r="F27" s="34"/>
      <c r="G27" s="34"/>
      <c r="H27" s="34"/>
      <c r="I27" s="34"/>
      <c r="J27" s="34"/>
      <c r="K27" s="34"/>
    </row>
    <row r="28" customFormat="false" ht="21.75" hidden="false" customHeight="true" outlineLevel="0" collapsed="false">
      <c r="B28" s="42" t="s">
        <v>458</v>
      </c>
      <c r="C28" s="42"/>
      <c r="D28" s="42"/>
      <c r="E28" s="42"/>
      <c r="F28" s="42"/>
      <c r="G28" s="42"/>
      <c r="H28" s="42"/>
      <c r="I28" s="42"/>
      <c r="J28" s="42"/>
      <c r="K28" s="42"/>
    </row>
    <row r="29" customFormat="false" ht="21.75" hidden="false" customHeight="true" outlineLevel="0" collapsed="false">
      <c r="B29" s="42" t="s">
        <v>459</v>
      </c>
      <c r="C29" s="42"/>
      <c r="D29" s="42"/>
      <c r="E29" s="42"/>
      <c r="F29" s="42"/>
      <c r="G29" s="42"/>
      <c r="H29" s="42"/>
      <c r="I29" s="42"/>
      <c r="J29" s="42"/>
      <c r="K29" s="42"/>
    </row>
    <row r="30" customFormat="false" ht="21.75" hidden="false" customHeight="true" outlineLevel="0" collapsed="false">
      <c r="B30" s="42" t="s">
        <v>460</v>
      </c>
      <c r="C30" s="42"/>
      <c r="D30" s="42"/>
      <c r="E30" s="42"/>
      <c r="F30" s="42"/>
      <c r="G30" s="42"/>
      <c r="H30" s="42"/>
      <c r="I30" s="42"/>
      <c r="J30" s="42"/>
      <c r="K30" s="42"/>
    </row>
    <row r="31" customFormat="false" ht="21.75" hidden="false" customHeight="true" outlineLevel="0" collapsed="false">
      <c r="B31" s="43" t="s">
        <v>461</v>
      </c>
      <c r="C31" s="43"/>
      <c r="D31" s="43"/>
      <c r="E31" s="43"/>
      <c r="F31" s="43"/>
      <c r="G31" s="43"/>
      <c r="H31" s="43"/>
      <c r="I31" s="43"/>
      <c r="J31" s="43"/>
      <c r="K31" s="43"/>
    </row>
    <row r="32" customFormat="false" ht="21.75" hidden="false" customHeight="true" outlineLevel="0" collapsed="false">
      <c r="B32" s="42" t="s">
        <v>462</v>
      </c>
      <c r="C32" s="42"/>
      <c r="D32" s="42"/>
      <c r="E32" s="42"/>
      <c r="F32" s="42"/>
      <c r="G32" s="42"/>
      <c r="H32" s="42"/>
      <c r="I32" s="42"/>
      <c r="J32" s="42"/>
      <c r="K32" s="42"/>
    </row>
    <row r="33" customFormat="false" ht="21.75" hidden="false" customHeight="true" outlineLevel="0" collapsed="false">
      <c r="B33" s="42" t="s">
        <v>463</v>
      </c>
      <c r="C33" s="42"/>
      <c r="D33" s="42"/>
      <c r="E33" s="42"/>
      <c r="F33" s="42"/>
      <c r="G33" s="42"/>
      <c r="H33" s="42"/>
      <c r="I33" s="42"/>
      <c r="J33" s="42"/>
      <c r="K33" s="42"/>
    </row>
    <row r="34" customFormat="false" ht="21.75" hidden="false" customHeight="true" outlineLevel="0" collapsed="false">
      <c r="B34" s="42" t="s">
        <v>464</v>
      </c>
      <c r="C34" s="42"/>
      <c r="D34" s="42"/>
      <c r="E34" s="42"/>
      <c r="F34" s="42"/>
      <c r="G34" s="42"/>
      <c r="H34" s="42"/>
      <c r="I34" s="42"/>
      <c r="J34" s="42"/>
      <c r="K34" s="42"/>
    </row>
    <row r="35" customFormat="false" ht="21.75" hidden="false" customHeight="true" outlineLevel="0" collapsed="false">
      <c r="B35" s="43" t="s">
        <v>465</v>
      </c>
      <c r="C35" s="43"/>
      <c r="D35" s="43"/>
      <c r="E35" s="43"/>
      <c r="F35" s="43"/>
      <c r="G35" s="43"/>
      <c r="H35" s="43"/>
      <c r="I35" s="43"/>
      <c r="J35" s="43"/>
      <c r="K35" s="43"/>
    </row>
    <row r="36" customFormat="false" ht="21.75" hidden="false" customHeight="true" outlineLevel="0" collapsed="false">
      <c r="B36" s="42" t="s">
        <v>466</v>
      </c>
      <c r="C36" s="42"/>
      <c r="D36" s="42"/>
      <c r="E36" s="42"/>
      <c r="F36" s="42"/>
      <c r="G36" s="42"/>
      <c r="H36" s="42"/>
      <c r="I36" s="42"/>
      <c r="J36" s="42"/>
      <c r="K36" s="42"/>
    </row>
    <row r="37" customFormat="false" ht="21.75" hidden="false" customHeight="true" outlineLevel="0" collapsed="false">
      <c r="B37" s="42" t="s">
        <v>467</v>
      </c>
      <c r="C37" s="42"/>
      <c r="D37" s="42"/>
      <c r="E37" s="42"/>
      <c r="F37" s="42"/>
      <c r="G37" s="42"/>
      <c r="H37" s="42"/>
      <c r="I37" s="42"/>
      <c r="J37" s="42"/>
      <c r="K37" s="42"/>
    </row>
    <row r="38" customFormat="false" ht="21.75" hidden="false" customHeight="true" outlineLevel="0" collapsed="false">
      <c r="B38" s="42" t="s">
        <v>468</v>
      </c>
      <c r="C38" s="42"/>
      <c r="D38" s="42"/>
      <c r="E38" s="42"/>
      <c r="F38" s="42"/>
      <c r="G38" s="42"/>
      <c r="H38" s="42"/>
      <c r="I38" s="42"/>
      <c r="J38" s="42"/>
      <c r="K38" s="42"/>
    </row>
    <row r="39" customFormat="false" ht="21.75" hidden="false" customHeight="true" outlineLevel="0" collapsed="false">
      <c r="B39" s="42" t="s">
        <v>469</v>
      </c>
      <c r="C39" s="42"/>
      <c r="D39" s="42"/>
      <c r="E39" s="42"/>
      <c r="F39" s="42"/>
      <c r="G39" s="42"/>
      <c r="H39" s="42"/>
      <c r="I39" s="42"/>
      <c r="J39" s="42"/>
      <c r="K39" s="42"/>
    </row>
  </sheetData>
  <mergeCells count="22">
    <mergeCell ref="B3:K3"/>
    <mergeCell ref="B5:K5"/>
    <mergeCell ref="D6:K6"/>
    <mergeCell ref="D7:K7"/>
    <mergeCell ref="D8:K8"/>
    <mergeCell ref="D9:K9"/>
    <mergeCell ref="D10:K10"/>
    <mergeCell ref="D11:K11"/>
    <mergeCell ref="B14:K14"/>
    <mergeCell ref="B27:K27"/>
    <mergeCell ref="B28:K28"/>
    <mergeCell ref="B29:K29"/>
    <mergeCell ref="B30:K30"/>
    <mergeCell ref="B31:K31"/>
    <mergeCell ref="B32:K32"/>
    <mergeCell ref="B33:K33"/>
    <mergeCell ref="B34:K34"/>
    <mergeCell ref="B35:K35"/>
    <mergeCell ref="B36:K36"/>
    <mergeCell ref="B37:K37"/>
    <mergeCell ref="B38:K38"/>
    <mergeCell ref="B39:K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4" min="3" style="1" width="14"/>
    <col collapsed="false" customWidth="true" hidden="false" outlineLevel="0" max="6" min="5" style="1" width="16"/>
    <col collapsed="false" customWidth="true" hidden="false" outlineLevel="0" max="7" min="7" style="1" width="14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44" t="s">
        <v>470</v>
      </c>
      <c r="B1" s="44"/>
      <c r="C1" s="44"/>
      <c r="D1" s="44"/>
      <c r="E1" s="44"/>
      <c r="F1" s="44"/>
      <c r="G1" s="44"/>
      <c r="H1" s="44"/>
    </row>
    <row r="2" customFormat="false" ht="55.5" hidden="false" customHeight="true" outlineLevel="0" collapsed="false">
      <c r="A2" s="45" t="s">
        <v>471</v>
      </c>
      <c r="B2" s="45"/>
      <c r="C2" s="45"/>
      <c r="D2" s="45"/>
      <c r="E2" s="45"/>
      <c r="F2" s="45"/>
      <c r="G2" s="45"/>
      <c r="H2" s="45"/>
    </row>
    <row r="4" customFormat="false" ht="15" hidden="false" customHeight="true" outlineLevel="0" collapsed="false">
      <c r="A4" s="46" t="s">
        <v>472</v>
      </c>
    </row>
    <row r="5" customFormat="false" ht="15" hidden="false" customHeight="true" outlineLevel="0" collapsed="false">
      <c r="A5" s="8" t="s">
        <v>473</v>
      </c>
      <c r="B5" s="8" t="s">
        <v>474</v>
      </c>
      <c r="C5" s="8" t="s">
        <v>475</v>
      </c>
      <c r="D5" s="8" t="s">
        <v>476</v>
      </c>
    </row>
    <row r="6" customFormat="false" ht="15" hidden="false" customHeight="true" outlineLevel="0" collapsed="false">
      <c r="A6" s="47" t="s">
        <v>477</v>
      </c>
      <c r="B6" s="48" t="n">
        <v>-0.3</v>
      </c>
      <c r="C6" s="47" t="s">
        <v>414</v>
      </c>
      <c r="D6" s="47" t="s">
        <v>478</v>
      </c>
    </row>
    <row r="7" customFormat="false" ht="15" hidden="false" customHeight="true" outlineLevel="0" collapsed="false">
      <c r="A7" s="49" t="s">
        <v>479</v>
      </c>
      <c r="B7" s="50" t="n">
        <v>0.55</v>
      </c>
      <c r="C7" s="49" t="s">
        <v>480</v>
      </c>
      <c r="D7" s="49" t="s">
        <v>481</v>
      </c>
    </row>
    <row r="8" customFormat="false" ht="15" hidden="false" customHeight="true" outlineLevel="0" collapsed="false">
      <c r="A8" s="51" t="s">
        <v>482</v>
      </c>
      <c r="B8" s="52" t="n">
        <v>0.4</v>
      </c>
      <c r="C8" s="51" t="s">
        <v>483</v>
      </c>
      <c r="D8" s="51" t="s">
        <v>403</v>
      </c>
    </row>
    <row r="9" customFormat="false" ht="15" hidden="false" customHeight="true" outlineLevel="0" collapsed="false">
      <c r="A9" s="53" t="s">
        <v>484</v>
      </c>
      <c r="B9" s="54" t="n">
        <v>-0.2</v>
      </c>
      <c r="C9" s="53" t="s">
        <v>485</v>
      </c>
      <c r="D9" s="53" t="s">
        <v>486</v>
      </c>
    </row>
    <row r="10" customFormat="false" ht="15" hidden="false" customHeight="true" outlineLevel="0" collapsed="false">
      <c r="A10" s="51" t="s">
        <v>487</v>
      </c>
      <c r="B10" s="52" t="n">
        <v>0.3</v>
      </c>
      <c r="C10" s="51" t="s">
        <v>488</v>
      </c>
      <c r="D10" s="51" t="s">
        <v>403</v>
      </c>
    </row>
    <row r="11" customFormat="false" ht="15" hidden="false" customHeight="true" outlineLevel="0" collapsed="false">
      <c r="A11" s="49" t="s">
        <v>489</v>
      </c>
      <c r="B11" s="50" t="n">
        <v>0.1</v>
      </c>
      <c r="C11" s="49" t="s">
        <v>490</v>
      </c>
      <c r="D11" s="49" t="s">
        <v>491</v>
      </c>
    </row>
    <row r="12" customFormat="false" ht="15" hidden="false" customHeight="true" outlineLevel="0" collapsed="false">
      <c r="A12" s="47" t="s">
        <v>492</v>
      </c>
      <c r="B12" s="48" t="n">
        <v>-0.5</v>
      </c>
      <c r="C12" s="47" t="s">
        <v>493</v>
      </c>
      <c r="D12" s="47" t="s">
        <v>494</v>
      </c>
    </row>
    <row r="13" customFormat="false" ht="15" hidden="false" customHeight="true" outlineLevel="0" collapsed="false">
      <c r="A13" s="49" t="s">
        <v>495</v>
      </c>
      <c r="B13" s="50" t="n">
        <v>0.05</v>
      </c>
      <c r="C13" s="49" t="s">
        <v>496</v>
      </c>
      <c r="D13" s="49" t="s">
        <v>497</v>
      </c>
    </row>
    <row r="14" customFormat="false" ht="15" hidden="false" customHeight="true" outlineLevel="0" collapsed="false">
      <c r="A14" s="51" t="s">
        <v>498</v>
      </c>
      <c r="B14" s="52" t="n">
        <v>0.2</v>
      </c>
      <c r="C14" s="51" t="s">
        <v>499</v>
      </c>
      <c r="D14" s="51" t="s">
        <v>500</v>
      </c>
    </row>
    <row r="15" customFormat="false" ht="15" hidden="false" customHeight="true" outlineLevel="0" collapsed="false">
      <c r="A15" s="53" t="s">
        <v>501</v>
      </c>
      <c r="B15" s="54" t="n">
        <v>-0.2</v>
      </c>
      <c r="C15" s="53" t="s">
        <v>502</v>
      </c>
      <c r="D15" s="53" t="s">
        <v>404</v>
      </c>
    </row>
    <row r="16" customFormat="false" ht="15" hidden="false" customHeight="true" outlineLevel="0" collapsed="false">
      <c r="A16" s="51" t="s">
        <v>503</v>
      </c>
      <c r="B16" s="52" t="n">
        <v>0.7</v>
      </c>
      <c r="C16" s="51" t="s">
        <v>504</v>
      </c>
      <c r="D16" s="51" t="s">
        <v>481</v>
      </c>
    </row>
    <row r="17" customFormat="false" ht="15" hidden="false" customHeight="true" outlineLevel="0" collapsed="false">
      <c r="A17" s="49" t="s">
        <v>505</v>
      </c>
      <c r="B17" s="50" t="n">
        <v>1.2</v>
      </c>
      <c r="C17" s="49" t="s">
        <v>506</v>
      </c>
      <c r="D17" s="49" t="s">
        <v>507</v>
      </c>
    </row>
    <row r="18" customFormat="false" ht="15" hidden="false" customHeight="true" outlineLevel="0" collapsed="false">
      <c r="A18" s="51" t="s">
        <v>508</v>
      </c>
      <c r="B18" s="52" t="n">
        <v>0.5</v>
      </c>
      <c r="C18" s="51" t="s">
        <v>509</v>
      </c>
      <c r="D18" s="51" t="s">
        <v>510</v>
      </c>
    </row>
    <row r="19" customFormat="false" ht="15" hidden="false" customHeight="true" outlineLevel="0" collapsed="false">
      <c r="A19" s="49" t="s">
        <v>511</v>
      </c>
      <c r="B19" s="50" t="n">
        <v>0.2</v>
      </c>
      <c r="C19" s="49" t="s">
        <v>512</v>
      </c>
      <c r="D19" s="49" t="s">
        <v>513</v>
      </c>
    </row>
    <row r="20" customFormat="false" ht="55.5" hidden="false" customHeight="true" outlineLevel="0" collapsed="false">
      <c r="A20" s="55" t="s">
        <v>514</v>
      </c>
      <c r="B20" s="55"/>
      <c r="C20" s="55"/>
      <c r="D20" s="55"/>
      <c r="E20" s="55"/>
      <c r="F20" s="55"/>
      <c r="G20" s="55"/>
    </row>
    <row r="22" customFormat="false" ht="15" hidden="false" customHeight="true" outlineLevel="0" collapsed="false">
      <c r="A22" s="46" t="s">
        <v>515</v>
      </c>
    </row>
    <row r="23" customFormat="false" ht="15" hidden="false" customHeight="true" outlineLevel="0" collapsed="false">
      <c r="A23" s="8" t="s">
        <v>516</v>
      </c>
      <c r="B23" s="8" t="s">
        <v>62</v>
      </c>
      <c r="C23" s="8" t="s">
        <v>517</v>
      </c>
      <c r="D23" s="8" t="s">
        <v>518</v>
      </c>
      <c r="E23" s="8" t="s">
        <v>519</v>
      </c>
      <c r="F23" s="8" t="s">
        <v>520</v>
      </c>
      <c r="G23" s="8" t="s">
        <v>521</v>
      </c>
      <c r="H23" s="8" t="s">
        <v>522</v>
      </c>
      <c r="I23" s="56" t="s">
        <v>523</v>
      </c>
    </row>
    <row r="24" customFormat="false" ht="15" hidden="false" customHeight="true" outlineLevel="0" collapsed="false">
      <c r="A24" s="57" t="s">
        <v>126</v>
      </c>
      <c r="B24" s="57" t="s">
        <v>524</v>
      </c>
      <c r="C24" s="11" t="n">
        <v>0.0258</v>
      </c>
      <c r="D24" s="11" t="n">
        <v>-1.946</v>
      </c>
      <c r="E24" s="11" t="n">
        <v>0</v>
      </c>
      <c r="F24" s="11" t="n">
        <v>16</v>
      </c>
      <c r="G24" s="11" t="n">
        <v>4</v>
      </c>
      <c r="H24" s="52" t="s">
        <v>525</v>
      </c>
      <c r="I24" s="58" t="n">
        <v>1</v>
      </c>
    </row>
    <row r="25" customFormat="false" ht="15" hidden="false" customHeight="true" outlineLevel="0" collapsed="false">
      <c r="A25" s="59" t="s">
        <v>145</v>
      </c>
      <c r="B25" s="59" t="s">
        <v>526</v>
      </c>
      <c r="C25" s="60" t="n">
        <v>0.9948</v>
      </c>
      <c r="D25" s="60" t="n">
        <v>2.565</v>
      </c>
      <c r="E25" s="60" t="n">
        <v>0</v>
      </c>
      <c r="F25" s="60" t="n">
        <v>7</v>
      </c>
      <c r="G25" s="60" t="n">
        <v>3</v>
      </c>
      <c r="H25" s="54" t="s">
        <v>527</v>
      </c>
      <c r="I25" s="58" t="n">
        <v>1</v>
      </c>
    </row>
    <row r="26" customFormat="false" ht="15" hidden="false" customHeight="true" outlineLevel="0" collapsed="false">
      <c r="A26" s="57" t="s">
        <v>174</v>
      </c>
      <c r="B26" s="57" t="s">
        <v>528</v>
      </c>
      <c r="C26" s="11" t="n">
        <v>0.9282</v>
      </c>
      <c r="D26" s="11" t="n">
        <v>1.462</v>
      </c>
      <c r="E26" s="11" t="n">
        <v>1</v>
      </c>
      <c r="F26" s="11" t="n">
        <v>24</v>
      </c>
      <c r="G26" s="11" t="n">
        <v>7</v>
      </c>
      <c r="H26" s="52" t="s">
        <v>525</v>
      </c>
      <c r="I26" s="58" t="n">
        <v>2</v>
      </c>
    </row>
    <row r="27" customFormat="false" ht="15" hidden="false" customHeight="true" outlineLevel="0" collapsed="false">
      <c r="A27" s="59" t="s">
        <v>166</v>
      </c>
      <c r="B27" s="59" t="s">
        <v>529</v>
      </c>
      <c r="C27" s="60" t="n">
        <v>0.4078</v>
      </c>
      <c r="D27" s="60" t="n">
        <v>-0.233</v>
      </c>
      <c r="E27" s="60" t="n">
        <v>0</v>
      </c>
      <c r="F27" s="60" t="n">
        <v>0</v>
      </c>
      <c r="G27" s="60" t="n">
        <v>0</v>
      </c>
      <c r="H27" s="50" t="s">
        <v>525</v>
      </c>
      <c r="I27" s="58" t="n">
        <v>0</v>
      </c>
    </row>
    <row r="28" customFormat="false" ht="15" hidden="false" customHeight="true" outlineLevel="0" collapsed="false">
      <c r="A28" s="57" t="s">
        <v>244</v>
      </c>
      <c r="B28" s="57" t="s">
        <v>530</v>
      </c>
      <c r="C28" s="11" t="n">
        <v>0.9996</v>
      </c>
      <c r="D28" s="11" t="n">
        <v>3.332</v>
      </c>
      <c r="E28" s="11" t="n">
        <v>1</v>
      </c>
      <c r="F28" s="11" t="n">
        <v>11</v>
      </c>
      <c r="G28" s="11" t="n">
        <v>5</v>
      </c>
      <c r="H28" s="52" t="s">
        <v>525</v>
      </c>
      <c r="I28" s="58" t="n">
        <v>1</v>
      </c>
    </row>
    <row r="29" customFormat="false" ht="15" hidden="false" customHeight="true" outlineLevel="0" collapsed="false">
      <c r="A29" s="59" t="s">
        <v>154</v>
      </c>
      <c r="B29" s="59" t="s">
        <v>531</v>
      </c>
      <c r="C29" s="60" t="n">
        <v>0.9892</v>
      </c>
      <c r="D29" s="60" t="n">
        <v>2.297</v>
      </c>
      <c r="E29" s="60" t="n">
        <v>1</v>
      </c>
      <c r="F29" s="60" t="n">
        <v>37</v>
      </c>
      <c r="G29" s="60" t="n">
        <v>9</v>
      </c>
      <c r="H29" s="50" t="s">
        <v>525</v>
      </c>
      <c r="I29" s="58" t="n">
        <v>1</v>
      </c>
    </row>
    <row r="30" customFormat="false" ht="15" hidden="false" customHeight="true" outlineLevel="0" collapsed="false">
      <c r="A30" s="57" t="s">
        <v>260</v>
      </c>
      <c r="B30" s="57" t="s">
        <v>260</v>
      </c>
      <c r="C30" s="11" t="n">
        <v>0.9807</v>
      </c>
      <c r="D30" s="11" t="n">
        <v>2.068</v>
      </c>
      <c r="E30" s="11" t="n">
        <v>0</v>
      </c>
      <c r="F30" s="11" t="n">
        <v>8</v>
      </c>
      <c r="G30" s="11" t="n">
        <v>3</v>
      </c>
      <c r="H30" s="48" t="s">
        <v>527</v>
      </c>
      <c r="I30" s="58" t="n">
        <v>1</v>
      </c>
    </row>
    <row r="33" customFormat="false" ht="15" hidden="false" customHeight="true" outlineLevel="0" collapsed="false">
      <c r="A33" s="46" t="s">
        <v>532</v>
      </c>
    </row>
    <row r="34" customFormat="false" ht="15" hidden="false" customHeight="true" outlineLevel="0" collapsed="false">
      <c r="A34" s="8" t="s">
        <v>533</v>
      </c>
      <c r="B34" s="8" t="s">
        <v>516</v>
      </c>
      <c r="C34" s="8" t="s">
        <v>62</v>
      </c>
      <c r="D34" s="8" t="s">
        <v>63</v>
      </c>
      <c r="E34" s="8" t="s">
        <v>517</v>
      </c>
      <c r="F34" s="8" t="s">
        <v>518</v>
      </c>
      <c r="G34" s="61" t="s">
        <v>534</v>
      </c>
      <c r="H34" s="62" t="s">
        <v>523</v>
      </c>
      <c r="I34" s="62" t="s">
        <v>535</v>
      </c>
    </row>
    <row r="35" customFormat="false" ht="15" hidden="false" customHeight="true" outlineLevel="0" collapsed="false">
      <c r="A35" s="60" t="n">
        <v>1</v>
      </c>
      <c r="B35" s="60" t="s">
        <v>244</v>
      </c>
      <c r="C35" s="59" t="s">
        <v>245</v>
      </c>
      <c r="D35" s="59" t="s">
        <v>97</v>
      </c>
      <c r="E35" s="60" t="n">
        <v>0.9996</v>
      </c>
      <c r="F35" s="60" t="n">
        <v>3.332</v>
      </c>
      <c r="G35" s="50" t="s">
        <v>536</v>
      </c>
      <c r="H35" s="58" t="n">
        <v>1</v>
      </c>
      <c r="I35" s="58" t="s">
        <v>537</v>
      </c>
    </row>
    <row r="36" customFormat="false" ht="15" hidden="false" customHeight="true" outlineLevel="0" collapsed="false">
      <c r="A36" s="11" t="n">
        <v>2</v>
      </c>
      <c r="B36" s="11" t="s">
        <v>172</v>
      </c>
      <c r="C36" s="57" t="s">
        <v>173</v>
      </c>
      <c r="D36" s="57" t="s">
        <v>97</v>
      </c>
      <c r="E36" s="11" t="n">
        <v>0.999</v>
      </c>
      <c r="F36" s="11" t="n">
        <v>3.096</v>
      </c>
      <c r="G36" s="52" t="s">
        <v>536</v>
      </c>
      <c r="H36" s="58" t="n">
        <v>1</v>
      </c>
      <c r="I36" s="58" t="s">
        <v>537</v>
      </c>
    </row>
    <row r="37" customFormat="false" ht="15" hidden="false" customHeight="true" outlineLevel="0" collapsed="false">
      <c r="A37" s="60" t="n">
        <v>3</v>
      </c>
      <c r="B37" s="60" t="s">
        <v>218</v>
      </c>
      <c r="C37" s="59" t="s">
        <v>219</v>
      </c>
      <c r="D37" s="59" t="s">
        <v>97</v>
      </c>
      <c r="E37" s="60" t="n">
        <v>0.9985</v>
      </c>
      <c r="F37" s="60" t="n">
        <v>2.973</v>
      </c>
      <c r="G37" s="50" t="s">
        <v>536</v>
      </c>
      <c r="H37" s="58" t="n">
        <v>1</v>
      </c>
      <c r="I37" s="58" t="s">
        <v>537</v>
      </c>
    </row>
    <row r="38" customFormat="false" ht="15" hidden="false" customHeight="true" outlineLevel="0" collapsed="false">
      <c r="A38" s="11" t="n">
        <v>4</v>
      </c>
      <c r="B38" s="11" t="s">
        <v>137</v>
      </c>
      <c r="C38" s="57" t="s">
        <v>138</v>
      </c>
      <c r="D38" s="57" t="s">
        <v>97</v>
      </c>
      <c r="E38" s="11" t="n">
        <v>0.9984</v>
      </c>
      <c r="F38" s="11" t="n">
        <v>2.942</v>
      </c>
      <c r="G38" s="52" t="s">
        <v>536</v>
      </c>
      <c r="H38" s="58" t="n">
        <v>1</v>
      </c>
      <c r="I38" s="58" t="s">
        <v>537</v>
      </c>
    </row>
    <row r="39" customFormat="false" ht="15" hidden="false" customHeight="true" outlineLevel="0" collapsed="false">
      <c r="A39" s="60" t="n">
        <v>5</v>
      </c>
      <c r="B39" s="60" t="s">
        <v>133</v>
      </c>
      <c r="C39" s="59" t="s">
        <v>134</v>
      </c>
      <c r="D39" s="59" t="s">
        <v>97</v>
      </c>
      <c r="E39" s="60" t="n">
        <v>0.9974</v>
      </c>
      <c r="F39" s="60" t="n">
        <v>2.793</v>
      </c>
      <c r="G39" s="50" t="s">
        <v>536</v>
      </c>
      <c r="H39" s="58" t="n">
        <v>1</v>
      </c>
      <c r="I39" s="58" t="s">
        <v>537</v>
      </c>
    </row>
    <row r="40" customFormat="false" ht="15" hidden="false" customHeight="true" outlineLevel="0" collapsed="false">
      <c r="A40" s="11" t="n">
        <v>6</v>
      </c>
      <c r="B40" s="11" t="s">
        <v>95</v>
      </c>
      <c r="C40" s="57" t="s">
        <v>96</v>
      </c>
      <c r="D40" s="57" t="s">
        <v>97</v>
      </c>
      <c r="E40" s="11" t="n">
        <v>0.9973</v>
      </c>
      <c r="F40" s="11" t="n">
        <v>2.779</v>
      </c>
      <c r="G40" s="52" t="s">
        <v>536</v>
      </c>
      <c r="H40" s="58" t="n">
        <v>1</v>
      </c>
      <c r="I40" s="58" t="s">
        <v>537</v>
      </c>
    </row>
    <row r="41" customFormat="false" ht="15" hidden="false" customHeight="true" outlineLevel="0" collapsed="false">
      <c r="A41" s="60" t="n">
        <v>7</v>
      </c>
      <c r="B41" s="60" t="s">
        <v>147</v>
      </c>
      <c r="C41" s="59" t="s">
        <v>148</v>
      </c>
      <c r="D41" s="59" t="s">
        <v>97</v>
      </c>
      <c r="E41" s="60" t="n">
        <v>0.9967</v>
      </c>
      <c r="F41" s="60" t="n">
        <v>2.716</v>
      </c>
      <c r="G41" s="50" t="s">
        <v>536</v>
      </c>
      <c r="H41" s="58" t="n">
        <v>1</v>
      </c>
      <c r="I41" s="58" t="s">
        <v>537</v>
      </c>
    </row>
    <row r="42" customFormat="false" ht="15" hidden="false" customHeight="true" outlineLevel="0" collapsed="false">
      <c r="A42" s="11" t="n">
        <v>8</v>
      </c>
      <c r="B42" s="11" t="s">
        <v>135</v>
      </c>
      <c r="C42" s="57" t="s">
        <v>136</v>
      </c>
      <c r="D42" s="57" t="s">
        <v>97</v>
      </c>
      <c r="E42" s="11" t="n">
        <v>0.9965</v>
      </c>
      <c r="F42" s="11" t="n">
        <v>2.695</v>
      </c>
      <c r="G42" s="52" t="s">
        <v>536</v>
      </c>
      <c r="H42" s="58" t="n">
        <v>1</v>
      </c>
      <c r="I42" s="58" t="s">
        <v>537</v>
      </c>
    </row>
    <row r="43" customFormat="false" ht="15" hidden="false" customHeight="true" outlineLevel="0" collapsed="false">
      <c r="A43" s="60" t="n">
        <v>9</v>
      </c>
      <c r="B43" s="60" t="s">
        <v>258</v>
      </c>
      <c r="C43" s="59" t="s">
        <v>259</v>
      </c>
      <c r="D43" s="59" t="s">
        <v>82</v>
      </c>
      <c r="E43" s="60" t="n">
        <v>0.9962</v>
      </c>
      <c r="F43" s="60" t="n">
        <v>2.666</v>
      </c>
      <c r="G43" s="50" t="s">
        <v>536</v>
      </c>
      <c r="H43" s="58" t="n">
        <v>1</v>
      </c>
      <c r="I43" s="58" t="s">
        <v>537</v>
      </c>
    </row>
    <row r="44" customFormat="false" ht="15" hidden="false" customHeight="true" outlineLevel="0" collapsed="false">
      <c r="A44" s="11" t="n">
        <v>10</v>
      </c>
      <c r="B44" s="11" t="s">
        <v>122</v>
      </c>
      <c r="C44" s="57" t="s">
        <v>123</v>
      </c>
      <c r="D44" s="57" t="s">
        <v>97</v>
      </c>
      <c r="E44" s="11" t="n">
        <v>0.9956</v>
      </c>
      <c r="F44" s="11" t="n">
        <v>2.619</v>
      </c>
      <c r="G44" s="52" t="s">
        <v>536</v>
      </c>
      <c r="H44" s="58" t="n">
        <v>1</v>
      </c>
      <c r="I44" s="58" t="s">
        <v>537</v>
      </c>
    </row>
    <row r="45" customFormat="false" ht="15" hidden="false" customHeight="true" outlineLevel="0" collapsed="false">
      <c r="A45" s="60" t="n">
        <v>11</v>
      </c>
      <c r="B45" s="60" t="s">
        <v>188</v>
      </c>
      <c r="C45" s="59" t="s">
        <v>189</v>
      </c>
      <c r="D45" s="59" t="s">
        <v>128</v>
      </c>
      <c r="E45" s="60" t="n">
        <v>0.9912</v>
      </c>
      <c r="F45" s="60" t="n">
        <v>2.374</v>
      </c>
      <c r="G45" s="50" t="s">
        <v>536</v>
      </c>
      <c r="H45" s="58" t="n">
        <v>1</v>
      </c>
      <c r="I45" s="58" t="s">
        <v>537</v>
      </c>
    </row>
    <row r="46" customFormat="false" ht="15" hidden="false" customHeight="true" outlineLevel="0" collapsed="false">
      <c r="A46" s="11" t="n">
        <v>12</v>
      </c>
      <c r="B46" s="11" t="s">
        <v>154</v>
      </c>
      <c r="C46" s="57" t="s">
        <v>155</v>
      </c>
      <c r="D46" s="57" t="s">
        <v>97</v>
      </c>
      <c r="E46" s="11" t="n">
        <v>0.9892</v>
      </c>
      <c r="F46" s="11" t="n">
        <v>2.297</v>
      </c>
      <c r="G46" s="52" t="s">
        <v>536</v>
      </c>
      <c r="H46" s="58" t="n">
        <v>1</v>
      </c>
      <c r="I46" s="58" t="s">
        <v>537</v>
      </c>
    </row>
    <row r="47" customFormat="false" ht="15" hidden="false" customHeight="true" outlineLevel="0" collapsed="false">
      <c r="A47" s="60" t="n">
        <v>13</v>
      </c>
      <c r="B47" s="60" t="s">
        <v>176</v>
      </c>
      <c r="C47" s="59" t="s">
        <v>177</v>
      </c>
      <c r="D47" s="59" t="s">
        <v>97</v>
      </c>
      <c r="E47" s="60" t="n">
        <v>0.9889</v>
      </c>
      <c r="F47" s="60" t="n">
        <v>2.285</v>
      </c>
      <c r="G47" s="50" t="s">
        <v>536</v>
      </c>
      <c r="H47" s="58" t="n">
        <v>1</v>
      </c>
      <c r="I47" s="58" t="s">
        <v>537</v>
      </c>
    </row>
    <row r="48" customFormat="false" ht="15" hidden="false" customHeight="true" outlineLevel="0" collapsed="false">
      <c r="A48" s="11" t="n">
        <v>14</v>
      </c>
      <c r="B48" s="11" t="s">
        <v>220</v>
      </c>
      <c r="C48" s="57" t="s">
        <v>221</v>
      </c>
      <c r="D48" s="57" t="s">
        <v>94</v>
      </c>
      <c r="E48" s="11" t="n">
        <v>0.9857</v>
      </c>
      <c r="F48" s="11" t="n">
        <v>2.188</v>
      </c>
      <c r="G48" s="52" t="s">
        <v>536</v>
      </c>
      <c r="H48" s="58" t="n">
        <v>1</v>
      </c>
      <c r="I48" s="58" t="s">
        <v>537</v>
      </c>
    </row>
    <row r="49" customFormat="false" ht="15" hidden="false" customHeight="true" outlineLevel="0" collapsed="false">
      <c r="A49" s="60" t="n">
        <v>15</v>
      </c>
      <c r="B49" s="60" t="s">
        <v>178</v>
      </c>
      <c r="C49" s="59" t="s">
        <v>179</v>
      </c>
      <c r="D49" s="59" t="s">
        <v>82</v>
      </c>
      <c r="E49" s="60" t="n">
        <v>0.9835</v>
      </c>
      <c r="F49" s="60" t="n">
        <v>2.132</v>
      </c>
      <c r="G49" s="50" t="s">
        <v>536</v>
      </c>
      <c r="H49" s="58" t="n">
        <v>0</v>
      </c>
      <c r="I49" s="58" t="s">
        <v>537</v>
      </c>
    </row>
    <row r="50" customFormat="false" ht="15" hidden="false" customHeight="true" outlineLevel="0" collapsed="false">
      <c r="A50" s="11" t="n">
        <v>16</v>
      </c>
      <c r="B50" s="11" t="s">
        <v>119</v>
      </c>
      <c r="C50" s="57" t="s">
        <v>120</v>
      </c>
      <c r="D50" s="57" t="s">
        <v>121</v>
      </c>
      <c r="E50" s="11" t="n">
        <v>0.9834</v>
      </c>
      <c r="F50" s="11" t="n">
        <v>2.13</v>
      </c>
      <c r="G50" s="52" t="s">
        <v>536</v>
      </c>
      <c r="H50" s="58" t="n">
        <v>1</v>
      </c>
      <c r="I50" s="58" t="s">
        <v>537</v>
      </c>
    </row>
    <row r="51" customFormat="false" ht="15" hidden="false" customHeight="true" outlineLevel="0" collapsed="false">
      <c r="A51" s="60" t="n">
        <v>17</v>
      </c>
      <c r="B51" s="60" t="s">
        <v>260</v>
      </c>
      <c r="C51" s="59" t="s">
        <v>261</v>
      </c>
      <c r="D51" s="59" t="s">
        <v>121</v>
      </c>
      <c r="E51" s="60" t="n">
        <v>0.9807</v>
      </c>
      <c r="F51" s="60" t="n">
        <v>2.068</v>
      </c>
      <c r="G51" s="50" t="s">
        <v>536</v>
      </c>
      <c r="H51" s="58" t="n">
        <v>1</v>
      </c>
      <c r="I51" s="58" t="s">
        <v>537</v>
      </c>
    </row>
    <row r="52" customFormat="false" ht="15" hidden="false" customHeight="true" outlineLevel="0" collapsed="false">
      <c r="A52" s="11" t="n">
        <v>18</v>
      </c>
      <c r="B52" s="11" t="s">
        <v>90</v>
      </c>
      <c r="C52" s="57" t="s">
        <v>91</v>
      </c>
      <c r="D52" s="57" t="s">
        <v>414</v>
      </c>
      <c r="E52" s="11" t="n">
        <v>0.9734</v>
      </c>
      <c r="F52" s="11" t="n">
        <v>1.934</v>
      </c>
      <c r="G52" s="52" t="s">
        <v>536</v>
      </c>
      <c r="H52" s="58" t="n">
        <v>1</v>
      </c>
      <c r="I52" s="58" t="s">
        <v>537</v>
      </c>
    </row>
    <row r="53" customFormat="false" ht="15" hidden="false" customHeight="true" outlineLevel="0" collapsed="false">
      <c r="A53" s="60" t="n">
        <v>19</v>
      </c>
      <c r="B53" s="60" t="s">
        <v>124</v>
      </c>
      <c r="C53" s="59" t="s">
        <v>125</v>
      </c>
      <c r="D53" s="59" t="s">
        <v>82</v>
      </c>
      <c r="E53" s="60" t="n">
        <v>0.9705</v>
      </c>
      <c r="F53" s="60" t="n">
        <v>1.888</v>
      </c>
      <c r="G53" s="50" t="s">
        <v>536</v>
      </c>
      <c r="H53" s="58" t="n">
        <v>1</v>
      </c>
      <c r="I53" s="58" t="s">
        <v>537</v>
      </c>
    </row>
    <row r="54" customFormat="false" ht="15" hidden="false" customHeight="true" outlineLevel="0" collapsed="false">
      <c r="A54" s="11" t="n">
        <v>20</v>
      </c>
      <c r="B54" s="11" t="s">
        <v>92</v>
      </c>
      <c r="C54" s="57" t="s">
        <v>93</v>
      </c>
      <c r="D54" s="57" t="s">
        <v>94</v>
      </c>
      <c r="E54" s="11" t="n">
        <v>0.9684</v>
      </c>
      <c r="F54" s="11" t="n">
        <v>1.857</v>
      </c>
      <c r="G54" s="52" t="s">
        <v>536</v>
      </c>
      <c r="H54" s="58" t="n">
        <v>1</v>
      </c>
      <c r="I54" s="58" t="s">
        <v>537</v>
      </c>
    </row>
    <row r="55" customFormat="false" ht="15" hidden="false" customHeight="true" outlineLevel="0" collapsed="false">
      <c r="A55" s="60" t="n">
        <v>21</v>
      </c>
      <c r="B55" s="60" t="s">
        <v>113</v>
      </c>
      <c r="C55" s="59" t="s">
        <v>114</v>
      </c>
      <c r="D55" s="59" t="s">
        <v>82</v>
      </c>
      <c r="E55" s="60" t="n">
        <v>0.9658</v>
      </c>
      <c r="F55" s="60" t="n">
        <v>1.822</v>
      </c>
      <c r="G55" s="50" t="s">
        <v>536</v>
      </c>
      <c r="H55" s="58" t="n">
        <v>0</v>
      </c>
      <c r="I55" s="58" t="s">
        <v>537</v>
      </c>
    </row>
    <row r="56" customFormat="false" ht="15" hidden="false" customHeight="true" outlineLevel="0" collapsed="false">
      <c r="A56" s="11" t="n">
        <v>22</v>
      </c>
      <c r="B56" s="11" t="s">
        <v>156</v>
      </c>
      <c r="C56" s="57" t="s">
        <v>157</v>
      </c>
      <c r="D56" s="57" t="s">
        <v>414</v>
      </c>
      <c r="E56" s="11" t="n">
        <v>0.9555</v>
      </c>
      <c r="F56" s="11" t="n">
        <v>1.701</v>
      </c>
      <c r="G56" s="52" t="s">
        <v>536</v>
      </c>
      <c r="H56" s="58" t="n">
        <v>0</v>
      </c>
      <c r="I56" s="58" t="s">
        <v>537</v>
      </c>
    </row>
    <row r="57" customFormat="false" ht="15" hidden="false" customHeight="true" outlineLevel="0" collapsed="false">
      <c r="A57" s="60" t="n">
        <v>23</v>
      </c>
      <c r="B57" s="60" t="s">
        <v>206</v>
      </c>
      <c r="C57" s="59" t="s">
        <v>207</v>
      </c>
      <c r="D57" s="59" t="s">
        <v>414</v>
      </c>
      <c r="E57" s="60" t="n">
        <v>0.9529</v>
      </c>
      <c r="F57" s="60" t="n">
        <v>1.673</v>
      </c>
      <c r="G57" s="50" t="s">
        <v>536</v>
      </c>
      <c r="H57" s="58" t="n">
        <v>3</v>
      </c>
      <c r="I57" s="63" t="s">
        <v>538</v>
      </c>
    </row>
    <row r="58" customFormat="false" ht="15" hidden="false" customHeight="true" outlineLevel="0" collapsed="false">
      <c r="A58" s="11" t="n">
        <v>24</v>
      </c>
      <c r="B58" s="11" t="s">
        <v>174</v>
      </c>
      <c r="C58" s="57" t="s">
        <v>175</v>
      </c>
      <c r="D58" s="57" t="s">
        <v>86</v>
      </c>
      <c r="E58" s="11" t="n">
        <v>0.9282</v>
      </c>
      <c r="F58" s="11" t="n">
        <v>1.462</v>
      </c>
      <c r="G58" s="52" t="s">
        <v>536</v>
      </c>
      <c r="H58" s="58" t="n">
        <v>2</v>
      </c>
      <c r="I58" s="58" t="s">
        <v>537</v>
      </c>
    </row>
    <row r="59" customFormat="false" ht="15" hidden="false" customHeight="true" outlineLevel="0" collapsed="false">
      <c r="A59" s="60" t="n">
        <v>25</v>
      </c>
      <c r="B59" s="60" t="s">
        <v>250</v>
      </c>
      <c r="C59" s="59" t="s">
        <v>251</v>
      </c>
      <c r="D59" s="59" t="s">
        <v>82</v>
      </c>
      <c r="E59" s="60" t="n">
        <v>0.9053</v>
      </c>
      <c r="F59" s="60" t="n">
        <v>1.312</v>
      </c>
      <c r="G59" s="50" t="s">
        <v>536</v>
      </c>
      <c r="H59" s="58" t="n">
        <v>1</v>
      </c>
      <c r="I59" s="58" t="s">
        <v>537</v>
      </c>
    </row>
    <row r="60" customFormat="false" ht="15" hidden="false" customHeight="true" outlineLevel="0" collapsed="false">
      <c r="A60" s="11" t="n">
        <v>26</v>
      </c>
      <c r="B60" s="11" t="s">
        <v>254</v>
      </c>
      <c r="C60" s="57" t="s">
        <v>255</v>
      </c>
      <c r="D60" s="57" t="s">
        <v>128</v>
      </c>
      <c r="E60" s="11" t="n">
        <v>0.8999</v>
      </c>
      <c r="F60" s="11" t="n">
        <v>1.281</v>
      </c>
      <c r="G60" s="52" t="s">
        <v>536</v>
      </c>
      <c r="H60" s="58" t="n">
        <v>3</v>
      </c>
      <c r="I60" s="63" t="s">
        <v>538</v>
      </c>
    </row>
    <row r="61" customFormat="false" ht="15" hidden="false" customHeight="true" outlineLevel="0" collapsed="false">
      <c r="A61" s="60" t="n">
        <v>27</v>
      </c>
      <c r="B61" s="60" t="s">
        <v>139</v>
      </c>
      <c r="C61" s="59" t="s">
        <v>140</v>
      </c>
      <c r="D61" s="59" t="s">
        <v>82</v>
      </c>
      <c r="E61" s="60" t="n">
        <v>0.8957</v>
      </c>
      <c r="F61" s="60" t="n">
        <v>1.257</v>
      </c>
      <c r="G61" s="50" t="s">
        <v>536</v>
      </c>
      <c r="H61" s="58" t="n">
        <v>0</v>
      </c>
      <c r="I61" s="58" t="s">
        <v>537</v>
      </c>
    </row>
    <row r="62" customFormat="false" ht="15" hidden="false" customHeight="true" outlineLevel="0" collapsed="false">
      <c r="A62" s="11" t="n">
        <v>28</v>
      </c>
      <c r="B62" s="11" t="s">
        <v>256</v>
      </c>
      <c r="C62" s="57" t="s">
        <v>257</v>
      </c>
      <c r="D62" s="57" t="s">
        <v>110</v>
      </c>
      <c r="E62" s="11" t="n">
        <v>0.8901</v>
      </c>
      <c r="F62" s="11" t="n">
        <v>1.227</v>
      </c>
      <c r="G62" s="52" t="s">
        <v>536</v>
      </c>
      <c r="H62" s="58" t="n">
        <v>1</v>
      </c>
      <c r="I62" s="58" t="s">
        <v>537</v>
      </c>
    </row>
    <row r="63" customFormat="false" ht="15" hidden="false" customHeight="true" outlineLevel="0" collapsed="false">
      <c r="A63" s="60" t="n">
        <v>29</v>
      </c>
      <c r="B63" s="60" t="s">
        <v>224</v>
      </c>
      <c r="C63" s="59" t="s">
        <v>225</v>
      </c>
      <c r="D63" s="59" t="s">
        <v>82</v>
      </c>
      <c r="E63" s="60" t="n">
        <v>0.8835</v>
      </c>
      <c r="F63" s="60" t="n">
        <v>1.193</v>
      </c>
      <c r="G63" s="50" t="s">
        <v>536</v>
      </c>
      <c r="H63" s="58" t="n">
        <v>0</v>
      </c>
      <c r="I63" s="58" t="s">
        <v>537</v>
      </c>
    </row>
    <row r="64" customFormat="false" ht="15" hidden="false" customHeight="true" outlineLevel="0" collapsed="false">
      <c r="A64" s="11" t="n">
        <v>30</v>
      </c>
      <c r="B64" s="11" t="s">
        <v>180</v>
      </c>
      <c r="C64" s="57" t="s">
        <v>181</v>
      </c>
      <c r="D64" s="57" t="s">
        <v>128</v>
      </c>
      <c r="E64" s="11" t="n">
        <v>0.8825</v>
      </c>
      <c r="F64" s="11" t="n">
        <v>1.187</v>
      </c>
      <c r="G64" s="52" t="s">
        <v>536</v>
      </c>
      <c r="H64" s="58" t="n">
        <v>1</v>
      </c>
      <c r="I64" s="58" t="s">
        <v>537</v>
      </c>
    </row>
    <row r="65" customFormat="false" ht="15" hidden="false" customHeight="true" outlineLevel="0" collapsed="false">
      <c r="A65" s="60" t="n">
        <v>31</v>
      </c>
      <c r="B65" s="60" t="s">
        <v>196</v>
      </c>
      <c r="C65" s="59" t="s">
        <v>197</v>
      </c>
      <c r="D65" s="59" t="s">
        <v>102</v>
      </c>
      <c r="E65" s="60" t="n">
        <v>0.8467</v>
      </c>
      <c r="F65" s="60" t="n">
        <v>1.022</v>
      </c>
      <c r="G65" s="50" t="s">
        <v>536</v>
      </c>
      <c r="H65" s="58" t="n">
        <v>0</v>
      </c>
      <c r="I65" s="58" t="s">
        <v>537</v>
      </c>
    </row>
    <row r="66" customFormat="false" ht="15" hidden="false" customHeight="true" outlineLevel="0" collapsed="false">
      <c r="A66" s="11" t="n">
        <v>32</v>
      </c>
      <c r="B66" s="11" t="s">
        <v>162</v>
      </c>
      <c r="C66" s="57" t="s">
        <v>163</v>
      </c>
      <c r="D66" s="57" t="s">
        <v>97</v>
      </c>
      <c r="E66" s="11" t="n">
        <v>0.8434</v>
      </c>
      <c r="F66" s="11" t="n">
        <v>1.008</v>
      </c>
      <c r="G66" s="52" t="s">
        <v>536</v>
      </c>
      <c r="H66" s="58" t="n">
        <v>1</v>
      </c>
      <c r="I66" s="58" t="s">
        <v>537</v>
      </c>
    </row>
    <row r="67" customFormat="false" ht="15" hidden="false" customHeight="true" outlineLevel="0" collapsed="false">
      <c r="A67" s="60" t="n">
        <v>33</v>
      </c>
      <c r="B67" s="60" t="s">
        <v>88</v>
      </c>
      <c r="C67" s="59" t="s">
        <v>89</v>
      </c>
      <c r="D67" s="59" t="s">
        <v>82</v>
      </c>
      <c r="E67" s="60" t="n">
        <v>0.8423</v>
      </c>
      <c r="F67" s="60" t="n">
        <v>1.004</v>
      </c>
      <c r="G67" s="50" t="s">
        <v>536</v>
      </c>
      <c r="H67" s="58" t="n">
        <v>1</v>
      </c>
      <c r="I67" s="58" t="s">
        <v>537</v>
      </c>
    </row>
    <row r="68" customFormat="false" ht="15" hidden="false" customHeight="true" outlineLevel="0" collapsed="false">
      <c r="A68" s="11" t="n">
        <v>34</v>
      </c>
      <c r="B68" s="11" t="s">
        <v>158</v>
      </c>
      <c r="C68" s="57" t="s">
        <v>159</v>
      </c>
      <c r="D68" s="57" t="s">
        <v>151</v>
      </c>
      <c r="E68" s="11" t="n">
        <v>0.8422</v>
      </c>
      <c r="F68" s="11" t="n">
        <v>1.004</v>
      </c>
      <c r="G68" s="52" t="s">
        <v>536</v>
      </c>
      <c r="H68" s="58" t="n">
        <v>0</v>
      </c>
      <c r="I68" s="58" t="s">
        <v>537</v>
      </c>
    </row>
    <row r="69" customFormat="false" ht="15" hidden="false" customHeight="true" outlineLevel="0" collapsed="false">
      <c r="A69" s="60" t="n">
        <v>35</v>
      </c>
      <c r="B69" s="60" t="s">
        <v>129</v>
      </c>
      <c r="C69" s="59" t="s">
        <v>130</v>
      </c>
      <c r="D69" s="59" t="s">
        <v>82</v>
      </c>
      <c r="E69" s="60" t="n">
        <v>0.8156</v>
      </c>
      <c r="F69" s="60" t="n">
        <v>0.899</v>
      </c>
      <c r="G69" s="50" t="s">
        <v>536</v>
      </c>
      <c r="H69" s="58" t="n">
        <v>0</v>
      </c>
      <c r="I69" s="58" t="s">
        <v>537</v>
      </c>
    </row>
    <row r="70" customFormat="false" ht="15" hidden="false" customHeight="true" outlineLevel="0" collapsed="false">
      <c r="A70" s="11" t="n">
        <v>36</v>
      </c>
      <c r="B70" s="11" t="s">
        <v>214</v>
      </c>
      <c r="C70" s="57" t="s">
        <v>215</v>
      </c>
      <c r="D70" s="57" t="s">
        <v>151</v>
      </c>
      <c r="E70" s="11" t="n">
        <v>0.8114</v>
      </c>
      <c r="F70" s="11" t="n">
        <v>0.883</v>
      </c>
      <c r="G70" s="52" t="s">
        <v>536</v>
      </c>
      <c r="H70" s="58" t="n">
        <v>0</v>
      </c>
      <c r="I70" s="58" t="s">
        <v>537</v>
      </c>
    </row>
    <row r="71" customFormat="false" ht="15" hidden="false" customHeight="true" outlineLevel="0" collapsed="false">
      <c r="A71" s="60" t="n">
        <v>37</v>
      </c>
      <c r="B71" s="60" t="s">
        <v>117</v>
      </c>
      <c r="C71" s="59" t="s">
        <v>118</v>
      </c>
      <c r="D71" s="59" t="s">
        <v>414</v>
      </c>
      <c r="E71" s="60" t="n">
        <v>0.7855</v>
      </c>
      <c r="F71" s="60" t="n">
        <v>0.791</v>
      </c>
      <c r="G71" s="50" t="s">
        <v>536</v>
      </c>
      <c r="H71" s="58" t="n">
        <v>0</v>
      </c>
      <c r="I71" s="58" t="s">
        <v>537</v>
      </c>
    </row>
    <row r="72" customFormat="false" ht="15" hidden="false" customHeight="true" outlineLevel="0" collapsed="false">
      <c r="A72" s="11" t="n">
        <v>38</v>
      </c>
      <c r="B72" s="11" t="s">
        <v>262</v>
      </c>
      <c r="C72" s="57" t="s">
        <v>263</v>
      </c>
      <c r="D72" s="57" t="s">
        <v>151</v>
      </c>
      <c r="E72" s="11" t="n">
        <v>0.7583</v>
      </c>
      <c r="F72" s="11" t="n">
        <v>0.701</v>
      </c>
      <c r="G72" s="52" t="s">
        <v>536</v>
      </c>
      <c r="H72" s="58" t="n">
        <v>0</v>
      </c>
      <c r="I72" s="58" t="s">
        <v>537</v>
      </c>
    </row>
    <row r="73" customFormat="false" ht="15" hidden="false" customHeight="true" outlineLevel="0" collapsed="false">
      <c r="A73" s="60" t="n">
        <v>39</v>
      </c>
      <c r="B73" s="60" t="s">
        <v>106</v>
      </c>
      <c r="C73" s="59" t="s">
        <v>107</v>
      </c>
      <c r="D73" s="59" t="s">
        <v>82</v>
      </c>
      <c r="E73" s="60" t="n">
        <v>0.7549</v>
      </c>
      <c r="F73" s="60" t="n">
        <v>0.69</v>
      </c>
      <c r="G73" s="50" t="s">
        <v>536</v>
      </c>
      <c r="H73" s="58" t="n">
        <v>5</v>
      </c>
      <c r="I73" s="63" t="s">
        <v>538</v>
      </c>
    </row>
    <row r="74" customFormat="false" ht="15" hidden="false" customHeight="true" outlineLevel="0" collapsed="false">
      <c r="A74" s="11" t="n">
        <v>40</v>
      </c>
      <c r="B74" s="11" t="s">
        <v>210</v>
      </c>
      <c r="C74" s="57" t="s">
        <v>211</v>
      </c>
      <c r="D74" s="57" t="s">
        <v>414</v>
      </c>
      <c r="E74" s="11" t="n">
        <v>0.7336</v>
      </c>
      <c r="F74" s="11" t="n">
        <v>0.624</v>
      </c>
      <c r="G74" s="52" t="s">
        <v>536</v>
      </c>
      <c r="H74" s="58" t="n">
        <v>0</v>
      </c>
      <c r="I74" s="58" t="s">
        <v>537</v>
      </c>
    </row>
    <row r="75" customFormat="false" ht="15" hidden="false" customHeight="true" outlineLevel="0" collapsed="false">
      <c r="A75" s="60" t="n">
        <v>41</v>
      </c>
      <c r="B75" s="60" t="s">
        <v>111</v>
      </c>
      <c r="C75" s="59" t="s">
        <v>112</v>
      </c>
      <c r="D75" s="59" t="s">
        <v>414</v>
      </c>
      <c r="E75" s="60" t="n">
        <v>0.7315</v>
      </c>
      <c r="F75" s="60" t="n">
        <v>0.617</v>
      </c>
      <c r="G75" s="50" t="s">
        <v>536</v>
      </c>
      <c r="H75" s="58" t="n">
        <v>0</v>
      </c>
      <c r="I75" s="58" t="s">
        <v>537</v>
      </c>
    </row>
    <row r="76" customFormat="false" ht="15" hidden="false" customHeight="true" outlineLevel="0" collapsed="false">
      <c r="A76" s="11" t="n">
        <v>42</v>
      </c>
      <c r="B76" s="11" t="s">
        <v>164</v>
      </c>
      <c r="C76" s="57" t="s">
        <v>165</v>
      </c>
      <c r="D76" s="57" t="s">
        <v>128</v>
      </c>
      <c r="E76" s="11" t="n">
        <v>0.7057</v>
      </c>
      <c r="F76" s="11" t="n">
        <v>0.541</v>
      </c>
      <c r="G76" s="52" t="s">
        <v>536</v>
      </c>
      <c r="H76" s="58" t="n">
        <v>0</v>
      </c>
      <c r="I76" s="58" t="s">
        <v>537</v>
      </c>
    </row>
    <row r="77" customFormat="false" ht="15" hidden="false" customHeight="true" outlineLevel="0" collapsed="false">
      <c r="A77" s="60" t="n">
        <v>43</v>
      </c>
      <c r="B77" s="60" t="s">
        <v>264</v>
      </c>
      <c r="C77" s="59" t="s">
        <v>265</v>
      </c>
      <c r="D77" s="59" t="s">
        <v>151</v>
      </c>
      <c r="E77" s="60" t="n">
        <v>0.6876</v>
      </c>
      <c r="F77" s="60" t="n">
        <v>0.489</v>
      </c>
      <c r="G77" s="50" t="s">
        <v>536</v>
      </c>
      <c r="H77" s="58" t="n">
        <v>0</v>
      </c>
      <c r="I77" s="58" t="s">
        <v>537</v>
      </c>
    </row>
    <row r="78" customFormat="false" ht="15" hidden="false" customHeight="true" outlineLevel="0" collapsed="false">
      <c r="A78" s="11" t="n">
        <v>44</v>
      </c>
      <c r="B78" s="11" t="s">
        <v>240</v>
      </c>
      <c r="C78" s="57" t="s">
        <v>241</v>
      </c>
      <c r="D78" s="57" t="s">
        <v>128</v>
      </c>
      <c r="E78" s="11" t="n">
        <v>0.6845</v>
      </c>
      <c r="F78" s="11" t="n">
        <v>0.48</v>
      </c>
      <c r="G78" s="52" t="s">
        <v>536</v>
      </c>
      <c r="H78" s="58" t="n">
        <v>0</v>
      </c>
      <c r="I78" s="58" t="s">
        <v>537</v>
      </c>
    </row>
    <row r="79" customFormat="false" ht="15" hidden="false" customHeight="true" outlineLevel="0" collapsed="false">
      <c r="A79" s="60" t="n">
        <v>45</v>
      </c>
      <c r="B79" s="60" t="s">
        <v>182</v>
      </c>
      <c r="C79" s="59" t="s">
        <v>183</v>
      </c>
      <c r="D79" s="59" t="s">
        <v>110</v>
      </c>
      <c r="E79" s="60" t="n">
        <v>0.6766</v>
      </c>
      <c r="F79" s="60" t="n">
        <v>0.458</v>
      </c>
      <c r="G79" s="50" t="s">
        <v>536</v>
      </c>
      <c r="H79" s="58" t="n">
        <v>1</v>
      </c>
      <c r="I79" s="58" t="s">
        <v>537</v>
      </c>
    </row>
    <row r="80" customFormat="false" ht="15" hidden="false" customHeight="true" outlineLevel="0" collapsed="false">
      <c r="A80" s="11" t="n">
        <v>46</v>
      </c>
      <c r="B80" s="11" t="s">
        <v>228</v>
      </c>
      <c r="C80" s="57" t="s">
        <v>229</v>
      </c>
      <c r="D80" s="57" t="s">
        <v>94</v>
      </c>
      <c r="E80" s="11" t="n">
        <v>0.6762</v>
      </c>
      <c r="F80" s="11" t="n">
        <v>0.457</v>
      </c>
      <c r="G80" s="52" t="s">
        <v>536</v>
      </c>
      <c r="H80" s="58" t="n">
        <v>9</v>
      </c>
      <c r="I80" s="63" t="s">
        <v>538</v>
      </c>
    </row>
    <row r="81" customFormat="false" ht="15" hidden="false" customHeight="true" outlineLevel="0" collapsed="false">
      <c r="A81" s="60" t="n">
        <v>47</v>
      </c>
      <c r="B81" s="60" t="s">
        <v>152</v>
      </c>
      <c r="C81" s="59" t="s">
        <v>153</v>
      </c>
      <c r="D81" s="59" t="s">
        <v>94</v>
      </c>
      <c r="E81" s="60" t="n">
        <v>0.6649</v>
      </c>
      <c r="F81" s="60" t="n">
        <v>0.426</v>
      </c>
      <c r="G81" s="50" t="s">
        <v>536</v>
      </c>
      <c r="H81" s="58" t="n">
        <v>3</v>
      </c>
      <c r="I81" s="63" t="s">
        <v>538</v>
      </c>
    </row>
    <row r="82" customFormat="false" ht="15" hidden="false" customHeight="true" outlineLevel="0" collapsed="false">
      <c r="A82" s="11" t="n">
        <v>48</v>
      </c>
      <c r="B82" s="11" t="s">
        <v>80</v>
      </c>
      <c r="C82" s="57" t="s">
        <v>81</v>
      </c>
      <c r="D82" s="57" t="s">
        <v>82</v>
      </c>
      <c r="E82" s="11" t="n">
        <v>0.6322</v>
      </c>
      <c r="F82" s="11" t="n">
        <v>0.338</v>
      </c>
      <c r="G82" s="52" t="s">
        <v>536</v>
      </c>
      <c r="H82" s="58" t="n">
        <v>9</v>
      </c>
      <c r="I82" s="63" t="s">
        <v>538</v>
      </c>
    </row>
    <row r="83" customFormat="false" ht="15" hidden="false" customHeight="true" outlineLevel="0" collapsed="false">
      <c r="A83" s="60" t="n">
        <v>49</v>
      </c>
      <c r="B83" s="60" t="s">
        <v>115</v>
      </c>
      <c r="C83" s="59" t="s">
        <v>116</v>
      </c>
      <c r="D83" s="59" t="s">
        <v>102</v>
      </c>
      <c r="E83" s="60" t="n">
        <v>0.6229</v>
      </c>
      <c r="F83" s="60" t="n">
        <v>0.313</v>
      </c>
      <c r="G83" s="50" t="s">
        <v>536</v>
      </c>
      <c r="H83" s="58" t="n">
        <v>2</v>
      </c>
      <c r="I83" s="58" t="s">
        <v>537</v>
      </c>
    </row>
    <row r="84" customFormat="false" ht="15" hidden="false" customHeight="true" outlineLevel="0" collapsed="false">
      <c r="A84" s="11" t="n">
        <v>50</v>
      </c>
      <c r="B84" s="11" t="s">
        <v>186</v>
      </c>
      <c r="C84" s="57" t="s">
        <v>187</v>
      </c>
      <c r="D84" s="57" t="s">
        <v>82</v>
      </c>
      <c r="E84" s="11" t="n">
        <v>0.6161</v>
      </c>
      <c r="F84" s="11" t="n">
        <v>0.295</v>
      </c>
      <c r="G84" s="52" t="s">
        <v>536</v>
      </c>
      <c r="H84" s="58" t="n">
        <v>7</v>
      </c>
      <c r="I84" s="63" t="s">
        <v>538</v>
      </c>
    </row>
    <row r="85" customFormat="false" ht="15" hidden="false" customHeight="true" outlineLevel="0" collapsed="false">
      <c r="A85" s="60" t="n">
        <v>51</v>
      </c>
      <c r="B85" s="60" t="s">
        <v>202</v>
      </c>
      <c r="C85" s="59" t="s">
        <v>203</v>
      </c>
      <c r="D85" s="59" t="s">
        <v>102</v>
      </c>
      <c r="E85" s="60" t="n">
        <v>0.6136</v>
      </c>
      <c r="F85" s="60" t="n">
        <v>0.289</v>
      </c>
      <c r="G85" s="50" t="s">
        <v>536</v>
      </c>
      <c r="H85" s="58" t="n">
        <v>1</v>
      </c>
      <c r="I85" s="58" t="s">
        <v>537</v>
      </c>
    </row>
    <row r="86" customFormat="false" ht="15" hidden="false" customHeight="true" outlineLevel="0" collapsed="false">
      <c r="A86" s="11" t="n">
        <v>52</v>
      </c>
      <c r="B86" s="11" t="s">
        <v>212</v>
      </c>
      <c r="C86" s="57" t="s">
        <v>213</v>
      </c>
      <c r="D86" s="57" t="s">
        <v>128</v>
      </c>
      <c r="E86" s="11" t="n">
        <v>0.5994</v>
      </c>
      <c r="F86" s="11" t="n">
        <v>0.252</v>
      </c>
      <c r="G86" s="48" t="s">
        <v>536</v>
      </c>
      <c r="H86" s="58" t="n">
        <v>0</v>
      </c>
      <c r="I86" s="58" t="s">
        <v>537</v>
      </c>
    </row>
    <row r="87" customFormat="false" ht="15" hidden="false" customHeight="true" outlineLevel="0" collapsed="false">
      <c r="A87" s="60" t="n">
        <v>53</v>
      </c>
      <c r="B87" s="60" t="s">
        <v>242</v>
      </c>
      <c r="C87" s="59" t="s">
        <v>243</v>
      </c>
      <c r="D87" s="59" t="s">
        <v>414</v>
      </c>
      <c r="E87" s="60" t="n">
        <v>0.5812</v>
      </c>
      <c r="F87" s="60" t="n">
        <v>0.205</v>
      </c>
      <c r="G87" s="54" t="s">
        <v>536</v>
      </c>
      <c r="H87" s="58" t="n">
        <v>5</v>
      </c>
      <c r="I87" s="63" t="s">
        <v>538</v>
      </c>
    </row>
    <row r="88" customFormat="false" ht="15" hidden="false" customHeight="true" outlineLevel="0" collapsed="false">
      <c r="A88" s="11" t="n">
        <v>54</v>
      </c>
      <c r="B88" s="11" t="s">
        <v>248</v>
      </c>
      <c r="C88" s="57" t="s">
        <v>249</v>
      </c>
      <c r="D88" s="57" t="s">
        <v>128</v>
      </c>
      <c r="E88" s="11" t="n">
        <v>0.5233</v>
      </c>
      <c r="F88" s="11" t="n">
        <v>0.058</v>
      </c>
      <c r="G88" s="48" t="s">
        <v>536</v>
      </c>
      <c r="H88" s="58" t="n">
        <v>0</v>
      </c>
      <c r="I88" s="58" t="s">
        <v>537</v>
      </c>
    </row>
    <row r="89" customFormat="false" ht="15" hidden="false" customHeight="true" outlineLevel="0" collapsed="false">
      <c r="A89" s="60" t="n">
        <v>55</v>
      </c>
      <c r="B89" s="60" t="s">
        <v>252</v>
      </c>
      <c r="C89" s="59" t="s">
        <v>253</v>
      </c>
      <c r="D89" s="59" t="s">
        <v>110</v>
      </c>
      <c r="E89" s="60" t="n">
        <v>0.5102</v>
      </c>
      <c r="F89" s="60" t="n">
        <v>0.026</v>
      </c>
      <c r="G89" s="54" t="s">
        <v>536</v>
      </c>
      <c r="H89" s="58" t="n">
        <v>1</v>
      </c>
      <c r="I89" s="58" t="s">
        <v>537</v>
      </c>
    </row>
    <row r="90" customFormat="false" ht="15" hidden="false" customHeight="true" outlineLevel="0" collapsed="false">
      <c r="A90" s="11" t="n">
        <v>56</v>
      </c>
      <c r="B90" s="11" t="s">
        <v>216</v>
      </c>
      <c r="C90" s="57" t="s">
        <v>217</v>
      </c>
      <c r="D90" s="57" t="s">
        <v>151</v>
      </c>
      <c r="E90" s="11" t="n">
        <v>0.499</v>
      </c>
      <c r="F90" s="11" t="n">
        <v>-0.003</v>
      </c>
      <c r="G90" s="48" t="s">
        <v>539</v>
      </c>
      <c r="H90" s="58" t="n">
        <v>0</v>
      </c>
      <c r="I90" s="58" t="s">
        <v>537</v>
      </c>
    </row>
    <row r="91" customFormat="false" ht="15" hidden="false" customHeight="true" outlineLevel="0" collapsed="false">
      <c r="A91" s="60" t="n">
        <v>57</v>
      </c>
      <c r="B91" s="60" t="s">
        <v>226</v>
      </c>
      <c r="C91" s="59" t="s">
        <v>227</v>
      </c>
      <c r="D91" s="59" t="s">
        <v>128</v>
      </c>
      <c r="E91" s="60" t="n">
        <v>0.4882</v>
      </c>
      <c r="F91" s="60" t="n">
        <v>-0.03</v>
      </c>
      <c r="G91" s="54" t="s">
        <v>539</v>
      </c>
      <c r="H91" s="58" t="n">
        <v>0</v>
      </c>
      <c r="I91" s="58" t="s">
        <v>537</v>
      </c>
    </row>
    <row r="92" customFormat="false" ht="15" hidden="false" customHeight="true" outlineLevel="0" collapsed="false">
      <c r="A92" s="11" t="n">
        <v>58</v>
      </c>
      <c r="B92" s="11" t="s">
        <v>131</v>
      </c>
      <c r="C92" s="57" t="s">
        <v>132</v>
      </c>
      <c r="D92" s="57" t="s">
        <v>82</v>
      </c>
      <c r="E92" s="11" t="n">
        <v>0.4765</v>
      </c>
      <c r="F92" s="11" t="n">
        <v>-0.059</v>
      </c>
      <c r="G92" s="48" t="s">
        <v>539</v>
      </c>
      <c r="H92" s="58" t="n">
        <v>11</v>
      </c>
      <c r="I92" s="63" t="s">
        <v>538</v>
      </c>
    </row>
    <row r="93" customFormat="false" ht="15" hidden="false" customHeight="true" outlineLevel="0" collapsed="false">
      <c r="A93" s="60" t="n">
        <v>59</v>
      </c>
      <c r="B93" s="60" t="s">
        <v>141</v>
      </c>
      <c r="C93" s="59" t="s">
        <v>142</v>
      </c>
      <c r="D93" s="59" t="s">
        <v>82</v>
      </c>
      <c r="E93" s="60" t="n">
        <v>0.4765</v>
      </c>
      <c r="F93" s="60" t="n">
        <v>-0.059</v>
      </c>
      <c r="G93" s="54" t="s">
        <v>539</v>
      </c>
      <c r="H93" s="58" t="n">
        <v>11</v>
      </c>
      <c r="I93" s="63" t="s">
        <v>538</v>
      </c>
    </row>
    <row r="94" customFormat="false" ht="15" hidden="false" customHeight="true" outlineLevel="0" collapsed="false">
      <c r="A94" s="11" t="n">
        <v>60</v>
      </c>
      <c r="B94" s="11" t="s">
        <v>145</v>
      </c>
      <c r="C94" s="57" t="s">
        <v>146</v>
      </c>
      <c r="D94" s="57" t="s">
        <v>97</v>
      </c>
      <c r="E94" s="11" t="n">
        <v>0.4765</v>
      </c>
      <c r="F94" s="11" t="n">
        <v>-0.059</v>
      </c>
      <c r="G94" s="48" t="s">
        <v>539</v>
      </c>
      <c r="H94" s="58" t="n">
        <v>11</v>
      </c>
      <c r="I94" s="63" t="s">
        <v>538</v>
      </c>
    </row>
    <row r="95" customFormat="false" ht="15" hidden="false" customHeight="true" outlineLevel="0" collapsed="false">
      <c r="A95" s="60" t="n">
        <v>61</v>
      </c>
      <c r="B95" s="60" t="s">
        <v>234</v>
      </c>
      <c r="C95" s="59" t="s">
        <v>235</v>
      </c>
      <c r="D95" s="59" t="s">
        <v>110</v>
      </c>
      <c r="E95" s="60" t="n">
        <v>0.4153</v>
      </c>
      <c r="F95" s="60" t="n">
        <v>-0.214</v>
      </c>
      <c r="G95" s="54" t="s">
        <v>539</v>
      </c>
      <c r="H95" s="58" t="n">
        <v>1</v>
      </c>
      <c r="I95" s="58" t="s">
        <v>537</v>
      </c>
    </row>
    <row r="96" customFormat="false" ht="15" hidden="false" customHeight="true" outlineLevel="0" collapsed="false">
      <c r="A96" s="11" t="n">
        <v>62</v>
      </c>
      <c r="B96" s="11" t="s">
        <v>166</v>
      </c>
      <c r="C96" s="57" t="s">
        <v>167</v>
      </c>
      <c r="D96" s="57" t="s">
        <v>102</v>
      </c>
      <c r="E96" s="11" t="n">
        <v>0.4078</v>
      </c>
      <c r="F96" s="11" t="n">
        <v>-0.233</v>
      </c>
      <c r="G96" s="48" t="s">
        <v>539</v>
      </c>
      <c r="H96" s="58" t="n">
        <v>0</v>
      </c>
      <c r="I96" s="58" t="s">
        <v>537</v>
      </c>
    </row>
    <row r="97" customFormat="false" ht="15" hidden="false" customHeight="true" outlineLevel="0" collapsed="false">
      <c r="A97" s="60" t="n">
        <v>63</v>
      </c>
      <c r="B97" s="60" t="s">
        <v>230</v>
      </c>
      <c r="C97" s="59" t="s">
        <v>231</v>
      </c>
      <c r="D97" s="59" t="s">
        <v>94</v>
      </c>
      <c r="E97" s="60" t="n">
        <v>0.3714</v>
      </c>
      <c r="F97" s="60" t="n">
        <v>-0.328</v>
      </c>
      <c r="G97" s="54" t="s">
        <v>539</v>
      </c>
      <c r="H97" s="58" t="n">
        <v>6</v>
      </c>
      <c r="I97" s="63" t="s">
        <v>538</v>
      </c>
    </row>
    <row r="98" customFormat="false" ht="15" hidden="false" customHeight="true" outlineLevel="0" collapsed="false">
      <c r="A98" s="11" t="n">
        <v>64</v>
      </c>
      <c r="B98" s="11" t="s">
        <v>98</v>
      </c>
      <c r="C98" s="57" t="s">
        <v>99</v>
      </c>
      <c r="D98" s="57" t="s">
        <v>414</v>
      </c>
      <c r="E98" s="11" t="n">
        <v>0.3197</v>
      </c>
      <c r="F98" s="11" t="n">
        <v>-0.469</v>
      </c>
      <c r="G98" s="48" t="s">
        <v>539</v>
      </c>
      <c r="H98" s="58" t="n">
        <v>1</v>
      </c>
      <c r="I98" s="58" t="s">
        <v>537</v>
      </c>
    </row>
    <row r="99" customFormat="false" ht="15" hidden="false" customHeight="true" outlineLevel="0" collapsed="false">
      <c r="A99" s="60" t="n">
        <v>65</v>
      </c>
      <c r="B99" s="60" t="s">
        <v>266</v>
      </c>
      <c r="C99" s="59" t="s">
        <v>267</v>
      </c>
      <c r="D99" s="59" t="s">
        <v>151</v>
      </c>
      <c r="E99" s="60" t="n">
        <v>0.2993</v>
      </c>
      <c r="F99" s="60" t="n">
        <v>-0.526</v>
      </c>
      <c r="G99" s="54" t="s">
        <v>539</v>
      </c>
      <c r="H99" s="58" t="n">
        <v>0</v>
      </c>
      <c r="I99" s="58" t="s">
        <v>537</v>
      </c>
    </row>
    <row r="100" customFormat="false" ht="15" hidden="false" customHeight="true" outlineLevel="0" collapsed="false">
      <c r="A100" s="11" t="n">
        <v>66</v>
      </c>
      <c r="B100" s="11" t="s">
        <v>198</v>
      </c>
      <c r="C100" s="57" t="s">
        <v>199</v>
      </c>
      <c r="D100" s="57" t="s">
        <v>128</v>
      </c>
      <c r="E100" s="11" t="n">
        <v>0.2364</v>
      </c>
      <c r="F100" s="11" t="n">
        <v>-0.718</v>
      </c>
      <c r="G100" s="48" t="s">
        <v>539</v>
      </c>
      <c r="H100" s="58" t="n">
        <v>8</v>
      </c>
      <c r="I100" s="63" t="s">
        <v>538</v>
      </c>
    </row>
    <row r="101" customFormat="false" ht="15" hidden="false" customHeight="true" outlineLevel="0" collapsed="false">
      <c r="A101" s="60" t="n">
        <v>67</v>
      </c>
      <c r="B101" s="60" t="s">
        <v>143</v>
      </c>
      <c r="C101" s="59" t="s">
        <v>144</v>
      </c>
      <c r="D101" s="59" t="s">
        <v>86</v>
      </c>
      <c r="E101" s="60" t="n">
        <v>0.2288</v>
      </c>
      <c r="F101" s="60" t="n">
        <v>-0.743</v>
      </c>
      <c r="G101" s="54" t="s">
        <v>539</v>
      </c>
      <c r="H101" s="58" t="n">
        <v>0</v>
      </c>
      <c r="I101" s="58" t="s">
        <v>537</v>
      </c>
    </row>
    <row r="102" customFormat="false" ht="15" hidden="false" customHeight="true" outlineLevel="0" collapsed="false">
      <c r="A102" s="11" t="n">
        <v>68</v>
      </c>
      <c r="B102" s="11" t="s">
        <v>104</v>
      </c>
      <c r="C102" s="57" t="s">
        <v>105</v>
      </c>
      <c r="D102" s="57" t="s">
        <v>86</v>
      </c>
      <c r="E102" s="11" t="n">
        <v>0.2286</v>
      </c>
      <c r="F102" s="11" t="n">
        <v>-0.743</v>
      </c>
      <c r="G102" s="48" t="s">
        <v>539</v>
      </c>
      <c r="H102" s="58" t="n">
        <v>1</v>
      </c>
      <c r="I102" s="58" t="s">
        <v>537</v>
      </c>
    </row>
    <row r="103" customFormat="false" ht="15" hidden="false" customHeight="true" outlineLevel="0" collapsed="false">
      <c r="A103" s="60" t="n">
        <v>69</v>
      </c>
      <c r="B103" s="60" t="s">
        <v>160</v>
      </c>
      <c r="C103" s="59" t="s">
        <v>161</v>
      </c>
      <c r="D103" s="59" t="s">
        <v>128</v>
      </c>
      <c r="E103" s="60" t="n">
        <v>0.2193</v>
      </c>
      <c r="F103" s="60" t="n">
        <v>-0.774</v>
      </c>
      <c r="G103" s="54" t="s">
        <v>539</v>
      </c>
      <c r="H103" s="58" t="n">
        <v>4</v>
      </c>
      <c r="I103" s="63" t="s">
        <v>538</v>
      </c>
    </row>
    <row r="104" customFormat="false" ht="15" hidden="false" customHeight="true" outlineLevel="0" collapsed="false">
      <c r="A104" s="11" t="n">
        <v>70</v>
      </c>
      <c r="B104" s="11" t="s">
        <v>108</v>
      </c>
      <c r="C104" s="57" t="s">
        <v>109</v>
      </c>
      <c r="D104" s="57" t="s">
        <v>110</v>
      </c>
      <c r="E104" s="11" t="n">
        <v>0.2132</v>
      </c>
      <c r="F104" s="11" t="n">
        <v>-0.796</v>
      </c>
      <c r="G104" s="48" t="s">
        <v>539</v>
      </c>
      <c r="H104" s="58" t="n">
        <v>1</v>
      </c>
      <c r="I104" s="58" t="s">
        <v>537</v>
      </c>
    </row>
    <row r="105" customFormat="false" ht="15" hidden="false" customHeight="true" outlineLevel="0" collapsed="false">
      <c r="A105" s="60" t="n">
        <v>71</v>
      </c>
      <c r="B105" s="60" t="s">
        <v>190</v>
      </c>
      <c r="C105" s="59" t="s">
        <v>191</v>
      </c>
      <c r="D105" s="59" t="s">
        <v>414</v>
      </c>
      <c r="E105" s="60" t="n">
        <v>0.212</v>
      </c>
      <c r="F105" s="60" t="n">
        <v>-0.799</v>
      </c>
      <c r="G105" s="54" t="s">
        <v>539</v>
      </c>
      <c r="H105" s="58" t="n">
        <v>1</v>
      </c>
      <c r="I105" s="58" t="s">
        <v>537</v>
      </c>
    </row>
    <row r="106" customFormat="false" ht="15" hidden="false" customHeight="true" outlineLevel="0" collapsed="false">
      <c r="A106" s="11" t="n">
        <v>72</v>
      </c>
      <c r="B106" s="11" t="s">
        <v>84</v>
      </c>
      <c r="C106" s="57" t="s">
        <v>85</v>
      </c>
      <c r="D106" s="57" t="s">
        <v>86</v>
      </c>
      <c r="E106" s="11" t="n">
        <v>0.1945</v>
      </c>
      <c r="F106" s="11" t="n">
        <v>-0.862</v>
      </c>
      <c r="G106" s="48" t="s">
        <v>539</v>
      </c>
      <c r="H106" s="58" t="n">
        <v>1</v>
      </c>
      <c r="I106" s="58" t="s">
        <v>537</v>
      </c>
    </row>
    <row r="107" customFormat="false" ht="15" hidden="false" customHeight="true" outlineLevel="0" collapsed="false">
      <c r="A107" s="60" t="n">
        <v>73</v>
      </c>
      <c r="B107" s="60" t="s">
        <v>184</v>
      </c>
      <c r="C107" s="59" t="s">
        <v>185</v>
      </c>
      <c r="D107" s="59" t="s">
        <v>110</v>
      </c>
      <c r="E107" s="60" t="n">
        <v>0.1759</v>
      </c>
      <c r="F107" s="60" t="n">
        <v>-0.931</v>
      </c>
      <c r="G107" s="54" t="s">
        <v>539</v>
      </c>
      <c r="H107" s="58" t="n">
        <v>0</v>
      </c>
      <c r="I107" s="58" t="s">
        <v>537</v>
      </c>
    </row>
    <row r="108" customFormat="false" ht="15" hidden="false" customHeight="true" outlineLevel="0" collapsed="false">
      <c r="A108" s="11" t="n">
        <v>74</v>
      </c>
      <c r="B108" s="11" t="s">
        <v>222</v>
      </c>
      <c r="C108" s="57" t="s">
        <v>223</v>
      </c>
      <c r="D108" s="57" t="s">
        <v>102</v>
      </c>
      <c r="E108" s="11" t="n">
        <v>0.1611</v>
      </c>
      <c r="F108" s="11" t="n">
        <v>-0.99</v>
      </c>
      <c r="G108" s="48" t="s">
        <v>539</v>
      </c>
      <c r="H108" s="58" t="n">
        <v>0</v>
      </c>
      <c r="I108" s="58" t="s">
        <v>537</v>
      </c>
    </row>
    <row r="109" customFormat="false" ht="15" hidden="false" customHeight="true" outlineLevel="0" collapsed="false">
      <c r="A109" s="60" t="n">
        <v>75</v>
      </c>
      <c r="B109" s="60" t="s">
        <v>246</v>
      </c>
      <c r="C109" s="59" t="s">
        <v>247</v>
      </c>
      <c r="D109" s="59" t="s">
        <v>414</v>
      </c>
      <c r="E109" s="60" t="n">
        <v>0.1479</v>
      </c>
      <c r="F109" s="60" t="n">
        <v>-1.046</v>
      </c>
      <c r="G109" s="54" t="s">
        <v>539</v>
      </c>
      <c r="H109" s="58" t="n">
        <v>1</v>
      </c>
      <c r="I109" s="58" t="s">
        <v>537</v>
      </c>
    </row>
    <row r="110" customFormat="false" ht="15" hidden="false" customHeight="true" outlineLevel="0" collapsed="false">
      <c r="A110" s="11" t="n">
        <v>76</v>
      </c>
      <c r="B110" s="11" t="s">
        <v>208</v>
      </c>
      <c r="C110" s="57" t="s">
        <v>209</v>
      </c>
      <c r="D110" s="57" t="s">
        <v>414</v>
      </c>
      <c r="E110" s="11" t="n">
        <v>0.146</v>
      </c>
      <c r="F110" s="11" t="n">
        <v>-1.054</v>
      </c>
      <c r="G110" s="48" t="s">
        <v>539</v>
      </c>
      <c r="H110" s="58" t="n">
        <v>0</v>
      </c>
      <c r="I110" s="58" t="s">
        <v>537</v>
      </c>
    </row>
    <row r="111" customFormat="false" ht="15" hidden="false" customHeight="true" outlineLevel="0" collapsed="false">
      <c r="A111" s="60" t="n">
        <v>77</v>
      </c>
      <c r="B111" s="60" t="s">
        <v>200</v>
      </c>
      <c r="C111" s="59" t="s">
        <v>201</v>
      </c>
      <c r="D111" s="59" t="s">
        <v>151</v>
      </c>
      <c r="E111" s="60" t="n">
        <v>0.1304</v>
      </c>
      <c r="F111" s="60" t="n">
        <v>-1.125</v>
      </c>
      <c r="G111" s="54" t="s">
        <v>539</v>
      </c>
      <c r="H111" s="58" t="n">
        <v>1</v>
      </c>
      <c r="I111" s="58" t="s">
        <v>537</v>
      </c>
    </row>
    <row r="112" customFormat="false" ht="15" hidden="false" customHeight="true" outlineLevel="0" collapsed="false">
      <c r="A112" s="11" t="n">
        <v>78</v>
      </c>
      <c r="B112" s="11" t="s">
        <v>232</v>
      </c>
      <c r="C112" s="57" t="s">
        <v>233</v>
      </c>
      <c r="D112" s="57" t="s">
        <v>86</v>
      </c>
      <c r="E112" s="11" t="n">
        <v>0.1141</v>
      </c>
      <c r="F112" s="11" t="n">
        <v>-1.205</v>
      </c>
      <c r="G112" s="48" t="s">
        <v>539</v>
      </c>
      <c r="H112" s="58" t="n">
        <v>0</v>
      </c>
      <c r="I112" s="58" t="s">
        <v>537</v>
      </c>
    </row>
    <row r="113" customFormat="false" ht="15" hidden="false" customHeight="true" outlineLevel="0" collapsed="false">
      <c r="A113" s="60" t="n">
        <v>79</v>
      </c>
      <c r="B113" s="60" t="s">
        <v>236</v>
      </c>
      <c r="C113" s="59" t="s">
        <v>237</v>
      </c>
      <c r="D113" s="59" t="s">
        <v>414</v>
      </c>
      <c r="E113" s="60" t="n">
        <v>0.1091</v>
      </c>
      <c r="F113" s="60" t="n">
        <v>-1.231</v>
      </c>
      <c r="G113" s="54" t="s">
        <v>539</v>
      </c>
      <c r="H113" s="58" t="n">
        <v>0</v>
      </c>
      <c r="I113" s="58" t="s">
        <v>537</v>
      </c>
    </row>
    <row r="114" customFormat="false" ht="15" hidden="false" customHeight="true" outlineLevel="0" collapsed="false">
      <c r="A114" s="11" t="n">
        <v>80</v>
      </c>
      <c r="B114" s="11" t="s">
        <v>194</v>
      </c>
      <c r="C114" s="57" t="s">
        <v>195</v>
      </c>
      <c r="D114" s="57" t="s">
        <v>86</v>
      </c>
      <c r="E114" s="11" t="n">
        <v>0.103</v>
      </c>
      <c r="F114" s="11" t="n">
        <v>-1.264</v>
      </c>
      <c r="G114" s="48" t="s">
        <v>539</v>
      </c>
      <c r="H114" s="58" t="n">
        <v>1</v>
      </c>
      <c r="I114" s="58" t="s">
        <v>537</v>
      </c>
    </row>
    <row r="115" customFormat="false" ht="15" hidden="false" customHeight="true" outlineLevel="0" collapsed="false">
      <c r="A115" s="60" t="n">
        <v>81</v>
      </c>
      <c r="B115" s="60" t="s">
        <v>170</v>
      </c>
      <c r="C115" s="59" t="s">
        <v>171</v>
      </c>
      <c r="D115" s="59" t="s">
        <v>86</v>
      </c>
      <c r="E115" s="60" t="n">
        <v>0.0956</v>
      </c>
      <c r="F115" s="60" t="n">
        <v>-1.307</v>
      </c>
      <c r="G115" s="54" t="s">
        <v>539</v>
      </c>
      <c r="H115" s="58" t="n">
        <v>3</v>
      </c>
      <c r="I115" s="63" t="s">
        <v>538</v>
      </c>
    </row>
    <row r="116" customFormat="false" ht="15" hidden="false" customHeight="true" outlineLevel="0" collapsed="false">
      <c r="A116" s="11" t="n">
        <v>82</v>
      </c>
      <c r="B116" s="11" t="s">
        <v>149</v>
      </c>
      <c r="C116" s="57" t="s">
        <v>150</v>
      </c>
      <c r="D116" s="57" t="s">
        <v>151</v>
      </c>
      <c r="E116" s="11" t="n">
        <v>0.0953</v>
      </c>
      <c r="F116" s="11" t="n">
        <v>-1.309</v>
      </c>
      <c r="G116" s="48" t="s">
        <v>539</v>
      </c>
      <c r="H116" s="58" t="n">
        <v>0</v>
      </c>
      <c r="I116" s="58" t="s">
        <v>537</v>
      </c>
    </row>
    <row r="117" customFormat="false" ht="15" hidden="false" customHeight="true" outlineLevel="0" collapsed="false">
      <c r="A117" s="60" t="n">
        <v>83</v>
      </c>
      <c r="B117" s="60" t="s">
        <v>168</v>
      </c>
      <c r="C117" s="59" t="s">
        <v>169</v>
      </c>
      <c r="D117" s="59" t="s">
        <v>86</v>
      </c>
      <c r="E117" s="60" t="n">
        <v>0.0905</v>
      </c>
      <c r="F117" s="60" t="n">
        <v>-1.338</v>
      </c>
      <c r="G117" s="54" t="s">
        <v>539</v>
      </c>
      <c r="H117" s="58" t="n">
        <v>2</v>
      </c>
      <c r="I117" s="58" t="s">
        <v>537</v>
      </c>
    </row>
    <row r="118" customFormat="false" ht="15" hidden="false" customHeight="true" outlineLevel="0" collapsed="false">
      <c r="A118" s="11" t="n">
        <v>84</v>
      </c>
      <c r="B118" s="11" t="s">
        <v>238</v>
      </c>
      <c r="C118" s="57" t="s">
        <v>239</v>
      </c>
      <c r="D118" s="57" t="s">
        <v>86</v>
      </c>
      <c r="E118" s="11" t="n">
        <v>0.0724</v>
      </c>
      <c r="F118" s="11" t="n">
        <v>-1.458</v>
      </c>
      <c r="G118" s="48" t="s">
        <v>539</v>
      </c>
      <c r="H118" s="58" t="n">
        <v>1</v>
      </c>
      <c r="I118" s="58" t="s">
        <v>537</v>
      </c>
    </row>
    <row r="119" customFormat="false" ht="15" hidden="false" customHeight="true" outlineLevel="0" collapsed="false">
      <c r="A119" s="60" t="n">
        <v>85</v>
      </c>
      <c r="B119" s="60" t="s">
        <v>100</v>
      </c>
      <c r="C119" s="59" t="s">
        <v>101</v>
      </c>
      <c r="D119" s="59" t="s">
        <v>102</v>
      </c>
      <c r="E119" s="60" t="n">
        <v>0.0582</v>
      </c>
      <c r="F119" s="60" t="n">
        <v>-1.57</v>
      </c>
      <c r="G119" s="54" t="s">
        <v>539</v>
      </c>
      <c r="H119" s="58" t="n">
        <v>0</v>
      </c>
      <c r="I119" s="58" t="s">
        <v>537</v>
      </c>
    </row>
    <row r="120" customFormat="false" ht="15" hidden="false" customHeight="true" outlineLevel="0" collapsed="false">
      <c r="A120" s="11" t="n">
        <v>86</v>
      </c>
      <c r="B120" s="11" t="s">
        <v>126</v>
      </c>
      <c r="C120" s="57" t="s">
        <v>127</v>
      </c>
      <c r="D120" s="57" t="s">
        <v>128</v>
      </c>
      <c r="E120" s="11" t="n">
        <v>0.0258</v>
      </c>
      <c r="F120" s="11" t="n">
        <v>-1.946</v>
      </c>
      <c r="G120" s="48" t="s">
        <v>539</v>
      </c>
      <c r="H120" s="58" t="n">
        <v>1</v>
      </c>
      <c r="I120" s="58" t="s">
        <v>537</v>
      </c>
    </row>
    <row r="121" customFormat="false" ht="15" hidden="false" customHeight="true" outlineLevel="0" collapsed="false">
      <c r="A121" s="60" t="n">
        <v>87</v>
      </c>
      <c r="B121" s="60" t="s">
        <v>192</v>
      </c>
      <c r="C121" s="59" t="s">
        <v>193</v>
      </c>
      <c r="D121" s="59" t="s">
        <v>128</v>
      </c>
      <c r="E121" s="60" t="n">
        <v>0.0073</v>
      </c>
      <c r="F121" s="60" t="n">
        <v>-2.441</v>
      </c>
      <c r="G121" s="54" t="s">
        <v>539</v>
      </c>
      <c r="H121" s="58" t="n">
        <v>1</v>
      </c>
      <c r="I121" s="58" t="s">
        <v>537</v>
      </c>
    </row>
    <row r="122" customFormat="false" ht="15" hidden="false" customHeight="true" outlineLevel="0" collapsed="false">
      <c r="A122" s="11" t="n">
        <v>88</v>
      </c>
      <c r="B122" s="11" t="s">
        <v>204</v>
      </c>
      <c r="C122" s="57" t="s">
        <v>205</v>
      </c>
      <c r="D122" s="57" t="s">
        <v>128</v>
      </c>
      <c r="E122" s="11" t="n">
        <v>0.0011</v>
      </c>
      <c r="F122" s="11" t="n">
        <v>-3.066</v>
      </c>
      <c r="G122" s="48" t="s">
        <v>539</v>
      </c>
      <c r="H122" s="58" t="n">
        <v>0</v>
      </c>
      <c r="I122" s="58" t="s">
        <v>537</v>
      </c>
    </row>
    <row r="125" customFormat="false" ht="15" hidden="false" customHeight="false" outlineLevel="0" collapsed="false">
      <c r="A125" s="64" t="s">
        <v>540</v>
      </c>
      <c r="B125" s="64"/>
      <c r="C125" s="64"/>
      <c r="D125" s="64"/>
      <c r="E125" s="64"/>
      <c r="F125" s="64"/>
      <c r="G125" s="64"/>
      <c r="H125" s="64"/>
      <c r="I125" s="64"/>
    </row>
    <row r="126" customFormat="false" ht="28.35" hidden="false" customHeight="true" outlineLevel="0" collapsed="false">
      <c r="A126" s="65" t="s">
        <v>541</v>
      </c>
      <c r="B126" s="65"/>
      <c r="C126" s="65"/>
      <c r="D126" s="65"/>
      <c r="E126" s="65"/>
      <c r="F126" s="65"/>
      <c r="G126" s="65"/>
      <c r="H126" s="65"/>
      <c r="I126" s="65"/>
    </row>
    <row r="128" customFormat="false" ht="15" hidden="false" customHeight="false" outlineLevel="0" collapsed="false">
      <c r="A128" s="66" t="s">
        <v>516</v>
      </c>
      <c r="B128" s="66" t="s">
        <v>62</v>
      </c>
      <c r="C128" s="66" t="s">
        <v>542</v>
      </c>
      <c r="D128" s="66" t="s">
        <v>543</v>
      </c>
      <c r="E128" s="66" t="s">
        <v>544</v>
      </c>
      <c r="F128" s="66" t="s">
        <v>545</v>
      </c>
      <c r="G128" s="66" t="s">
        <v>546</v>
      </c>
      <c r="H128" s="66" t="s">
        <v>534</v>
      </c>
      <c r="I128" s="66"/>
    </row>
    <row r="129" customFormat="false" ht="15" hidden="false" customHeight="false" outlineLevel="0" collapsed="false">
      <c r="A129" s="58" t="s">
        <v>126</v>
      </c>
      <c r="B129" s="58" t="s">
        <v>524</v>
      </c>
      <c r="C129" s="58" t="n">
        <v>0</v>
      </c>
      <c r="D129" s="58" t="n">
        <v>0.026</v>
      </c>
      <c r="E129" s="58" t="n">
        <v>0.012</v>
      </c>
      <c r="F129" s="58" t="n">
        <v>0.053</v>
      </c>
      <c r="G129" s="58" t="n">
        <v>0.041</v>
      </c>
      <c r="H129" s="67" t="s">
        <v>547</v>
      </c>
    </row>
    <row r="130" customFormat="false" ht="15" hidden="false" customHeight="false" outlineLevel="0" collapsed="false">
      <c r="A130" s="58" t="s">
        <v>260</v>
      </c>
      <c r="B130" s="58" t="s">
        <v>260</v>
      </c>
      <c r="C130" s="58" t="n">
        <v>0</v>
      </c>
      <c r="D130" s="58" t="n">
        <v>0.981</v>
      </c>
      <c r="E130" s="58" t="n">
        <v>0.953</v>
      </c>
      <c r="F130" s="58" t="n">
        <v>0.993</v>
      </c>
      <c r="G130" s="58" t="n">
        <v>0.04</v>
      </c>
      <c r="H130" s="67" t="s">
        <v>547</v>
      </c>
    </row>
    <row r="131" customFormat="false" ht="15" hidden="false" customHeight="false" outlineLevel="0" collapsed="false">
      <c r="A131" s="58" t="s">
        <v>154</v>
      </c>
      <c r="B131" s="58" t="s">
        <v>531</v>
      </c>
      <c r="C131" s="58" t="n">
        <v>1</v>
      </c>
      <c r="D131" s="58" t="n">
        <v>0.989</v>
      </c>
      <c r="E131" s="58" t="n">
        <v>0.964</v>
      </c>
      <c r="F131" s="58" t="n">
        <v>0.997</v>
      </c>
      <c r="G131" s="58" t="n">
        <v>0.033</v>
      </c>
      <c r="H131" s="67" t="s">
        <v>547</v>
      </c>
    </row>
    <row r="132" customFormat="false" ht="15" hidden="false" customHeight="false" outlineLevel="0" collapsed="false">
      <c r="A132" s="58" t="s">
        <v>174</v>
      </c>
      <c r="B132" s="58" t="s">
        <v>528</v>
      </c>
      <c r="C132" s="58" t="n">
        <v>1</v>
      </c>
      <c r="D132" s="58" t="n">
        <v>0.928</v>
      </c>
      <c r="E132" s="58" t="n">
        <v>0.868</v>
      </c>
      <c r="F132" s="58" t="n">
        <v>0.965</v>
      </c>
      <c r="G132" s="58" t="n">
        <v>0.097</v>
      </c>
      <c r="H132" s="67" t="s">
        <v>547</v>
      </c>
    </row>
    <row r="133" customFormat="false" ht="15" hidden="false" customHeight="false" outlineLevel="0" collapsed="false">
      <c r="A133" s="58" t="s">
        <v>244</v>
      </c>
      <c r="B133" s="58" t="s">
        <v>530</v>
      </c>
      <c r="C133" s="58" t="n">
        <v>1</v>
      </c>
      <c r="D133" s="58" t="n">
        <v>1</v>
      </c>
      <c r="E133" s="58" t="n">
        <v>0.996</v>
      </c>
      <c r="F133" s="58" t="n">
        <v>1</v>
      </c>
      <c r="G133" s="58" t="n">
        <v>0.004</v>
      </c>
      <c r="H133" s="67" t="s">
        <v>547</v>
      </c>
    </row>
    <row r="134" customFormat="false" ht="15" hidden="false" customHeight="false" outlineLevel="0" collapsed="false">
      <c r="A134" s="58" t="s">
        <v>166</v>
      </c>
      <c r="B134" s="58" t="s">
        <v>529</v>
      </c>
      <c r="C134" s="58" t="n">
        <v>0</v>
      </c>
      <c r="D134" s="58" t="n">
        <v>0.408</v>
      </c>
      <c r="E134" s="58" t="n">
        <v>0.402</v>
      </c>
      <c r="F134" s="58" t="n">
        <v>0.414</v>
      </c>
      <c r="G134" s="58" t="n">
        <v>0.012</v>
      </c>
      <c r="H134" s="67" t="s">
        <v>547</v>
      </c>
    </row>
    <row r="136" customFormat="false" ht="31.5" hidden="false" customHeight="true" outlineLevel="0" collapsed="false">
      <c r="A136" s="68" t="s">
        <v>548</v>
      </c>
      <c r="B136" s="68"/>
      <c r="C136" s="68"/>
      <c r="D136" s="68"/>
      <c r="E136" s="68"/>
      <c r="F136" s="68"/>
      <c r="G136" s="68"/>
      <c r="H136" s="68"/>
      <c r="I136" s="68"/>
    </row>
  </sheetData>
  <mergeCells count="6">
    <mergeCell ref="A1:H1"/>
    <mergeCell ref="A2:H2"/>
    <mergeCell ref="A20:G20"/>
    <mergeCell ref="A125:I125"/>
    <mergeCell ref="A126:I126"/>
    <mergeCell ref="A136:I136"/>
  </mergeCells>
  <conditionalFormatting sqref="E35:E122">
    <cfRule type="colorScale" priority="2">
      <colorScale>
        <cfvo type="num" val="0"/>
        <cfvo type="num" val="0.5"/>
        <cfvo type="num" val="1"/>
        <color rgb="FFFFFFFF"/>
        <color rgb="FFBCE2E7"/>
        <color rgb="FF01696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2026-04-26T08:54:21Z</dcterms:created>
  <dc:creator>openpyxl</dc:creator>
  <dc:description/>
  <dc:language>en-US</dc:language>
  <cp:lastModifiedBy/>
  <dcterms:modified xsi:type="dcterms:W3CDTF">2026-04-26T10:45:58Z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